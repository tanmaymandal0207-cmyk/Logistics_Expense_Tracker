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xr:revisionPtr revIDLastSave="0" documentId="8_{EE89E9C8-112F-43C5-9D6D-047FD08FFDB4}" xr6:coauthVersionLast="47" xr6:coauthVersionMax="47" xr10:uidLastSave="{00000000-0000-0000-0000-000000000000}"/>
  <bookViews>
    <workbookView xWindow="-120" yWindow="-120" windowWidth="29040" windowHeight="15720" xr2:uid="{2381460C-B05E-4873-B307-F9E5F0533E81}"/>
  </bookViews>
  <sheets>
    <sheet name="BN DASHBOARD" sheetId="15" r:id="rId1"/>
    <sheet name="Auburn Load " sheetId="1" state="hidden" r:id="rId2"/>
    <sheet name="AUBURN LOAD CLEAN" sheetId="9" r:id="rId3"/>
    <sheet name="Market Load" sheetId="7" state="hidden" r:id="rId4"/>
    <sheet name="MARKET LOAD CLEAN" sheetId="10" r:id="rId5"/>
    <sheet name="Monthly Sale" sheetId="8" state="hidden" r:id="rId6"/>
    <sheet name="MONTHLY SALE CLEAN" sheetId="11" r:id="rId7"/>
    <sheet name="Monthly KM Run" sheetId="2" state="hidden" r:id="rId8"/>
    <sheet name="KM RUN CLEAN" sheetId="12" r:id="rId9"/>
    <sheet name="Daily Tracking" sheetId="5" r:id="rId10"/>
    <sheet name="Report" sheetId="4" r:id="rId11"/>
    <sheet name="BN DASH DATA" sheetId="14" state="hidden" r:id="rId12"/>
  </sheets>
  <definedNames>
    <definedName name="_xlnm._FilterDatabase" localSheetId="3" hidden="1">'Market Load'!$A$1:$M$172</definedName>
    <definedName name="YearList">OFFSET('BN DASH DATA'!$X$4,0,0,SUMPRODUCT(--('BN DASH DATA'!$X$4:$X$12&lt;&gt;"")),1)</definedName>
  </definedNames>
  <calcPr calcId="181029" fullCalcOnLoad="1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5" l="1"/>
  <c r="AD15" i="14"/>
  <c r="AD14" i="14"/>
  <c r="AD13" i="14"/>
  <c r="AD12" i="14"/>
  <c r="AD11" i="14"/>
  <c r="AD10" i="14"/>
  <c r="AD9" i="14"/>
  <c r="AD8" i="14"/>
  <c r="AD7" i="14"/>
  <c r="AD6" i="14"/>
  <c r="AB16" i="14"/>
  <c r="AA16" i="14"/>
  <c r="Z16" i="14"/>
  <c r="AF16" i="14" s="1"/>
  <c r="AB15" i="14"/>
  <c r="AA15" i="14"/>
  <c r="AG15" i="14" s="1"/>
  <c r="Z15" i="14"/>
  <c r="AF15" i="14" s="1"/>
  <c r="AB14" i="14"/>
  <c r="AA14" i="14"/>
  <c r="AG14" i="14" s="1"/>
  <c r="Z14" i="14"/>
  <c r="AF14" i="14" s="1"/>
  <c r="AB13" i="14"/>
  <c r="AA13" i="14"/>
  <c r="AG13" i="14" s="1"/>
  <c r="Z13" i="14"/>
  <c r="AF13" i="14" s="1"/>
  <c r="AB12" i="14"/>
  <c r="AA12" i="14"/>
  <c r="AG12" i="14" s="1"/>
  <c r="Z12" i="14"/>
  <c r="AF12" i="14" s="1"/>
  <c r="AB11" i="14"/>
  <c r="AA11" i="14"/>
  <c r="AG11" i="14" s="1"/>
  <c r="Z11" i="14"/>
  <c r="AF11" i="14" s="1"/>
  <c r="AB10" i="14"/>
  <c r="AA10" i="14"/>
  <c r="AG10" i="14" s="1"/>
  <c r="Z10" i="14"/>
  <c r="AF10" i="14" s="1"/>
  <c r="AB9" i="14"/>
  <c r="AA9" i="14"/>
  <c r="AG9" i="14" s="1"/>
  <c r="Z9" i="14"/>
  <c r="AF9" i="14" s="1"/>
  <c r="AB8" i="14"/>
  <c r="AA8" i="14"/>
  <c r="AG8" i="14" s="1"/>
  <c r="Z8" i="14"/>
  <c r="AF8" i="14" s="1"/>
  <c r="AB7" i="14"/>
  <c r="AA7" i="14"/>
  <c r="AG7" i="14" s="1"/>
  <c r="Z7" i="14"/>
  <c r="AF7" i="14" s="1"/>
  <c r="AB6" i="14"/>
  <c r="AA6" i="14"/>
  <c r="AG6" i="14" s="1"/>
  <c r="Z6" i="14"/>
  <c r="AF6" i="14" s="1"/>
  <c r="AD5" i="14"/>
  <c r="AB5" i="14"/>
  <c r="AA5" i="14"/>
  <c r="AG5" i="14" s="1"/>
  <c r="Z5" i="14"/>
  <c r="AF5" i="14" s="1"/>
  <c r="IG36" i="5"/>
  <c r="IG34" i="5"/>
  <c r="IG31" i="5"/>
  <c r="IG28" i="5"/>
  <c r="IG25" i="5"/>
  <c r="IG22" i="5"/>
  <c r="IG19" i="5"/>
  <c r="IG16" i="5"/>
  <c r="IG13" i="5"/>
  <c r="IG10" i="5"/>
  <c r="IG7" i="5"/>
  <c r="IF31" i="5"/>
  <c r="IF28" i="5"/>
  <c r="IF25" i="5"/>
  <c r="IF19" i="5"/>
  <c r="IF16" i="5"/>
  <c r="IF13" i="5"/>
  <c r="IF10" i="5"/>
  <c r="IF7" i="5"/>
  <c r="H67" i="12"/>
  <c r="I67" i="12"/>
  <c r="J67" i="12"/>
  <c r="I4" i="8"/>
  <c r="R60" i="14"/>
  <c r="N60" i="14"/>
  <c r="R59" i="14"/>
  <c r="N59" i="14"/>
  <c r="F59" i="14"/>
  <c r="E59" i="14"/>
  <c r="B59" i="14"/>
  <c r="A59" i="14"/>
  <c r="R58" i="14"/>
  <c r="N58" i="14"/>
  <c r="F58" i="14"/>
  <c r="E58" i="14"/>
  <c r="B58" i="14"/>
  <c r="A58" i="14"/>
  <c r="R57" i="14"/>
  <c r="N57" i="14"/>
  <c r="F57" i="14"/>
  <c r="E57" i="14"/>
  <c r="B57" i="14"/>
  <c r="A57" i="14"/>
  <c r="R56" i="14"/>
  <c r="N56" i="14"/>
  <c r="F56" i="14"/>
  <c r="E56" i="14"/>
  <c r="B56" i="14"/>
  <c r="A56" i="14"/>
  <c r="R55" i="14"/>
  <c r="N55" i="14"/>
  <c r="F55" i="14"/>
  <c r="E55" i="14"/>
  <c r="B55" i="14"/>
  <c r="A55" i="14"/>
  <c r="R54" i="14"/>
  <c r="N54" i="14"/>
  <c r="F54" i="14"/>
  <c r="E54" i="14"/>
  <c r="B54" i="14"/>
  <c r="A54" i="14"/>
  <c r="R53" i="14"/>
  <c r="N53" i="14"/>
  <c r="F53" i="14"/>
  <c r="E53" i="14"/>
  <c r="B53" i="14"/>
  <c r="A53" i="14"/>
  <c r="R52" i="14"/>
  <c r="N52" i="14"/>
  <c r="F52" i="14"/>
  <c r="E52" i="14"/>
  <c r="B52" i="14"/>
  <c r="A52" i="14"/>
  <c r="R51" i="14"/>
  <c r="N51" i="14"/>
  <c r="F51" i="14"/>
  <c r="E51" i="14"/>
  <c r="B51" i="14"/>
  <c r="A51" i="14"/>
  <c r="R50" i="14"/>
  <c r="N50" i="14"/>
  <c r="F50" i="14"/>
  <c r="E50" i="14"/>
  <c r="B50" i="14"/>
  <c r="A50" i="14"/>
  <c r="R49" i="14"/>
  <c r="N49" i="14"/>
  <c r="F49" i="14"/>
  <c r="E49" i="14"/>
  <c r="B49" i="14"/>
  <c r="A49" i="14"/>
  <c r="R48" i="14"/>
  <c r="N48" i="14"/>
  <c r="F48" i="14"/>
  <c r="E48" i="14"/>
  <c r="B48" i="14"/>
  <c r="A48" i="14"/>
  <c r="R47" i="14"/>
  <c r="N47" i="14"/>
  <c r="F47" i="14"/>
  <c r="E47" i="14"/>
  <c r="B47" i="14"/>
  <c r="A47" i="14"/>
  <c r="R46" i="14"/>
  <c r="N46" i="14"/>
  <c r="F46" i="14"/>
  <c r="E46" i="14"/>
  <c r="B46" i="14"/>
  <c r="A46" i="14"/>
  <c r="R45" i="14"/>
  <c r="N45" i="14"/>
  <c r="F45" i="14"/>
  <c r="E45" i="14"/>
  <c r="B45" i="14"/>
  <c r="A45" i="14"/>
  <c r="R44" i="14"/>
  <c r="N44" i="14"/>
  <c r="F44" i="14"/>
  <c r="E44" i="14"/>
  <c r="B44" i="14"/>
  <c r="A44" i="14"/>
  <c r="R43" i="14"/>
  <c r="N43" i="14"/>
  <c r="F43" i="14"/>
  <c r="E43" i="14"/>
  <c r="B43" i="14"/>
  <c r="A43" i="14"/>
  <c r="R42" i="14"/>
  <c r="N42" i="14"/>
  <c r="F42" i="14"/>
  <c r="E42" i="14"/>
  <c r="B42" i="14"/>
  <c r="A42" i="14"/>
  <c r="R41" i="14"/>
  <c r="N41" i="14"/>
  <c r="F41" i="14"/>
  <c r="E41" i="14"/>
  <c r="B41" i="14"/>
  <c r="A41" i="14"/>
  <c r="R40" i="14"/>
  <c r="N40" i="14"/>
  <c r="F40" i="14"/>
  <c r="E40" i="14"/>
  <c r="B40" i="14"/>
  <c r="A40" i="14"/>
  <c r="R39" i="14"/>
  <c r="N39" i="14"/>
  <c r="F39" i="14"/>
  <c r="E39" i="14"/>
  <c r="B39" i="14"/>
  <c r="A39" i="14"/>
  <c r="R38" i="14"/>
  <c r="N38" i="14"/>
  <c r="F38" i="14"/>
  <c r="E38" i="14"/>
  <c r="B38" i="14"/>
  <c r="A38" i="14"/>
  <c r="R37" i="14"/>
  <c r="N37" i="14"/>
  <c r="F37" i="14"/>
  <c r="E37" i="14"/>
  <c r="B37" i="14"/>
  <c r="A37" i="14"/>
  <c r="R36" i="14"/>
  <c r="N36" i="14"/>
  <c r="F36" i="14"/>
  <c r="E36" i="14"/>
  <c r="B36" i="14"/>
  <c r="A36" i="14"/>
  <c r="R35" i="14"/>
  <c r="N35" i="14"/>
  <c r="F35" i="14"/>
  <c r="E35" i="14"/>
  <c r="B35" i="14"/>
  <c r="A35" i="14"/>
  <c r="R34" i="14"/>
  <c r="N34" i="14"/>
  <c r="F34" i="14"/>
  <c r="E34" i="14"/>
  <c r="B34" i="14"/>
  <c r="A34" i="14"/>
  <c r="R33" i="14"/>
  <c r="N33" i="14"/>
  <c r="F33" i="14"/>
  <c r="E33" i="14"/>
  <c r="B33" i="14"/>
  <c r="A33" i="14"/>
  <c r="R32" i="14"/>
  <c r="N32" i="14"/>
  <c r="F32" i="14"/>
  <c r="E32" i="14"/>
  <c r="B32" i="14"/>
  <c r="A32" i="14"/>
  <c r="R31" i="14"/>
  <c r="N31" i="14"/>
  <c r="F31" i="14"/>
  <c r="E31" i="14"/>
  <c r="B31" i="14"/>
  <c r="A31" i="14"/>
  <c r="R30" i="14"/>
  <c r="N30" i="14"/>
  <c r="F30" i="14"/>
  <c r="E30" i="14"/>
  <c r="B30" i="14"/>
  <c r="A30" i="14"/>
  <c r="R29" i="14"/>
  <c r="N29" i="14"/>
  <c r="F29" i="14"/>
  <c r="E29" i="14"/>
  <c r="B29" i="14"/>
  <c r="A29" i="14"/>
  <c r="R28" i="14"/>
  <c r="N28" i="14"/>
  <c r="F28" i="14"/>
  <c r="E28" i="14"/>
  <c r="B28" i="14"/>
  <c r="A28" i="14"/>
  <c r="R27" i="14"/>
  <c r="N27" i="14"/>
  <c r="F27" i="14"/>
  <c r="E27" i="14"/>
  <c r="B27" i="14"/>
  <c r="A27" i="14"/>
  <c r="R26" i="14"/>
  <c r="N26" i="14"/>
  <c r="F26" i="14"/>
  <c r="E26" i="14"/>
  <c r="B26" i="14"/>
  <c r="A26" i="14"/>
  <c r="R25" i="14"/>
  <c r="N25" i="14"/>
  <c r="F25" i="14"/>
  <c r="E25" i="14"/>
  <c r="B25" i="14"/>
  <c r="A25" i="14"/>
  <c r="R24" i="14"/>
  <c r="N24" i="14"/>
  <c r="F24" i="14"/>
  <c r="E24" i="14"/>
  <c r="B24" i="14"/>
  <c r="A24" i="14"/>
  <c r="R23" i="14"/>
  <c r="N23" i="14"/>
  <c r="F23" i="14"/>
  <c r="E23" i="14"/>
  <c r="B23" i="14"/>
  <c r="A23" i="14"/>
  <c r="R22" i="14"/>
  <c r="N22" i="14"/>
  <c r="F22" i="14"/>
  <c r="E22" i="14"/>
  <c r="B22" i="14"/>
  <c r="A22" i="14"/>
  <c r="R21" i="14"/>
  <c r="N21" i="14"/>
  <c r="F21" i="14"/>
  <c r="E21" i="14"/>
  <c r="B21" i="14"/>
  <c r="A21" i="14"/>
  <c r="R20" i="14"/>
  <c r="N20" i="14"/>
  <c r="F20" i="14"/>
  <c r="E20" i="14"/>
  <c r="B20" i="14"/>
  <c r="A20" i="14"/>
  <c r="R19" i="14"/>
  <c r="N19" i="14"/>
  <c r="F19" i="14"/>
  <c r="E19" i="14"/>
  <c r="B19" i="14"/>
  <c r="A19" i="14"/>
  <c r="R18" i="14"/>
  <c r="N18" i="14"/>
  <c r="F18" i="14"/>
  <c r="E18" i="14"/>
  <c r="B18" i="14"/>
  <c r="A18" i="14"/>
  <c r="R17" i="14"/>
  <c r="N17" i="14"/>
  <c r="F17" i="14"/>
  <c r="E17" i="14"/>
  <c r="B17" i="14"/>
  <c r="A17" i="14"/>
  <c r="R16" i="14"/>
  <c r="N16" i="14"/>
  <c r="F16" i="14"/>
  <c r="E16" i="14"/>
  <c r="B16" i="14"/>
  <c r="A16" i="14"/>
  <c r="R15" i="14"/>
  <c r="N15" i="14"/>
  <c r="F15" i="14"/>
  <c r="E15" i="14"/>
  <c r="B15" i="14"/>
  <c r="A15" i="14"/>
  <c r="U14" i="14"/>
  <c r="R14" i="14"/>
  <c r="N14" i="14"/>
  <c r="F14" i="14"/>
  <c r="E14" i="14"/>
  <c r="B14" i="14"/>
  <c r="A14" i="14"/>
  <c r="U13" i="14"/>
  <c r="R13" i="14"/>
  <c r="N13" i="14"/>
  <c r="F13" i="14"/>
  <c r="E13" i="14"/>
  <c r="B13" i="14"/>
  <c r="A13" i="14"/>
  <c r="X12" i="14"/>
  <c r="U12" i="14"/>
  <c r="R12" i="14"/>
  <c r="N12" i="14"/>
  <c r="F12" i="14"/>
  <c r="E12" i="14"/>
  <c r="B12" i="14"/>
  <c r="A12" i="14"/>
  <c r="X11" i="14"/>
  <c r="U11" i="14"/>
  <c r="R11" i="14"/>
  <c r="N11" i="14"/>
  <c r="F11" i="14"/>
  <c r="E11" i="14"/>
  <c r="B11" i="14"/>
  <c r="A11" i="14"/>
  <c r="X10" i="14"/>
  <c r="U10" i="14"/>
  <c r="R10" i="14"/>
  <c r="N10" i="14"/>
  <c r="F10" i="14"/>
  <c r="E10" i="14"/>
  <c r="B10" i="14"/>
  <c r="A10" i="14"/>
  <c r="X9" i="14"/>
  <c r="U9" i="14"/>
  <c r="R9" i="14"/>
  <c r="N9" i="14"/>
  <c r="F9" i="14"/>
  <c r="E9" i="14"/>
  <c r="B9" i="14"/>
  <c r="A9" i="14"/>
  <c r="X8" i="14"/>
  <c r="U8" i="14"/>
  <c r="R8" i="14"/>
  <c r="N8" i="14"/>
  <c r="F8" i="14"/>
  <c r="E8" i="14"/>
  <c r="B8" i="14"/>
  <c r="A8" i="14"/>
  <c r="X7" i="14"/>
  <c r="U7" i="14"/>
  <c r="R7" i="14"/>
  <c r="N7" i="14"/>
  <c r="F7" i="14"/>
  <c r="E7" i="14"/>
  <c r="B7" i="14"/>
  <c r="A7" i="14"/>
  <c r="X6" i="14"/>
  <c r="U6" i="14"/>
  <c r="R6" i="14"/>
  <c r="N6" i="14"/>
  <c r="F6" i="14"/>
  <c r="E6" i="14"/>
  <c r="B6" i="14"/>
  <c r="A6" i="14"/>
  <c r="X5" i="14"/>
  <c r="U5" i="14"/>
  <c r="R5" i="14"/>
  <c r="N5" i="14"/>
  <c r="F5" i="14"/>
  <c r="E5" i="14"/>
  <c r="B5" i="14"/>
  <c r="A5" i="14"/>
  <c r="F4" i="14"/>
  <c r="E4" i="14"/>
  <c r="B4" i="14"/>
  <c r="A4" i="14"/>
  <c r="II38" i="5"/>
  <c r="IF38" i="5"/>
  <c r="GZ38" i="5"/>
  <c r="GX38" i="5"/>
  <c r="FQ38" i="5"/>
  <c r="FO38" i="5"/>
  <c r="EH37" i="5"/>
  <c r="EI34" i="5"/>
  <c r="DB34" i="5"/>
  <c r="BR34" i="5"/>
  <c r="EI31" i="5"/>
  <c r="DB31" i="5"/>
  <c r="BR31" i="5"/>
  <c r="EI28" i="5"/>
  <c r="DB28" i="5"/>
  <c r="BR28" i="5"/>
  <c r="EI25" i="5"/>
  <c r="DB25" i="5"/>
  <c r="BR25" i="5"/>
  <c r="EI22" i="5"/>
  <c r="DB22" i="5"/>
  <c r="BR22" i="5"/>
  <c r="EI19" i="5"/>
  <c r="DB19" i="5"/>
  <c r="BR19" i="5"/>
  <c r="EI16" i="5"/>
  <c r="DB16" i="5"/>
  <c r="BR16" i="5"/>
  <c r="EI13" i="5"/>
  <c r="DB13" i="5"/>
  <c r="BR13" i="5"/>
  <c r="EI10" i="5"/>
  <c r="DB10" i="5"/>
  <c r="BR10" i="5"/>
  <c r="EI7" i="5"/>
  <c r="EI37" i="5" s="1"/>
  <c r="EI39" i="5" s="1"/>
  <c r="DB7" i="5"/>
  <c r="BR7" i="5"/>
  <c r="J66" i="12"/>
  <c r="I66" i="12"/>
  <c r="H66" i="12"/>
  <c r="J65" i="12"/>
  <c r="I65" i="12"/>
  <c r="H65" i="12"/>
  <c r="J64" i="12"/>
  <c r="I64" i="12"/>
  <c r="H64" i="12"/>
  <c r="J63" i="12"/>
  <c r="I63" i="12"/>
  <c r="H63" i="12"/>
  <c r="J62" i="12"/>
  <c r="I62" i="12"/>
  <c r="H62" i="12"/>
  <c r="J61" i="12"/>
  <c r="I61" i="12"/>
  <c r="H61" i="12"/>
  <c r="J60" i="12"/>
  <c r="I60" i="12"/>
  <c r="H60" i="12"/>
  <c r="J59" i="12"/>
  <c r="I59" i="12"/>
  <c r="H59" i="12"/>
  <c r="J58" i="12"/>
  <c r="I58" i="12"/>
  <c r="H58" i="12"/>
  <c r="J57" i="12"/>
  <c r="I57" i="12"/>
  <c r="H57" i="12"/>
  <c r="J56" i="12"/>
  <c r="I56" i="12"/>
  <c r="H56" i="12"/>
  <c r="J55" i="12"/>
  <c r="I55" i="12"/>
  <c r="H55" i="12"/>
  <c r="J54" i="12"/>
  <c r="I54" i="12"/>
  <c r="H54" i="12"/>
  <c r="J53" i="12"/>
  <c r="I53" i="12"/>
  <c r="H53" i="12"/>
  <c r="J52" i="12"/>
  <c r="I52" i="12"/>
  <c r="H52" i="12"/>
  <c r="J51" i="12"/>
  <c r="I51" i="12"/>
  <c r="H51" i="12"/>
  <c r="J50" i="12"/>
  <c r="I50" i="12"/>
  <c r="H50" i="12"/>
  <c r="J49" i="12"/>
  <c r="I49" i="12"/>
  <c r="H49" i="12"/>
  <c r="J48" i="12"/>
  <c r="I48" i="12"/>
  <c r="H48" i="12"/>
  <c r="J47" i="12"/>
  <c r="I47" i="12"/>
  <c r="H47" i="12"/>
  <c r="J46" i="12"/>
  <c r="I46" i="12"/>
  <c r="H46" i="12"/>
  <c r="J45" i="12"/>
  <c r="I45" i="12"/>
  <c r="H45" i="12"/>
  <c r="J44" i="12"/>
  <c r="I44" i="12"/>
  <c r="H44" i="12"/>
  <c r="J43" i="12"/>
  <c r="I43" i="12"/>
  <c r="H43" i="12"/>
  <c r="J42" i="12"/>
  <c r="I42" i="12"/>
  <c r="H42" i="12"/>
  <c r="J41" i="12"/>
  <c r="I41" i="12"/>
  <c r="H41" i="12"/>
  <c r="J40" i="12"/>
  <c r="I40" i="12"/>
  <c r="H40" i="12"/>
  <c r="J39" i="12"/>
  <c r="I39" i="12"/>
  <c r="H39" i="12"/>
  <c r="J38" i="12"/>
  <c r="I38" i="12"/>
  <c r="H38" i="12"/>
  <c r="J37" i="12"/>
  <c r="I37" i="12"/>
  <c r="H37" i="12"/>
  <c r="J36" i="12"/>
  <c r="I36" i="12"/>
  <c r="H36" i="12"/>
  <c r="J35" i="12"/>
  <c r="I35" i="12"/>
  <c r="H35" i="12"/>
  <c r="J34" i="12"/>
  <c r="I34" i="12"/>
  <c r="H34" i="12"/>
  <c r="J33" i="12"/>
  <c r="I33" i="12"/>
  <c r="H33" i="12"/>
  <c r="J32" i="12"/>
  <c r="I32" i="12"/>
  <c r="H32" i="12"/>
  <c r="J31" i="12"/>
  <c r="I31" i="12"/>
  <c r="H31" i="12"/>
  <c r="J30" i="12"/>
  <c r="I30" i="12"/>
  <c r="H30" i="12"/>
  <c r="J29" i="12"/>
  <c r="I29" i="12"/>
  <c r="H29" i="12"/>
  <c r="J28" i="12"/>
  <c r="I28" i="12"/>
  <c r="H28" i="12"/>
  <c r="J27" i="12"/>
  <c r="I27" i="12"/>
  <c r="H27" i="12"/>
  <c r="J26" i="12"/>
  <c r="I26" i="12"/>
  <c r="H26" i="12"/>
  <c r="J25" i="12"/>
  <c r="I25" i="12"/>
  <c r="H25" i="12"/>
  <c r="J24" i="12"/>
  <c r="I24" i="12"/>
  <c r="H24" i="12"/>
  <c r="J23" i="12"/>
  <c r="I23" i="12"/>
  <c r="H23" i="12"/>
  <c r="J22" i="12"/>
  <c r="I22" i="12"/>
  <c r="H22" i="12"/>
  <c r="J21" i="12"/>
  <c r="I21" i="12"/>
  <c r="H21" i="12"/>
  <c r="J20" i="12"/>
  <c r="I20" i="12"/>
  <c r="H20" i="12"/>
  <c r="J19" i="12"/>
  <c r="I19" i="12"/>
  <c r="H19" i="12"/>
  <c r="J18" i="12"/>
  <c r="I18" i="12"/>
  <c r="H18" i="12"/>
  <c r="J17" i="12"/>
  <c r="I17" i="12"/>
  <c r="H17" i="12"/>
  <c r="J16" i="12"/>
  <c r="I16" i="12"/>
  <c r="H16" i="12"/>
  <c r="J15" i="12"/>
  <c r="I15" i="12"/>
  <c r="H15" i="12"/>
  <c r="J14" i="12"/>
  <c r="I14" i="12"/>
  <c r="H14" i="12"/>
  <c r="J13" i="12"/>
  <c r="I13" i="12"/>
  <c r="H13" i="12"/>
  <c r="J12" i="12"/>
  <c r="I12" i="12"/>
  <c r="H12" i="12"/>
  <c r="J11" i="12"/>
  <c r="I11" i="12"/>
  <c r="H11" i="12"/>
  <c r="J10" i="12"/>
  <c r="I10" i="12"/>
  <c r="H10" i="12"/>
  <c r="J9" i="12"/>
  <c r="I9" i="12"/>
  <c r="H9" i="12"/>
  <c r="J8" i="12"/>
  <c r="I8" i="12"/>
  <c r="H8" i="12"/>
  <c r="J7" i="12"/>
  <c r="I7" i="12"/>
  <c r="H7" i="12"/>
  <c r="J4" i="12"/>
  <c r="J3" i="12"/>
  <c r="G3" i="12"/>
  <c r="G2" i="12"/>
  <c r="J2" i="12" s="1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A5" i="11"/>
  <c r="D4" i="11"/>
  <c r="C4" i="11"/>
  <c r="A4" i="11"/>
  <c r="B4" i="11" s="1"/>
  <c r="L177" i="10"/>
  <c r="J177" i="10"/>
  <c r="C177" i="10"/>
  <c r="A177" i="10"/>
  <c r="L176" i="10"/>
  <c r="J176" i="10"/>
  <c r="C176" i="10"/>
  <c r="A176" i="10"/>
  <c r="L175" i="10"/>
  <c r="J175" i="10"/>
  <c r="C175" i="10"/>
  <c r="A175" i="10"/>
  <c r="L174" i="10"/>
  <c r="J174" i="10"/>
  <c r="C174" i="10"/>
  <c r="A174" i="10"/>
  <c r="L173" i="10"/>
  <c r="J173" i="10"/>
  <c r="C173" i="10"/>
  <c r="A173" i="10"/>
  <c r="L172" i="10"/>
  <c r="J172" i="10"/>
  <c r="C172" i="10"/>
  <c r="A172" i="10"/>
  <c r="L171" i="10"/>
  <c r="J171" i="10"/>
  <c r="C171" i="10"/>
  <c r="A171" i="10"/>
  <c r="L170" i="10"/>
  <c r="J170" i="10"/>
  <c r="C170" i="10"/>
  <c r="A170" i="10"/>
  <c r="L169" i="10"/>
  <c r="J169" i="10"/>
  <c r="C169" i="10"/>
  <c r="A169" i="10"/>
  <c r="L168" i="10"/>
  <c r="J168" i="10"/>
  <c r="C168" i="10"/>
  <c r="A168" i="10"/>
  <c r="L167" i="10"/>
  <c r="J167" i="10"/>
  <c r="C167" i="10"/>
  <c r="A167" i="10"/>
  <c r="L166" i="10"/>
  <c r="J166" i="10"/>
  <c r="C166" i="10"/>
  <c r="A166" i="10"/>
  <c r="L165" i="10"/>
  <c r="J165" i="10"/>
  <c r="C165" i="10"/>
  <c r="A165" i="10"/>
  <c r="L164" i="10"/>
  <c r="J164" i="10"/>
  <c r="C164" i="10"/>
  <c r="A164" i="10"/>
  <c r="L163" i="10"/>
  <c r="J163" i="10"/>
  <c r="C163" i="10"/>
  <c r="A163" i="10"/>
  <c r="L162" i="10"/>
  <c r="J162" i="10"/>
  <c r="C162" i="10"/>
  <c r="A162" i="10"/>
  <c r="L161" i="10"/>
  <c r="J161" i="10"/>
  <c r="C161" i="10"/>
  <c r="A161" i="10"/>
  <c r="L160" i="10"/>
  <c r="J160" i="10"/>
  <c r="C160" i="10"/>
  <c r="A160" i="10"/>
  <c r="L159" i="10"/>
  <c r="J159" i="10"/>
  <c r="C159" i="10"/>
  <c r="A159" i="10"/>
  <c r="L158" i="10"/>
  <c r="J158" i="10"/>
  <c r="C158" i="10"/>
  <c r="A158" i="10"/>
  <c r="L157" i="10"/>
  <c r="J157" i="10"/>
  <c r="C157" i="10"/>
  <c r="A157" i="10"/>
  <c r="L156" i="10"/>
  <c r="J156" i="10"/>
  <c r="C156" i="10"/>
  <c r="A156" i="10"/>
  <c r="L155" i="10"/>
  <c r="J155" i="10"/>
  <c r="C155" i="10"/>
  <c r="A155" i="10"/>
  <c r="L154" i="10"/>
  <c r="J154" i="10"/>
  <c r="C154" i="10"/>
  <c r="A154" i="10"/>
  <c r="L153" i="10"/>
  <c r="J153" i="10"/>
  <c r="C153" i="10"/>
  <c r="A153" i="10"/>
  <c r="L152" i="10"/>
  <c r="J152" i="10"/>
  <c r="C152" i="10"/>
  <c r="A152" i="10"/>
  <c r="L151" i="10"/>
  <c r="J151" i="10"/>
  <c r="C151" i="10"/>
  <c r="A151" i="10"/>
  <c r="L150" i="10"/>
  <c r="J150" i="10"/>
  <c r="C150" i="10"/>
  <c r="A150" i="10"/>
  <c r="L149" i="10"/>
  <c r="J149" i="10"/>
  <c r="C149" i="10"/>
  <c r="A149" i="10"/>
  <c r="L148" i="10"/>
  <c r="J148" i="10"/>
  <c r="C148" i="10"/>
  <c r="A148" i="10"/>
  <c r="L147" i="10"/>
  <c r="J147" i="10"/>
  <c r="C147" i="10"/>
  <c r="A147" i="10"/>
  <c r="L146" i="10"/>
  <c r="J146" i="10"/>
  <c r="C146" i="10"/>
  <c r="A146" i="10"/>
  <c r="L145" i="10"/>
  <c r="J145" i="10"/>
  <c r="C145" i="10"/>
  <c r="A145" i="10"/>
  <c r="L144" i="10"/>
  <c r="J144" i="10"/>
  <c r="C144" i="10"/>
  <c r="A144" i="10"/>
  <c r="L143" i="10"/>
  <c r="J143" i="10"/>
  <c r="C143" i="10"/>
  <c r="A143" i="10"/>
  <c r="L142" i="10"/>
  <c r="J142" i="10"/>
  <c r="C142" i="10"/>
  <c r="A142" i="10"/>
  <c r="L141" i="10"/>
  <c r="J141" i="10"/>
  <c r="C141" i="10"/>
  <c r="A141" i="10"/>
  <c r="L140" i="10"/>
  <c r="J140" i="10"/>
  <c r="C140" i="10"/>
  <c r="A140" i="10"/>
  <c r="L139" i="10"/>
  <c r="J139" i="10"/>
  <c r="C139" i="10"/>
  <c r="A139" i="10"/>
  <c r="L138" i="10"/>
  <c r="J138" i="10"/>
  <c r="C138" i="10"/>
  <c r="A138" i="10"/>
  <c r="L137" i="10"/>
  <c r="J137" i="10"/>
  <c r="C137" i="10"/>
  <c r="A137" i="10"/>
  <c r="L136" i="10"/>
  <c r="J136" i="10"/>
  <c r="C136" i="10"/>
  <c r="A136" i="10"/>
  <c r="L135" i="10"/>
  <c r="J135" i="10"/>
  <c r="C135" i="10"/>
  <c r="A135" i="10"/>
  <c r="L134" i="10"/>
  <c r="J134" i="10"/>
  <c r="C134" i="10"/>
  <c r="A134" i="10"/>
  <c r="L133" i="10"/>
  <c r="J133" i="10"/>
  <c r="C133" i="10"/>
  <c r="A133" i="10"/>
  <c r="L132" i="10"/>
  <c r="J132" i="10"/>
  <c r="C132" i="10"/>
  <c r="A132" i="10"/>
  <c r="L131" i="10"/>
  <c r="J131" i="10"/>
  <c r="C131" i="10"/>
  <c r="A131" i="10"/>
  <c r="L130" i="10"/>
  <c r="J130" i="10"/>
  <c r="C130" i="10"/>
  <c r="A130" i="10"/>
  <c r="L129" i="10"/>
  <c r="J129" i="10"/>
  <c r="C129" i="10"/>
  <c r="A129" i="10"/>
  <c r="L128" i="10"/>
  <c r="J128" i="10"/>
  <c r="C128" i="10"/>
  <c r="A128" i="10"/>
  <c r="L127" i="10"/>
  <c r="J127" i="10"/>
  <c r="C127" i="10"/>
  <c r="A127" i="10"/>
  <c r="L126" i="10"/>
  <c r="J126" i="10"/>
  <c r="C126" i="10"/>
  <c r="A126" i="10"/>
  <c r="L125" i="10"/>
  <c r="J125" i="10"/>
  <c r="C125" i="10"/>
  <c r="A125" i="10"/>
  <c r="L124" i="10"/>
  <c r="J124" i="10"/>
  <c r="C124" i="10"/>
  <c r="A124" i="10"/>
  <c r="L123" i="10"/>
  <c r="J123" i="10"/>
  <c r="C123" i="10"/>
  <c r="A123" i="10"/>
  <c r="L122" i="10"/>
  <c r="J122" i="10"/>
  <c r="C122" i="10"/>
  <c r="A122" i="10"/>
  <c r="L121" i="10"/>
  <c r="J121" i="10"/>
  <c r="C121" i="10"/>
  <c r="A121" i="10"/>
  <c r="L120" i="10"/>
  <c r="J120" i="10"/>
  <c r="C120" i="10"/>
  <c r="A120" i="10"/>
  <c r="L119" i="10"/>
  <c r="J119" i="10"/>
  <c r="C119" i="10"/>
  <c r="A119" i="10"/>
  <c r="L118" i="10"/>
  <c r="J118" i="10"/>
  <c r="C118" i="10"/>
  <c r="A118" i="10"/>
  <c r="L117" i="10"/>
  <c r="J117" i="10"/>
  <c r="C117" i="10"/>
  <c r="A117" i="10"/>
  <c r="L116" i="10"/>
  <c r="J116" i="10"/>
  <c r="C116" i="10"/>
  <c r="A116" i="10"/>
  <c r="L115" i="10"/>
  <c r="J115" i="10"/>
  <c r="C115" i="10"/>
  <c r="A115" i="10"/>
  <c r="L114" i="10"/>
  <c r="J114" i="10"/>
  <c r="C114" i="10"/>
  <c r="A114" i="10"/>
  <c r="L113" i="10"/>
  <c r="J113" i="10"/>
  <c r="C113" i="10"/>
  <c r="A113" i="10"/>
  <c r="L112" i="10"/>
  <c r="J112" i="10"/>
  <c r="C112" i="10"/>
  <c r="A112" i="10"/>
  <c r="L111" i="10"/>
  <c r="J111" i="10"/>
  <c r="C111" i="10"/>
  <c r="A111" i="10"/>
  <c r="L110" i="10"/>
  <c r="J110" i="10"/>
  <c r="C110" i="10"/>
  <c r="A110" i="10"/>
  <c r="L109" i="10"/>
  <c r="J109" i="10"/>
  <c r="C109" i="10"/>
  <c r="A109" i="10"/>
  <c r="L108" i="10"/>
  <c r="J108" i="10"/>
  <c r="C108" i="10"/>
  <c r="A108" i="10"/>
  <c r="L107" i="10"/>
  <c r="J107" i="10"/>
  <c r="C107" i="10"/>
  <c r="A107" i="10"/>
  <c r="L106" i="10"/>
  <c r="J106" i="10"/>
  <c r="C106" i="10"/>
  <c r="A106" i="10"/>
  <c r="L105" i="10"/>
  <c r="J105" i="10"/>
  <c r="C105" i="10"/>
  <c r="A105" i="10"/>
  <c r="L104" i="10"/>
  <c r="J104" i="10"/>
  <c r="C104" i="10"/>
  <c r="A104" i="10"/>
  <c r="L103" i="10"/>
  <c r="J103" i="10"/>
  <c r="C103" i="10"/>
  <c r="A103" i="10"/>
  <c r="L102" i="10"/>
  <c r="J102" i="10"/>
  <c r="C102" i="10"/>
  <c r="A102" i="10"/>
  <c r="L101" i="10"/>
  <c r="J101" i="10"/>
  <c r="C101" i="10"/>
  <c r="A101" i="10"/>
  <c r="L100" i="10"/>
  <c r="J100" i="10"/>
  <c r="C100" i="10"/>
  <c r="A100" i="10"/>
  <c r="L99" i="10"/>
  <c r="J99" i="10"/>
  <c r="C99" i="10"/>
  <c r="A99" i="10"/>
  <c r="L98" i="10"/>
  <c r="J98" i="10"/>
  <c r="C98" i="10"/>
  <c r="A98" i="10"/>
  <c r="L97" i="10"/>
  <c r="J97" i="10"/>
  <c r="C97" i="10"/>
  <c r="A97" i="10"/>
  <c r="L96" i="10"/>
  <c r="J96" i="10"/>
  <c r="C96" i="10"/>
  <c r="A96" i="10"/>
  <c r="L95" i="10"/>
  <c r="J95" i="10"/>
  <c r="C95" i="10"/>
  <c r="A95" i="10"/>
  <c r="L94" i="10"/>
  <c r="J94" i="10"/>
  <c r="C94" i="10"/>
  <c r="A94" i="10"/>
  <c r="L93" i="10"/>
  <c r="J93" i="10"/>
  <c r="C93" i="10"/>
  <c r="A93" i="10"/>
  <c r="L92" i="10"/>
  <c r="J92" i="10"/>
  <c r="C92" i="10"/>
  <c r="A92" i="10"/>
  <c r="L91" i="10"/>
  <c r="J91" i="10"/>
  <c r="C91" i="10"/>
  <c r="A91" i="10"/>
  <c r="L90" i="10"/>
  <c r="J90" i="10"/>
  <c r="C90" i="10"/>
  <c r="A90" i="10"/>
  <c r="L89" i="10"/>
  <c r="J89" i="10"/>
  <c r="C89" i="10"/>
  <c r="A89" i="10"/>
  <c r="L88" i="10"/>
  <c r="J88" i="10"/>
  <c r="C88" i="10"/>
  <c r="A88" i="10"/>
  <c r="L87" i="10"/>
  <c r="J87" i="10"/>
  <c r="C87" i="10"/>
  <c r="A87" i="10"/>
  <c r="L86" i="10"/>
  <c r="J86" i="10"/>
  <c r="C86" i="10"/>
  <c r="A86" i="10"/>
  <c r="L85" i="10"/>
  <c r="J85" i="10"/>
  <c r="C85" i="10"/>
  <c r="A85" i="10"/>
  <c r="L84" i="10"/>
  <c r="J84" i="10"/>
  <c r="C84" i="10"/>
  <c r="A84" i="10"/>
  <c r="L83" i="10"/>
  <c r="J83" i="10"/>
  <c r="C83" i="10"/>
  <c r="A83" i="10"/>
  <c r="L82" i="10"/>
  <c r="J82" i="10"/>
  <c r="C82" i="10"/>
  <c r="A82" i="10"/>
  <c r="L81" i="10"/>
  <c r="J81" i="10"/>
  <c r="C81" i="10"/>
  <c r="A81" i="10"/>
  <c r="L80" i="10"/>
  <c r="J80" i="10"/>
  <c r="C80" i="10"/>
  <c r="A80" i="10"/>
  <c r="L79" i="10"/>
  <c r="J79" i="10"/>
  <c r="C79" i="10"/>
  <c r="A79" i="10"/>
  <c r="L78" i="10"/>
  <c r="J78" i="10"/>
  <c r="C78" i="10"/>
  <c r="A78" i="10"/>
  <c r="L77" i="10"/>
  <c r="J77" i="10"/>
  <c r="C77" i="10"/>
  <c r="A77" i="10"/>
  <c r="L76" i="10"/>
  <c r="J76" i="10"/>
  <c r="C76" i="10"/>
  <c r="A76" i="10"/>
  <c r="L75" i="10"/>
  <c r="J75" i="10"/>
  <c r="C75" i="10"/>
  <c r="A75" i="10"/>
  <c r="L74" i="10"/>
  <c r="J74" i="10"/>
  <c r="C74" i="10"/>
  <c r="A74" i="10"/>
  <c r="L73" i="10"/>
  <c r="J73" i="10"/>
  <c r="C73" i="10"/>
  <c r="A73" i="10"/>
  <c r="L72" i="10"/>
  <c r="J72" i="10"/>
  <c r="C72" i="10"/>
  <c r="A72" i="10"/>
  <c r="L71" i="10"/>
  <c r="J71" i="10"/>
  <c r="C71" i="10"/>
  <c r="A71" i="10"/>
  <c r="L70" i="10"/>
  <c r="J70" i="10"/>
  <c r="C70" i="10"/>
  <c r="A70" i="10"/>
  <c r="L69" i="10"/>
  <c r="J69" i="10"/>
  <c r="C69" i="10"/>
  <c r="A69" i="10"/>
  <c r="L68" i="10"/>
  <c r="J68" i="10"/>
  <c r="C68" i="10"/>
  <c r="A68" i="10"/>
  <c r="L67" i="10"/>
  <c r="J67" i="10"/>
  <c r="C67" i="10"/>
  <c r="A67" i="10"/>
  <c r="L66" i="10"/>
  <c r="J66" i="10"/>
  <c r="C66" i="10"/>
  <c r="A66" i="10"/>
  <c r="L65" i="10"/>
  <c r="J65" i="10"/>
  <c r="C65" i="10"/>
  <c r="A65" i="10"/>
  <c r="L64" i="10"/>
  <c r="J64" i="10"/>
  <c r="C64" i="10"/>
  <c r="A64" i="10"/>
  <c r="L63" i="10"/>
  <c r="J63" i="10"/>
  <c r="C63" i="10"/>
  <c r="A63" i="10"/>
  <c r="L62" i="10"/>
  <c r="J62" i="10"/>
  <c r="C62" i="10"/>
  <c r="A62" i="10"/>
  <c r="L61" i="10"/>
  <c r="J61" i="10"/>
  <c r="C61" i="10"/>
  <c r="A61" i="10"/>
  <c r="L60" i="10"/>
  <c r="J60" i="10"/>
  <c r="C60" i="10"/>
  <c r="A60" i="10"/>
  <c r="L59" i="10"/>
  <c r="J59" i="10"/>
  <c r="C59" i="10"/>
  <c r="A59" i="10"/>
  <c r="L58" i="10"/>
  <c r="J58" i="10"/>
  <c r="C58" i="10"/>
  <c r="A58" i="10"/>
  <c r="L57" i="10"/>
  <c r="J57" i="10"/>
  <c r="C57" i="10"/>
  <c r="A57" i="10"/>
  <c r="L56" i="10"/>
  <c r="J56" i="10"/>
  <c r="C56" i="10"/>
  <c r="A56" i="10"/>
  <c r="L55" i="10"/>
  <c r="J55" i="10"/>
  <c r="C55" i="10"/>
  <c r="A55" i="10"/>
  <c r="L54" i="10"/>
  <c r="J54" i="10"/>
  <c r="C54" i="10"/>
  <c r="A54" i="10"/>
  <c r="L53" i="10"/>
  <c r="J53" i="10"/>
  <c r="C53" i="10"/>
  <c r="A53" i="10"/>
  <c r="L52" i="10"/>
  <c r="J52" i="10"/>
  <c r="C52" i="10"/>
  <c r="A52" i="10"/>
  <c r="L51" i="10"/>
  <c r="J51" i="10"/>
  <c r="C51" i="10"/>
  <c r="A51" i="10"/>
  <c r="L50" i="10"/>
  <c r="J50" i="10"/>
  <c r="C50" i="10"/>
  <c r="A50" i="10"/>
  <c r="L49" i="10"/>
  <c r="J49" i="10"/>
  <c r="C49" i="10"/>
  <c r="A49" i="10"/>
  <c r="L48" i="10"/>
  <c r="J48" i="10"/>
  <c r="C48" i="10"/>
  <c r="A48" i="10"/>
  <c r="L47" i="10"/>
  <c r="J47" i="10"/>
  <c r="C47" i="10"/>
  <c r="A47" i="10"/>
  <c r="L46" i="10"/>
  <c r="J46" i="10"/>
  <c r="C46" i="10"/>
  <c r="A46" i="10"/>
  <c r="L45" i="10"/>
  <c r="J45" i="10"/>
  <c r="C45" i="10"/>
  <c r="A45" i="10"/>
  <c r="L44" i="10"/>
  <c r="J44" i="10"/>
  <c r="C44" i="10"/>
  <c r="A44" i="10"/>
  <c r="L43" i="10"/>
  <c r="J43" i="10"/>
  <c r="C43" i="10"/>
  <c r="A43" i="10"/>
  <c r="L42" i="10"/>
  <c r="J42" i="10"/>
  <c r="C42" i="10"/>
  <c r="A42" i="10"/>
  <c r="L41" i="10"/>
  <c r="J41" i="10"/>
  <c r="C41" i="10"/>
  <c r="A41" i="10"/>
  <c r="L40" i="10"/>
  <c r="J40" i="10"/>
  <c r="C40" i="10"/>
  <c r="A40" i="10"/>
  <c r="L39" i="10"/>
  <c r="J39" i="10"/>
  <c r="C39" i="10"/>
  <c r="A39" i="10"/>
  <c r="L38" i="10"/>
  <c r="J38" i="10"/>
  <c r="C38" i="10"/>
  <c r="A38" i="10"/>
  <c r="L37" i="10"/>
  <c r="J37" i="10"/>
  <c r="C37" i="10"/>
  <c r="A37" i="10"/>
  <c r="L36" i="10"/>
  <c r="J36" i="10"/>
  <c r="C36" i="10"/>
  <c r="A36" i="10"/>
  <c r="L35" i="10"/>
  <c r="J35" i="10"/>
  <c r="C35" i="10"/>
  <c r="A35" i="10"/>
  <c r="L34" i="10"/>
  <c r="J34" i="10"/>
  <c r="C34" i="10"/>
  <c r="A34" i="10"/>
  <c r="L33" i="10"/>
  <c r="J33" i="10"/>
  <c r="C33" i="10"/>
  <c r="A33" i="10"/>
  <c r="L32" i="10"/>
  <c r="J32" i="10"/>
  <c r="C32" i="10"/>
  <c r="A32" i="10"/>
  <c r="L31" i="10"/>
  <c r="J31" i="10"/>
  <c r="C31" i="10"/>
  <c r="A31" i="10"/>
  <c r="L30" i="10"/>
  <c r="J30" i="10"/>
  <c r="C30" i="10"/>
  <c r="A30" i="10"/>
  <c r="L29" i="10"/>
  <c r="J29" i="10"/>
  <c r="C29" i="10"/>
  <c r="A29" i="10"/>
  <c r="L28" i="10"/>
  <c r="J28" i="10"/>
  <c r="C28" i="10"/>
  <c r="A28" i="10"/>
  <c r="L27" i="10"/>
  <c r="J27" i="10"/>
  <c r="C27" i="10"/>
  <c r="A27" i="10"/>
  <c r="L26" i="10"/>
  <c r="J26" i="10"/>
  <c r="C26" i="10"/>
  <c r="A26" i="10"/>
  <c r="L25" i="10"/>
  <c r="J25" i="10"/>
  <c r="C25" i="10"/>
  <c r="A25" i="10"/>
  <c r="L24" i="10"/>
  <c r="J24" i="10"/>
  <c r="C24" i="10"/>
  <c r="A24" i="10"/>
  <c r="L23" i="10"/>
  <c r="J23" i="10"/>
  <c r="C23" i="10"/>
  <c r="A23" i="10"/>
  <c r="L22" i="10"/>
  <c r="J22" i="10"/>
  <c r="C22" i="10"/>
  <c r="A22" i="10"/>
  <c r="L21" i="10"/>
  <c r="J21" i="10"/>
  <c r="C21" i="10"/>
  <c r="A21" i="10"/>
  <c r="L20" i="10"/>
  <c r="J20" i="10"/>
  <c r="C20" i="10"/>
  <c r="A20" i="10"/>
  <c r="L19" i="10"/>
  <c r="J19" i="10"/>
  <c r="C19" i="10"/>
  <c r="A19" i="10"/>
  <c r="L18" i="10"/>
  <c r="J18" i="10"/>
  <c r="C18" i="10"/>
  <c r="A18" i="10"/>
  <c r="L17" i="10"/>
  <c r="J17" i="10"/>
  <c r="C17" i="10"/>
  <c r="A17" i="10"/>
  <c r="L16" i="10"/>
  <c r="J16" i="10"/>
  <c r="C16" i="10"/>
  <c r="A16" i="10"/>
  <c r="L15" i="10"/>
  <c r="J15" i="10"/>
  <c r="C15" i="10"/>
  <c r="A15" i="10"/>
  <c r="L14" i="10"/>
  <c r="J14" i="10"/>
  <c r="C14" i="10"/>
  <c r="A14" i="10"/>
  <c r="L13" i="10"/>
  <c r="J13" i="10"/>
  <c r="C13" i="10"/>
  <c r="A13" i="10"/>
  <c r="L12" i="10"/>
  <c r="J12" i="10"/>
  <c r="C12" i="10"/>
  <c r="A12" i="10"/>
  <c r="L11" i="10"/>
  <c r="J11" i="10"/>
  <c r="C11" i="10"/>
  <c r="A11" i="10"/>
  <c r="L10" i="10"/>
  <c r="J10" i="10"/>
  <c r="C10" i="10"/>
  <c r="A10" i="10"/>
  <c r="L9" i="10"/>
  <c r="J9" i="10"/>
  <c r="C9" i="10"/>
  <c r="A9" i="10"/>
  <c r="L8" i="10"/>
  <c r="J8" i="10"/>
  <c r="C8" i="10"/>
  <c r="A8" i="10"/>
  <c r="L7" i="10"/>
  <c r="J7" i="10"/>
  <c r="C7" i="10"/>
  <c r="A7" i="10"/>
  <c r="H4" i="10"/>
  <c r="B4" i="10"/>
  <c r="H3" i="10"/>
  <c r="E3" i="10"/>
  <c r="B3" i="10"/>
  <c r="H2" i="10"/>
  <c r="E2" i="10"/>
  <c r="B2" i="10"/>
  <c r="W1121" i="9"/>
  <c r="P1121" i="9"/>
  <c r="N1121" i="9"/>
  <c r="M1121" i="9"/>
  <c r="C1121" i="9"/>
  <c r="W1120" i="9"/>
  <c r="P1120" i="9"/>
  <c r="N1120" i="9"/>
  <c r="M1120" i="9"/>
  <c r="C1120" i="9"/>
  <c r="A1120" i="9"/>
  <c r="W1119" i="9"/>
  <c r="P1119" i="9"/>
  <c r="N1119" i="9"/>
  <c r="M1119" i="9"/>
  <c r="C1119" i="9"/>
  <c r="A1119" i="9"/>
  <c r="W1118" i="9"/>
  <c r="P1118" i="9"/>
  <c r="N1118" i="9"/>
  <c r="M1118" i="9"/>
  <c r="C1118" i="9"/>
  <c r="A1118" i="9"/>
  <c r="W1117" i="9"/>
  <c r="P1117" i="9"/>
  <c r="N1117" i="9"/>
  <c r="M1117" i="9"/>
  <c r="C1117" i="9"/>
  <c r="A1117" i="9"/>
  <c r="W1116" i="9"/>
  <c r="P1116" i="9"/>
  <c r="N1116" i="9"/>
  <c r="M1116" i="9"/>
  <c r="C1116" i="9"/>
  <c r="A1116" i="9"/>
  <c r="W1115" i="9"/>
  <c r="P1115" i="9"/>
  <c r="N1115" i="9"/>
  <c r="M1115" i="9"/>
  <c r="C1115" i="9"/>
  <c r="A1115" i="9"/>
  <c r="W1114" i="9"/>
  <c r="P1114" i="9"/>
  <c r="N1114" i="9"/>
  <c r="M1114" i="9"/>
  <c r="C1114" i="9"/>
  <c r="A1114" i="9"/>
  <c r="W1113" i="9"/>
  <c r="P1113" i="9"/>
  <c r="N1113" i="9"/>
  <c r="M1113" i="9"/>
  <c r="C1113" i="9"/>
  <c r="A1113" i="9"/>
  <c r="W1112" i="9"/>
  <c r="P1112" i="9"/>
  <c r="N1112" i="9"/>
  <c r="M1112" i="9"/>
  <c r="C1112" i="9"/>
  <c r="A1112" i="9"/>
  <c r="W1111" i="9"/>
  <c r="P1111" i="9"/>
  <c r="N1111" i="9"/>
  <c r="M1111" i="9"/>
  <c r="C1111" i="9"/>
  <c r="A1111" i="9"/>
  <c r="W1110" i="9"/>
  <c r="P1110" i="9"/>
  <c r="N1110" i="9"/>
  <c r="M1110" i="9"/>
  <c r="C1110" i="9"/>
  <c r="A1110" i="9"/>
  <c r="W1109" i="9"/>
  <c r="P1109" i="9"/>
  <c r="N1109" i="9"/>
  <c r="M1109" i="9"/>
  <c r="C1109" i="9"/>
  <c r="A1109" i="9"/>
  <c r="W1108" i="9"/>
  <c r="P1108" i="9"/>
  <c r="N1108" i="9"/>
  <c r="M1108" i="9"/>
  <c r="C1108" i="9"/>
  <c r="A1108" i="9"/>
  <c r="W1107" i="9"/>
  <c r="P1107" i="9"/>
  <c r="N1107" i="9"/>
  <c r="M1107" i="9"/>
  <c r="C1107" i="9"/>
  <c r="A1107" i="9"/>
  <c r="W1106" i="9"/>
  <c r="P1106" i="9"/>
  <c r="N1106" i="9"/>
  <c r="M1106" i="9"/>
  <c r="C1106" i="9"/>
  <c r="A1106" i="9"/>
  <c r="W1105" i="9"/>
  <c r="P1105" i="9"/>
  <c r="N1105" i="9"/>
  <c r="M1105" i="9"/>
  <c r="C1105" i="9"/>
  <c r="A1105" i="9"/>
  <c r="W1104" i="9"/>
  <c r="P1104" i="9"/>
  <c r="N1104" i="9"/>
  <c r="M1104" i="9"/>
  <c r="C1104" i="9"/>
  <c r="A1104" i="9"/>
  <c r="W1103" i="9"/>
  <c r="P1103" i="9"/>
  <c r="N1103" i="9"/>
  <c r="M1103" i="9"/>
  <c r="C1103" i="9"/>
  <c r="A1103" i="9"/>
  <c r="W1102" i="9"/>
  <c r="P1102" i="9"/>
  <c r="N1102" i="9"/>
  <c r="M1102" i="9"/>
  <c r="C1102" i="9"/>
  <c r="A1102" i="9"/>
  <c r="W1101" i="9"/>
  <c r="P1101" i="9"/>
  <c r="N1101" i="9"/>
  <c r="M1101" i="9"/>
  <c r="C1101" i="9"/>
  <c r="A1101" i="9"/>
  <c r="W1100" i="9"/>
  <c r="P1100" i="9"/>
  <c r="N1100" i="9"/>
  <c r="M1100" i="9"/>
  <c r="C1100" i="9"/>
  <c r="A1100" i="9"/>
  <c r="W1099" i="9"/>
  <c r="P1099" i="9"/>
  <c r="N1099" i="9"/>
  <c r="M1099" i="9"/>
  <c r="C1099" i="9"/>
  <c r="A1099" i="9"/>
  <c r="W1098" i="9"/>
  <c r="P1098" i="9"/>
  <c r="N1098" i="9"/>
  <c r="M1098" i="9"/>
  <c r="C1098" i="9"/>
  <c r="A1098" i="9"/>
  <c r="W1097" i="9"/>
  <c r="P1097" i="9"/>
  <c r="N1097" i="9"/>
  <c r="M1097" i="9"/>
  <c r="C1097" i="9"/>
  <c r="A1097" i="9"/>
  <c r="W1096" i="9"/>
  <c r="P1096" i="9"/>
  <c r="N1096" i="9"/>
  <c r="M1096" i="9"/>
  <c r="C1096" i="9"/>
  <c r="A1096" i="9"/>
  <c r="W1095" i="9"/>
  <c r="P1095" i="9"/>
  <c r="N1095" i="9"/>
  <c r="M1095" i="9"/>
  <c r="C1095" i="9"/>
  <c r="A1095" i="9"/>
  <c r="W1094" i="9"/>
  <c r="P1094" i="9"/>
  <c r="N1094" i="9"/>
  <c r="M1094" i="9"/>
  <c r="C1094" i="9"/>
  <c r="A1094" i="9"/>
  <c r="W1093" i="9"/>
  <c r="P1093" i="9"/>
  <c r="N1093" i="9"/>
  <c r="M1093" i="9"/>
  <c r="C1093" i="9"/>
  <c r="A1093" i="9"/>
  <c r="W1092" i="9"/>
  <c r="P1092" i="9"/>
  <c r="N1092" i="9"/>
  <c r="M1092" i="9"/>
  <c r="C1092" i="9"/>
  <c r="A1092" i="9"/>
  <c r="W1091" i="9"/>
  <c r="P1091" i="9"/>
  <c r="N1091" i="9"/>
  <c r="M1091" i="9"/>
  <c r="C1091" i="9"/>
  <c r="A1091" i="9"/>
  <c r="W1090" i="9"/>
  <c r="P1090" i="9"/>
  <c r="N1090" i="9"/>
  <c r="M1090" i="9"/>
  <c r="C1090" i="9"/>
  <c r="A1090" i="9"/>
  <c r="W1089" i="9"/>
  <c r="P1089" i="9"/>
  <c r="N1089" i="9"/>
  <c r="M1089" i="9"/>
  <c r="C1089" i="9"/>
  <c r="A1089" i="9"/>
  <c r="W1088" i="9"/>
  <c r="P1088" i="9"/>
  <c r="N1088" i="9"/>
  <c r="M1088" i="9"/>
  <c r="C1088" i="9"/>
  <c r="A1088" i="9"/>
  <c r="W1087" i="9"/>
  <c r="P1087" i="9"/>
  <c r="N1087" i="9"/>
  <c r="M1087" i="9"/>
  <c r="C1087" i="9"/>
  <c r="A1087" i="9"/>
  <c r="W1086" i="9"/>
  <c r="P1086" i="9"/>
  <c r="N1086" i="9"/>
  <c r="M1086" i="9"/>
  <c r="C1086" i="9"/>
  <c r="A1086" i="9"/>
  <c r="W1085" i="9"/>
  <c r="P1085" i="9"/>
  <c r="N1085" i="9"/>
  <c r="M1085" i="9"/>
  <c r="C1085" i="9"/>
  <c r="A1085" i="9"/>
  <c r="W1084" i="9"/>
  <c r="P1084" i="9"/>
  <c r="N1084" i="9"/>
  <c r="M1084" i="9"/>
  <c r="C1084" i="9"/>
  <c r="A1084" i="9"/>
  <c r="W1083" i="9"/>
  <c r="P1083" i="9"/>
  <c r="N1083" i="9"/>
  <c r="M1083" i="9"/>
  <c r="C1083" i="9"/>
  <c r="A1083" i="9"/>
  <c r="W1082" i="9"/>
  <c r="P1082" i="9"/>
  <c r="N1082" i="9"/>
  <c r="M1082" i="9"/>
  <c r="C1082" i="9"/>
  <c r="A1082" i="9"/>
  <c r="W1081" i="9"/>
  <c r="P1081" i="9"/>
  <c r="N1081" i="9"/>
  <c r="M1081" i="9"/>
  <c r="C1081" i="9"/>
  <c r="A1081" i="9"/>
  <c r="W1080" i="9"/>
  <c r="P1080" i="9"/>
  <c r="N1080" i="9"/>
  <c r="M1080" i="9"/>
  <c r="C1080" i="9"/>
  <c r="A1080" i="9"/>
  <c r="W1079" i="9"/>
  <c r="P1079" i="9"/>
  <c r="N1079" i="9"/>
  <c r="M1079" i="9"/>
  <c r="C1079" i="9"/>
  <c r="A1079" i="9"/>
  <c r="W1078" i="9"/>
  <c r="P1078" i="9"/>
  <c r="N1078" i="9"/>
  <c r="M1078" i="9"/>
  <c r="C1078" i="9"/>
  <c r="A1078" i="9"/>
  <c r="W1077" i="9"/>
  <c r="P1077" i="9"/>
  <c r="N1077" i="9"/>
  <c r="M1077" i="9"/>
  <c r="C1077" i="9"/>
  <c r="A1077" i="9"/>
  <c r="W1076" i="9"/>
  <c r="P1076" i="9"/>
  <c r="N1076" i="9"/>
  <c r="M1076" i="9"/>
  <c r="C1076" i="9"/>
  <c r="A1076" i="9"/>
  <c r="W1075" i="9"/>
  <c r="P1075" i="9"/>
  <c r="N1075" i="9"/>
  <c r="M1075" i="9"/>
  <c r="C1075" i="9"/>
  <c r="A1075" i="9"/>
  <c r="W1074" i="9"/>
  <c r="P1074" i="9"/>
  <c r="N1074" i="9"/>
  <c r="M1074" i="9"/>
  <c r="C1074" i="9"/>
  <c r="A1074" i="9"/>
  <c r="W1073" i="9"/>
  <c r="P1073" i="9"/>
  <c r="N1073" i="9"/>
  <c r="M1073" i="9"/>
  <c r="C1073" i="9"/>
  <c r="A1073" i="9"/>
  <c r="W1072" i="9"/>
  <c r="P1072" i="9"/>
  <c r="N1072" i="9"/>
  <c r="M1072" i="9"/>
  <c r="C1072" i="9"/>
  <c r="A1072" i="9"/>
  <c r="W1071" i="9"/>
  <c r="P1071" i="9"/>
  <c r="N1071" i="9"/>
  <c r="M1071" i="9"/>
  <c r="C1071" i="9"/>
  <c r="A1071" i="9"/>
  <c r="W1070" i="9"/>
  <c r="P1070" i="9"/>
  <c r="N1070" i="9"/>
  <c r="M1070" i="9"/>
  <c r="C1070" i="9"/>
  <c r="A1070" i="9"/>
  <c r="W1069" i="9"/>
  <c r="P1069" i="9"/>
  <c r="N1069" i="9"/>
  <c r="M1069" i="9"/>
  <c r="C1069" i="9"/>
  <c r="A1069" i="9"/>
  <c r="W1068" i="9"/>
  <c r="P1068" i="9"/>
  <c r="N1068" i="9"/>
  <c r="M1068" i="9"/>
  <c r="C1068" i="9"/>
  <c r="A1068" i="9"/>
  <c r="W1067" i="9"/>
  <c r="P1067" i="9"/>
  <c r="N1067" i="9"/>
  <c r="M1067" i="9"/>
  <c r="C1067" i="9"/>
  <c r="A1067" i="9"/>
  <c r="W1066" i="9"/>
  <c r="P1066" i="9"/>
  <c r="N1066" i="9"/>
  <c r="M1066" i="9"/>
  <c r="C1066" i="9"/>
  <c r="A1066" i="9"/>
  <c r="W1065" i="9"/>
  <c r="P1065" i="9"/>
  <c r="N1065" i="9"/>
  <c r="M1065" i="9"/>
  <c r="C1065" i="9"/>
  <c r="A1065" i="9"/>
  <c r="W1064" i="9"/>
  <c r="P1064" i="9"/>
  <c r="N1064" i="9"/>
  <c r="M1064" i="9"/>
  <c r="C1064" i="9"/>
  <c r="A1064" i="9"/>
  <c r="W1063" i="9"/>
  <c r="P1063" i="9"/>
  <c r="N1063" i="9"/>
  <c r="M1063" i="9"/>
  <c r="C1063" i="9"/>
  <c r="A1063" i="9"/>
  <c r="W1062" i="9"/>
  <c r="P1062" i="9"/>
  <c r="N1062" i="9"/>
  <c r="M1062" i="9"/>
  <c r="C1062" i="9"/>
  <c r="A1062" i="9"/>
  <c r="W1061" i="9"/>
  <c r="P1061" i="9"/>
  <c r="N1061" i="9"/>
  <c r="M1061" i="9"/>
  <c r="C1061" i="9"/>
  <c r="A1061" i="9"/>
  <c r="W1060" i="9"/>
  <c r="P1060" i="9"/>
  <c r="N1060" i="9"/>
  <c r="M1060" i="9"/>
  <c r="C1060" i="9"/>
  <c r="A1060" i="9"/>
  <c r="W1059" i="9"/>
  <c r="P1059" i="9"/>
  <c r="N1059" i="9"/>
  <c r="M1059" i="9"/>
  <c r="C1059" i="9"/>
  <c r="A1059" i="9"/>
  <c r="W1058" i="9"/>
  <c r="P1058" i="9"/>
  <c r="N1058" i="9"/>
  <c r="M1058" i="9"/>
  <c r="C1058" i="9"/>
  <c r="A1058" i="9"/>
  <c r="W1057" i="9"/>
  <c r="P1057" i="9"/>
  <c r="N1057" i="9"/>
  <c r="M1057" i="9"/>
  <c r="C1057" i="9"/>
  <c r="A1057" i="9"/>
  <c r="W1056" i="9"/>
  <c r="P1056" i="9"/>
  <c r="N1056" i="9"/>
  <c r="M1056" i="9"/>
  <c r="C1056" i="9"/>
  <c r="A1056" i="9"/>
  <c r="W1055" i="9"/>
  <c r="P1055" i="9"/>
  <c r="N1055" i="9"/>
  <c r="M1055" i="9"/>
  <c r="C1055" i="9"/>
  <c r="A1055" i="9"/>
  <c r="W1054" i="9"/>
  <c r="P1054" i="9"/>
  <c r="N1054" i="9"/>
  <c r="M1054" i="9"/>
  <c r="C1054" i="9"/>
  <c r="A1054" i="9"/>
  <c r="W1053" i="9"/>
  <c r="P1053" i="9"/>
  <c r="N1053" i="9"/>
  <c r="M1053" i="9"/>
  <c r="C1053" i="9"/>
  <c r="A1053" i="9"/>
  <c r="W1052" i="9"/>
  <c r="P1052" i="9"/>
  <c r="N1052" i="9"/>
  <c r="M1052" i="9"/>
  <c r="C1052" i="9"/>
  <c r="A1052" i="9"/>
  <c r="W1051" i="9"/>
  <c r="P1051" i="9"/>
  <c r="N1051" i="9"/>
  <c r="M1051" i="9"/>
  <c r="C1051" i="9"/>
  <c r="A1051" i="9"/>
  <c r="W1050" i="9"/>
  <c r="P1050" i="9"/>
  <c r="N1050" i="9"/>
  <c r="M1050" i="9"/>
  <c r="C1050" i="9"/>
  <c r="A1050" i="9"/>
  <c r="W1049" i="9"/>
  <c r="P1049" i="9"/>
  <c r="N1049" i="9"/>
  <c r="M1049" i="9"/>
  <c r="C1049" i="9"/>
  <c r="A1049" i="9"/>
  <c r="W1048" i="9"/>
  <c r="P1048" i="9"/>
  <c r="N1048" i="9"/>
  <c r="M1048" i="9"/>
  <c r="C1048" i="9"/>
  <c r="A1048" i="9"/>
  <c r="W1047" i="9"/>
  <c r="P1047" i="9"/>
  <c r="N1047" i="9"/>
  <c r="M1047" i="9"/>
  <c r="C1047" i="9"/>
  <c r="A1047" i="9"/>
  <c r="W1046" i="9"/>
  <c r="P1046" i="9"/>
  <c r="N1046" i="9"/>
  <c r="M1046" i="9"/>
  <c r="C1046" i="9"/>
  <c r="A1046" i="9"/>
  <c r="W1045" i="9"/>
  <c r="P1045" i="9"/>
  <c r="N1045" i="9"/>
  <c r="M1045" i="9"/>
  <c r="C1045" i="9"/>
  <c r="A1045" i="9"/>
  <c r="W1044" i="9"/>
  <c r="P1044" i="9"/>
  <c r="N1044" i="9"/>
  <c r="M1044" i="9"/>
  <c r="C1044" i="9"/>
  <c r="A1044" i="9"/>
  <c r="W1043" i="9"/>
  <c r="P1043" i="9"/>
  <c r="N1043" i="9"/>
  <c r="M1043" i="9"/>
  <c r="C1043" i="9"/>
  <c r="A1043" i="9"/>
  <c r="W1042" i="9"/>
  <c r="P1042" i="9"/>
  <c r="N1042" i="9"/>
  <c r="M1042" i="9"/>
  <c r="C1042" i="9"/>
  <c r="A1042" i="9"/>
  <c r="W1041" i="9"/>
  <c r="P1041" i="9"/>
  <c r="N1041" i="9"/>
  <c r="M1041" i="9"/>
  <c r="C1041" i="9"/>
  <c r="A1041" i="9"/>
  <c r="W1040" i="9"/>
  <c r="P1040" i="9"/>
  <c r="N1040" i="9"/>
  <c r="M1040" i="9"/>
  <c r="C1040" i="9"/>
  <c r="A1040" i="9"/>
  <c r="W1039" i="9"/>
  <c r="P1039" i="9"/>
  <c r="N1039" i="9"/>
  <c r="M1039" i="9"/>
  <c r="C1039" i="9"/>
  <c r="A1039" i="9"/>
  <c r="W1038" i="9"/>
  <c r="P1038" i="9"/>
  <c r="N1038" i="9"/>
  <c r="M1038" i="9"/>
  <c r="C1038" i="9"/>
  <c r="A1038" i="9"/>
  <c r="W1037" i="9"/>
  <c r="P1037" i="9"/>
  <c r="N1037" i="9"/>
  <c r="M1037" i="9"/>
  <c r="C1037" i="9"/>
  <c r="A1037" i="9"/>
  <c r="W1036" i="9"/>
  <c r="P1036" i="9"/>
  <c r="N1036" i="9"/>
  <c r="M1036" i="9"/>
  <c r="C1036" i="9"/>
  <c r="A1036" i="9"/>
  <c r="W1035" i="9"/>
  <c r="P1035" i="9"/>
  <c r="N1035" i="9"/>
  <c r="M1035" i="9"/>
  <c r="C1035" i="9"/>
  <c r="A1035" i="9"/>
  <c r="W1034" i="9"/>
  <c r="P1034" i="9"/>
  <c r="N1034" i="9"/>
  <c r="M1034" i="9"/>
  <c r="C1034" i="9"/>
  <c r="A1034" i="9"/>
  <c r="W1033" i="9"/>
  <c r="P1033" i="9"/>
  <c r="N1033" i="9"/>
  <c r="M1033" i="9"/>
  <c r="C1033" i="9"/>
  <c r="A1033" i="9"/>
  <c r="W1032" i="9"/>
  <c r="P1032" i="9"/>
  <c r="N1032" i="9"/>
  <c r="M1032" i="9"/>
  <c r="C1032" i="9"/>
  <c r="A1032" i="9"/>
  <c r="W1031" i="9"/>
  <c r="P1031" i="9"/>
  <c r="N1031" i="9"/>
  <c r="M1031" i="9"/>
  <c r="C1031" i="9"/>
  <c r="A1031" i="9"/>
  <c r="W1030" i="9"/>
  <c r="P1030" i="9"/>
  <c r="N1030" i="9"/>
  <c r="M1030" i="9"/>
  <c r="C1030" i="9"/>
  <c r="A1030" i="9"/>
  <c r="W1029" i="9"/>
  <c r="P1029" i="9"/>
  <c r="N1029" i="9"/>
  <c r="M1029" i="9"/>
  <c r="C1029" i="9"/>
  <c r="A1029" i="9"/>
  <c r="W1028" i="9"/>
  <c r="P1028" i="9"/>
  <c r="N1028" i="9"/>
  <c r="M1028" i="9"/>
  <c r="C1028" i="9"/>
  <c r="A1028" i="9"/>
  <c r="W1027" i="9"/>
  <c r="P1027" i="9"/>
  <c r="N1027" i="9"/>
  <c r="M1027" i="9"/>
  <c r="C1027" i="9"/>
  <c r="A1027" i="9"/>
  <c r="W1026" i="9"/>
  <c r="P1026" i="9"/>
  <c r="N1026" i="9"/>
  <c r="M1026" i="9"/>
  <c r="C1026" i="9"/>
  <c r="A1026" i="9"/>
  <c r="W1025" i="9"/>
  <c r="P1025" i="9"/>
  <c r="N1025" i="9"/>
  <c r="M1025" i="9"/>
  <c r="C1025" i="9"/>
  <c r="A1025" i="9"/>
  <c r="W1024" i="9"/>
  <c r="P1024" i="9"/>
  <c r="N1024" i="9"/>
  <c r="M1024" i="9"/>
  <c r="C1024" i="9"/>
  <c r="A1024" i="9"/>
  <c r="W1023" i="9"/>
  <c r="P1023" i="9"/>
  <c r="N1023" i="9"/>
  <c r="M1023" i="9"/>
  <c r="C1023" i="9"/>
  <c r="A1023" i="9"/>
  <c r="W1022" i="9"/>
  <c r="P1022" i="9"/>
  <c r="N1022" i="9"/>
  <c r="M1022" i="9"/>
  <c r="C1022" i="9"/>
  <c r="A1022" i="9"/>
  <c r="W1021" i="9"/>
  <c r="P1021" i="9"/>
  <c r="N1021" i="9"/>
  <c r="M1021" i="9"/>
  <c r="C1021" i="9"/>
  <c r="A1021" i="9"/>
  <c r="W1020" i="9"/>
  <c r="P1020" i="9"/>
  <c r="N1020" i="9"/>
  <c r="M1020" i="9"/>
  <c r="C1020" i="9"/>
  <c r="A1020" i="9"/>
  <c r="W1019" i="9"/>
  <c r="P1019" i="9"/>
  <c r="N1019" i="9"/>
  <c r="M1019" i="9"/>
  <c r="C1019" i="9"/>
  <c r="A1019" i="9"/>
  <c r="W1018" i="9"/>
  <c r="P1018" i="9"/>
  <c r="N1018" i="9"/>
  <c r="M1018" i="9"/>
  <c r="C1018" i="9"/>
  <c r="A1018" i="9"/>
  <c r="W1017" i="9"/>
  <c r="P1017" i="9"/>
  <c r="N1017" i="9"/>
  <c r="M1017" i="9"/>
  <c r="C1017" i="9"/>
  <c r="A1017" i="9"/>
  <c r="W1016" i="9"/>
  <c r="P1016" i="9"/>
  <c r="N1016" i="9"/>
  <c r="M1016" i="9"/>
  <c r="C1016" i="9"/>
  <c r="A1016" i="9"/>
  <c r="W1015" i="9"/>
  <c r="P1015" i="9"/>
  <c r="N1015" i="9"/>
  <c r="M1015" i="9"/>
  <c r="C1015" i="9"/>
  <c r="A1015" i="9"/>
  <c r="W1014" i="9"/>
  <c r="P1014" i="9"/>
  <c r="N1014" i="9"/>
  <c r="M1014" i="9"/>
  <c r="C1014" i="9"/>
  <c r="A1014" i="9"/>
  <c r="W1013" i="9"/>
  <c r="P1013" i="9"/>
  <c r="N1013" i="9"/>
  <c r="M1013" i="9"/>
  <c r="C1013" i="9"/>
  <c r="A1013" i="9"/>
  <c r="W1012" i="9"/>
  <c r="P1012" i="9"/>
  <c r="N1012" i="9"/>
  <c r="M1012" i="9"/>
  <c r="C1012" i="9"/>
  <c r="A1012" i="9"/>
  <c r="W1011" i="9"/>
  <c r="P1011" i="9"/>
  <c r="N1011" i="9"/>
  <c r="M1011" i="9"/>
  <c r="C1011" i="9"/>
  <c r="A1011" i="9"/>
  <c r="W1010" i="9"/>
  <c r="P1010" i="9"/>
  <c r="N1010" i="9"/>
  <c r="M1010" i="9"/>
  <c r="C1010" i="9"/>
  <c r="A1010" i="9"/>
  <c r="W1009" i="9"/>
  <c r="P1009" i="9"/>
  <c r="N1009" i="9"/>
  <c r="M1009" i="9"/>
  <c r="C1009" i="9"/>
  <c r="A1009" i="9"/>
  <c r="W1008" i="9"/>
  <c r="P1008" i="9"/>
  <c r="N1008" i="9"/>
  <c r="M1008" i="9"/>
  <c r="C1008" i="9"/>
  <c r="A1008" i="9"/>
  <c r="W1007" i="9"/>
  <c r="P1007" i="9"/>
  <c r="N1007" i="9"/>
  <c r="M1007" i="9"/>
  <c r="C1007" i="9"/>
  <c r="A1007" i="9"/>
  <c r="W1006" i="9"/>
  <c r="P1006" i="9"/>
  <c r="N1006" i="9"/>
  <c r="M1006" i="9"/>
  <c r="C1006" i="9"/>
  <c r="A1006" i="9"/>
  <c r="W1005" i="9"/>
  <c r="P1005" i="9"/>
  <c r="N1005" i="9"/>
  <c r="M1005" i="9"/>
  <c r="C1005" i="9"/>
  <c r="A1005" i="9"/>
  <c r="W1004" i="9"/>
  <c r="P1004" i="9"/>
  <c r="N1004" i="9"/>
  <c r="M1004" i="9"/>
  <c r="C1004" i="9"/>
  <c r="A1004" i="9"/>
  <c r="W1003" i="9"/>
  <c r="P1003" i="9"/>
  <c r="N1003" i="9"/>
  <c r="M1003" i="9"/>
  <c r="C1003" i="9"/>
  <c r="A1003" i="9"/>
  <c r="W1002" i="9"/>
  <c r="P1002" i="9"/>
  <c r="N1002" i="9"/>
  <c r="M1002" i="9"/>
  <c r="C1002" i="9"/>
  <c r="A1002" i="9"/>
  <c r="W1001" i="9"/>
  <c r="P1001" i="9"/>
  <c r="N1001" i="9"/>
  <c r="M1001" i="9"/>
  <c r="C1001" i="9"/>
  <c r="A1001" i="9"/>
  <c r="W1000" i="9"/>
  <c r="P1000" i="9"/>
  <c r="N1000" i="9"/>
  <c r="M1000" i="9"/>
  <c r="C1000" i="9"/>
  <c r="A1000" i="9"/>
  <c r="W999" i="9"/>
  <c r="P999" i="9"/>
  <c r="N999" i="9"/>
  <c r="M999" i="9"/>
  <c r="C999" i="9"/>
  <c r="A999" i="9"/>
  <c r="W998" i="9"/>
  <c r="P998" i="9"/>
  <c r="N998" i="9"/>
  <c r="M998" i="9"/>
  <c r="C998" i="9"/>
  <c r="A998" i="9"/>
  <c r="W997" i="9"/>
  <c r="P997" i="9"/>
  <c r="N997" i="9"/>
  <c r="M997" i="9"/>
  <c r="C997" i="9"/>
  <c r="A997" i="9"/>
  <c r="W996" i="9"/>
  <c r="P996" i="9"/>
  <c r="N996" i="9"/>
  <c r="M996" i="9"/>
  <c r="C996" i="9"/>
  <c r="A996" i="9"/>
  <c r="W995" i="9"/>
  <c r="P995" i="9"/>
  <c r="N995" i="9"/>
  <c r="M995" i="9"/>
  <c r="C995" i="9"/>
  <c r="A995" i="9"/>
  <c r="W994" i="9"/>
  <c r="P994" i="9"/>
  <c r="N994" i="9"/>
  <c r="M994" i="9"/>
  <c r="C994" i="9"/>
  <c r="A994" i="9"/>
  <c r="W993" i="9"/>
  <c r="P993" i="9"/>
  <c r="N993" i="9"/>
  <c r="M993" i="9"/>
  <c r="C993" i="9"/>
  <c r="A993" i="9"/>
  <c r="W992" i="9"/>
  <c r="P992" i="9"/>
  <c r="N992" i="9"/>
  <c r="M992" i="9"/>
  <c r="C992" i="9"/>
  <c r="A992" i="9"/>
  <c r="W991" i="9"/>
  <c r="P991" i="9"/>
  <c r="N991" i="9"/>
  <c r="M991" i="9"/>
  <c r="C991" i="9"/>
  <c r="A991" i="9"/>
  <c r="W990" i="9"/>
  <c r="P990" i="9"/>
  <c r="N990" i="9"/>
  <c r="M990" i="9"/>
  <c r="C990" i="9"/>
  <c r="A990" i="9"/>
  <c r="W989" i="9"/>
  <c r="P989" i="9"/>
  <c r="N989" i="9"/>
  <c r="M989" i="9"/>
  <c r="C989" i="9"/>
  <c r="A989" i="9"/>
  <c r="W988" i="9"/>
  <c r="P988" i="9"/>
  <c r="N988" i="9"/>
  <c r="M988" i="9"/>
  <c r="C988" i="9"/>
  <c r="A988" i="9"/>
  <c r="W987" i="9"/>
  <c r="P987" i="9"/>
  <c r="N987" i="9"/>
  <c r="M987" i="9"/>
  <c r="C987" i="9"/>
  <c r="A987" i="9"/>
  <c r="W986" i="9"/>
  <c r="P986" i="9"/>
  <c r="N986" i="9"/>
  <c r="M986" i="9"/>
  <c r="C986" i="9"/>
  <c r="A986" i="9"/>
  <c r="W985" i="9"/>
  <c r="P985" i="9"/>
  <c r="N985" i="9"/>
  <c r="M985" i="9"/>
  <c r="C985" i="9"/>
  <c r="A985" i="9"/>
  <c r="W984" i="9"/>
  <c r="P984" i="9"/>
  <c r="N984" i="9"/>
  <c r="M984" i="9"/>
  <c r="C984" i="9"/>
  <c r="A984" i="9"/>
  <c r="W983" i="9"/>
  <c r="P983" i="9"/>
  <c r="N983" i="9"/>
  <c r="M983" i="9"/>
  <c r="C983" i="9"/>
  <c r="A983" i="9"/>
  <c r="W982" i="9"/>
  <c r="P982" i="9"/>
  <c r="N982" i="9"/>
  <c r="M982" i="9"/>
  <c r="C982" i="9"/>
  <c r="A982" i="9"/>
  <c r="W981" i="9"/>
  <c r="P981" i="9"/>
  <c r="N981" i="9"/>
  <c r="M981" i="9"/>
  <c r="C981" i="9"/>
  <c r="A981" i="9"/>
  <c r="W980" i="9"/>
  <c r="P980" i="9"/>
  <c r="N980" i="9"/>
  <c r="M980" i="9"/>
  <c r="C980" i="9"/>
  <c r="A980" i="9"/>
  <c r="W979" i="9"/>
  <c r="P979" i="9"/>
  <c r="N979" i="9"/>
  <c r="M979" i="9"/>
  <c r="C979" i="9"/>
  <c r="A979" i="9"/>
  <c r="W978" i="9"/>
  <c r="P978" i="9"/>
  <c r="N978" i="9"/>
  <c r="M978" i="9"/>
  <c r="C978" i="9"/>
  <c r="A978" i="9"/>
  <c r="W977" i="9"/>
  <c r="P977" i="9"/>
  <c r="N977" i="9"/>
  <c r="M977" i="9"/>
  <c r="C977" i="9"/>
  <c r="A977" i="9"/>
  <c r="W976" i="9"/>
  <c r="P976" i="9"/>
  <c r="N976" i="9"/>
  <c r="M976" i="9"/>
  <c r="C976" i="9"/>
  <c r="A976" i="9"/>
  <c r="W975" i="9"/>
  <c r="P975" i="9"/>
  <c r="N975" i="9"/>
  <c r="M975" i="9"/>
  <c r="C975" i="9"/>
  <c r="A975" i="9"/>
  <c r="W974" i="9"/>
  <c r="P974" i="9"/>
  <c r="N974" i="9"/>
  <c r="M974" i="9"/>
  <c r="C974" i="9"/>
  <c r="A974" i="9"/>
  <c r="W973" i="9"/>
  <c r="P973" i="9"/>
  <c r="N973" i="9"/>
  <c r="M973" i="9"/>
  <c r="C973" i="9"/>
  <c r="A973" i="9"/>
  <c r="W972" i="9"/>
  <c r="P972" i="9"/>
  <c r="N972" i="9"/>
  <c r="M972" i="9"/>
  <c r="C972" i="9"/>
  <c r="A972" i="9"/>
  <c r="W971" i="9"/>
  <c r="P971" i="9"/>
  <c r="N971" i="9"/>
  <c r="M971" i="9"/>
  <c r="C971" i="9"/>
  <c r="A971" i="9"/>
  <c r="W970" i="9"/>
  <c r="P970" i="9"/>
  <c r="N970" i="9"/>
  <c r="M970" i="9"/>
  <c r="C970" i="9"/>
  <c r="A970" i="9"/>
  <c r="W969" i="9"/>
  <c r="P969" i="9"/>
  <c r="N969" i="9"/>
  <c r="M969" i="9"/>
  <c r="C969" i="9"/>
  <c r="A969" i="9"/>
  <c r="W968" i="9"/>
  <c r="P968" i="9"/>
  <c r="N968" i="9"/>
  <c r="M968" i="9"/>
  <c r="C968" i="9"/>
  <c r="A968" i="9"/>
  <c r="W967" i="9"/>
  <c r="P967" i="9"/>
  <c r="N967" i="9"/>
  <c r="M967" i="9"/>
  <c r="C967" i="9"/>
  <c r="A967" i="9"/>
  <c r="W966" i="9"/>
  <c r="P966" i="9"/>
  <c r="N966" i="9"/>
  <c r="M966" i="9"/>
  <c r="C966" i="9"/>
  <c r="A966" i="9"/>
  <c r="W965" i="9"/>
  <c r="P965" i="9"/>
  <c r="N965" i="9"/>
  <c r="M965" i="9"/>
  <c r="C965" i="9"/>
  <c r="A965" i="9"/>
  <c r="W964" i="9"/>
  <c r="P964" i="9"/>
  <c r="N964" i="9"/>
  <c r="M964" i="9"/>
  <c r="C964" i="9"/>
  <c r="A964" i="9"/>
  <c r="W963" i="9"/>
  <c r="P963" i="9"/>
  <c r="N963" i="9"/>
  <c r="M963" i="9"/>
  <c r="C963" i="9"/>
  <c r="A963" i="9"/>
  <c r="W962" i="9"/>
  <c r="P962" i="9"/>
  <c r="N962" i="9"/>
  <c r="M962" i="9"/>
  <c r="C962" i="9"/>
  <c r="A962" i="9"/>
  <c r="W961" i="9"/>
  <c r="P961" i="9"/>
  <c r="N961" i="9"/>
  <c r="M961" i="9"/>
  <c r="C961" i="9"/>
  <c r="A961" i="9"/>
  <c r="W960" i="9"/>
  <c r="P960" i="9"/>
  <c r="N960" i="9"/>
  <c r="M960" i="9"/>
  <c r="C960" i="9"/>
  <c r="A960" i="9"/>
  <c r="W959" i="9"/>
  <c r="P959" i="9"/>
  <c r="N959" i="9"/>
  <c r="M959" i="9"/>
  <c r="C959" i="9"/>
  <c r="A959" i="9"/>
  <c r="W958" i="9"/>
  <c r="P958" i="9"/>
  <c r="N958" i="9"/>
  <c r="M958" i="9"/>
  <c r="C958" i="9"/>
  <c r="A958" i="9"/>
  <c r="W957" i="9"/>
  <c r="P957" i="9"/>
  <c r="N957" i="9"/>
  <c r="M957" i="9"/>
  <c r="C957" i="9"/>
  <c r="A957" i="9"/>
  <c r="W956" i="9"/>
  <c r="P956" i="9"/>
  <c r="N956" i="9"/>
  <c r="M956" i="9"/>
  <c r="C956" i="9"/>
  <c r="A956" i="9"/>
  <c r="W955" i="9"/>
  <c r="P955" i="9"/>
  <c r="N955" i="9"/>
  <c r="M955" i="9"/>
  <c r="C955" i="9"/>
  <c r="A955" i="9"/>
  <c r="W954" i="9"/>
  <c r="P954" i="9"/>
  <c r="N954" i="9"/>
  <c r="M954" i="9"/>
  <c r="C954" i="9"/>
  <c r="A954" i="9"/>
  <c r="W953" i="9"/>
  <c r="P953" i="9"/>
  <c r="N953" i="9"/>
  <c r="M953" i="9"/>
  <c r="C953" i="9"/>
  <c r="A953" i="9"/>
  <c r="W952" i="9"/>
  <c r="P952" i="9"/>
  <c r="N952" i="9"/>
  <c r="M952" i="9"/>
  <c r="C952" i="9"/>
  <c r="A952" i="9"/>
  <c r="W951" i="9"/>
  <c r="P951" i="9"/>
  <c r="N951" i="9"/>
  <c r="M951" i="9"/>
  <c r="C951" i="9"/>
  <c r="A951" i="9"/>
  <c r="W950" i="9"/>
  <c r="P950" i="9"/>
  <c r="N950" i="9"/>
  <c r="M950" i="9"/>
  <c r="C950" i="9"/>
  <c r="A950" i="9"/>
  <c r="W949" i="9"/>
  <c r="P949" i="9"/>
  <c r="N949" i="9"/>
  <c r="M949" i="9"/>
  <c r="C949" i="9"/>
  <c r="A949" i="9"/>
  <c r="W948" i="9"/>
  <c r="P948" i="9"/>
  <c r="N948" i="9"/>
  <c r="M948" i="9"/>
  <c r="C948" i="9"/>
  <c r="A948" i="9"/>
  <c r="W947" i="9"/>
  <c r="P947" i="9"/>
  <c r="N947" i="9"/>
  <c r="M947" i="9"/>
  <c r="C947" i="9"/>
  <c r="A947" i="9"/>
  <c r="W946" i="9"/>
  <c r="P946" i="9"/>
  <c r="N946" i="9"/>
  <c r="M946" i="9"/>
  <c r="C946" i="9"/>
  <c r="A946" i="9"/>
  <c r="W945" i="9"/>
  <c r="P945" i="9"/>
  <c r="N945" i="9"/>
  <c r="M945" i="9"/>
  <c r="C945" i="9"/>
  <c r="A945" i="9"/>
  <c r="W944" i="9"/>
  <c r="P944" i="9"/>
  <c r="N944" i="9"/>
  <c r="M944" i="9"/>
  <c r="C944" i="9"/>
  <c r="A944" i="9"/>
  <c r="W943" i="9"/>
  <c r="P943" i="9"/>
  <c r="N943" i="9"/>
  <c r="M943" i="9"/>
  <c r="C943" i="9"/>
  <c r="A943" i="9"/>
  <c r="W942" i="9"/>
  <c r="P942" i="9"/>
  <c r="N942" i="9"/>
  <c r="M942" i="9"/>
  <c r="C942" i="9"/>
  <c r="A942" i="9"/>
  <c r="W941" i="9"/>
  <c r="P941" i="9"/>
  <c r="N941" i="9"/>
  <c r="M941" i="9"/>
  <c r="C941" i="9"/>
  <c r="A941" i="9"/>
  <c r="W940" i="9"/>
  <c r="P940" i="9"/>
  <c r="N940" i="9"/>
  <c r="M940" i="9"/>
  <c r="C940" i="9"/>
  <c r="A940" i="9"/>
  <c r="W939" i="9"/>
  <c r="P939" i="9"/>
  <c r="N939" i="9"/>
  <c r="M939" i="9"/>
  <c r="C939" i="9"/>
  <c r="A939" i="9"/>
  <c r="W938" i="9"/>
  <c r="P938" i="9"/>
  <c r="N938" i="9"/>
  <c r="M938" i="9"/>
  <c r="C938" i="9"/>
  <c r="A938" i="9"/>
  <c r="W937" i="9"/>
  <c r="P937" i="9"/>
  <c r="N937" i="9"/>
  <c r="M937" i="9"/>
  <c r="C937" i="9"/>
  <c r="A937" i="9"/>
  <c r="W936" i="9"/>
  <c r="P936" i="9"/>
  <c r="N936" i="9"/>
  <c r="M936" i="9"/>
  <c r="C936" i="9"/>
  <c r="A936" i="9"/>
  <c r="W935" i="9"/>
  <c r="P935" i="9"/>
  <c r="N935" i="9"/>
  <c r="M935" i="9"/>
  <c r="C935" i="9"/>
  <c r="A935" i="9"/>
  <c r="W934" i="9"/>
  <c r="P934" i="9"/>
  <c r="N934" i="9"/>
  <c r="M934" i="9"/>
  <c r="C934" i="9"/>
  <c r="A934" i="9"/>
  <c r="W933" i="9"/>
  <c r="P933" i="9"/>
  <c r="N933" i="9"/>
  <c r="M933" i="9"/>
  <c r="C933" i="9"/>
  <c r="A933" i="9"/>
  <c r="W932" i="9"/>
  <c r="P932" i="9"/>
  <c r="N932" i="9"/>
  <c r="M932" i="9"/>
  <c r="C932" i="9"/>
  <c r="A932" i="9"/>
  <c r="W931" i="9"/>
  <c r="P931" i="9"/>
  <c r="N931" i="9"/>
  <c r="M931" i="9"/>
  <c r="C931" i="9"/>
  <c r="A931" i="9"/>
  <c r="W930" i="9"/>
  <c r="P930" i="9"/>
  <c r="N930" i="9"/>
  <c r="M930" i="9"/>
  <c r="C930" i="9"/>
  <c r="A930" i="9"/>
  <c r="W929" i="9"/>
  <c r="P929" i="9"/>
  <c r="N929" i="9"/>
  <c r="M929" i="9"/>
  <c r="C929" i="9"/>
  <c r="A929" i="9"/>
  <c r="W928" i="9"/>
  <c r="P928" i="9"/>
  <c r="N928" i="9"/>
  <c r="M928" i="9"/>
  <c r="C928" i="9"/>
  <c r="A928" i="9"/>
  <c r="W927" i="9"/>
  <c r="P927" i="9"/>
  <c r="N927" i="9"/>
  <c r="M927" i="9"/>
  <c r="C927" i="9"/>
  <c r="A927" i="9"/>
  <c r="W926" i="9"/>
  <c r="P926" i="9"/>
  <c r="N926" i="9"/>
  <c r="M926" i="9"/>
  <c r="C926" i="9"/>
  <c r="A926" i="9"/>
  <c r="W925" i="9"/>
  <c r="P925" i="9"/>
  <c r="N925" i="9"/>
  <c r="M925" i="9"/>
  <c r="C925" i="9"/>
  <c r="A925" i="9"/>
  <c r="W924" i="9"/>
  <c r="P924" i="9"/>
  <c r="N924" i="9"/>
  <c r="M924" i="9"/>
  <c r="C924" i="9"/>
  <c r="A924" i="9"/>
  <c r="W923" i="9"/>
  <c r="P923" i="9"/>
  <c r="N923" i="9"/>
  <c r="M923" i="9"/>
  <c r="C923" i="9"/>
  <c r="A923" i="9"/>
  <c r="W922" i="9"/>
  <c r="P922" i="9"/>
  <c r="N922" i="9"/>
  <c r="M922" i="9"/>
  <c r="C922" i="9"/>
  <c r="A922" i="9"/>
  <c r="W921" i="9"/>
  <c r="P921" i="9"/>
  <c r="N921" i="9"/>
  <c r="M921" i="9"/>
  <c r="C921" i="9"/>
  <c r="A921" i="9"/>
  <c r="W920" i="9"/>
  <c r="P920" i="9"/>
  <c r="N920" i="9"/>
  <c r="M920" i="9"/>
  <c r="C920" i="9"/>
  <c r="A920" i="9"/>
  <c r="W919" i="9"/>
  <c r="P919" i="9"/>
  <c r="N919" i="9"/>
  <c r="M919" i="9"/>
  <c r="C919" i="9"/>
  <c r="A919" i="9"/>
  <c r="W918" i="9"/>
  <c r="P918" i="9"/>
  <c r="N918" i="9"/>
  <c r="M918" i="9"/>
  <c r="C918" i="9"/>
  <c r="A918" i="9"/>
  <c r="W917" i="9"/>
  <c r="P917" i="9"/>
  <c r="N917" i="9"/>
  <c r="M917" i="9"/>
  <c r="C917" i="9"/>
  <c r="A917" i="9"/>
  <c r="W916" i="9"/>
  <c r="P916" i="9"/>
  <c r="N916" i="9"/>
  <c r="M916" i="9"/>
  <c r="C916" i="9"/>
  <c r="A916" i="9"/>
  <c r="W915" i="9"/>
  <c r="P915" i="9"/>
  <c r="N915" i="9"/>
  <c r="M915" i="9"/>
  <c r="C915" i="9"/>
  <c r="A915" i="9"/>
  <c r="W914" i="9"/>
  <c r="P914" i="9"/>
  <c r="N914" i="9"/>
  <c r="M914" i="9"/>
  <c r="C914" i="9"/>
  <c r="A914" i="9"/>
  <c r="W913" i="9"/>
  <c r="P913" i="9"/>
  <c r="N913" i="9"/>
  <c r="M913" i="9"/>
  <c r="C913" i="9"/>
  <c r="A913" i="9"/>
  <c r="W912" i="9"/>
  <c r="P912" i="9"/>
  <c r="N912" i="9"/>
  <c r="M912" i="9"/>
  <c r="C912" i="9"/>
  <c r="A912" i="9"/>
  <c r="W911" i="9"/>
  <c r="P911" i="9"/>
  <c r="N911" i="9"/>
  <c r="M911" i="9"/>
  <c r="C911" i="9"/>
  <c r="A911" i="9"/>
  <c r="W910" i="9"/>
  <c r="P910" i="9"/>
  <c r="N910" i="9"/>
  <c r="M910" i="9"/>
  <c r="C910" i="9"/>
  <c r="A910" i="9"/>
  <c r="W909" i="9"/>
  <c r="P909" i="9"/>
  <c r="N909" i="9"/>
  <c r="M909" i="9"/>
  <c r="C909" i="9"/>
  <c r="A909" i="9"/>
  <c r="W908" i="9"/>
  <c r="P908" i="9"/>
  <c r="N908" i="9"/>
  <c r="M908" i="9"/>
  <c r="C908" i="9"/>
  <c r="A908" i="9"/>
  <c r="W907" i="9"/>
  <c r="P907" i="9"/>
  <c r="N907" i="9"/>
  <c r="M907" i="9"/>
  <c r="C907" i="9"/>
  <c r="A907" i="9"/>
  <c r="W906" i="9"/>
  <c r="P906" i="9"/>
  <c r="N906" i="9"/>
  <c r="M906" i="9"/>
  <c r="C906" i="9"/>
  <c r="A906" i="9"/>
  <c r="W905" i="9"/>
  <c r="P905" i="9"/>
  <c r="N905" i="9"/>
  <c r="M905" i="9"/>
  <c r="C905" i="9"/>
  <c r="A905" i="9"/>
  <c r="W904" i="9"/>
  <c r="P904" i="9"/>
  <c r="N904" i="9"/>
  <c r="M904" i="9"/>
  <c r="C904" i="9"/>
  <c r="A904" i="9"/>
  <c r="W903" i="9"/>
  <c r="P903" i="9"/>
  <c r="N903" i="9"/>
  <c r="M903" i="9"/>
  <c r="C903" i="9"/>
  <c r="A903" i="9"/>
  <c r="W902" i="9"/>
  <c r="P902" i="9"/>
  <c r="N902" i="9"/>
  <c r="M902" i="9"/>
  <c r="C902" i="9"/>
  <c r="A902" i="9"/>
  <c r="W901" i="9"/>
  <c r="P901" i="9"/>
  <c r="N901" i="9"/>
  <c r="M901" i="9"/>
  <c r="C901" i="9"/>
  <c r="A901" i="9"/>
  <c r="W900" i="9"/>
  <c r="P900" i="9"/>
  <c r="N900" i="9"/>
  <c r="M900" i="9"/>
  <c r="C900" i="9"/>
  <c r="A900" i="9"/>
  <c r="W899" i="9"/>
  <c r="P899" i="9"/>
  <c r="N899" i="9"/>
  <c r="M899" i="9"/>
  <c r="C899" i="9"/>
  <c r="A899" i="9"/>
  <c r="W898" i="9"/>
  <c r="P898" i="9"/>
  <c r="N898" i="9"/>
  <c r="M898" i="9"/>
  <c r="C898" i="9"/>
  <c r="A898" i="9"/>
  <c r="W897" i="9"/>
  <c r="P897" i="9"/>
  <c r="N897" i="9"/>
  <c r="M897" i="9"/>
  <c r="C897" i="9"/>
  <c r="A897" i="9"/>
  <c r="W896" i="9"/>
  <c r="P896" i="9"/>
  <c r="N896" i="9"/>
  <c r="M896" i="9"/>
  <c r="C896" i="9"/>
  <c r="A896" i="9"/>
  <c r="W895" i="9"/>
  <c r="P895" i="9"/>
  <c r="N895" i="9"/>
  <c r="M895" i="9"/>
  <c r="C895" i="9"/>
  <c r="A895" i="9"/>
  <c r="W894" i="9"/>
  <c r="P894" i="9"/>
  <c r="N894" i="9"/>
  <c r="M894" i="9"/>
  <c r="C894" i="9"/>
  <c r="A894" i="9"/>
  <c r="W893" i="9"/>
  <c r="P893" i="9"/>
  <c r="N893" i="9"/>
  <c r="M893" i="9"/>
  <c r="C893" i="9"/>
  <c r="A893" i="9"/>
  <c r="W892" i="9"/>
  <c r="P892" i="9"/>
  <c r="N892" i="9"/>
  <c r="M892" i="9"/>
  <c r="C892" i="9"/>
  <c r="A892" i="9"/>
  <c r="W891" i="9"/>
  <c r="P891" i="9"/>
  <c r="N891" i="9"/>
  <c r="M891" i="9"/>
  <c r="C891" i="9"/>
  <c r="A891" i="9"/>
  <c r="W890" i="9"/>
  <c r="P890" i="9"/>
  <c r="N890" i="9"/>
  <c r="M890" i="9"/>
  <c r="C890" i="9"/>
  <c r="A890" i="9"/>
  <c r="W889" i="9"/>
  <c r="P889" i="9"/>
  <c r="N889" i="9"/>
  <c r="M889" i="9"/>
  <c r="C889" i="9"/>
  <c r="A889" i="9"/>
  <c r="W888" i="9"/>
  <c r="P888" i="9"/>
  <c r="N888" i="9"/>
  <c r="M888" i="9"/>
  <c r="C888" i="9"/>
  <c r="A888" i="9"/>
  <c r="W887" i="9"/>
  <c r="P887" i="9"/>
  <c r="N887" i="9"/>
  <c r="M887" i="9"/>
  <c r="C887" i="9"/>
  <c r="A887" i="9"/>
  <c r="W886" i="9"/>
  <c r="P886" i="9"/>
  <c r="N886" i="9"/>
  <c r="M886" i="9"/>
  <c r="C886" i="9"/>
  <c r="A886" i="9"/>
  <c r="W885" i="9"/>
  <c r="P885" i="9"/>
  <c r="N885" i="9"/>
  <c r="M885" i="9"/>
  <c r="C885" i="9"/>
  <c r="A885" i="9"/>
  <c r="W884" i="9"/>
  <c r="P884" i="9"/>
  <c r="N884" i="9"/>
  <c r="M884" i="9"/>
  <c r="C884" i="9"/>
  <c r="A884" i="9"/>
  <c r="W883" i="9"/>
  <c r="P883" i="9"/>
  <c r="N883" i="9"/>
  <c r="M883" i="9"/>
  <c r="C883" i="9"/>
  <c r="A883" i="9"/>
  <c r="W882" i="9"/>
  <c r="P882" i="9"/>
  <c r="N882" i="9"/>
  <c r="M882" i="9"/>
  <c r="C882" i="9"/>
  <c r="A882" i="9"/>
  <c r="W881" i="9"/>
  <c r="P881" i="9"/>
  <c r="N881" i="9"/>
  <c r="M881" i="9"/>
  <c r="C881" i="9"/>
  <c r="A881" i="9"/>
  <c r="W880" i="9"/>
  <c r="P880" i="9"/>
  <c r="N880" i="9"/>
  <c r="M880" i="9"/>
  <c r="C880" i="9"/>
  <c r="A880" i="9"/>
  <c r="W879" i="9"/>
  <c r="P879" i="9"/>
  <c r="N879" i="9"/>
  <c r="M879" i="9"/>
  <c r="C879" i="9"/>
  <c r="A879" i="9"/>
  <c r="W878" i="9"/>
  <c r="P878" i="9"/>
  <c r="N878" i="9"/>
  <c r="M878" i="9"/>
  <c r="C878" i="9"/>
  <c r="A878" i="9"/>
  <c r="W877" i="9"/>
  <c r="P877" i="9"/>
  <c r="N877" i="9"/>
  <c r="M877" i="9"/>
  <c r="C877" i="9"/>
  <c r="A877" i="9"/>
  <c r="W876" i="9"/>
  <c r="P876" i="9"/>
  <c r="N876" i="9"/>
  <c r="M876" i="9"/>
  <c r="C876" i="9"/>
  <c r="A876" i="9"/>
  <c r="W875" i="9"/>
  <c r="P875" i="9"/>
  <c r="N875" i="9"/>
  <c r="M875" i="9"/>
  <c r="C875" i="9"/>
  <c r="A875" i="9"/>
  <c r="W874" i="9"/>
  <c r="P874" i="9"/>
  <c r="N874" i="9"/>
  <c r="M874" i="9"/>
  <c r="C874" i="9"/>
  <c r="A874" i="9"/>
  <c r="W873" i="9"/>
  <c r="P873" i="9"/>
  <c r="N873" i="9"/>
  <c r="M873" i="9"/>
  <c r="C873" i="9"/>
  <c r="A873" i="9"/>
  <c r="W872" i="9"/>
  <c r="P872" i="9"/>
  <c r="N872" i="9"/>
  <c r="M872" i="9"/>
  <c r="C872" i="9"/>
  <c r="A872" i="9"/>
  <c r="W871" i="9"/>
  <c r="P871" i="9"/>
  <c r="N871" i="9"/>
  <c r="M871" i="9"/>
  <c r="C871" i="9"/>
  <c r="A871" i="9"/>
  <c r="W870" i="9"/>
  <c r="P870" i="9"/>
  <c r="N870" i="9"/>
  <c r="M870" i="9"/>
  <c r="C870" i="9"/>
  <c r="A870" i="9"/>
  <c r="W869" i="9"/>
  <c r="P869" i="9"/>
  <c r="N869" i="9"/>
  <c r="M869" i="9"/>
  <c r="C869" i="9"/>
  <c r="A869" i="9"/>
  <c r="W868" i="9"/>
  <c r="P868" i="9"/>
  <c r="N868" i="9"/>
  <c r="M868" i="9"/>
  <c r="C868" i="9"/>
  <c r="A868" i="9"/>
  <c r="W867" i="9"/>
  <c r="P867" i="9"/>
  <c r="N867" i="9"/>
  <c r="M867" i="9"/>
  <c r="C867" i="9"/>
  <c r="A867" i="9"/>
  <c r="W866" i="9"/>
  <c r="P866" i="9"/>
  <c r="N866" i="9"/>
  <c r="M866" i="9"/>
  <c r="C866" i="9"/>
  <c r="A866" i="9"/>
  <c r="W865" i="9"/>
  <c r="P865" i="9"/>
  <c r="N865" i="9"/>
  <c r="M865" i="9"/>
  <c r="C865" i="9"/>
  <c r="A865" i="9"/>
  <c r="W864" i="9"/>
  <c r="P864" i="9"/>
  <c r="N864" i="9"/>
  <c r="M864" i="9"/>
  <c r="C864" i="9"/>
  <c r="A864" i="9"/>
  <c r="W863" i="9"/>
  <c r="P863" i="9"/>
  <c r="N863" i="9"/>
  <c r="M863" i="9"/>
  <c r="C863" i="9"/>
  <c r="A863" i="9"/>
  <c r="W862" i="9"/>
  <c r="P862" i="9"/>
  <c r="N862" i="9"/>
  <c r="M862" i="9"/>
  <c r="C862" i="9"/>
  <c r="A862" i="9"/>
  <c r="W861" i="9"/>
  <c r="P861" i="9"/>
  <c r="N861" i="9"/>
  <c r="M861" i="9"/>
  <c r="C861" i="9"/>
  <c r="A861" i="9"/>
  <c r="W860" i="9"/>
  <c r="P860" i="9"/>
  <c r="N860" i="9"/>
  <c r="M860" i="9"/>
  <c r="C860" i="9"/>
  <c r="A860" i="9"/>
  <c r="W859" i="9"/>
  <c r="P859" i="9"/>
  <c r="N859" i="9"/>
  <c r="M859" i="9"/>
  <c r="C859" i="9"/>
  <c r="A859" i="9"/>
  <c r="W858" i="9"/>
  <c r="P858" i="9"/>
  <c r="N858" i="9"/>
  <c r="M858" i="9"/>
  <c r="C858" i="9"/>
  <c r="A858" i="9"/>
  <c r="W857" i="9"/>
  <c r="P857" i="9"/>
  <c r="N857" i="9"/>
  <c r="M857" i="9"/>
  <c r="C857" i="9"/>
  <c r="A857" i="9"/>
  <c r="W856" i="9"/>
  <c r="P856" i="9"/>
  <c r="N856" i="9"/>
  <c r="M856" i="9"/>
  <c r="C856" i="9"/>
  <c r="A856" i="9"/>
  <c r="W855" i="9"/>
  <c r="P855" i="9"/>
  <c r="N855" i="9"/>
  <c r="M855" i="9"/>
  <c r="C855" i="9"/>
  <c r="A855" i="9"/>
  <c r="W854" i="9"/>
  <c r="P854" i="9"/>
  <c r="N854" i="9"/>
  <c r="M854" i="9"/>
  <c r="C854" i="9"/>
  <c r="A854" i="9"/>
  <c r="W853" i="9"/>
  <c r="P853" i="9"/>
  <c r="N853" i="9"/>
  <c r="M853" i="9"/>
  <c r="C853" i="9"/>
  <c r="A853" i="9"/>
  <c r="W852" i="9"/>
  <c r="P852" i="9"/>
  <c r="N852" i="9"/>
  <c r="M852" i="9"/>
  <c r="C852" i="9"/>
  <c r="A852" i="9"/>
  <c r="W851" i="9"/>
  <c r="P851" i="9"/>
  <c r="N851" i="9"/>
  <c r="M851" i="9"/>
  <c r="C851" i="9"/>
  <c r="A851" i="9"/>
  <c r="W850" i="9"/>
  <c r="P850" i="9"/>
  <c r="N850" i="9"/>
  <c r="M850" i="9"/>
  <c r="C850" i="9"/>
  <c r="A850" i="9"/>
  <c r="W849" i="9"/>
  <c r="P849" i="9"/>
  <c r="N849" i="9"/>
  <c r="M849" i="9"/>
  <c r="C849" i="9"/>
  <c r="A849" i="9"/>
  <c r="W848" i="9"/>
  <c r="P848" i="9"/>
  <c r="N848" i="9"/>
  <c r="M848" i="9"/>
  <c r="C848" i="9"/>
  <c r="A848" i="9"/>
  <c r="W847" i="9"/>
  <c r="P847" i="9"/>
  <c r="N847" i="9"/>
  <c r="M847" i="9"/>
  <c r="C847" i="9"/>
  <c r="A847" i="9"/>
  <c r="W846" i="9"/>
  <c r="P846" i="9"/>
  <c r="N846" i="9"/>
  <c r="M846" i="9"/>
  <c r="C846" i="9"/>
  <c r="A846" i="9"/>
  <c r="W845" i="9"/>
  <c r="P845" i="9"/>
  <c r="N845" i="9"/>
  <c r="M845" i="9"/>
  <c r="C845" i="9"/>
  <c r="A845" i="9"/>
  <c r="W844" i="9"/>
  <c r="P844" i="9"/>
  <c r="N844" i="9"/>
  <c r="M844" i="9"/>
  <c r="C844" i="9"/>
  <c r="A844" i="9"/>
  <c r="W843" i="9"/>
  <c r="P843" i="9"/>
  <c r="N843" i="9"/>
  <c r="M843" i="9"/>
  <c r="C843" i="9"/>
  <c r="A843" i="9"/>
  <c r="W842" i="9"/>
  <c r="P842" i="9"/>
  <c r="N842" i="9"/>
  <c r="M842" i="9"/>
  <c r="C842" i="9"/>
  <c r="A842" i="9"/>
  <c r="W841" i="9"/>
  <c r="P841" i="9"/>
  <c r="N841" i="9"/>
  <c r="M841" i="9"/>
  <c r="C841" i="9"/>
  <c r="A841" i="9"/>
  <c r="W840" i="9"/>
  <c r="P840" i="9"/>
  <c r="N840" i="9"/>
  <c r="M840" i="9"/>
  <c r="C840" i="9"/>
  <c r="A840" i="9"/>
  <c r="W839" i="9"/>
  <c r="P839" i="9"/>
  <c r="N839" i="9"/>
  <c r="M839" i="9"/>
  <c r="C839" i="9"/>
  <c r="A839" i="9"/>
  <c r="W838" i="9"/>
  <c r="P838" i="9"/>
  <c r="N838" i="9"/>
  <c r="M838" i="9"/>
  <c r="C838" i="9"/>
  <c r="A838" i="9"/>
  <c r="W837" i="9"/>
  <c r="P837" i="9"/>
  <c r="N837" i="9"/>
  <c r="M837" i="9"/>
  <c r="C837" i="9"/>
  <c r="A837" i="9"/>
  <c r="W836" i="9"/>
  <c r="P836" i="9"/>
  <c r="N836" i="9"/>
  <c r="M836" i="9"/>
  <c r="C836" i="9"/>
  <c r="A836" i="9"/>
  <c r="W835" i="9"/>
  <c r="P835" i="9"/>
  <c r="N835" i="9"/>
  <c r="M835" i="9"/>
  <c r="C835" i="9"/>
  <c r="A835" i="9"/>
  <c r="W834" i="9"/>
  <c r="P834" i="9"/>
  <c r="N834" i="9"/>
  <c r="M834" i="9"/>
  <c r="C834" i="9"/>
  <c r="A834" i="9"/>
  <c r="W833" i="9"/>
  <c r="P833" i="9"/>
  <c r="N833" i="9"/>
  <c r="M833" i="9"/>
  <c r="C833" i="9"/>
  <c r="A833" i="9"/>
  <c r="W832" i="9"/>
  <c r="P832" i="9"/>
  <c r="N832" i="9"/>
  <c r="M832" i="9"/>
  <c r="C832" i="9"/>
  <c r="A832" i="9"/>
  <c r="W831" i="9"/>
  <c r="P831" i="9"/>
  <c r="N831" i="9"/>
  <c r="M831" i="9"/>
  <c r="C831" i="9"/>
  <c r="A831" i="9"/>
  <c r="W830" i="9"/>
  <c r="P830" i="9"/>
  <c r="N830" i="9"/>
  <c r="M830" i="9"/>
  <c r="C830" i="9"/>
  <c r="A830" i="9"/>
  <c r="W829" i="9"/>
  <c r="P829" i="9"/>
  <c r="N829" i="9"/>
  <c r="M829" i="9"/>
  <c r="C829" i="9"/>
  <c r="A829" i="9"/>
  <c r="W828" i="9"/>
  <c r="P828" i="9"/>
  <c r="N828" i="9"/>
  <c r="M828" i="9"/>
  <c r="C828" i="9"/>
  <c r="A828" i="9"/>
  <c r="W827" i="9"/>
  <c r="P827" i="9"/>
  <c r="N827" i="9"/>
  <c r="M827" i="9"/>
  <c r="C827" i="9"/>
  <c r="A827" i="9"/>
  <c r="W826" i="9"/>
  <c r="P826" i="9"/>
  <c r="N826" i="9"/>
  <c r="M826" i="9"/>
  <c r="C826" i="9"/>
  <c r="A826" i="9"/>
  <c r="W825" i="9"/>
  <c r="P825" i="9"/>
  <c r="N825" i="9"/>
  <c r="M825" i="9"/>
  <c r="C825" i="9"/>
  <c r="A825" i="9"/>
  <c r="W824" i="9"/>
  <c r="P824" i="9"/>
  <c r="N824" i="9"/>
  <c r="M824" i="9"/>
  <c r="C824" i="9"/>
  <c r="A824" i="9"/>
  <c r="W823" i="9"/>
  <c r="P823" i="9"/>
  <c r="N823" i="9"/>
  <c r="M823" i="9"/>
  <c r="C823" i="9"/>
  <c r="A823" i="9"/>
  <c r="W822" i="9"/>
  <c r="P822" i="9"/>
  <c r="N822" i="9"/>
  <c r="M822" i="9"/>
  <c r="C822" i="9"/>
  <c r="A822" i="9"/>
  <c r="W821" i="9"/>
  <c r="P821" i="9"/>
  <c r="N821" i="9"/>
  <c r="M821" i="9"/>
  <c r="C821" i="9"/>
  <c r="A821" i="9"/>
  <c r="W820" i="9"/>
  <c r="P820" i="9"/>
  <c r="N820" i="9"/>
  <c r="M820" i="9"/>
  <c r="C820" i="9"/>
  <c r="A820" i="9"/>
  <c r="W819" i="9"/>
  <c r="P819" i="9"/>
  <c r="N819" i="9"/>
  <c r="M819" i="9"/>
  <c r="C819" i="9"/>
  <c r="A819" i="9"/>
  <c r="W818" i="9"/>
  <c r="P818" i="9"/>
  <c r="N818" i="9"/>
  <c r="M818" i="9"/>
  <c r="C818" i="9"/>
  <c r="A818" i="9"/>
  <c r="W817" i="9"/>
  <c r="P817" i="9"/>
  <c r="N817" i="9"/>
  <c r="M817" i="9"/>
  <c r="C817" i="9"/>
  <c r="A817" i="9"/>
  <c r="W816" i="9"/>
  <c r="P816" i="9"/>
  <c r="N816" i="9"/>
  <c r="M816" i="9"/>
  <c r="C816" i="9"/>
  <c r="A816" i="9"/>
  <c r="W815" i="9"/>
  <c r="P815" i="9"/>
  <c r="N815" i="9"/>
  <c r="M815" i="9"/>
  <c r="C815" i="9"/>
  <c r="A815" i="9"/>
  <c r="W814" i="9"/>
  <c r="P814" i="9"/>
  <c r="N814" i="9"/>
  <c r="M814" i="9"/>
  <c r="C814" i="9"/>
  <c r="A814" i="9"/>
  <c r="W813" i="9"/>
  <c r="P813" i="9"/>
  <c r="N813" i="9"/>
  <c r="M813" i="9"/>
  <c r="C813" i="9"/>
  <c r="A813" i="9"/>
  <c r="W812" i="9"/>
  <c r="P812" i="9"/>
  <c r="N812" i="9"/>
  <c r="M812" i="9"/>
  <c r="C812" i="9"/>
  <c r="A812" i="9"/>
  <c r="W811" i="9"/>
  <c r="P811" i="9"/>
  <c r="N811" i="9"/>
  <c r="M811" i="9"/>
  <c r="C811" i="9"/>
  <c r="A811" i="9"/>
  <c r="W810" i="9"/>
  <c r="P810" i="9"/>
  <c r="N810" i="9"/>
  <c r="M810" i="9"/>
  <c r="C810" i="9"/>
  <c r="A810" i="9"/>
  <c r="W809" i="9"/>
  <c r="P809" i="9"/>
  <c r="N809" i="9"/>
  <c r="M809" i="9"/>
  <c r="C809" i="9"/>
  <c r="A809" i="9"/>
  <c r="W808" i="9"/>
  <c r="P808" i="9"/>
  <c r="N808" i="9"/>
  <c r="M808" i="9"/>
  <c r="C808" i="9"/>
  <c r="A808" i="9"/>
  <c r="W807" i="9"/>
  <c r="P807" i="9"/>
  <c r="N807" i="9"/>
  <c r="M807" i="9"/>
  <c r="C807" i="9"/>
  <c r="A807" i="9"/>
  <c r="W806" i="9"/>
  <c r="P806" i="9"/>
  <c r="N806" i="9"/>
  <c r="M806" i="9"/>
  <c r="C806" i="9"/>
  <c r="A806" i="9"/>
  <c r="W805" i="9"/>
  <c r="P805" i="9"/>
  <c r="N805" i="9"/>
  <c r="M805" i="9"/>
  <c r="C805" i="9"/>
  <c r="A805" i="9"/>
  <c r="W804" i="9"/>
  <c r="P804" i="9"/>
  <c r="N804" i="9"/>
  <c r="M804" i="9"/>
  <c r="C804" i="9"/>
  <c r="A804" i="9"/>
  <c r="W803" i="9"/>
  <c r="P803" i="9"/>
  <c r="N803" i="9"/>
  <c r="M803" i="9"/>
  <c r="C803" i="9"/>
  <c r="A803" i="9"/>
  <c r="W802" i="9"/>
  <c r="P802" i="9"/>
  <c r="N802" i="9"/>
  <c r="M802" i="9"/>
  <c r="C802" i="9"/>
  <c r="A802" i="9"/>
  <c r="W801" i="9"/>
  <c r="P801" i="9"/>
  <c r="N801" i="9"/>
  <c r="M801" i="9"/>
  <c r="C801" i="9"/>
  <c r="A801" i="9"/>
  <c r="W800" i="9"/>
  <c r="P800" i="9"/>
  <c r="N800" i="9"/>
  <c r="M800" i="9"/>
  <c r="C800" i="9"/>
  <c r="A800" i="9"/>
  <c r="W799" i="9"/>
  <c r="P799" i="9"/>
  <c r="N799" i="9"/>
  <c r="M799" i="9"/>
  <c r="C799" i="9"/>
  <c r="A799" i="9"/>
  <c r="W798" i="9"/>
  <c r="P798" i="9"/>
  <c r="N798" i="9"/>
  <c r="M798" i="9"/>
  <c r="C798" i="9"/>
  <c r="A798" i="9"/>
  <c r="W797" i="9"/>
  <c r="P797" i="9"/>
  <c r="N797" i="9"/>
  <c r="M797" i="9"/>
  <c r="C797" i="9"/>
  <c r="A797" i="9"/>
  <c r="W796" i="9"/>
  <c r="P796" i="9"/>
  <c r="N796" i="9"/>
  <c r="M796" i="9"/>
  <c r="C796" i="9"/>
  <c r="A796" i="9"/>
  <c r="W795" i="9"/>
  <c r="P795" i="9"/>
  <c r="N795" i="9"/>
  <c r="M795" i="9"/>
  <c r="C795" i="9"/>
  <c r="A795" i="9"/>
  <c r="W794" i="9"/>
  <c r="P794" i="9"/>
  <c r="N794" i="9"/>
  <c r="M794" i="9"/>
  <c r="C794" i="9"/>
  <c r="A794" i="9"/>
  <c r="W793" i="9"/>
  <c r="P793" i="9"/>
  <c r="N793" i="9"/>
  <c r="M793" i="9"/>
  <c r="C793" i="9"/>
  <c r="A793" i="9"/>
  <c r="W792" i="9"/>
  <c r="P792" i="9"/>
  <c r="N792" i="9"/>
  <c r="M792" i="9"/>
  <c r="C792" i="9"/>
  <c r="A792" i="9"/>
  <c r="W791" i="9"/>
  <c r="P791" i="9"/>
  <c r="N791" i="9"/>
  <c r="M791" i="9"/>
  <c r="C791" i="9"/>
  <c r="A791" i="9"/>
  <c r="W790" i="9"/>
  <c r="P790" i="9"/>
  <c r="N790" i="9"/>
  <c r="M790" i="9"/>
  <c r="C790" i="9"/>
  <c r="A790" i="9"/>
  <c r="W789" i="9"/>
  <c r="P789" i="9"/>
  <c r="N789" i="9"/>
  <c r="M789" i="9"/>
  <c r="C789" i="9"/>
  <c r="A789" i="9"/>
  <c r="W788" i="9"/>
  <c r="P788" i="9"/>
  <c r="N788" i="9"/>
  <c r="M788" i="9"/>
  <c r="C788" i="9"/>
  <c r="A788" i="9"/>
  <c r="W787" i="9"/>
  <c r="P787" i="9"/>
  <c r="N787" i="9"/>
  <c r="M787" i="9"/>
  <c r="C787" i="9"/>
  <c r="A787" i="9"/>
  <c r="W786" i="9"/>
  <c r="P786" i="9"/>
  <c r="N786" i="9"/>
  <c r="M786" i="9"/>
  <c r="C786" i="9"/>
  <c r="A786" i="9"/>
  <c r="W785" i="9"/>
  <c r="P785" i="9"/>
  <c r="N785" i="9"/>
  <c r="M785" i="9"/>
  <c r="C785" i="9"/>
  <c r="A785" i="9"/>
  <c r="W784" i="9"/>
  <c r="P784" i="9"/>
  <c r="N784" i="9"/>
  <c r="M784" i="9"/>
  <c r="C784" i="9"/>
  <c r="A784" i="9"/>
  <c r="W783" i="9"/>
  <c r="P783" i="9"/>
  <c r="N783" i="9"/>
  <c r="M783" i="9"/>
  <c r="C783" i="9"/>
  <c r="A783" i="9"/>
  <c r="W782" i="9"/>
  <c r="P782" i="9"/>
  <c r="N782" i="9"/>
  <c r="M782" i="9"/>
  <c r="C782" i="9"/>
  <c r="A782" i="9"/>
  <c r="W781" i="9"/>
  <c r="P781" i="9"/>
  <c r="N781" i="9"/>
  <c r="M781" i="9"/>
  <c r="C781" i="9"/>
  <c r="A781" i="9"/>
  <c r="W780" i="9"/>
  <c r="P780" i="9"/>
  <c r="N780" i="9"/>
  <c r="M780" i="9"/>
  <c r="C780" i="9"/>
  <c r="A780" i="9"/>
  <c r="W779" i="9"/>
  <c r="P779" i="9"/>
  <c r="N779" i="9"/>
  <c r="M779" i="9"/>
  <c r="C779" i="9"/>
  <c r="A779" i="9"/>
  <c r="W778" i="9"/>
  <c r="P778" i="9"/>
  <c r="N778" i="9"/>
  <c r="M778" i="9"/>
  <c r="C778" i="9"/>
  <c r="A778" i="9"/>
  <c r="W777" i="9"/>
  <c r="P777" i="9"/>
  <c r="N777" i="9"/>
  <c r="M777" i="9"/>
  <c r="C777" i="9"/>
  <c r="A777" i="9"/>
  <c r="W776" i="9"/>
  <c r="P776" i="9"/>
  <c r="N776" i="9"/>
  <c r="M776" i="9"/>
  <c r="C776" i="9"/>
  <c r="A776" i="9"/>
  <c r="W775" i="9"/>
  <c r="P775" i="9"/>
  <c r="N775" i="9"/>
  <c r="M775" i="9"/>
  <c r="C775" i="9"/>
  <c r="A775" i="9"/>
  <c r="W774" i="9"/>
  <c r="P774" i="9"/>
  <c r="N774" i="9"/>
  <c r="M774" i="9"/>
  <c r="C774" i="9"/>
  <c r="A774" i="9"/>
  <c r="W773" i="9"/>
  <c r="P773" i="9"/>
  <c r="N773" i="9"/>
  <c r="M773" i="9"/>
  <c r="C773" i="9"/>
  <c r="A773" i="9"/>
  <c r="W772" i="9"/>
  <c r="P772" i="9"/>
  <c r="N772" i="9"/>
  <c r="M772" i="9"/>
  <c r="C772" i="9"/>
  <c r="A772" i="9"/>
  <c r="W771" i="9"/>
  <c r="P771" i="9"/>
  <c r="N771" i="9"/>
  <c r="M771" i="9"/>
  <c r="C771" i="9"/>
  <c r="A771" i="9"/>
  <c r="W770" i="9"/>
  <c r="P770" i="9"/>
  <c r="N770" i="9"/>
  <c r="M770" i="9"/>
  <c r="C770" i="9"/>
  <c r="A770" i="9"/>
  <c r="W769" i="9"/>
  <c r="P769" i="9"/>
  <c r="N769" i="9"/>
  <c r="M769" i="9"/>
  <c r="C769" i="9"/>
  <c r="A769" i="9"/>
  <c r="W768" i="9"/>
  <c r="P768" i="9"/>
  <c r="N768" i="9"/>
  <c r="M768" i="9"/>
  <c r="C768" i="9"/>
  <c r="A768" i="9"/>
  <c r="W767" i="9"/>
  <c r="P767" i="9"/>
  <c r="N767" i="9"/>
  <c r="M767" i="9"/>
  <c r="C767" i="9"/>
  <c r="A767" i="9"/>
  <c r="W766" i="9"/>
  <c r="P766" i="9"/>
  <c r="N766" i="9"/>
  <c r="M766" i="9"/>
  <c r="C766" i="9"/>
  <c r="A766" i="9"/>
  <c r="W765" i="9"/>
  <c r="P765" i="9"/>
  <c r="N765" i="9"/>
  <c r="M765" i="9"/>
  <c r="C765" i="9"/>
  <c r="A765" i="9"/>
  <c r="W764" i="9"/>
  <c r="P764" i="9"/>
  <c r="N764" i="9"/>
  <c r="M764" i="9"/>
  <c r="C764" i="9"/>
  <c r="A764" i="9"/>
  <c r="W763" i="9"/>
  <c r="P763" i="9"/>
  <c r="N763" i="9"/>
  <c r="M763" i="9"/>
  <c r="C763" i="9"/>
  <c r="A763" i="9"/>
  <c r="W762" i="9"/>
  <c r="P762" i="9"/>
  <c r="N762" i="9"/>
  <c r="M762" i="9"/>
  <c r="C762" i="9"/>
  <c r="A762" i="9"/>
  <c r="W761" i="9"/>
  <c r="P761" i="9"/>
  <c r="N761" i="9"/>
  <c r="M761" i="9"/>
  <c r="C761" i="9"/>
  <c r="A761" i="9"/>
  <c r="W760" i="9"/>
  <c r="P760" i="9"/>
  <c r="N760" i="9"/>
  <c r="M760" i="9"/>
  <c r="C760" i="9"/>
  <c r="A760" i="9"/>
  <c r="W759" i="9"/>
  <c r="P759" i="9"/>
  <c r="N759" i="9"/>
  <c r="M759" i="9"/>
  <c r="C759" i="9"/>
  <c r="A759" i="9"/>
  <c r="W758" i="9"/>
  <c r="P758" i="9"/>
  <c r="N758" i="9"/>
  <c r="M758" i="9"/>
  <c r="C758" i="9"/>
  <c r="A758" i="9"/>
  <c r="W757" i="9"/>
  <c r="P757" i="9"/>
  <c r="N757" i="9"/>
  <c r="M757" i="9"/>
  <c r="C757" i="9"/>
  <c r="A757" i="9"/>
  <c r="W756" i="9"/>
  <c r="P756" i="9"/>
  <c r="N756" i="9"/>
  <c r="M756" i="9"/>
  <c r="C756" i="9"/>
  <c r="A756" i="9"/>
  <c r="W755" i="9"/>
  <c r="P755" i="9"/>
  <c r="N755" i="9"/>
  <c r="M755" i="9"/>
  <c r="C755" i="9"/>
  <c r="A755" i="9"/>
  <c r="W754" i="9"/>
  <c r="P754" i="9"/>
  <c r="N754" i="9"/>
  <c r="M754" i="9"/>
  <c r="C754" i="9"/>
  <c r="A754" i="9"/>
  <c r="W753" i="9"/>
  <c r="P753" i="9"/>
  <c r="N753" i="9"/>
  <c r="M753" i="9"/>
  <c r="C753" i="9"/>
  <c r="A753" i="9"/>
  <c r="W752" i="9"/>
  <c r="P752" i="9"/>
  <c r="N752" i="9"/>
  <c r="M752" i="9"/>
  <c r="C752" i="9"/>
  <c r="A752" i="9"/>
  <c r="W751" i="9"/>
  <c r="P751" i="9"/>
  <c r="N751" i="9"/>
  <c r="M751" i="9"/>
  <c r="C751" i="9"/>
  <c r="A751" i="9"/>
  <c r="W750" i="9"/>
  <c r="P750" i="9"/>
  <c r="N750" i="9"/>
  <c r="M750" i="9"/>
  <c r="C750" i="9"/>
  <c r="A750" i="9"/>
  <c r="W749" i="9"/>
  <c r="P749" i="9"/>
  <c r="N749" i="9"/>
  <c r="M749" i="9"/>
  <c r="C749" i="9"/>
  <c r="A749" i="9"/>
  <c r="W748" i="9"/>
  <c r="P748" i="9"/>
  <c r="N748" i="9"/>
  <c r="M748" i="9"/>
  <c r="C748" i="9"/>
  <c r="A748" i="9"/>
  <c r="W747" i="9"/>
  <c r="P747" i="9"/>
  <c r="N747" i="9"/>
  <c r="M747" i="9"/>
  <c r="C747" i="9"/>
  <c r="A747" i="9"/>
  <c r="W746" i="9"/>
  <c r="P746" i="9"/>
  <c r="N746" i="9"/>
  <c r="M746" i="9"/>
  <c r="C746" i="9"/>
  <c r="A746" i="9"/>
  <c r="W745" i="9"/>
  <c r="P745" i="9"/>
  <c r="N745" i="9"/>
  <c r="M745" i="9"/>
  <c r="C745" i="9"/>
  <c r="A745" i="9"/>
  <c r="W744" i="9"/>
  <c r="P744" i="9"/>
  <c r="N744" i="9"/>
  <c r="M744" i="9"/>
  <c r="C744" i="9"/>
  <c r="A744" i="9"/>
  <c r="W743" i="9"/>
  <c r="P743" i="9"/>
  <c r="N743" i="9"/>
  <c r="M743" i="9"/>
  <c r="C743" i="9"/>
  <c r="A743" i="9"/>
  <c r="W742" i="9"/>
  <c r="P742" i="9"/>
  <c r="N742" i="9"/>
  <c r="M742" i="9"/>
  <c r="C742" i="9"/>
  <c r="A742" i="9"/>
  <c r="W741" i="9"/>
  <c r="P741" i="9"/>
  <c r="N741" i="9"/>
  <c r="M741" i="9"/>
  <c r="C741" i="9"/>
  <c r="A741" i="9"/>
  <c r="W740" i="9"/>
  <c r="P740" i="9"/>
  <c r="N740" i="9"/>
  <c r="M740" i="9"/>
  <c r="C740" i="9"/>
  <c r="A740" i="9"/>
  <c r="W739" i="9"/>
  <c r="P739" i="9"/>
  <c r="N739" i="9"/>
  <c r="M739" i="9"/>
  <c r="C739" i="9"/>
  <c r="A739" i="9"/>
  <c r="W738" i="9"/>
  <c r="P738" i="9"/>
  <c r="N738" i="9"/>
  <c r="M738" i="9"/>
  <c r="C738" i="9"/>
  <c r="A738" i="9"/>
  <c r="W737" i="9"/>
  <c r="P737" i="9"/>
  <c r="N737" i="9"/>
  <c r="M737" i="9"/>
  <c r="C737" i="9"/>
  <c r="A737" i="9"/>
  <c r="W736" i="9"/>
  <c r="P736" i="9"/>
  <c r="N736" i="9"/>
  <c r="M736" i="9"/>
  <c r="C736" i="9"/>
  <c r="A736" i="9"/>
  <c r="W735" i="9"/>
  <c r="P735" i="9"/>
  <c r="N735" i="9"/>
  <c r="M735" i="9"/>
  <c r="C735" i="9"/>
  <c r="A735" i="9"/>
  <c r="W734" i="9"/>
  <c r="P734" i="9"/>
  <c r="N734" i="9"/>
  <c r="M734" i="9"/>
  <c r="C734" i="9"/>
  <c r="A734" i="9"/>
  <c r="W733" i="9"/>
  <c r="P733" i="9"/>
  <c r="N733" i="9"/>
  <c r="M733" i="9"/>
  <c r="C733" i="9"/>
  <c r="A733" i="9"/>
  <c r="W732" i="9"/>
  <c r="P732" i="9"/>
  <c r="N732" i="9"/>
  <c r="M732" i="9"/>
  <c r="C732" i="9"/>
  <c r="A732" i="9"/>
  <c r="W731" i="9"/>
  <c r="P731" i="9"/>
  <c r="N731" i="9"/>
  <c r="M731" i="9"/>
  <c r="C731" i="9"/>
  <c r="A731" i="9"/>
  <c r="W730" i="9"/>
  <c r="P730" i="9"/>
  <c r="N730" i="9"/>
  <c r="M730" i="9"/>
  <c r="C730" i="9"/>
  <c r="A730" i="9"/>
  <c r="W729" i="9"/>
  <c r="P729" i="9"/>
  <c r="N729" i="9"/>
  <c r="M729" i="9"/>
  <c r="C729" i="9"/>
  <c r="A729" i="9"/>
  <c r="W728" i="9"/>
  <c r="P728" i="9"/>
  <c r="N728" i="9"/>
  <c r="M728" i="9"/>
  <c r="C728" i="9"/>
  <c r="A728" i="9"/>
  <c r="W727" i="9"/>
  <c r="P727" i="9"/>
  <c r="N727" i="9"/>
  <c r="M727" i="9"/>
  <c r="C727" i="9"/>
  <c r="A727" i="9"/>
  <c r="W726" i="9"/>
  <c r="P726" i="9"/>
  <c r="N726" i="9"/>
  <c r="M726" i="9"/>
  <c r="C726" i="9"/>
  <c r="A726" i="9"/>
  <c r="W725" i="9"/>
  <c r="P725" i="9"/>
  <c r="N725" i="9"/>
  <c r="M725" i="9"/>
  <c r="C725" i="9"/>
  <c r="A725" i="9"/>
  <c r="W724" i="9"/>
  <c r="P724" i="9"/>
  <c r="N724" i="9"/>
  <c r="M724" i="9"/>
  <c r="C724" i="9"/>
  <c r="A724" i="9"/>
  <c r="W723" i="9"/>
  <c r="P723" i="9"/>
  <c r="N723" i="9"/>
  <c r="M723" i="9"/>
  <c r="C723" i="9"/>
  <c r="A723" i="9"/>
  <c r="W722" i="9"/>
  <c r="P722" i="9"/>
  <c r="N722" i="9"/>
  <c r="M722" i="9"/>
  <c r="C722" i="9"/>
  <c r="A722" i="9"/>
  <c r="W721" i="9"/>
  <c r="P721" i="9"/>
  <c r="N721" i="9"/>
  <c r="M721" i="9"/>
  <c r="C721" i="9"/>
  <c r="A721" i="9"/>
  <c r="W720" i="9"/>
  <c r="P720" i="9"/>
  <c r="N720" i="9"/>
  <c r="M720" i="9"/>
  <c r="C720" i="9"/>
  <c r="A720" i="9"/>
  <c r="W719" i="9"/>
  <c r="P719" i="9"/>
  <c r="N719" i="9"/>
  <c r="M719" i="9"/>
  <c r="C719" i="9"/>
  <c r="A719" i="9"/>
  <c r="W718" i="9"/>
  <c r="P718" i="9"/>
  <c r="N718" i="9"/>
  <c r="M718" i="9"/>
  <c r="C718" i="9"/>
  <c r="A718" i="9"/>
  <c r="W717" i="9"/>
  <c r="P717" i="9"/>
  <c r="N717" i="9"/>
  <c r="M717" i="9"/>
  <c r="C717" i="9"/>
  <c r="A717" i="9"/>
  <c r="W716" i="9"/>
  <c r="P716" i="9"/>
  <c r="N716" i="9"/>
  <c r="M716" i="9"/>
  <c r="C716" i="9"/>
  <c r="A716" i="9"/>
  <c r="W715" i="9"/>
  <c r="P715" i="9"/>
  <c r="N715" i="9"/>
  <c r="M715" i="9"/>
  <c r="C715" i="9"/>
  <c r="A715" i="9"/>
  <c r="W714" i="9"/>
  <c r="P714" i="9"/>
  <c r="N714" i="9"/>
  <c r="M714" i="9"/>
  <c r="C714" i="9"/>
  <c r="A714" i="9"/>
  <c r="W713" i="9"/>
  <c r="P713" i="9"/>
  <c r="N713" i="9"/>
  <c r="M713" i="9"/>
  <c r="C713" i="9"/>
  <c r="A713" i="9"/>
  <c r="W712" i="9"/>
  <c r="P712" i="9"/>
  <c r="N712" i="9"/>
  <c r="M712" i="9"/>
  <c r="C712" i="9"/>
  <c r="A712" i="9"/>
  <c r="W711" i="9"/>
  <c r="P711" i="9"/>
  <c r="N711" i="9"/>
  <c r="M711" i="9"/>
  <c r="C711" i="9"/>
  <c r="A711" i="9"/>
  <c r="W710" i="9"/>
  <c r="P710" i="9"/>
  <c r="N710" i="9"/>
  <c r="M710" i="9"/>
  <c r="C710" i="9"/>
  <c r="A710" i="9"/>
  <c r="W709" i="9"/>
  <c r="P709" i="9"/>
  <c r="N709" i="9"/>
  <c r="M709" i="9"/>
  <c r="C709" i="9"/>
  <c r="A709" i="9"/>
  <c r="W708" i="9"/>
  <c r="P708" i="9"/>
  <c r="N708" i="9"/>
  <c r="M708" i="9"/>
  <c r="C708" i="9"/>
  <c r="A708" i="9"/>
  <c r="W707" i="9"/>
  <c r="P707" i="9"/>
  <c r="N707" i="9"/>
  <c r="M707" i="9"/>
  <c r="C707" i="9"/>
  <c r="A707" i="9"/>
  <c r="W706" i="9"/>
  <c r="P706" i="9"/>
  <c r="N706" i="9"/>
  <c r="M706" i="9"/>
  <c r="C706" i="9"/>
  <c r="A706" i="9"/>
  <c r="W705" i="9"/>
  <c r="P705" i="9"/>
  <c r="N705" i="9"/>
  <c r="M705" i="9"/>
  <c r="C705" i="9"/>
  <c r="A705" i="9"/>
  <c r="W704" i="9"/>
  <c r="P704" i="9"/>
  <c r="N704" i="9"/>
  <c r="M704" i="9"/>
  <c r="C704" i="9"/>
  <c r="A704" i="9"/>
  <c r="W703" i="9"/>
  <c r="P703" i="9"/>
  <c r="N703" i="9"/>
  <c r="M703" i="9"/>
  <c r="C703" i="9"/>
  <c r="A703" i="9"/>
  <c r="W702" i="9"/>
  <c r="P702" i="9"/>
  <c r="N702" i="9"/>
  <c r="M702" i="9"/>
  <c r="C702" i="9"/>
  <c r="A702" i="9"/>
  <c r="W701" i="9"/>
  <c r="P701" i="9"/>
  <c r="N701" i="9"/>
  <c r="M701" i="9"/>
  <c r="C701" i="9"/>
  <c r="A701" i="9"/>
  <c r="W700" i="9"/>
  <c r="P700" i="9"/>
  <c r="N700" i="9"/>
  <c r="M700" i="9"/>
  <c r="C700" i="9"/>
  <c r="A700" i="9"/>
  <c r="W699" i="9"/>
  <c r="P699" i="9"/>
  <c r="N699" i="9"/>
  <c r="M699" i="9"/>
  <c r="C699" i="9"/>
  <c r="A699" i="9"/>
  <c r="W698" i="9"/>
  <c r="P698" i="9"/>
  <c r="N698" i="9"/>
  <c r="M698" i="9"/>
  <c r="C698" i="9"/>
  <c r="A698" i="9"/>
  <c r="W697" i="9"/>
  <c r="P697" i="9"/>
  <c r="N697" i="9"/>
  <c r="M697" i="9"/>
  <c r="C697" i="9"/>
  <c r="A697" i="9"/>
  <c r="W696" i="9"/>
  <c r="P696" i="9"/>
  <c r="N696" i="9"/>
  <c r="M696" i="9"/>
  <c r="C696" i="9"/>
  <c r="A696" i="9"/>
  <c r="W695" i="9"/>
  <c r="P695" i="9"/>
  <c r="N695" i="9"/>
  <c r="M695" i="9"/>
  <c r="C695" i="9"/>
  <c r="A695" i="9"/>
  <c r="W694" i="9"/>
  <c r="P694" i="9"/>
  <c r="N694" i="9"/>
  <c r="M694" i="9"/>
  <c r="C694" i="9"/>
  <c r="A694" i="9"/>
  <c r="W693" i="9"/>
  <c r="P693" i="9"/>
  <c r="N693" i="9"/>
  <c r="M693" i="9"/>
  <c r="C693" i="9"/>
  <c r="A693" i="9"/>
  <c r="W692" i="9"/>
  <c r="P692" i="9"/>
  <c r="N692" i="9"/>
  <c r="M692" i="9"/>
  <c r="C692" i="9"/>
  <c r="A692" i="9"/>
  <c r="W691" i="9"/>
  <c r="P691" i="9"/>
  <c r="N691" i="9"/>
  <c r="M691" i="9"/>
  <c r="C691" i="9"/>
  <c r="A691" i="9"/>
  <c r="W690" i="9"/>
  <c r="P690" i="9"/>
  <c r="N690" i="9"/>
  <c r="M690" i="9"/>
  <c r="C690" i="9"/>
  <c r="A690" i="9"/>
  <c r="W689" i="9"/>
  <c r="P689" i="9"/>
  <c r="N689" i="9"/>
  <c r="M689" i="9"/>
  <c r="C689" i="9"/>
  <c r="A689" i="9"/>
  <c r="W688" i="9"/>
  <c r="P688" i="9"/>
  <c r="N688" i="9"/>
  <c r="M688" i="9"/>
  <c r="C688" i="9"/>
  <c r="A688" i="9"/>
  <c r="W687" i="9"/>
  <c r="P687" i="9"/>
  <c r="N687" i="9"/>
  <c r="M687" i="9"/>
  <c r="C687" i="9"/>
  <c r="A687" i="9"/>
  <c r="W686" i="9"/>
  <c r="P686" i="9"/>
  <c r="N686" i="9"/>
  <c r="M686" i="9"/>
  <c r="C686" i="9"/>
  <c r="A686" i="9"/>
  <c r="W685" i="9"/>
  <c r="P685" i="9"/>
  <c r="N685" i="9"/>
  <c r="M685" i="9"/>
  <c r="C685" i="9"/>
  <c r="A685" i="9"/>
  <c r="W684" i="9"/>
  <c r="P684" i="9"/>
  <c r="N684" i="9"/>
  <c r="M684" i="9"/>
  <c r="C684" i="9"/>
  <c r="A684" i="9"/>
  <c r="W683" i="9"/>
  <c r="P683" i="9"/>
  <c r="N683" i="9"/>
  <c r="M683" i="9"/>
  <c r="C683" i="9"/>
  <c r="A683" i="9"/>
  <c r="W682" i="9"/>
  <c r="P682" i="9"/>
  <c r="N682" i="9"/>
  <c r="M682" i="9"/>
  <c r="C682" i="9"/>
  <c r="A682" i="9"/>
  <c r="W681" i="9"/>
  <c r="P681" i="9"/>
  <c r="N681" i="9"/>
  <c r="M681" i="9"/>
  <c r="C681" i="9"/>
  <c r="A681" i="9"/>
  <c r="W680" i="9"/>
  <c r="P680" i="9"/>
  <c r="N680" i="9"/>
  <c r="M680" i="9"/>
  <c r="C680" i="9"/>
  <c r="A680" i="9"/>
  <c r="W679" i="9"/>
  <c r="P679" i="9"/>
  <c r="N679" i="9"/>
  <c r="M679" i="9"/>
  <c r="C679" i="9"/>
  <c r="A679" i="9"/>
  <c r="W678" i="9"/>
  <c r="P678" i="9"/>
  <c r="N678" i="9"/>
  <c r="M678" i="9"/>
  <c r="C678" i="9"/>
  <c r="A678" i="9"/>
  <c r="W677" i="9"/>
  <c r="P677" i="9"/>
  <c r="N677" i="9"/>
  <c r="M677" i="9"/>
  <c r="C677" i="9"/>
  <c r="A677" i="9"/>
  <c r="W676" i="9"/>
  <c r="P676" i="9"/>
  <c r="N676" i="9"/>
  <c r="M676" i="9"/>
  <c r="C676" i="9"/>
  <c r="A676" i="9"/>
  <c r="W675" i="9"/>
  <c r="P675" i="9"/>
  <c r="N675" i="9"/>
  <c r="M675" i="9"/>
  <c r="C675" i="9"/>
  <c r="A675" i="9"/>
  <c r="W674" i="9"/>
  <c r="P674" i="9"/>
  <c r="N674" i="9"/>
  <c r="M674" i="9"/>
  <c r="C674" i="9"/>
  <c r="A674" i="9"/>
  <c r="W673" i="9"/>
  <c r="P673" i="9"/>
  <c r="N673" i="9"/>
  <c r="M673" i="9"/>
  <c r="C673" i="9"/>
  <c r="A673" i="9"/>
  <c r="W672" i="9"/>
  <c r="P672" i="9"/>
  <c r="N672" i="9"/>
  <c r="M672" i="9"/>
  <c r="C672" i="9"/>
  <c r="A672" i="9"/>
  <c r="W671" i="9"/>
  <c r="P671" i="9"/>
  <c r="N671" i="9"/>
  <c r="M671" i="9"/>
  <c r="C671" i="9"/>
  <c r="A671" i="9"/>
  <c r="W670" i="9"/>
  <c r="P670" i="9"/>
  <c r="N670" i="9"/>
  <c r="M670" i="9"/>
  <c r="C670" i="9"/>
  <c r="A670" i="9"/>
  <c r="W669" i="9"/>
  <c r="P669" i="9"/>
  <c r="N669" i="9"/>
  <c r="M669" i="9"/>
  <c r="C669" i="9"/>
  <c r="A669" i="9"/>
  <c r="W668" i="9"/>
  <c r="P668" i="9"/>
  <c r="N668" i="9"/>
  <c r="M668" i="9"/>
  <c r="C668" i="9"/>
  <c r="A668" i="9"/>
  <c r="W667" i="9"/>
  <c r="P667" i="9"/>
  <c r="N667" i="9"/>
  <c r="M667" i="9"/>
  <c r="C667" i="9"/>
  <c r="A667" i="9"/>
  <c r="W666" i="9"/>
  <c r="P666" i="9"/>
  <c r="N666" i="9"/>
  <c r="M666" i="9"/>
  <c r="C666" i="9"/>
  <c r="A666" i="9"/>
  <c r="W665" i="9"/>
  <c r="P665" i="9"/>
  <c r="N665" i="9"/>
  <c r="M665" i="9"/>
  <c r="C665" i="9"/>
  <c r="A665" i="9"/>
  <c r="W664" i="9"/>
  <c r="P664" i="9"/>
  <c r="N664" i="9"/>
  <c r="M664" i="9"/>
  <c r="C664" i="9"/>
  <c r="A664" i="9"/>
  <c r="W663" i="9"/>
  <c r="P663" i="9"/>
  <c r="N663" i="9"/>
  <c r="M663" i="9"/>
  <c r="C663" i="9"/>
  <c r="A663" i="9"/>
  <c r="W662" i="9"/>
  <c r="P662" i="9"/>
  <c r="N662" i="9"/>
  <c r="M662" i="9"/>
  <c r="C662" i="9"/>
  <c r="A662" i="9"/>
  <c r="W661" i="9"/>
  <c r="P661" i="9"/>
  <c r="N661" i="9"/>
  <c r="M661" i="9"/>
  <c r="C661" i="9"/>
  <c r="A661" i="9"/>
  <c r="W660" i="9"/>
  <c r="P660" i="9"/>
  <c r="N660" i="9"/>
  <c r="M660" i="9"/>
  <c r="C660" i="9"/>
  <c r="A660" i="9"/>
  <c r="W659" i="9"/>
  <c r="P659" i="9"/>
  <c r="N659" i="9"/>
  <c r="M659" i="9"/>
  <c r="C659" i="9"/>
  <c r="A659" i="9"/>
  <c r="W658" i="9"/>
  <c r="P658" i="9"/>
  <c r="N658" i="9"/>
  <c r="M658" i="9"/>
  <c r="C658" i="9"/>
  <c r="A658" i="9"/>
  <c r="W657" i="9"/>
  <c r="P657" i="9"/>
  <c r="N657" i="9"/>
  <c r="M657" i="9"/>
  <c r="C657" i="9"/>
  <c r="A657" i="9"/>
  <c r="W656" i="9"/>
  <c r="P656" i="9"/>
  <c r="N656" i="9"/>
  <c r="M656" i="9"/>
  <c r="C656" i="9"/>
  <c r="A656" i="9"/>
  <c r="W655" i="9"/>
  <c r="P655" i="9"/>
  <c r="N655" i="9"/>
  <c r="M655" i="9"/>
  <c r="C655" i="9"/>
  <c r="A655" i="9"/>
  <c r="W654" i="9"/>
  <c r="P654" i="9"/>
  <c r="N654" i="9"/>
  <c r="M654" i="9"/>
  <c r="C654" i="9"/>
  <c r="A654" i="9"/>
  <c r="W653" i="9"/>
  <c r="P653" i="9"/>
  <c r="N653" i="9"/>
  <c r="M653" i="9"/>
  <c r="C653" i="9"/>
  <c r="A653" i="9"/>
  <c r="W652" i="9"/>
  <c r="P652" i="9"/>
  <c r="N652" i="9"/>
  <c r="M652" i="9"/>
  <c r="C652" i="9"/>
  <c r="A652" i="9"/>
  <c r="W651" i="9"/>
  <c r="P651" i="9"/>
  <c r="N651" i="9"/>
  <c r="M651" i="9"/>
  <c r="C651" i="9"/>
  <c r="A651" i="9"/>
  <c r="W650" i="9"/>
  <c r="P650" i="9"/>
  <c r="N650" i="9"/>
  <c r="M650" i="9"/>
  <c r="C650" i="9"/>
  <c r="A650" i="9"/>
  <c r="W649" i="9"/>
  <c r="P649" i="9"/>
  <c r="N649" i="9"/>
  <c r="M649" i="9"/>
  <c r="C649" i="9"/>
  <c r="A649" i="9"/>
  <c r="W648" i="9"/>
  <c r="P648" i="9"/>
  <c r="N648" i="9"/>
  <c r="M648" i="9"/>
  <c r="C648" i="9"/>
  <c r="A648" i="9"/>
  <c r="W647" i="9"/>
  <c r="P647" i="9"/>
  <c r="N647" i="9"/>
  <c r="M647" i="9"/>
  <c r="C647" i="9"/>
  <c r="A647" i="9"/>
  <c r="W646" i="9"/>
  <c r="P646" i="9"/>
  <c r="N646" i="9"/>
  <c r="M646" i="9"/>
  <c r="C646" i="9"/>
  <c r="A646" i="9"/>
  <c r="W645" i="9"/>
  <c r="P645" i="9"/>
  <c r="N645" i="9"/>
  <c r="M645" i="9"/>
  <c r="C645" i="9"/>
  <c r="A645" i="9"/>
  <c r="W644" i="9"/>
  <c r="P644" i="9"/>
  <c r="N644" i="9"/>
  <c r="M644" i="9"/>
  <c r="C644" i="9"/>
  <c r="A644" i="9"/>
  <c r="W643" i="9"/>
  <c r="P643" i="9"/>
  <c r="N643" i="9"/>
  <c r="M643" i="9"/>
  <c r="C643" i="9"/>
  <c r="A643" i="9"/>
  <c r="W642" i="9"/>
  <c r="P642" i="9"/>
  <c r="N642" i="9"/>
  <c r="M642" i="9"/>
  <c r="C642" i="9"/>
  <c r="A642" i="9"/>
  <c r="W641" i="9"/>
  <c r="P641" i="9"/>
  <c r="N641" i="9"/>
  <c r="M641" i="9"/>
  <c r="C641" i="9"/>
  <c r="A641" i="9"/>
  <c r="W640" i="9"/>
  <c r="P640" i="9"/>
  <c r="N640" i="9"/>
  <c r="M640" i="9"/>
  <c r="C640" i="9"/>
  <c r="A640" i="9"/>
  <c r="W639" i="9"/>
  <c r="P639" i="9"/>
  <c r="N639" i="9"/>
  <c r="M639" i="9"/>
  <c r="C639" i="9"/>
  <c r="A639" i="9"/>
  <c r="W638" i="9"/>
  <c r="P638" i="9"/>
  <c r="N638" i="9"/>
  <c r="M638" i="9"/>
  <c r="C638" i="9"/>
  <c r="A638" i="9"/>
  <c r="W637" i="9"/>
  <c r="P637" i="9"/>
  <c r="N637" i="9"/>
  <c r="M637" i="9"/>
  <c r="C637" i="9"/>
  <c r="A637" i="9"/>
  <c r="W636" i="9"/>
  <c r="P636" i="9"/>
  <c r="N636" i="9"/>
  <c r="M636" i="9"/>
  <c r="C636" i="9"/>
  <c r="A636" i="9"/>
  <c r="W635" i="9"/>
  <c r="P635" i="9"/>
  <c r="N635" i="9"/>
  <c r="M635" i="9"/>
  <c r="C635" i="9"/>
  <c r="A635" i="9"/>
  <c r="W634" i="9"/>
  <c r="P634" i="9"/>
  <c r="N634" i="9"/>
  <c r="M634" i="9"/>
  <c r="C634" i="9"/>
  <c r="A634" i="9"/>
  <c r="W633" i="9"/>
  <c r="P633" i="9"/>
  <c r="N633" i="9"/>
  <c r="M633" i="9"/>
  <c r="C633" i="9"/>
  <c r="A633" i="9"/>
  <c r="W632" i="9"/>
  <c r="P632" i="9"/>
  <c r="N632" i="9"/>
  <c r="M632" i="9"/>
  <c r="C632" i="9"/>
  <c r="A632" i="9"/>
  <c r="W631" i="9"/>
  <c r="P631" i="9"/>
  <c r="N631" i="9"/>
  <c r="M631" i="9"/>
  <c r="C631" i="9"/>
  <c r="A631" i="9"/>
  <c r="W630" i="9"/>
  <c r="P630" i="9"/>
  <c r="N630" i="9"/>
  <c r="M630" i="9"/>
  <c r="C630" i="9"/>
  <c r="A630" i="9"/>
  <c r="W629" i="9"/>
  <c r="P629" i="9"/>
  <c r="N629" i="9"/>
  <c r="M629" i="9"/>
  <c r="C629" i="9"/>
  <c r="A629" i="9"/>
  <c r="W628" i="9"/>
  <c r="P628" i="9"/>
  <c r="N628" i="9"/>
  <c r="M628" i="9"/>
  <c r="C628" i="9"/>
  <c r="A628" i="9"/>
  <c r="W627" i="9"/>
  <c r="P627" i="9"/>
  <c r="N627" i="9"/>
  <c r="M627" i="9"/>
  <c r="C627" i="9"/>
  <c r="A627" i="9"/>
  <c r="W626" i="9"/>
  <c r="P626" i="9"/>
  <c r="N626" i="9"/>
  <c r="M626" i="9"/>
  <c r="C626" i="9"/>
  <c r="A626" i="9"/>
  <c r="W625" i="9"/>
  <c r="P625" i="9"/>
  <c r="N625" i="9"/>
  <c r="M625" i="9"/>
  <c r="C625" i="9"/>
  <c r="A625" i="9"/>
  <c r="W624" i="9"/>
  <c r="P624" i="9"/>
  <c r="N624" i="9"/>
  <c r="M624" i="9"/>
  <c r="C624" i="9"/>
  <c r="A624" i="9"/>
  <c r="W623" i="9"/>
  <c r="P623" i="9"/>
  <c r="N623" i="9"/>
  <c r="M623" i="9"/>
  <c r="C623" i="9"/>
  <c r="A623" i="9"/>
  <c r="W622" i="9"/>
  <c r="P622" i="9"/>
  <c r="N622" i="9"/>
  <c r="M622" i="9"/>
  <c r="C622" i="9"/>
  <c r="A622" i="9"/>
  <c r="W621" i="9"/>
  <c r="P621" i="9"/>
  <c r="N621" i="9"/>
  <c r="M621" i="9"/>
  <c r="C621" i="9"/>
  <c r="A621" i="9"/>
  <c r="W620" i="9"/>
  <c r="P620" i="9"/>
  <c r="N620" i="9"/>
  <c r="M620" i="9"/>
  <c r="C620" i="9"/>
  <c r="A620" i="9"/>
  <c r="W619" i="9"/>
  <c r="P619" i="9"/>
  <c r="N619" i="9"/>
  <c r="M619" i="9"/>
  <c r="C619" i="9"/>
  <c r="A619" i="9"/>
  <c r="W618" i="9"/>
  <c r="P618" i="9"/>
  <c r="N618" i="9"/>
  <c r="M618" i="9"/>
  <c r="C618" i="9"/>
  <c r="A618" i="9"/>
  <c r="W617" i="9"/>
  <c r="P617" i="9"/>
  <c r="N617" i="9"/>
  <c r="M617" i="9"/>
  <c r="C617" i="9"/>
  <c r="A617" i="9"/>
  <c r="W616" i="9"/>
  <c r="P616" i="9"/>
  <c r="N616" i="9"/>
  <c r="M616" i="9"/>
  <c r="C616" i="9"/>
  <c r="A616" i="9"/>
  <c r="W615" i="9"/>
  <c r="P615" i="9"/>
  <c r="N615" i="9"/>
  <c r="M615" i="9"/>
  <c r="C615" i="9"/>
  <c r="A615" i="9"/>
  <c r="W614" i="9"/>
  <c r="P614" i="9"/>
  <c r="N614" i="9"/>
  <c r="M614" i="9"/>
  <c r="C614" i="9"/>
  <c r="A614" i="9"/>
  <c r="W613" i="9"/>
  <c r="P613" i="9"/>
  <c r="N613" i="9"/>
  <c r="M613" i="9"/>
  <c r="C613" i="9"/>
  <c r="A613" i="9"/>
  <c r="W612" i="9"/>
  <c r="P612" i="9"/>
  <c r="N612" i="9"/>
  <c r="M612" i="9"/>
  <c r="C612" i="9"/>
  <c r="A612" i="9"/>
  <c r="W611" i="9"/>
  <c r="P611" i="9"/>
  <c r="N611" i="9"/>
  <c r="M611" i="9"/>
  <c r="C611" i="9"/>
  <c r="A611" i="9"/>
  <c r="W610" i="9"/>
  <c r="P610" i="9"/>
  <c r="N610" i="9"/>
  <c r="M610" i="9"/>
  <c r="C610" i="9"/>
  <c r="A610" i="9"/>
  <c r="W609" i="9"/>
  <c r="P609" i="9"/>
  <c r="N609" i="9"/>
  <c r="M609" i="9"/>
  <c r="C609" i="9"/>
  <c r="A609" i="9"/>
  <c r="W608" i="9"/>
  <c r="P608" i="9"/>
  <c r="N608" i="9"/>
  <c r="M608" i="9"/>
  <c r="C608" i="9"/>
  <c r="A608" i="9"/>
  <c r="W607" i="9"/>
  <c r="P607" i="9"/>
  <c r="N607" i="9"/>
  <c r="M607" i="9"/>
  <c r="C607" i="9"/>
  <c r="A607" i="9"/>
  <c r="W606" i="9"/>
  <c r="P606" i="9"/>
  <c r="N606" i="9"/>
  <c r="M606" i="9"/>
  <c r="C606" i="9"/>
  <c r="A606" i="9"/>
  <c r="W605" i="9"/>
  <c r="P605" i="9"/>
  <c r="N605" i="9"/>
  <c r="M605" i="9"/>
  <c r="C605" i="9"/>
  <c r="A605" i="9"/>
  <c r="W604" i="9"/>
  <c r="P604" i="9"/>
  <c r="N604" i="9"/>
  <c r="M604" i="9"/>
  <c r="C604" i="9"/>
  <c r="A604" i="9"/>
  <c r="W603" i="9"/>
  <c r="P603" i="9"/>
  <c r="N603" i="9"/>
  <c r="M603" i="9"/>
  <c r="C603" i="9"/>
  <c r="A603" i="9"/>
  <c r="W602" i="9"/>
  <c r="P602" i="9"/>
  <c r="N602" i="9"/>
  <c r="M602" i="9"/>
  <c r="C602" i="9"/>
  <c r="A602" i="9"/>
  <c r="W601" i="9"/>
  <c r="P601" i="9"/>
  <c r="N601" i="9"/>
  <c r="M601" i="9"/>
  <c r="C601" i="9"/>
  <c r="A601" i="9"/>
  <c r="W600" i="9"/>
  <c r="P600" i="9"/>
  <c r="N600" i="9"/>
  <c r="M600" i="9"/>
  <c r="C600" i="9"/>
  <c r="A600" i="9"/>
  <c r="W599" i="9"/>
  <c r="P599" i="9"/>
  <c r="N599" i="9"/>
  <c r="M599" i="9"/>
  <c r="C599" i="9"/>
  <c r="A599" i="9"/>
  <c r="W598" i="9"/>
  <c r="P598" i="9"/>
  <c r="N598" i="9"/>
  <c r="M598" i="9"/>
  <c r="C598" i="9"/>
  <c r="A598" i="9"/>
  <c r="W597" i="9"/>
  <c r="P597" i="9"/>
  <c r="N597" i="9"/>
  <c r="M597" i="9"/>
  <c r="C597" i="9"/>
  <c r="A597" i="9"/>
  <c r="W596" i="9"/>
  <c r="P596" i="9"/>
  <c r="N596" i="9"/>
  <c r="M596" i="9"/>
  <c r="C596" i="9"/>
  <c r="A596" i="9"/>
  <c r="W595" i="9"/>
  <c r="P595" i="9"/>
  <c r="N595" i="9"/>
  <c r="M595" i="9"/>
  <c r="C595" i="9"/>
  <c r="A595" i="9"/>
  <c r="W594" i="9"/>
  <c r="P594" i="9"/>
  <c r="N594" i="9"/>
  <c r="M594" i="9"/>
  <c r="C594" i="9"/>
  <c r="A594" i="9"/>
  <c r="W593" i="9"/>
  <c r="P593" i="9"/>
  <c r="N593" i="9"/>
  <c r="M593" i="9"/>
  <c r="C593" i="9"/>
  <c r="A593" i="9"/>
  <c r="W592" i="9"/>
  <c r="P592" i="9"/>
  <c r="N592" i="9"/>
  <c r="M592" i="9"/>
  <c r="C592" i="9"/>
  <c r="A592" i="9"/>
  <c r="W591" i="9"/>
  <c r="P591" i="9"/>
  <c r="N591" i="9"/>
  <c r="M591" i="9"/>
  <c r="C591" i="9"/>
  <c r="A591" i="9"/>
  <c r="W590" i="9"/>
  <c r="P590" i="9"/>
  <c r="N590" i="9"/>
  <c r="M590" i="9"/>
  <c r="C590" i="9"/>
  <c r="A590" i="9"/>
  <c r="W589" i="9"/>
  <c r="P589" i="9"/>
  <c r="N589" i="9"/>
  <c r="M589" i="9"/>
  <c r="C589" i="9"/>
  <c r="A589" i="9"/>
  <c r="W588" i="9"/>
  <c r="P588" i="9"/>
  <c r="N588" i="9"/>
  <c r="M588" i="9"/>
  <c r="C588" i="9"/>
  <c r="A588" i="9"/>
  <c r="W587" i="9"/>
  <c r="P587" i="9"/>
  <c r="N587" i="9"/>
  <c r="M587" i="9"/>
  <c r="C587" i="9"/>
  <c r="A587" i="9"/>
  <c r="W586" i="9"/>
  <c r="P586" i="9"/>
  <c r="N586" i="9"/>
  <c r="M586" i="9"/>
  <c r="C586" i="9"/>
  <c r="A586" i="9"/>
  <c r="W585" i="9"/>
  <c r="P585" i="9"/>
  <c r="N585" i="9"/>
  <c r="M585" i="9"/>
  <c r="C585" i="9"/>
  <c r="A585" i="9"/>
  <c r="W584" i="9"/>
  <c r="P584" i="9"/>
  <c r="N584" i="9"/>
  <c r="M584" i="9"/>
  <c r="C584" i="9"/>
  <c r="A584" i="9"/>
  <c r="W583" i="9"/>
  <c r="P583" i="9"/>
  <c r="N583" i="9"/>
  <c r="M583" i="9"/>
  <c r="C583" i="9"/>
  <c r="A583" i="9"/>
  <c r="W582" i="9"/>
  <c r="P582" i="9"/>
  <c r="N582" i="9"/>
  <c r="M582" i="9"/>
  <c r="C582" i="9"/>
  <c r="A582" i="9"/>
  <c r="W581" i="9"/>
  <c r="P581" i="9"/>
  <c r="N581" i="9"/>
  <c r="M581" i="9"/>
  <c r="C581" i="9"/>
  <c r="A581" i="9"/>
  <c r="W580" i="9"/>
  <c r="P580" i="9"/>
  <c r="N580" i="9"/>
  <c r="M580" i="9"/>
  <c r="C580" i="9"/>
  <c r="A580" i="9"/>
  <c r="W579" i="9"/>
  <c r="P579" i="9"/>
  <c r="N579" i="9"/>
  <c r="M579" i="9"/>
  <c r="C579" i="9"/>
  <c r="A579" i="9"/>
  <c r="W578" i="9"/>
  <c r="P578" i="9"/>
  <c r="N578" i="9"/>
  <c r="M578" i="9"/>
  <c r="C578" i="9"/>
  <c r="A578" i="9"/>
  <c r="W577" i="9"/>
  <c r="P577" i="9"/>
  <c r="N577" i="9"/>
  <c r="M577" i="9"/>
  <c r="C577" i="9"/>
  <c r="A577" i="9"/>
  <c r="W576" i="9"/>
  <c r="P576" i="9"/>
  <c r="N576" i="9"/>
  <c r="M576" i="9"/>
  <c r="C576" i="9"/>
  <c r="A576" i="9"/>
  <c r="W575" i="9"/>
  <c r="P575" i="9"/>
  <c r="N575" i="9"/>
  <c r="M575" i="9"/>
  <c r="C575" i="9"/>
  <c r="A575" i="9"/>
  <c r="W574" i="9"/>
  <c r="P574" i="9"/>
  <c r="N574" i="9"/>
  <c r="M574" i="9"/>
  <c r="C574" i="9"/>
  <c r="A574" i="9"/>
  <c r="W573" i="9"/>
  <c r="P573" i="9"/>
  <c r="N573" i="9"/>
  <c r="M573" i="9"/>
  <c r="C573" i="9"/>
  <c r="A573" i="9"/>
  <c r="W572" i="9"/>
  <c r="P572" i="9"/>
  <c r="N572" i="9"/>
  <c r="M572" i="9"/>
  <c r="C572" i="9"/>
  <c r="A572" i="9"/>
  <c r="W571" i="9"/>
  <c r="P571" i="9"/>
  <c r="N571" i="9"/>
  <c r="M571" i="9"/>
  <c r="C571" i="9"/>
  <c r="A571" i="9"/>
  <c r="W570" i="9"/>
  <c r="P570" i="9"/>
  <c r="N570" i="9"/>
  <c r="M570" i="9"/>
  <c r="C570" i="9"/>
  <c r="A570" i="9"/>
  <c r="W569" i="9"/>
  <c r="P569" i="9"/>
  <c r="N569" i="9"/>
  <c r="M569" i="9"/>
  <c r="C569" i="9"/>
  <c r="A569" i="9"/>
  <c r="W568" i="9"/>
  <c r="P568" i="9"/>
  <c r="N568" i="9"/>
  <c r="M568" i="9"/>
  <c r="C568" i="9"/>
  <c r="A568" i="9"/>
  <c r="W567" i="9"/>
  <c r="P567" i="9"/>
  <c r="N567" i="9"/>
  <c r="M567" i="9"/>
  <c r="C567" i="9"/>
  <c r="A567" i="9"/>
  <c r="W566" i="9"/>
  <c r="P566" i="9"/>
  <c r="N566" i="9"/>
  <c r="M566" i="9"/>
  <c r="C566" i="9"/>
  <c r="A566" i="9"/>
  <c r="W565" i="9"/>
  <c r="P565" i="9"/>
  <c r="N565" i="9"/>
  <c r="M565" i="9"/>
  <c r="C565" i="9"/>
  <c r="A565" i="9"/>
  <c r="W564" i="9"/>
  <c r="P564" i="9"/>
  <c r="N564" i="9"/>
  <c r="M564" i="9"/>
  <c r="C564" i="9"/>
  <c r="A564" i="9"/>
  <c r="W563" i="9"/>
  <c r="P563" i="9"/>
  <c r="N563" i="9"/>
  <c r="M563" i="9"/>
  <c r="C563" i="9"/>
  <c r="A563" i="9"/>
  <c r="W562" i="9"/>
  <c r="P562" i="9"/>
  <c r="N562" i="9"/>
  <c r="M562" i="9"/>
  <c r="C562" i="9"/>
  <c r="A562" i="9"/>
  <c r="W561" i="9"/>
  <c r="P561" i="9"/>
  <c r="N561" i="9"/>
  <c r="M561" i="9"/>
  <c r="C561" i="9"/>
  <c r="A561" i="9"/>
  <c r="W560" i="9"/>
  <c r="P560" i="9"/>
  <c r="N560" i="9"/>
  <c r="M560" i="9"/>
  <c r="C560" i="9"/>
  <c r="A560" i="9"/>
  <c r="W559" i="9"/>
  <c r="P559" i="9"/>
  <c r="N559" i="9"/>
  <c r="M559" i="9"/>
  <c r="C559" i="9"/>
  <c r="A559" i="9"/>
  <c r="W558" i="9"/>
  <c r="P558" i="9"/>
  <c r="N558" i="9"/>
  <c r="M558" i="9"/>
  <c r="C558" i="9"/>
  <c r="A558" i="9"/>
  <c r="W557" i="9"/>
  <c r="P557" i="9"/>
  <c r="N557" i="9"/>
  <c r="M557" i="9"/>
  <c r="C557" i="9"/>
  <c r="A557" i="9"/>
  <c r="W556" i="9"/>
  <c r="P556" i="9"/>
  <c r="N556" i="9"/>
  <c r="M556" i="9"/>
  <c r="C556" i="9"/>
  <c r="A556" i="9"/>
  <c r="W555" i="9"/>
  <c r="P555" i="9"/>
  <c r="N555" i="9"/>
  <c r="M555" i="9"/>
  <c r="C555" i="9"/>
  <c r="A555" i="9"/>
  <c r="W554" i="9"/>
  <c r="P554" i="9"/>
  <c r="N554" i="9"/>
  <c r="M554" i="9"/>
  <c r="C554" i="9"/>
  <c r="A554" i="9"/>
  <c r="W553" i="9"/>
  <c r="P553" i="9"/>
  <c r="N553" i="9"/>
  <c r="M553" i="9"/>
  <c r="C553" i="9"/>
  <c r="A553" i="9"/>
  <c r="W552" i="9"/>
  <c r="P552" i="9"/>
  <c r="N552" i="9"/>
  <c r="M552" i="9"/>
  <c r="C552" i="9"/>
  <c r="A552" i="9"/>
  <c r="W551" i="9"/>
  <c r="P551" i="9"/>
  <c r="N551" i="9"/>
  <c r="M551" i="9"/>
  <c r="C551" i="9"/>
  <c r="A551" i="9"/>
  <c r="W550" i="9"/>
  <c r="P550" i="9"/>
  <c r="N550" i="9"/>
  <c r="M550" i="9"/>
  <c r="C550" i="9"/>
  <c r="A550" i="9"/>
  <c r="W549" i="9"/>
  <c r="P549" i="9"/>
  <c r="N549" i="9"/>
  <c r="M549" i="9"/>
  <c r="C549" i="9"/>
  <c r="A549" i="9"/>
  <c r="W548" i="9"/>
  <c r="P548" i="9"/>
  <c r="N548" i="9"/>
  <c r="M548" i="9"/>
  <c r="C548" i="9"/>
  <c r="A548" i="9"/>
  <c r="W547" i="9"/>
  <c r="P547" i="9"/>
  <c r="N547" i="9"/>
  <c r="M547" i="9"/>
  <c r="C547" i="9"/>
  <c r="A547" i="9"/>
  <c r="W546" i="9"/>
  <c r="P546" i="9"/>
  <c r="N546" i="9"/>
  <c r="M546" i="9"/>
  <c r="C546" i="9"/>
  <c r="A546" i="9"/>
  <c r="W545" i="9"/>
  <c r="P545" i="9"/>
  <c r="N545" i="9"/>
  <c r="M545" i="9"/>
  <c r="C545" i="9"/>
  <c r="A545" i="9"/>
  <c r="W544" i="9"/>
  <c r="P544" i="9"/>
  <c r="N544" i="9"/>
  <c r="M544" i="9"/>
  <c r="C544" i="9"/>
  <c r="A544" i="9"/>
  <c r="W543" i="9"/>
  <c r="P543" i="9"/>
  <c r="N543" i="9"/>
  <c r="M543" i="9"/>
  <c r="C543" i="9"/>
  <c r="A543" i="9"/>
  <c r="W542" i="9"/>
  <c r="P542" i="9"/>
  <c r="N542" i="9"/>
  <c r="M542" i="9"/>
  <c r="C542" i="9"/>
  <c r="A542" i="9"/>
  <c r="W541" i="9"/>
  <c r="P541" i="9"/>
  <c r="N541" i="9"/>
  <c r="M541" i="9"/>
  <c r="C541" i="9"/>
  <c r="A541" i="9"/>
  <c r="W540" i="9"/>
  <c r="P540" i="9"/>
  <c r="N540" i="9"/>
  <c r="M540" i="9"/>
  <c r="C540" i="9"/>
  <c r="A540" i="9"/>
  <c r="W539" i="9"/>
  <c r="P539" i="9"/>
  <c r="N539" i="9"/>
  <c r="M539" i="9"/>
  <c r="C539" i="9"/>
  <c r="A539" i="9"/>
  <c r="W538" i="9"/>
  <c r="P538" i="9"/>
  <c r="N538" i="9"/>
  <c r="M538" i="9"/>
  <c r="C538" i="9"/>
  <c r="A538" i="9"/>
  <c r="W537" i="9"/>
  <c r="P537" i="9"/>
  <c r="N537" i="9"/>
  <c r="M537" i="9"/>
  <c r="C537" i="9"/>
  <c r="A537" i="9"/>
  <c r="W536" i="9"/>
  <c r="P536" i="9"/>
  <c r="N536" i="9"/>
  <c r="M536" i="9"/>
  <c r="C536" i="9"/>
  <c r="A536" i="9"/>
  <c r="W535" i="9"/>
  <c r="P535" i="9"/>
  <c r="N535" i="9"/>
  <c r="M535" i="9"/>
  <c r="C535" i="9"/>
  <c r="A535" i="9"/>
  <c r="W534" i="9"/>
  <c r="P534" i="9"/>
  <c r="N534" i="9"/>
  <c r="M534" i="9"/>
  <c r="C534" i="9"/>
  <c r="A534" i="9"/>
  <c r="W533" i="9"/>
  <c r="P533" i="9"/>
  <c r="N533" i="9"/>
  <c r="M533" i="9"/>
  <c r="C533" i="9"/>
  <c r="A533" i="9"/>
  <c r="W532" i="9"/>
  <c r="P532" i="9"/>
  <c r="N532" i="9"/>
  <c r="M532" i="9"/>
  <c r="C532" i="9"/>
  <c r="A532" i="9"/>
  <c r="W531" i="9"/>
  <c r="P531" i="9"/>
  <c r="N531" i="9"/>
  <c r="M531" i="9"/>
  <c r="C531" i="9"/>
  <c r="A531" i="9"/>
  <c r="W530" i="9"/>
  <c r="P530" i="9"/>
  <c r="N530" i="9"/>
  <c r="M530" i="9"/>
  <c r="C530" i="9"/>
  <c r="A530" i="9"/>
  <c r="W529" i="9"/>
  <c r="P529" i="9"/>
  <c r="N529" i="9"/>
  <c r="M529" i="9"/>
  <c r="C529" i="9"/>
  <c r="A529" i="9"/>
  <c r="W528" i="9"/>
  <c r="P528" i="9"/>
  <c r="N528" i="9"/>
  <c r="M528" i="9"/>
  <c r="C528" i="9"/>
  <c r="A528" i="9"/>
  <c r="W527" i="9"/>
  <c r="P527" i="9"/>
  <c r="N527" i="9"/>
  <c r="M527" i="9"/>
  <c r="C527" i="9"/>
  <c r="A527" i="9"/>
  <c r="W526" i="9"/>
  <c r="P526" i="9"/>
  <c r="N526" i="9"/>
  <c r="M526" i="9"/>
  <c r="C526" i="9"/>
  <c r="A526" i="9"/>
  <c r="W525" i="9"/>
  <c r="P525" i="9"/>
  <c r="N525" i="9"/>
  <c r="M525" i="9"/>
  <c r="C525" i="9"/>
  <c r="A525" i="9"/>
  <c r="W524" i="9"/>
  <c r="P524" i="9"/>
  <c r="N524" i="9"/>
  <c r="M524" i="9"/>
  <c r="C524" i="9"/>
  <c r="A524" i="9"/>
  <c r="W523" i="9"/>
  <c r="P523" i="9"/>
  <c r="N523" i="9"/>
  <c r="M523" i="9"/>
  <c r="C523" i="9"/>
  <c r="A523" i="9"/>
  <c r="W522" i="9"/>
  <c r="P522" i="9"/>
  <c r="N522" i="9"/>
  <c r="M522" i="9"/>
  <c r="C522" i="9"/>
  <c r="A522" i="9"/>
  <c r="W521" i="9"/>
  <c r="P521" i="9"/>
  <c r="N521" i="9"/>
  <c r="M521" i="9"/>
  <c r="C521" i="9"/>
  <c r="A521" i="9"/>
  <c r="W520" i="9"/>
  <c r="P520" i="9"/>
  <c r="N520" i="9"/>
  <c r="M520" i="9"/>
  <c r="C520" i="9"/>
  <c r="A520" i="9"/>
  <c r="W519" i="9"/>
  <c r="P519" i="9"/>
  <c r="N519" i="9"/>
  <c r="M519" i="9"/>
  <c r="C519" i="9"/>
  <c r="A519" i="9"/>
  <c r="W518" i="9"/>
  <c r="P518" i="9"/>
  <c r="N518" i="9"/>
  <c r="M518" i="9"/>
  <c r="C518" i="9"/>
  <c r="A518" i="9"/>
  <c r="W517" i="9"/>
  <c r="P517" i="9"/>
  <c r="N517" i="9"/>
  <c r="M517" i="9"/>
  <c r="C517" i="9"/>
  <c r="A517" i="9"/>
  <c r="W516" i="9"/>
  <c r="P516" i="9"/>
  <c r="N516" i="9"/>
  <c r="M516" i="9"/>
  <c r="C516" i="9"/>
  <c r="A516" i="9"/>
  <c r="W515" i="9"/>
  <c r="P515" i="9"/>
  <c r="N515" i="9"/>
  <c r="M515" i="9"/>
  <c r="C515" i="9"/>
  <c r="A515" i="9"/>
  <c r="W514" i="9"/>
  <c r="P514" i="9"/>
  <c r="N514" i="9"/>
  <c r="M514" i="9"/>
  <c r="C514" i="9"/>
  <c r="A514" i="9"/>
  <c r="W513" i="9"/>
  <c r="P513" i="9"/>
  <c r="N513" i="9"/>
  <c r="M513" i="9"/>
  <c r="C513" i="9"/>
  <c r="A513" i="9"/>
  <c r="W512" i="9"/>
  <c r="P512" i="9"/>
  <c r="N512" i="9"/>
  <c r="M512" i="9"/>
  <c r="C512" i="9"/>
  <c r="A512" i="9"/>
  <c r="W511" i="9"/>
  <c r="P511" i="9"/>
  <c r="N511" i="9"/>
  <c r="M511" i="9"/>
  <c r="C511" i="9"/>
  <c r="A511" i="9"/>
  <c r="W510" i="9"/>
  <c r="P510" i="9"/>
  <c r="N510" i="9"/>
  <c r="M510" i="9"/>
  <c r="C510" i="9"/>
  <c r="A510" i="9"/>
  <c r="W509" i="9"/>
  <c r="P509" i="9"/>
  <c r="N509" i="9"/>
  <c r="M509" i="9"/>
  <c r="C509" i="9"/>
  <c r="A509" i="9"/>
  <c r="W508" i="9"/>
  <c r="P508" i="9"/>
  <c r="N508" i="9"/>
  <c r="M508" i="9"/>
  <c r="C508" i="9"/>
  <c r="A508" i="9"/>
  <c r="W507" i="9"/>
  <c r="P507" i="9"/>
  <c r="N507" i="9"/>
  <c r="M507" i="9"/>
  <c r="C507" i="9"/>
  <c r="A507" i="9"/>
  <c r="W506" i="9"/>
  <c r="P506" i="9"/>
  <c r="N506" i="9"/>
  <c r="M506" i="9"/>
  <c r="C506" i="9"/>
  <c r="A506" i="9"/>
  <c r="W505" i="9"/>
  <c r="P505" i="9"/>
  <c r="N505" i="9"/>
  <c r="M505" i="9"/>
  <c r="C505" i="9"/>
  <c r="A505" i="9"/>
  <c r="W504" i="9"/>
  <c r="P504" i="9"/>
  <c r="N504" i="9"/>
  <c r="M504" i="9"/>
  <c r="C504" i="9"/>
  <c r="A504" i="9"/>
  <c r="W503" i="9"/>
  <c r="P503" i="9"/>
  <c r="N503" i="9"/>
  <c r="M503" i="9"/>
  <c r="C503" i="9"/>
  <c r="A503" i="9"/>
  <c r="W502" i="9"/>
  <c r="P502" i="9"/>
  <c r="N502" i="9"/>
  <c r="M502" i="9"/>
  <c r="C502" i="9"/>
  <c r="A502" i="9"/>
  <c r="W501" i="9"/>
  <c r="P501" i="9"/>
  <c r="N501" i="9"/>
  <c r="M501" i="9"/>
  <c r="C501" i="9"/>
  <c r="A501" i="9"/>
  <c r="W500" i="9"/>
  <c r="P500" i="9"/>
  <c r="N500" i="9"/>
  <c r="M500" i="9"/>
  <c r="C500" i="9"/>
  <c r="A500" i="9"/>
  <c r="W499" i="9"/>
  <c r="P499" i="9"/>
  <c r="N499" i="9"/>
  <c r="M499" i="9"/>
  <c r="C499" i="9"/>
  <c r="A499" i="9"/>
  <c r="W498" i="9"/>
  <c r="P498" i="9"/>
  <c r="N498" i="9"/>
  <c r="M498" i="9"/>
  <c r="C498" i="9"/>
  <c r="A498" i="9"/>
  <c r="W497" i="9"/>
  <c r="P497" i="9"/>
  <c r="N497" i="9"/>
  <c r="M497" i="9"/>
  <c r="C497" i="9"/>
  <c r="A497" i="9"/>
  <c r="W496" i="9"/>
  <c r="P496" i="9"/>
  <c r="N496" i="9"/>
  <c r="M496" i="9"/>
  <c r="C496" i="9"/>
  <c r="A496" i="9"/>
  <c r="W495" i="9"/>
  <c r="P495" i="9"/>
  <c r="N495" i="9"/>
  <c r="M495" i="9"/>
  <c r="C495" i="9"/>
  <c r="A495" i="9"/>
  <c r="W494" i="9"/>
  <c r="P494" i="9"/>
  <c r="N494" i="9"/>
  <c r="M494" i="9"/>
  <c r="C494" i="9"/>
  <c r="A494" i="9"/>
  <c r="W493" i="9"/>
  <c r="P493" i="9"/>
  <c r="N493" i="9"/>
  <c r="M493" i="9"/>
  <c r="C493" i="9"/>
  <c r="A493" i="9"/>
  <c r="W492" i="9"/>
  <c r="P492" i="9"/>
  <c r="N492" i="9"/>
  <c r="M492" i="9"/>
  <c r="C492" i="9"/>
  <c r="A492" i="9"/>
  <c r="W491" i="9"/>
  <c r="P491" i="9"/>
  <c r="N491" i="9"/>
  <c r="M491" i="9"/>
  <c r="C491" i="9"/>
  <c r="A491" i="9"/>
  <c r="W490" i="9"/>
  <c r="P490" i="9"/>
  <c r="N490" i="9"/>
  <c r="M490" i="9"/>
  <c r="C490" i="9"/>
  <c r="A490" i="9"/>
  <c r="W489" i="9"/>
  <c r="P489" i="9"/>
  <c r="N489" i="9"/>
  <c r="M489" i="9"/>
  <c r="C489" i="9"/>
  <c r="A489" i="9"/>
  <c r="W488" i="9"/>
  <c r="P488" i="9"/>
  <c r="N488" i="9"/>
  <c r="M488" i="9"/>
  <c r="C488" i="9"/>
  <c r="A488" i="9"/>
  <c r="W487" i="9"/>
  <c r="P487" i="9"/>
  <c r="N487" i="9"/>
  <c r="M487" i="9"/>
  <c r="C487" i="9"/>
  <c r="A487" i="9"/>
  <c r="W486" i="9"/>
  <c r="P486" i="9"/>
  <c r="N486" i="9"/>
  <c r="M486" i="9"/>
  <c r="C486" i="9"/>
  <c r="A486" i="9"/>
  <c r="W485" i="9"/>
  <c r="P485" i="9"/>
  <c r="N485" i="9"/>
  <c r="M485" i="9"/>
  <c r="C485" i="9"/>
  <c r="A485" i="9"/>
  <c r="W484" i="9"/>
  <c r="P484" i="9"/>
  <c r="N484" i="9"/>
  <c r="M484" i="9"/>
  <c r="C484" i="9"/>
  <c r="A484" i="9"/>
  <c r="W483" i="9"/>
  <c r="P483" i="9"/>
  <c r="N483" i="9"/>
  <c r="M483" i="9"/>
  <c r="C483" i="9"/>
  <c r="A483" i="9"/>
  <c r="W482" i="9"/>
  <c r="P482" i="9"/>
  <c r="N482" i="9"/>
  <c r="M482" i="9"/>
  <c r="C482" i="9"/>
  <c r="A482" i="9"/>
  <c r="W481" i="9"/>
  <c r="P481" i="9"/>
  <c r="N481" i="9"/>
  <c r="M481" i="9"/>
  <c r="C481" i="9"/>
  <c r="A481" i="9"/>
  <c r="W480" i="9"/>
  <c r="P480" i="9"/>
  <c r="N480" i="9"/>
  <c r="M480" i="9"/>
  <c r="C480" i="9"/>
  <c r="A480" i="9"/>
  <c r="W479" i="9"/>
  <c r="P479" i="9"/>
  <c r="N479" i="9"/>
  <c r="M479" i="9"/>
  <c r="C479" i="9"/>
  <c r="A479" i="9"/>
  <c r="W478" i="9"/>
  <c r="P478" i="9"/>
  <c r="N478" i="9"/>
  <c r="M478" i="9"/>
  <c r="C478" i="9"/>
  <c r="A478" i="9"/>
  <c r="W477" i="9"/>
  <c r="P477" i="9"/>
  <c r="N477" i="9"/>
  <c r="M477" i="9"/>
  <c r="C477" i="9"/>
  <c r="A477" i="9"/>
  <c r="W476" i="9"/>
  <c r="P476" i="9"/>
  <c r="N476" i="9"/>
  <c r="M476" i="9"/>
  <c r="C476" i="9"/>
  <c r="A476" i="9"/>
  <c r="W475" i="9"/>
  <c r="P475" i="9"/>
  <c r="N475" i="9"/>
  <c r="M475" i="9"/>
  <c r="C475" i="9"/>
  <c r="A475" i="9"/>
  <c r="W474" i="9"/>
  <c r="P474" i="9"/>
  <c r="N474" i="9"/>
  <c r="M474" i="9"/>
  <c r="C474" i="9"/>
  <c r="A474" i="9"/>
  <c r="W473" i="9"/>
  <c r="P473" i="9"/>
  <c r="N473" i="9"/>
  <c r="M473" i="9"/>
  <c r="C473" i="9"/>
  <c r="A473" i="9"/>
  <c r="W472" i="9"/>
  <c r="P472" i="9"/>
  <c r="N472" i="9"/>
  <c r="M472" i="9"/>
  <c r="C472" i="9"/>
  <c r="A472" i="9"/>
  <c r="W471" i="9"/>
  <c r="P471" i="9"/>
  <c r="N471" i="9"/>
  <c r="M471" i="9"/>
  <c r="C471" i="9"/>
  <c r="A471" i="9"/>
  <c r="W470" i="9"/>
  <c r="P470" i="9"/>
  <c r="N470" i="9"/>
  <c r="M470" i="9"/>
  <c r="C470" i="9"/>
  <c r="A470" i="9"/>
  <c r="W469" i="9"/>
  <c r="P469" i="9"/>
  <c r="N469" i="9"/>
  <c r="M469" i="9"/>
  <c r="C469" i="9"/>
  <c r="A469" i="9"/>
  <c r="W468" i="9"/>
  <c r="P468" i="9"/>
  <c r="N468" i="9"/>
  <c r="M468" i="9"/>
  <c r="C468" i="9"/>
  <c r="A468" i="9"/>
  <c r="W467" i="9"/>
  <c r="P467" i="9"/>
  <c r="N467" i="9"/>
  <c r="M467" i="9"/>
  <c r="C467" i="9"/>
  <c r="A467" i="9"/>
  <c r="W466" i="9"/>
  <c r="P466" i="9"/>
  <c r="N466" i="9"/>
  <c r="M466" i="9"/>
  <c r="C466" i="9"/>
  <c r="A466" i="9"/>
  <c r="W465" i="9"/>
  <c r="P465" i="9"/>
  <c r="N465" i="9"/>
  <c r="M465" i="9"/>
  <c r="C465" i="9"/>
  <c r="A465" i="9"/>
  <c r="W464" i="9"/>
  <c r="P464" i="9"/>
  <c r="N464" i="9"/>
  <c r="M464" i="9"/>
  <c r="C464" i="9"/>
  <c r="A464" i="9"/>
  <c r="W463" i="9"/>
  <c r="P463" i="9"/>
  <c r="N463" i="9"/>
  <c r="M463" i="9"/>
  <c r="C463" i="9"/>
  <c r="A463" i="9"/>
  <c r="W462" i="9"/>
  <c r="P462" i="9"/>
  <c r="N462" i="9"/>
  <c r="M462" i="9"/>
  <c r="C462" i="9"/>
  <c r="A462" i="9"/>
  <c r="W461" i="9"/>
  <c r="P461" i="9"/>
  <c r="N461" i="9"/>
  <c r="M461" i="9"/>
  <c r="C461" i="9"/>
  <c r="A461" i="9"/>
  <c r="W460" i="9"/>
  <c r="P460" i="9"/>
  <c r="N460" i="9"/>
  <c r="M460" i="9"/>
  <c r="C460" i="9"/>
  <c r="A460" i="9"/>
  <c r="W459" i="9"/>
  <c r="P459" i="9"/>
  <c r="N459" i="9"/>
  <c r="M459" i="9"/>
  <c r="C459" i="9"/>
  <c r="A459" i="9"/>
  <c r="W458" i="9"/>
  <c r="P458" i="9"/>
  <c r="N458" i="9"/>
  <c r="M458" i="9"/>
  <c r="C458" i="9"/>
  <c r="A458" i="9"/>
  <c r="W457" i="9"/>
  <c r="P457" i="9"/>
  <c r="N457" i="9"/>
  <c r="M457" i="9"/>
  <c r="C457" i="9"/>
  <c r="A457" i="9"/>
  <c r="W456" i="9"/>
  <c r="P456" i="9"/>
  <c r="N456" i="9"/>
  <c r="M456" i="9"/>
  <c r="C456" i="9"/>
  <c r="A456" i="9"/>
  <c r="W455" i="9"/>
  <c r="P455" i="9"/>
  <c r="N455" i="9"/>
  <c r="M455" i="9"/>
  <c r="C455" i="9"/>
  <c r="A455" i="9"/>
  <c r="W454" i="9"/>
  <c r="P454" i="9"/>
  <c r="N454" i="9"/>
  <c r="M454" i="9"/>
  <c r="C454" i="9"/>
  <c r="A454" i="9"/>
  <c r="W453" i="9"/>
  <c r="P453" i="9"/>
  <c r="N453" i="9"/>
  <c r="M453" i="9"/>
  <c r="C453" i="9"/>
  <c r="A453" i="9"/>
  <c r="W452" i="9"/>
  <c r="P452" i="9"/>
  <c r="N452" i="9"/>
  <c r="M452" i="9"/>
  <c r="C452" i="9"/>
  <c r="A452" i="9"/>
  <c r="W451" i="9"/>
  <c r="P451" i="9"/>
  <c r="N451" i="9"/>
  <c r="M451" i="9"/>
  <c r="C451" i="9"/>
  <c r="A451" i="9"/>
  <c r="W450" i="9"/>
  <c r="P450" i="9"/>
  <c r="N450" i="9"/>
  <c r="M450" i="9"/>
  <c r="C450" i="9"/>
  <c r="A450" i="9"/>
  <c r="W449" i="9"/>
  <c r="P449" i="9"/>
  <c r="N449" i="9"/>
  <c r="M449" i="9"/>
  <c r="C449" i="9"/>
  <c r="A449" i="9"/>
  <c r="W448" i="9"/>
  <c r="P448" i="9"/>
  <c r="N448" i="9"/>
  <c r="M448" i="9"/>
  <c r="C448" i="9"/>
  <c r="A448" i="9"/>
  <c r="W447" i="9"/>
  <c r="P447" i="9"/>
  <c r="N447" i="9"/>
  <c r="M447" i="9"/>
  <c r="C447" i="9"/>
  <c r="A447" i="9"/>
  <c r="W446" i="9"/>
  <c r="P446" i="9"/>
  <c r="N446" i="9"/>
  <c r="M446" i="9"/>
  <c r="C446" i="9"/>
  <c r="A446" i="9"/>
  <c r="W445" i="9"/>
  <c r="P445" i="9"/>
  <c r="N445" i="9"/>
  <c r="M445" i="9"/>
  <c r="C445" i="9"/>
  <c r="A445" i="9"/>
  <c r="W444" i="9"/>
  <c r="P444" i="9"/>
  <c r="N444" i="9"/>
  <c r="M444" i="9"/>
  <c r="C444" i="9"/>
  <c r="A444" i="9"/>
  <c r="W443" i="9"/>
  <c r="P443" i="9"/>
  <c r="N443" i="9"/>
  <c r="M443" i="9"/>
  <c r="C443" i="9"/>
  <c r="A443" i="9"/>
  <c r="W442" i="9"/>
  <c r="P442" i="9"/>
  <c r="N442" i="9"/>
  <c r="M442" i="9"/>
  <c r="C442" i="9"/>
  <c r="A442" i="9"/>
  <c r="W441" i="9"/>
  <c r="P441" i="9"/>
  <c r="N441" i="9"/>
  <c r="M441" i="9"/>
  <c r="C441" i="9"/>
  <c r="A441" i="9"/>
  <c r="W440" i="9"/>
  <c r="P440" i="9"/>
  <c r="N440" i="9"/>
  <c r="M440" i="9"/>
  <c r="C440" i="9"/>
  <c r="A440" i="9"/>
  <c r="W439" i="9"/>
  <c r="P439" i="9"/>
  <c r="N439" i="9"/>
  <c r="M439" i="9"/>
  <c r="C439" i="9"/>
  <c r="A439" i="9"/>
  <c r="W438" i="9"/>
  <c r="P438" i="9"/>
  <c r="N438" i="9"/>
  <c r="M438" i="9"/>
  <c r="C438" i="9"/>
  <c r="A438" i="9"/>
  <c r="W437" i="9"/>
  <c r="P437" i="9"/>
  <c r="N437" i="9"/>
  <c r="M437" i="9"/>
  <c r="C437" i="9"/>
  <c r="A437" i="9"/>
  <c r="W436" i="9"/>
  <c r="P436" i="9"/>
  <c r="N436" i="9"/>
  <c r="M436" i="9"/>
  <c r="C436" i="9"/>
  <c r="A436" i="9"/>
  <c r="W435" i="9"/>
  <c r="P435" i="9"/>
  <c r="N435" i="9"/>
  <c r="M435" i="9"/>
  <c r="C435" i="9"/>
  <c r="A435" i="9"/>
  <c r="W434" i="9"/>
  <c r="P434" i="9"/>
  <c r="N434" i="9"/>
  <c r="M434" i="9"/>
  <c r="C434" i="9"/>
  <c r="A434" i="9"/>
  <c r="W433" i="9"/>
  <c r="P433" i="9"/>
  <c r="N433" i="9"/>
  <c r="M433" i="9"/>
  <c r="C433" i="9"/>
  <c r="A433" i="9"/>
  <c r="W432" i="9"/>
  <c r="P432" i="9"/>
  <c r="N432" i="9"/>
  <c r="M432" i="9"/>
  <c r="C432" i="9"/>
  <c r="A432" i="9"/>
  <c r="W431" i="9"/>
  <c r="P431" i="9"/>
  <c r="N431" i="9"/>
  <c r="M431" i="9"/>
  <c r="C431" i="9"/>
  <c r="A431" i="9"/>
  <c r="W430" i="9"/>
  <c r="P430" i="9"/>
  <c r="N430" i="9"/>
  <c r="M430" i="9"/>
  <c r="C430" i="9"/>
  <c r="A430" i="9"/>
  <c r="W429" i="9"/>
  <c r="P429" i="9"/>
  <c r="N429" i="9"/>
  <c r="M429" i="9"/>
  <c r="C429" i="9"/>
  <c r="A429" i="9"/>
  <c r="W428" i="9"/>
  <c r="P428" i="9"/>
  <c r="N428" i="9"/>
  <c r="M428" i="9"/>
  <c r="C428" i="9"/>
  <c r="A428" i="9"/>
  <c r="W427" i="9"/>
  <c r="P427" i="9"/>
  <c r="N427" i="9"/>
  <c r="M427" i="9"/>
  <c r="C427" i="9"/>
  <c r="A427" i="9"/>
  <c r="W426" i="9"/>
  <c r="P426" i="9"/>
  <c r="N426" i="9"/>
  <c r="M426" i="9"/>
  <c r="C426" i="9"/>
  <c r="A426" i="9"/>
  <c r="W425" i="9"/>
  <c r="P425" i="9"/>
  <c r="N425" i="9"/>
  <c r="M425" i="9"/>
  <c r="C425" i="9"/>
  <c r="A425" i="9"/>
  <c r="W424" i="9"/>
  <c r="P424" i="9"/>
  <c r="N424" i="9"/>
  <c r="M424" i="9"/>
  <c r="C424" i="9"/>
  <c r="A424" i="9"/>
  <c r="W423" i="9"/>
  <c r="P423" i="9"/>
  <c r="N423" i="9"/>
  <c r="M423" i="9"/>
  <c r="C423" i="9"/>
  <c r="A423" i="9"/>
  <c r="W422" i="9"/>
  <c r="P422" i="9"/>
  <c r="N422" i="9"/>
  <c r="M422" i="9"/>
  <c r="C422" i="9"/>
  <c r="A422" i="9"/>
  <c r="W421" i="9"/>
  <c r="P421" i="9"/>
  <c r="N421" i="9"/>
  <c r="M421" i="9"/>
  <c r="C421" i="9"/>
  <c r="A421" i="9"/>
  <c r="W420" i="9"/>
  <c r="P420" i="9"/>
  <c r="N420" i="9"/>
  <c r="M420" i="9"/>
  <c r="C420" i="9"/>
  <c r="A420" i="9"/>
  <c r="W419" i="9"/>
  <c r="P419" i="9"/>
  <c r="N419" i="9"/>
  <c r="M419" i="9"/>
  <c r="C419" i="9"/>
  <c r="A419" i="9"/>
  <c r="W418" i="9"/>
  <c r="P418" i="9"/>
  <c r="N418" i="9"/>
  <c r="M418" i="9"/>
  <c r="C418" i="9"/>
  <c r="A418" i="9"/>
  <c r="W417" i="9"/>
  <c r="P417" i="9"/>
  <c r="N417" i="9"/>
  <c r="M417" i="9"/>
  <c r="C417" i="9"/>
  <c r="A417" i="9"/>
  <c r="W416" i="9"/>
  <c r="P416" i="9"/>
  <c r="N416" i="9"/>
  <c r="M416" i="9"/>
  <c r="C416" i="9"/>
  <c r="A416" i="9"/>
  <c r="W415" i="9"/>
  <c r="P415" i="9"/>
  <c r="N415" i="9"/>
  <c r="M415" i="9"/>
  <c r="C415" i="9"/>
  <c r="A415" i="9"/>
  <c r="W414" i="9"/>
  <c r="P414" i="9"/>
  <c r="N414" i="9"/>
  <c r="M414" i="9"/>
  <c r="C414" i="9"/>
  <c r="A414" i="9"/>
  <c r="W413" i="9"/>
  <c r="P413" i="9"/>
  <c r="N413" i="9"/>
  <c r="M413" i="9"/>
  <c r="C413" i="9"/>
  <c r="A413" i="9"/>
  <c r="W412" i="9"/>
  <c r="P412" i="9"/>
  <c r="N412" i="9"/>
  <c r="M412" i="9"/>
  <c r="C412" i="9"/>
  <c r="A412" i="9"/>
  <c r="W411" i="9"/>
  <c r="P411" i="9"/>
  <c r="N411" i="9"/>
  <c r="M411" i="9"/>
  <c r="C411" i="9"/>
  <c r="A411" i="9"/>
  <c r="W410" i="9"/>
  <c r="P410" i="9"/>
  <c r="N410" i="9"/>
  <c r="M410" i="9"/>
  <c r="C410" i="9"/>
  <c r="A410" i="9"/>
  <c r="W409" i="9"/>
  <c r="P409" i="9"/>
  <c r="N409" i="9"/>
  <c r="M409" i="9"/>
  <c r="C409" i="9"/>
  <c r="A409" i="9"/>
  <c r="W408" i="9"/>
  <c r="P408" i="9"/>
  <c r="N408" i="9"/>
  <c r="M408" i="9"/>
  <c r="C408" i="9"/>
  <c r="A408" i="9"/>
  <c r="W407" i="9"/>
  <c r="P407" i="9"/>
  <c r="N407" i="9"/>
  <c r="M407" i="9"/>
  <c r="C407" i="9"/>
  <c r="A407" i="9"/>
  <c r="W406" i="9"/>
  <c r="P406" i="9"/>
  <c r="N406" i="9"/>
  <c r="M406" i="9"/>
  <c r="C406" i="9"/>
  <c r="A406" i="9"/>
  <c r="W405" i="9"/>
  <c r="P405" i="9"/>
  <c r="N405" i="9"/>
  <c r="M405" i="9"/>
  <c r="C405" i="9"/>
  <c r="A405" i="9"/>
  <c r="W404" i="9"/>
  <c r="P404" i="9"/>
  <c r="N404" i="9"/>
  <c r="M404" i="9"/>
  <c r="C404" i="9"/>
  <c r="A404" i="9"/>
  <c r="W403" i="9"/>
  <c r="P403" i="9"/>
  <c r="N403" i="9"/>
  <c r="M403" i="9"/>
  <c r="C403" i="9"/>
  <c r="A403" i="9"/>
  <c r="W402" i="9"/>
  <c r="P402" i="9"/>
  <c r="N402" i="9"/>
  <c r="M402" i="9"/>
  <c r="C402" i="9"/>
  <c r="A402" i="9"/>
  <c r="W401" i="9"/>
  <c r="P401" i="9"/>
  <c r="N401" i="9"/>
  <c r="M401" i="9"/>
  <c r="C401" i="9"/>
  <c r="A401" i="9"/>
  <c r="W400" i="9"/>
  <c r="P400" i="9"/>
  <c r="N400" i="9"/>
  <c r="M400" i="9"/>
  <c r="C400" i="9"/>
  <c r="A400" i="9"/>
  <c r="W399" i="9"/>
  <c r="P399" i="9"/>
  <c r="N399" i="9"/>
  <c r="M399" i="9"/>
  <c r="C399" i="9"/>
  <c r="A399" i="9"/>
  <c r="W398" i="9"/>
  <c r="P398" i="9"/>
  <c r="N398" i="9"/>
  <c r="M398" i="9"/>
  <c r="C398" i="9"/>
  <c r="A398" i="9"/>
  <c r="W397" i="9"/>
  <c r="P397" i="9"/>
  <c r="N397" i="9"/>
  <c r="M397" i="9"/>
  <c r="C397" i="9"/>
  <c r="A397" i="9"/>
  <c r="W396" i="9"/>
  <c r="P396" i="9"/>
  <c r="N396" i="9"/>
  <c r="M396" i="9"/>
  <c r="C396" i="9"/>
  <c r="A396" i="9"/>
  <c r="W395" i="9"/>
  <c r="P395" i="9"/>
  <c r="N395" i="9"/>
  <c r="M395" i="9"/>
  <c r="C395" i="9"/>
  <c r="A395" i="9"/>
  <c r="W394" i="9"/>
  <c r="P394" i="9"/>
  <c r="N394" i="9"/>
  <c r="M394" i="9"/>
  <c r="C394" i="9"/>
  <c r="A394" i="9"/>
  <c r="W393" i="9"/>
  <c r="P393" i="9"/>
  <c r="N393" i="9"/>
  <c r="M393" i="9"/>
  <c r="C393" i="9"/>
  <c r="A393" i="9"/>
  <c r="W392" i="9"/>
  <c r="P392" i="9"/>
  <c r="N392" i="9"/>
  <c r="M392" i="9"/>
  <c r="C392" i="9"/>
  <c r="A392" i="9"/>
  <c r="W391" i="9"/>
  <c r="P391" i="9"/>
  <c r="N391" i="9"/>
  <c r="M391" i="9"/>
  <c r="C391" i="9"/>
  <c r="A391" i="9"/>
  <c r="W390" i="9"/>
  <c r="P390" i="9"/>
  <c r="N390" i="9"/>
  <c r="M390" i="9"/>
  <c r="C390" i="9"/>
  <c r="A390" i="9"/>
  <c r="W389" i="9"/>
  <c r="P389" i="9"/>
  <c r="N389" i="9"/>
  <c r="M389" i="9"/>
  <c r="C389" i="9"/>
  <c r="A389" i="9"/>
  <c r="W388" i="9"/>
  <c r="P388" i="9"/>
  <c r="N388" i="9"/>
  <c r="M388" i="9"/>
  <c r="C388" i="9"/>
  <c r="A388" i="9"/>
  <c r="W387" i="9"/>
  <c r="P387" i="9"/>
  <c r="N387" i="9"/>
  <c r="M387" i="9"/>
  <c r="C387" i="9"/>
  <c r="A387" i="9"/>
  <c r="W386" i="9"/>
  <c r="P386" i="9"/>
  <c r="N386" i="9"/>
  <c r="M386" i="9"/>
  <c r="C386" i="9"/>
  <c r="A386" i="9"/>
  <c r="W385" i="9"/>
  <c r="P385" i="9"/>
  <c r="N385" i="9"/>
  <c r="M385" i="9"/>
  <c r="C385" i="9"/>
  <c r="A385" i="9"/>
  <c r="W384" i="9"/>
  <c r="P384" i="9"/>
  <c r="N384" i="9"/>
  <c r="M384" i="9"/>
  <c r="C384" i="9"/>
  <c r="A384" i="9"/>
  <c r="W383" i="9"/>
  <c r="P383" i="9"/>
  <c r="N383" i="9"/>
  <c r="M383" i="9"/>
  <c r="C383" i="9"/>
  <c r="A383" i="9"/>
  <c r="W382" i="9"/>
  <c r="P382" i="9"/>
  <c r="N382" i="9"/>
  <c r="M382" i="9"/>
  <c r="C382" i="9"/>
  <c r="A382" i="9"/>
  <c r="W381" i="9"/>
  <c r="P381" i="9"/>
  <c r="N381" i="9"/>
  <c r="M381" i="9"/>
  <c r="C381" i="9"/>
  <c r="A381" i="9"/>
  <c r="W380" i="9"/>
  <c r="P380" i="9"/>
  <c r="N380" i="9"/>
  <c r="M380" i="9"/>
  <c r="C380" i="9"/>
  <c r="A380" i="9"/>
  <c r="W379" i="9"/>
  <c r="P379" i="9"/>
  <c r="N379" i="9"/>
  <c r="M379" i="9"/>
  <c r="C379" i="9"/>
  <c r="A379" i="9"/>
  <c r="W378" i="9"/>
  <c r="P378" i="9"/>
  <c r="N378" i="9"/>
  <c r="M378" i="9"/>
  <c r="C378" i="9"/>
  <c r="A378" i="9"/>
  <c r="W377" i="9"/>
  <c r="P377" i="9"/>
  <c r="N377" i="9"/>
  <c r="M377" i="9"/>
  <c r="C377" i="9"/>
  <c r="A377" i="9"/>
  <c r="W376" i="9"/>
  <c r="P376" i="9"/>
  <c r="N376" i="9"/>
  <c r="M376" i="9"/>
  <c r="C376" i="9"/>
  <c r="A376" i="9"/>
  <c r="W375" i="9"/>
  <c r="P375" i="9"/>
  <c r="N375" i="9"/>
  <c r="M375" i="9"/>
  <c r="C375" i="9"/>
  <c r="A375" i="9"/>
  <c r="W374" i="9"/>
  <c r="P374" i="9"/>
  <c r="N374" i="9"/>
  <c r="M374" i="9"/>
  <c r="C374" i="9"/>
  <c r="A374" i="9"/>
  <c r="W373" i="9"/>
  <c r="P373" i="9"/>
  <c r="N373" i="9"/>
  <c r="M373" i="9"/>
  <c r="C373" i="9"/>
  <c r="A373" i="9"/>
  <c r="W372" i="9"/>
  <c r="P372" i="9"/>
  <c r="N372" i="9"/>
  <c r="M372" i="9"/>
  <c r="C372" i="9"/>
  <c r="A372" i="9"/>
  <c r="W371" i="9"/>
  <c r="P371" i="9"/>
  <c r="N371" i="9"/>
  <c r="M371" i="9"/>
  <c r="C371" i="9"/>
  <c r="A371" i="9"/>
  <c r="W370" i="9"/>
  <c r="P370" i="9"/>
  <c r="N370" i="9"/>
  <c r="M370" i="9"/>
  <c r="C370" i="9"/>
  <c r="A370" i="9"/>
  <c r="W369" i="9"/>
  <c r="P369" i="9"/>
  <c r="N369" i="9"/>
  <c r="M369" i="9"/>
  <c r="C369" i="9"/>
  <c r="A369" i="9"/>
  <c r="W368" i="9"/>
  <c r="P368" i="9"/>
  <c r="N368" i="9"/>
  <c r="M368" i="9"/>
  <c r="C368" i="9"/>
  <c r="A368" i="9"/>
  <c r="W367" i="9"/>
  <c r="P367" i="9"/>
  <c r="N367" i="9"/>
  <c r="M367" i="9"/>
  <c r="C367" i="9"/>
  <c r="A367" i="9"/>
  <c r="W366" i="9"/>
  <c r="P366" i="9"/>
  <c r="N366" i="9"/>
  <c r="M366" i="9"/>
  <c r="C366" i="9"/>
  <c r="A366" i="9"/>
  <c r="W365" i="9"/>
  <c r="P365" i="9"/>
  <c r="N365" i="9"/>
  <c r="M365" i="9"/>
  <c r="C365" i="9"/>
  <c r="A365" i="9"/>
  <c r="W364" i="9"/>
  <c r="P364" i="9"/>
  <c r="N364" i="9"/>
  <c r="M364" i="9"/>
  <c r="C364" i="9"/>
  <c r="A364" i="9"/>
  <c r="W363" i="9"/>
  <c r="P363" i="9"/>
  <c r="N363" i="9"/>
  <c r="M363" i="9"/>
  <c r="C363" i="9"/>
  <c r="A363" i="9"/>
  <c r="W362" i="9"/>
  <c r="P362" i="9"/>
  <c r="N362" i="9"/>
  <c r="M362" i="9"/>
  <c r="C362" i="9"/>
  <c r="A362" i="9"/>
  <c r="W361" i="9"/>
  <c r="P361" i="9"/>
  <c r="N361" i="9"/>
  <c r="M361" i="9"/>
  <c r="C361" i="9"/>
  <c r="A361" i="9"/>
  <c r="W360" i="9"/>
  <c r="P360" i="9"/>
  <c r="N360" i="9"/>
  <c r="M360" i="9"/>
  <c r="C360" i="9"/>
  <c r="A360" i="9"/>
  <c r="W359" i="9"/>
  <c r="P359" i="9"/>
  <c r="N359" i="9"/>
  <c r="M359" i="9"/>
  <c r="C359" i="9"/>
  <c r="A359" i="9"/>
  <c r="W358" i="9"/>
  <c r="P358" i="9"/>
  <c r="N358" i="9"/>
  <c r="M358" i="9"/>
  <c r="C358" i="9"/>
  <c r="A358" i="9"/>
  <c r="W357" i="9"/>
  <c r="P357" i="9"/>
  <c r="N357" i="9"/>
  <c r="M357" i="9"/>
  <c r="C357" i="9"/>
  <c r="A357" i="9"/>
  <c r="W356" i="9"/>
  <c r="P356" i="9"/>
  <c r="N356" i="9"/>
  <c r="M356" i="9"/>
  <c r="C356" i="9"/>
  <c r="A356" i="9"/>
  <c r="W355" i="9"/>
  <c r="P355" i="9"/>
  <c r="N355" i="9"/>
  <c r="M355" i="9"/>
  <c r="C355" i="9"/>
  <c r="A355" i="9"/>
  <c r="W354" i="9"/>
  <c r="P354" i="9"/>
  <c r="N354" i="9"/>
  <c r="M354" i="9"/>
  <c r="C354" i="9"/>
  <c r="A354" i="9"/>
  <c r="W353" i="9"/>
  <c r="P353" i="9"/>
  <c r="N353" i="9"/>
  <c r="M353" i="9"/>
  <c r="C353" i="9"/>
  <c r="A353" i="9"/>
  <c r="W352" i="9"/>
  <c r="P352" i="9"/>
  <c r="N352" i="9"/>
  <c r="M352" i="9"/>
  <c r="C352" i="9"/>
  <c r="A352" i="9"/>
  <c r="W351" i="9"/>
  <c r="P351" i="9"/>
  <c r="N351" i="9"/>
  <c r="M351" i="9"/>
  <c r="C351" i="9"/>
  <c r="A351" i="9"/>
  <c r="W350" i="9"/>
  <c r="P350" i="9"/>
  <c r="N350" i="9"/>
  <c r="M350" i="9"/>
  <c r="C350" i="9"/>
  <c r="A350" i="9"/>
  <c r="W349" i="9"/>
  <c r="P349" i="9"/>
  <c r="N349" i="9"/>
  <c r="M349" i="9"/>
  <c r="C349" i="9"/>
  <c r="A349" i="9"/>
  <c r="W348" i="9"/>
  <c r="P348" i="9"/>
  <c r="N348" i="9"/>
  <c r="M348" i="9"/>
  <c r="C348" i="9"/>
  <c r="A348" i="9"/>
  <c r="W347" i="9"/>
  <c r="P347" i="9"/>
  <c r="N347" i="9"/>
  <c r="M347" i="9"/>
  <c r="C347" i="9"/>
  <c r="A347" i="9"/>
  <c r="W346" i="9"/>
  <c r="P346" i="9"/>
  <c r="N346" i="9"/>
  <c r="M346" i="9"/>
  <c r="C346" i="9"/>
  <c r="A346" i="9"/>
  <c r="W345" i="9"/>
  <c r="P345" i="9"/>
  <c r="N345" i="9"/>
  <c r="M345" i="9"/>
  <c r="C345" i="9"/>
  <c r="A345" i="9"/>
  <c r="W344" i="9"/>
  <c r="P344" i="9"/>
  <c r="N344" i="9"/>
  <c r="M344" i="9"/>
  <c r="C344" i="9"/>
  <c r="A344" i="9"/>
  <c r="W343" i="9"/>
  <c r="P343" i="9"/>
  <c r="N343" i="9"/>
  <c r="M343" i="9"/>
  <c r="C343" i="9"/>
  <c r="A343" i="9"/>
  <c r="W342" i="9"/>
  <c r="P342" i="9"/>
  <c r="N342" i="9"/>
  <c r="M342" i="9"/>
  <c r="C342" i="9"/>
  <c r="A342" i="9"/>
  <c r="W341" i="9"/>
  <c r="P341" i="9"/>
  <c r="N341" i="9"/>
  <c r="M341" i="9"/>
  <c r="C341" i="9"/>
  <c r="A341" i="9"/>
  <c r="W340" i="9"/>
  <c r="P340" i="9"/>
  <c r="N340" i="9"/>
  <c r="M340" i="9"/>
  <c r="C340" i="9"/>
  <c r="A340" i="9"/>
  <c r="W339" i="9"/>
  <c r="P339" i="9"/>
  <c r="N339" i="9"/>
  <c r="M339" i="9"/>
  <c r="C339" i="9"/>
  <c r="A339" i="9"/>
  <c r="W338" i="9"/>
  <c r="P338" i="9"/>
  <c r="N338" i="9"/>
  <c r="M338" i="9"/>
  <c r="C338" i="9"/>
  <c r="A338" i="9"/>
  <c r="W337" i="9"/>
  <c r="P337" i="9"/>
  <c r="N337" i="9"/>
  <c r="M337" i="9"/>
  <c r="C337" i="9"/>
  <c r="A337" i="9"/>
  <c r="W336" i="9"/>
  <c r="P336" i="9"/>
  <c r="N336" i="9"/>
  <c r="M336" i="9"/>
  <c r="C336" i="9"/>
  <c r="A336" i="9"/>
  <c r="W335" i="9"/>
  <c r="P335" i="9"/>
  <c r="N335" i="9"/>
  <c r="M335" i="9"/>
  <c r="C335" i="9"/>
  <c r="A335" i="9"/>
  <c r="W334" i="9"/>
  <c r="P334" i="9"/>
  <c r="N334" i="9"/>
  <c r="M334" i="9"/>
  <c r="C334" i="9"/>
  <c r="A334" i="9"/>
  <c r="W333" i="9"/>
  <c r="P333" i="9"/>
  <c r="N333" i="9"/>
  <c r="M333" i="9"/>
  <c r="C333" i="9"/>
  <c r="A333" i="9"/>
  <c r="W332" i="9"/>
  <c r="P332" i="9"/>
  <c r="N332" i="9"/>
  <c r="M332" i="9"/>
  <c r="C332" i="9"/>
  <c r="A332" i="9"/>
  <c r="W331" i="9"/>
  <c r="P331" i="9"/>
  <c r="N331" i="9"/>
  <c r="M331" i="9"/>
  <c r="C331" i="9"/>
  <c r="A331" i="9"/>
  <c r="W330" i="9"/>
  <c r="P330" i="9"/>
  <c r="N330" i="9"/>
  <c r="M330" i="9"/>
  <c r="C330" i="9"/>
  <c r="A330" i="9"/>
  <c r="W329" i="9"/>
  <c r="P329" i="9"/>
  <c r="N329" i="9"/>
  <c r="M329" i="9"/>
  <c r="C329" i="9"/>
  <c r="A329" i="9"/>
  <c r="W328" i="9"/>
  <c r="P328" i="9"/>
  <c r="N328" i="9"/>
  <c r="M328" i="9"/>
  <c r="C328" i="9"/>
  <c r="A328" i="9"/>
  <c r="W327" i="9"/>
  <c r="P327" i="9"/>
  <c r="N327" i="9"/>
  <c r="M327" i="9"/>
  <c r="C327" i="9"/>
  <c r="A327" i="9"/>
  <c r="W326" i="9"/>
  <c r="P326" i="9"/>
  <c r="N326" i="9"/>
  <c r="M326" i="9"/>
  <c r="C326" i="9"/>
  <c r="A326" i="9"/>
  <c r="W325" i="9"/>
  <c r="P325" i="9"/>
  <c r="N325" i="9"/>
  <c r="M325" i="9"/>
  <c r="C325" i="9"/>
  <c r="A325" i="9"/>
  <c r="W324" i="9"/>
  <c r="P324" i="9"/>
  <c r="N324" i="9"/>
  <c r="M324" i="9"/>
  <c r="C324" i="9"/>
  <c r="A324" i="9"/>
  <c r="W323" i="9"/>
  <c r="P323" i="9"/>
  <c r="N323" i="9"/>
  <c r="M323" i="9"/>
  <c r="C323" i="9"/>
  <c r="A323" i="9"/>
  <c r="W322" i="9"/>
  <c r="P322" i="9"/>
  <c r="N322" i="9"/>
  <c r="M322" i="9"/>
  <c r="C322" i="9"/>
  <c r="A322" i="9"/>
  <c r="W321" i="9"/>
  <c r="P321" i="9"/>
  <c r="N321" i="9"/>
  <c r="M321" i="9"/>
  <c r="C321" i="9"/>
  <c r="A321" i="9"/>
  <c r="W320" i="9"/>
  <c r="P320" i="9"/>
  <c r="N320" i="9"/>
  <c r="M320" i="9"/>
  <c r="C320" i="9"/>
  <c r="A320" i="9"/>
  <c r="W319" i="9"/>
  <c r="P319" i="9"/>
  <c r="N319" i="9"/>
  <c r="M319" i="9"/>
  <c r="C319" i="9"/>
  <c r="A319" i="9"/>
  <c r="W318" i="9"/>
  <c r="P318" i="9"/>
  <c r="N318" i="9"/>
  <c r="M318" i="9"/>
  <c r="C318" i="9"/>
  <c r="A318" i="9"/>
  <c r="W317" i="9"/>
  <c r="P317" i="9"/>
  <c r="N317" i="9"/>
  <c r="M317" i="9"/>
  <c r="C317" i="9"/>
  <c r="A317" i="9"/>
  <c r="W316" i="9"/>
  <c r="P316" i="9"/>
  <c r="N316" i="9"/>
  <c r="M316" i="9"/>
  <c r="C316" i="9"/>
  <c r="A316" i="9"/>
  <c r="W315" i="9"/>
  <c r="P315" i="9"/>
  <c r="N315" i="9"/>
  <c r="M315" i="9"/>
  <c r="C315" i="9"/>
  <c r="A315" i="9"/>
  <c r="W314" i="9"/>
  <c r="P314" i="9"/>
  <c r="N314" i="9"/>
  <c r="M314" i="9"/>
  <c r="C314" i="9"/>
  <c r="A314" i="9"/>
  <c r="W313" i="9"/>
  <c r="P313" i="9"/>
  <c r="N313" i="9"/>
  <c r="M313" i="9"/>
  <c r="C313" i="9"/>
  <c r="A313" i="9"/>
  <c r="W312" i="9"/>
  <c r="P312" i="9"/>
  <c r="N312" i="9"/>
  <c r="M312" i="9"/>
  <c r="C312" i="9"/>
  <c r="A312" i="9"/>
  <c r="W311" i="9"/>
  <c r="P311" i="9"/>
  <c r="N311" i="9"/>
  <c r="M311" i="9"/>
  <c r="C311" i="9"/>
  <c r="A311" i="9"/>
  <c r="W310" i="9"/>
  <c r="P310" i="9"/>
  <c r="N310" i="9"/>
  <c r="M310" i="9"/>
  <c r="C310" i="9"/>
  <c r="A310" i="9"/>
  <c r="W309" i="9"/>
  <c r="P309" i="9"/>
  <c r="N309" i="9"/>
  <c r="M309" i="9"/>
  <c r="C309" i="9"/>
  <c r="A309" i="9"/>
  <c r="W308" i="9"/>
  <c r="P308" i="9"/>
  <c r="N308" i="9"/>
  <c r="M308" i="9"/>
  <c r="C308" i="9"/>
  <c r="A308" i="9"/>
  <c r="W307" i="9"/>
  <c r="P307" i="9"/>
  <c r="N307" i="9"/>
  <c r="M307" i="9"/>
  <c r="C307" i="9"/>
  <c r="A307" i="9"/>
  <c r="W306" i="9"/>
  <c r="P306" i="9"/>
  <c r="N306" i="9"/>
  <c r="M306" i="9"/>
  <c r="C306" i="9"/>
  <c r="A306" i="9"/>
  <c r="W305" i="9"/>
  <c r="P305" i="9"/>
  <c r="N305" i="9"/>
  <c r="M305" i="9"/>
  <c r="C305" i="9"/>
  <c r="A305" i="9"/>
  <c r="W304" i="9"/>
  <c r="P304" i="9"/>
  <c r="N304" i="9"/>
  <c r="M304" i="9"/>
  <c r="C304" i="9"/>
  <c r="A304" i="9"/>
  <c r="W303" i="9"/>
  <c r="P303" i="9"/>
  <c r="N303" i="9"/>
  <c r="M303" i="9"/>
  <c r="C303" i="9"/>
  <c r="A303" i="9"/>
  <c r="W302" i="9"/>
  <c r="P302" i="9"/>
  <c r="N302" i="9"/>
  <c r="M302" i="9"/>
  <c r="C302" i="9"/>
  <c r="A302" i="9"/>
  <c r="W301" i="9"/>
  <c r="P301" i="9"/>
  <c r="N301" i="9"/>
  <c r="M301" i="9"/>
  <c r="C301" i="9"/>
  <c r="A301" i="9"/>
  <c r="W300" i="9"/>
  <c r="P300" i="9"/>
  <c r="N300" i="9"/>
  <c r="M300" i="9"/>
  <c r="C300" i="9"/>
  <c r="A300" i="9"/>
  <c r="W299" i="9"/>
  <c r="P299" i="9"/>
  <c r="N299" i="9"/>
  <c r="M299" i="9"/>
  <c r="C299" i="9"/>
  <c r="A299" i="9"/>
  <c r="W298" i="9"/>
  <c r="P298" i="9"/>
  <c r="N298" i="9"/>
  <c r="M298" i="9"/>
  <c r="C298" i="9"/>
  <c r="A298" i="9"/>
  <c r="W297" i="9"/>
  <c r="P297" i="9"/>
  <c r="N297" i="9"/>
  <c r="M297" i="9"/>
  <c r="C297" i="9"/>
  <c r="A297" i="9"/>
  <c r="W296" i="9"/>
  <c r="P296" i="9"/>
  <c r="N296" i="9"/>
  <c r="M296" i="9"/>
  <c r="C296" i="9"/>
  <c r="A296" i="9"/>
  <c r="W295" i="9"/>
  <c r="P295" i="9"/>
  <c r="N295" i="9"/>
  <c r="M295" i="9"/>
  <c r="C295" i="9"/>
  <c r="A295" i="9"/>
  <c r="W294" i="9"/>
  <c r="P294" i="9"/>
  <c r="N294" i="9"/>
  <c r="M294" i="9"/>
  <c r="C294" i="9"/>
  <c r="A294" i="9"/>
  <c r="W293" i="9"/>
  <c r="P293" i="9"/>
  <c r="N293" i="9"/>
  <c r="M293" i="9"/>
  <c r="C293" i="9"/>
  <c r="A293" i="9"/>
  <c r="W292" i="9"/>
  <c r="P292" i="9"/>
  <c r="N292" i="9"/>
  <c r="M292" i="9"/>
  <c r="C292" i="9"/>
  <c r="A292" i="9"/>
  <c r="W291" i="9"/>
  <c r="P291" i="9"/>
  <c r="N291" i="9"/>
  <c r="M291" i="9"/>
  <c r="C291" i="9"/>
  <c r="A291" i="9"/>
  <c r="W290" i="9"/>
  <c r="P290" i="9"/>
  <c r="N290" i="9"/>
  <c r="M290" i="9"/>
  <c r="C290" i="9"/>
  <c r="A290" i="9"/>
  <c r="W289" i="9"/>
  <c r="P289" i="9"/>
  <c r="N289" i="9"/>
  <c r="M289" i="9"/>
  <c r="C289" i="9"/>
  <c r="A289" i="9"/>
  <c r="W288" i="9"/>
  <c r="P288" i="9"/>
  <c r="N288" i="9"/>
  <c r="M288" i="9"/>
  <c r="C288" i="9"/>
  <c r="A288" i="9"/>
  <c r="W287" i="9"/>
  <c r="P287" i="9"/>
  <c r="N287" i="9"/>
  <c r="M287" i="9"/>
  <c r="C287" i="9"/>
  <c r="A287" i="9"/>
  <c r="W286" i="9"/>
  <c r="P286" i="9"/>
  <c r="N286" i="9"/>
  <c r="M286" i="9"/>
  <c r="C286" i="9"/>
  <c r="A286" i="9"/>
  <c r="W285" i="9"/>
  <c r="P285" i="9"/>
  <c r="N285" i="9"/>
  <c r="M285" i="9"/>
  <c r="C285" i="9"/>
  <c r="A285" i="9"/>
  <c r="W284" i="9"/>
  <c r="P284" i="9"/>
  <c r="N284" i="9"/>
  <c r="M284" i="9"/>
  <c r="C284" i="9"/>
  <c r="A284" i="9"/>
  <c r="W283" i="9"/>
  <c r="P283" i="9"/>
  <c r="N283" i="9"/>
  <c r="M283" i="9"/>
  <c r="C283" i="9"/>
  <c r="A283" i="9"/>
  <c r="W282" i="9"/>
  <c r="P282" i="9"/>
  <c r="N282" i="9"/>
  <c r="M282" i="9"/>
  <c r="C282" i="9"/>
  <c r="A282" i="9"/>
  <c r="W281" i="9"/>
  <c r="P281" i="9"/>
  <c r="N281" i="9"/>
  <c r="M281" i="9"/>
  <c r="C281" i="9"/>
  <c r="A281" i="9"/>
  <c r="W280" i="9"/>
  <c r="P280" i="9"/>
  <c r="N280" i="9"/>
  <c r="M280" i="9"/>
  <c r="C280" i="9"/>
  <c r="A280" i="9"/>
  <c r="W279" i="9"/>
  <c r="P279" i="9"/>
  <c r="N279" i="9"/>
  <c r="M279" i="9"/>
  <c r="C279" i="9"/>
  <c r="A279" i="9"/>
  <c r="W278" i="9"/>
  <c r="P278" i="9"/>
  <c r="N278" i="9"/>
  <c r="M278" i="9"/>
  <c r="C278" i="9"/>
  <c r="A278" i="9"/>
  <c r="W277" i="9"/>
  <c r="P277" i="9"/>
  <c r="N277" i="9"/>
  <c r="M277" i="9"/>
  <c r="C277" i="9"/>
  <c r="A277" i="9"/>
  <c r="W276" i="9"/>
  <c r="P276" i="9"/>
  <c r="N276" i="9"/>
  <c r="M276" i="9"/>
  <c r="C276" i="9"/>
  <c r="A276" i="9"/>
  <c r="W275" i="9"/>
  <c r="P275" i="9"/>
  <c r="N275" i="9"/>
  <c r="M275" i="9"/>
  <c r="C275" i="9"/>
  <c r="A275" i="9"/>
  <c r="W274" i="9"/>
  <c r="P274" i="9"/>
  <c r="N274" i="9"/>
  <c r="M274" i="9"/>
  <c r="C274" i="9"/>
  <c r="A274" i="9"/>
  <c r="W273" i="9"/>
  <c r="P273" i="9"/>
  <c r="N273" i="9"/>
  <c r="M273" i="9"/>
  <c r="C273" i="9"/>
  <c r="A273" i="9"/>
  <c r="W272" i="9"/>
  <c r="P272" i="9"/>
  <c r="N272" i="9"/>
  <c r="M272" i="9"/>
  <c r="C272" i="9"/>
  <c r="A272" i="9"/>
  <c r="W271" i="9"/>
  <c r="P271" i="9"/>
  <c r="N271" i="9"/>
  <c r="M271" i="9"/>
  <c r="C271" i="9"/>
  <c r="A271" i="9"/>
  <c r="W270" i="9"/>
  <c r="P270" i="9"/>
  <c r="N270" i="9"/>
  <c r="M270" i="9"/>
  <c r="C270" i="9"/>
  <c r="A270" i="9"/>
  <c r="W269" i="9"/>
  <c r="P269" i="9"/>
  <c r="N269" i="9"/>
  <c r="M269" i="9"/>
  <c r="C269" i="9"/>
  <c r="A269" i="9"/>
  <c r="W268" i="9"/>
  <c r="P268" i="9"/>
  <c r="N268" i="9"/>
  <c r="M268" i="9"/>
  <c r="C268" i="9"/>
  <c r="A268" i="9"/>
  <c r="W267" i="9"/>
  <c r="P267" i="9"/>
  <c r="N267" i="9"/>
  <c r="M267" i="9"/>
  <c r="C267" i="9"/>
  <c r="A267" i="9"/>
  <c r="W266" i="9"/>
  <c r="P266" i="9"/>
  <c r="N266" i="9"/>
  <c r="M266" i="9"/>
  <c r="C266" i="9"/>
  <c r="A266" i="9"/>
  <c r="W265" i="9"/>
  <c r="P265" i="9"/>
  <c r="N265" i="9"/>
  <c r="M265" i="9"/>
  <c r="C265" i="9"/>
  <c r="A265" i="9"/>
  <c r="W264" i="9"/>
  <c r="P264" i="9"/>
  <c r="N264" i="9"/>
  <c r="M264" i="9"/>
  <c r="C264" i="9"/>
  <c r="A264" i="9"/>
  <c r="W263" i="9"/>
  <c r="P263" i="9"/>
  <c r="N263" i="9"/>
  <c r="M263" i="9"/>
  <c r="C263" i="9"/>
  <c r="A263" i="9"/>
  <c r="W262" i="9"/>
  <c r="P262" i="9"/>
  <c r="N262" i="9"/>
  <c r="M262" i="9"/>
  <c r="C262" i="9"/>
  <c r="A262" i="9"/>
  <c r="W261" i="9"/>
  <c r="P261" i="9"/>
  <c r="N261" i="9"/>
  <c r="M261" i="9"/>
  <c r="C261" i="9"/>
  <c r="A261" i="9"/>
  <c r="W260" i="9"/>
  <c r="P260" i="9"/>
  <c r="N260" i="9"/>
  <c r="M260" i="9"/>
  <c r="C260" i="9"/>
  <c r="A260" i="9"/>
  <c r="W259" i="9"/>
  <c r="P259" i="9"/>
  <c r="N259" i="9"/>
  <c r="M259" i="9"/>
  <c r="C259" i="9"/>
  <c r="A259" i="9"/>
  <c r="W258" i="9"/>
  <c r="P258" i="9"/>
  <c r="N258" i="9"/>
  <c r="M258" i="9"/>
  <c r="C258" i="9"/>
  <c r="A258" i="9"/>
  <c r="W257" i="9"/>
  <c r="P257" i="9"/>
  <c r="N257" i="9"/>
  <c r="M257" i="9"/>
  <c r="C257" i="9"/>
  <c r="A257" i="9"/>
  <c r="W256" i="9"/>
  <c r="P256" i="9"/>
  <c r="N256" i="9"/>
  <c r="M256" i="9"/>
  <c r="C256" i="9"/>
  <c r="A256" i="9"/>
  <c r="W255" i="9"/>
  <c r="P255" i="9"/>
  <c r="N255" i="9"/>
  <c r="M255" i="9"/>
  <c r="C255" i="9"/>
  <c r="A255" i="9"/>
  <c r="W254" i="9"/>
  <c r="P254" i="9"/>
  <c r="N254" i="9"/>
  <c r="M254" i="9"/>
  <c r="C254" i="9"/>
  <c r="A254" i="9"/>
  <c r="W253" i="9"/>
  <c r="P253" i="9"/>
  <c r="N253" i="9"/>
  <c r="M253" i="9"/>
  <c r="C253" i="9"/>
  <c r="A253" i="9"/>
  <c r="W252" i="9"/>
  <c r="P252" i="9"/>
  <c r="N252" i="9"/>
  <c r="M252" i="9"/>
  <c r="C252" i="9"/>
  <c r="A252" i="9"/>
  <c r="W251" i="9"/>
  <c r="P251" i="9"/>
  <c r="N251" i="9"/>
  <c r="M251" i="9"/>
  <c r="C251" i="9"/>
  <c r="A251" i="9"/>
  <c r="W250" i="9"/>
  <c r="P250" i="9"/>
  <c r="N250" i="9"/>
  <c r="M250" i="9"/>
  <c r="C250" i="9"/>
  <c r="A250" i="9"/>
  <c r="W249" i="9"/>
  <c r="P249" i="9"/>
  <c r="N249" i="9"/>
  <c r="M249" i="9"/>
  <c r="C249" i="9"/>
  <c r="A249" i="9"/>
  <c r="W248" i="9"/>
  <c r="P248" i="9"/>
  <c r="N248" i="9"/>
  <c r="M248" i="9"/>
  <c r="C248" i="9"/>
  <c r="A248" i="9"/>
  <c r="W247" i="9"/>
  <c r="P247" i="9"/>
  <c r="N247" i="9"/>
  <c r="M247" i="9"/>
  <c r="C247" i="9"/>
  <c r="A247" i="9"/>
  <c r="W246" i="9"/>
  <c r="P246" i="9"/>
  <c r="N246" i="9"/>
  <c r="M246" i="9"/>
  <c r="C246" i="9"/>
  <c r="A246" i="9"/>
  <c r="W245" i="9"/>
  <c r="P245" i="9"/>
  <c r="N245" i="9"/>
  <c r="M245" i="9"/>
  <c r="C245" i="9"/>
  <c r="A245" i="9"/>
  <c r="W244" i="9"/>
  <c r="P244" i="9"/>
  <c r="N244" i="9"/>
  <c r="M244" i="9"/>
  <c r="C244" i="9"/>
  <c r="A244" i="9"/>
  <c r="W243" i="9"/>
  <c r="P243" i="9"/>
  <c r="N243" i="9"/>
  <c r="M243" i="9"/>
  <c r="C243" i="9"/>
  <c r="A243" i="9"/>
  <c r="W242" i="9"/>
  <c r="P242" i="9"/>
  <c r="N242" i="9"/>
  <c r="M242" i="9"/>
  <c r="C242" i="9"/>
  <c r="A242" i="9"/>
  <c r="W241" i="9"/>
  <c r="P241" i="9"/>
  <c r="N241" i="9"/>
  <c r="M241" i="9"/>
  <c r="C241" i="9"/>
  <c r="A241" i="9"/>
  <c r="W240" i="9"/>
  <c r="P240" i="9"/>
  <c r="N240" i="9"/>
  <c r="M240" i="9"/>
  <c r="C240" i="9"/>
  <c r="A240" i="9"/>
  <c r="W239" i="9"/>
  <c r="P239" i="9"/>
  <c r="N239" i="9"/>
  <c r="M239" i="9"/>
  <c r="C239" i="9"/>
  <c r="A239" i="9"/>
  <c r="W238" i="9"/>
  <c r="P238" i="9"/>
  <c r="N238" i="9"/>
  <c r="M238" i="9"/>
  <c r="C238" i="9"/>
  <c r="A238" i="9"/>
  <c r="W237" i="9"/>
  <c r="P237" i="9"/>
  <c r="N237" i="9"/>
  <c r="M237" i="9"/>
  <c r="C237" i="9"/>
  <c r="A237" i="9"/>
  <c r="W236" i="9"/>
  <c r="P236" i="9"/>
  <c r="N236" i="9"/>
  <c r="M236" i="9"/>
  <c r="C236" i="9"/>
  <c r="A236" i="9"/>
  <c r="W235" i="9"/>
  <c r="P235" i="9"/>
  <c r="N235" i="9"/>
  <c r="M235" i="9"/>
  <c r="C235" i="9"/>
  <c r="A235" i="9"/>
  <c r="W234" i="9"/>
  <c r="P234" i="9"/>
  <c r="N234" i="9"/>
  <c r="M234" i="9"/>
  <c r="C234" i="9"/>
  <c r="A234" i="9"/>
  <c r="W233" i="9"/>
  <c r="P233" i="9"/>
  <c r="N233" i="9"/>
  <c r="M233" i="9"/>
  <c r="C233" i="9"/>
  <c r="A233" i="9"/>
  <c r="W232" i="9"/>
  <c r="P232" i="9"/>
  <c r="N232" i="9"/>
  <c r="M232" i="9"/>
  <c r="C232" i="9"/>
  <c r="A232" i="9"/>
  <c r="W231" i="9"/>
  <c r="P231" i="9"/>
  <c r="N231" i="9"/>
  <c r="M231" i="9"/>
  <c r="C231" i="9"/>
  <c r="A231" i="9"/>
  <c r="W230" i="9"/>
  <c r="P230" i="9"/>
  <c r="N230" i="9"/>
  <c r="M230" i="9"/>
  <c r="C230" i="9"/>
  <c r="A230" i="9"/>
  <c r="W229" i="9"/>
  <c r="P229" i="9"/>
  <c r="N229" i="9"/>
  <c r="M229" i="9"/>
  <c r="C229" i="9"/>
  <c r="A229" i="9"/>
  <c r="W228" i="9"/>
  <c r="P228" i="9"/>
  <c r="N228" i="9"/>
  <c r="M228" i="9"/>
  <c r="C228" i="9"/>
  <c r="A228" i="9"/>
  <c r="W227" i="9"/>
  <c r="P227" i="9"/>
  <c r="N227" i="9"/>
  <c r="M227" i="9"/>
  <c r="C227" i="9"/>
  <c r="A227" i="9"/>
  <c r="W226" i="9"/>
  <c r="P226" i="9"/>
  <c r="N226" i="9"/>
  <c r="M226" i="9"/>
  <c r="C226" i="9"/>
  <c r="A226" i="9"/>
  <c r="W225" i="9"/>
  <c r="P225" i="9"/>
  <c r="N225" i="9"/>
  <c r="M225" i="9"/>
  <c r="C225" i="9"/>
  <c r="A225" i="9"/>
  <c r="W224" i="9"/>
  <c r="P224" i="9"/>
  <c r="N224" i="9"/>
  <c r="M224" i="9"/>
  <c r="C224" i="9"/>
  <c r="A224" i="9"/>
  <c r="W223" i="9"/>
  <c r="P223" i="9"/>
  <c r="N223" i="9"/>
  <c r="M223" i="9"/>
  <c r="C223" i="9"/>
  <c r="A223" i="9"/>
  <c r="W222" i="9"/>
  <c r="P222" i="9"/>
  <c r="N222" i="9"/>
  <c r="M222" i="9"/>
  <c r="C222" i="9"/>
  <c r="A222" i="9"/>
  <c r="W221" i="9"/>
  <c r="P221" i="9"/>
  <c r="N221" i="9"/>
  <c r="M221" i="9"/>
  <c r="C221" i="9"/>
  <c r="A221" i="9"/>
  <c r="W220" i="9"/>
  <c r="P220" i="9"/>
  <c r="N220" i="9"/>
  <c r="M220" i="9"/>
  <c r="C220" i="9"/>
  <c r="A220" i="9"/>
  <c r="W219" i="9"/>
  <c r="P219" i="9"/>
  <c r="N219" i="9"/>
  <c r="M219" i="9"/>
  <c r="C219" i="9"/>
  <c r="A219" i="9"/>
  <c r="W218" i="9"/>
  <c r="P218" i="9"/>
  <c r="N218" i="9"/>
  <c r="M218" i="9"/>
  <c r="C218" i="9"/>
  <c r="A218" i="9"/>
  <c r="W217" i="9"/>
  <c r="P217" i="9"/>
  <c r="N217" i="9"/>
  <c r="M217" i="9"/>
  <c r="C217" i="9"/>
  <c r="A217" i="9"/>
  <c r="W216" i="9"/>
  <c r="P216" i="9"/>
  <c r="N216" i="9"/>
  <c r="M216" i="9"/>
  <c r="C216" i="9"/>
  <c r="A216" i="9"/>
  <c r="W215" i="9"/>
  <c r="P215" i="9"/>
  <c r="N215" i="9"/>
  <c r="M215" i="9"/>
  <c r="C215" i="9"/>
  <c r="A215" i="9"/>
  <c r="W214" i="9"/>
  <c r="P214" i="9"/>
  <c r="N214" i="9"/>
  <c r="M214" i="9"/>
  <c r="C214" i="9"/>
  <c r="A214" i="9"/>
  <c r="W213" i="9"/>
  <c r="P213" i="9"/>
  <c r="N213" i="9"/>
  <c r="M213" i="9"/>
  <c r="C213" i="9"/>
  <c r="A213" i="9"/>
  <c r="W212" i="9"/>
  <c r="P212" i="9"/>
  <c r="N212" i="9"/>
  <c r="M212" i="9"/>
  <c r="C212" i="9"/>
  <c r="A212" i="9"/>
  <c r="W211" i="9"/>
  <c r="P211" i="9"/>
  <c r="N211" i="9"/>
  <c r="M211" i="9"/>
  <c r="C211" i="9"/>
  <c r="A211" i="9"/>
  <c r="W210" i="9"/>
  <c r="P210" i="9"/>
  <c r="N210" i="9"/>
  <c r="M210" i="9"/>
  <c r="C210" i="9"/>
  <c r="A210" i="9"/>
  <c r="W209" i="9"/>
  <c r="P209" i="9"/>
  <c r="N209" i="9"/>
  <c r="M209" i="9"/>
  <c r="C209" i="9"/>
  <c r="A209" i="9"/>
  <c r="W208" i="9"/>
  <c r="P208" i="9"/>
  <c r="N208" i="9"/>
  <c r="M208" i="9"/>
  <c r="C208" i="9"/>
  <c r="A208" i="9"/>
  <c r="W207" i="9"/>
  <c r="P207" i="9"/>
  <c r="N207" i="9"/>
  <c r="M207" i="9"/>
  <c r="C207" i="9"/>
  <c r="A207" i="9"/>
  <c r="W206" i="9"/>
  <c r="P206" i="9"/>
  <c r="N206" i="9"/>
  <c r="M206" i="9"/>
  <c r="C206" i="9"/>
  <c r="A206" i="9"/>
  <c r="W205" i="9"/>
  <c r="P205" i="9"/>
  <c r="N205" i="9"/>
  <c r="M205" i="9"/>
  <c r="C205" i="9"/>
  <c r="A205" i="9"/>
  <c r="W204" i="9"/>
  <c r="P204" i="9"/>
  <c r="N204" i="9"/>
  <c r="M204" i="9"/>
  <c r="C204" i="9"/>
  <c r="A204" i="9"/>
  <c r="W203" i="9"/>
  <c r="P203" i="9"/>
  <c r="N203" i="9"/>
  <c r="M203" i="9"/>
  <c r="C203" i="9"/>
  <c r="A203" i="9"/>
  <c r="W202" i="9"/>
  <c r="P202" i="9"/>
  <c r="N202" i="9"/>
  <c r="M202" i="9"/>
  <c r="C202" i="9"/>
  <c r="A202" i="9"/>
  <c r="W201" i="9"/>
  <c r="P201" i="9"/>
  <c r="N201" i="9"/>
  <c r="M201" i="9"/>
  <c r="C201" i="9"/>
  <c r="A201" i="9"/>
  <c r="W200" i="9"/>
  <c r="P200" i="9"/>
  <c r="N200" i="9"/>
  <c r="M200" i="9"/>
  <c r="C200" i="9"/>
  <c r="A200" i="9"/>
  <c r="W199" i="9"/>
  <c r="P199" i="9"/>
  <c r="N199" i="9"/>
  <c r="M199" i="9"/>
  <c r="C199" i="9"/>
  <c r="A199" i="9"/>
  <c r="W198" i="9"/>
  <c r="P198" i="9"/>
  <c r="N198" i="9"/>
  <c r="M198" i="9"/>
  <c r="C198" i="9"/>
  <c r="A198" i="9"/>
  <c r="W197" i="9"/>
  <c r="P197" i="9"/>
  <c r="N197" i="9"/>
  <c r="M197" i="9"/>
  <c r="C197" i="9"/>
  <c r="A197" i="9"/>
  <c r="W196" i="9"/>
  <c r="P196" i="9"/>
  <c r="N196" i="9"/>
  <c r="M196" i="9"/>
  <c r="C196" i="9"/>
  <c r="A196" i="9"/>
  <c r="W195" i="9"/>
  <c r="P195" i="9"/>
  <c r="N195" i="9"/>
  <c r="M195" i="9"/>
  <c r="C195" i="9"/>
  <c r="A195" i="9"/>
  <c r="W194" i="9"/>
  <c r="P194" i="9"/>
  <c r="N194" i="9"/>
  <c r="M194" i="9"/>
  <c r="C194" i="9"/>
  <c r="A194" i="9"/>
  <c r="W193" i="9"/>
  <c r="P193" i="9"/>
  <c r="N193" i="9"/>
  <c r="M193" i="9"/>
  <c r="C193" i="9"/>
  <c r="A193" i="9"/>
  <c r="W192" i="9"/>
  <c r="P192" i="9"/>
  <c r="N192" i="9"/>
  <c r="M192" i="9"/>
  <c r="C192" i="9"/>
  <c r="A192" i="9"/>
  <c r="W191" i="9"/>
  <c r="P191" i="9"/>
  <c r="N191" i="9"/>
  <c r="M191" i="9"/>
  <c r="C191" i="9"/>
  <c r="A191" i="9"/>
  <c r="W190" i="9"/>
  <c r="P190" i="9"/>
  <c r="N190" i="9"/>
  <c r="M190" i="9"/>
  <c r="C190" i="9"/>
  <c r="A190" i="9"/>
  <c r="W189" i="9"/>
  <c r="P189" i="9"/>
  <c r="N189" i="9"/>
  <c r="M189" i="9"/>
  <c r="C189" i="9"/>
  <c r="A189" i="9"/>
  <c r="W188" i="9"/>
  <c r="P188" i="9"/>
  <c r="N188" i="9"/>
  <c r="M188" i="9"/>
  <c r="C188" i="9"/>
  <c r="A188" i="9"/>
  <c r="W187" i="9"/>
  <c r="P187" i="9"/>
  <c r="N187" i="9"/>
  <c r="M187" i="9"/>
  <c r="C187" i="9"/>
  <c r="A187" i="9"/>
  <c r="W186" i="9"/>
  <c r="P186" i="9"/>
  <c r="N186" i="9"/>
  <c r="M186" i="9"/>
  <c r="C186" i="9"/>
  <c r="A186" i="9"/>
  <c r="W185" i="9"/>
  <c r="P185" i="9"/>
  <c r="N185" i="9"/>
  <c r="M185" i="9"/>
  <c r="C185" i="9"/>
  <c r="A185" i="9"/>
  <c r="W184" i="9"/>
  <c r="P184" i="9"/>
  <c r="N184" i="9"/>
  <c r="M184" i="9"/>
  <c r="C184" i="9"/>
  <c r="A184" i="9"/>
  <c r="W183" i="9"/>
  <c r="P183" i="9"/>
  <c r="N183" i="9"/>
  <c r="M183" i="9"/>
  <c r="C183" i="9"/>
  <c r="A183" i="9"/>
  <c r="W182" i="9"/>
  <c r="P182" i="9"/>
  <c r="N182" i="9"/>
  <c r="M182" i="9"/>
  <c r="C182" i="9"/>
  <c r="A182" i="9"/>
  <c r="W181" i="9"/>
  <c r="P181" i="9"/>
  <c r="N181" i="9"/>
  <c r="M181" i="9"/>
  <c r="C181" i="9"/>
  <c r="A181" i="9"/>
  <c r="W180" i="9"/>
  <c r="P180" i="9"/>
  <c r="N180" i="9"/>
  <c r="M180" i="9"/>
  <c r="C180" i="9"/>
  <c r="A180" i="9"/>
  <c r="W179" i="9"/>
  <c r="P179" i="9"/>
  <c r="N179" i="9"/>
  <c r="M179" i="9"/>
  <c r="C179" i="9"/>
  <c r="A179" i="9"/>
  <c r="W178" i="9"/>
  <c r="P178" i="9"/>
  <c r="N178" i="9"/>
  <c r="M178" i="9"/>
  <c r="C178" i="9"/>
  <c r="A178" i="9"/>
  <c r="W177" i="9"/>
  <c r="P177" i="9"/>
  <c r="N177" i="9"/>
  <c r="M177" i="9"/>
  <c r="C177" i="9"/>
  <c r="A177" i="9"/>
  <c r="W176" i="9"/>
  <c r="P176" i="9"/>
  <c r="N176" i="9"/>
  <c r="M176" i="9"/>
  <c r="C176" i="9"/>
  <c r="A176" i="9"/>
  <c r="W175" i="9"/>
  <c r="P175" i="9"/>
  <c r="N175" i="9"/>
  <c r="M175" i="9"/>
  <c r="C175" i="9"/>
  <c r="A175" i="9"/>
  <c r="W174" i="9"/>
  <c r="P174" i="9"/>
  <c r="N174" i="9"/>
  <c r="M174" i="9"/>
  <c r="C174" i="9"/>
  <c r="A174" i="9"/>
  <c r="W173" i="9"/>
  <c r="P173" i="9"/>
  <c r="N173" i="9"/>
  <c r="M173" i="9"/>
  <c r="C173" i="9"/>
  <c r="A173" i="9"/>
  <c r="W172" i="9"/>
  <c r="P172" i="9"/>
  <c r="N172" i="9"/>
  <c r="M172" i="9"/>
  <c r="C172" i="9"/>
  <c r="A172" i="9"/>
  <c r="W171" i="9"/>
  <c r="P171" i="9"/>
  <c r="N171" i="9"/>
  <c r="M171" i="9"/>
  <c r="C171" i="9"/>
  <c r="A171" i="9"/>
  <c r="W170" i="9"/>
  <c r="P170" i="9"/>
  <c r="N170" i="9"/>
  <c r="M170" i="9"/>
  <c r="C170" i="9"/>
  <c r="A170" i="9"/>
  <c r="W169" i="9"/>
  <c r="P169" i="9"/>
  <c r="N169" i="9"/>
  <c r="M169" i="9"/>
  <c r="C169" i="9"/>
  <c r="A169" i="9"/>
  <c r="W168" i="9"/>
  <c r="P168" i="9"/>
  <c r="N168" i="9"/>
  <c r="M168" i="9"/>
  <c r="C168" i="9"/>
  <c r="A168" i="9"/>
  <c r="W167" i="9"/>
  <c r="P167" i="9"/>
  <c r="N167" i="9"/>
  <c r="M167" i="9"/>
  <c r="C167" i="9"/>
  <c r="A167" i="9"/>
  <c r="W166" i="9"/>
  <c r="P166" i="9"/>
  <c r="N166" i="9"/>
  <c r="M166" i="9"/>
  <c r="C166" i="9"/>
  <c r="A166" i="9"/>
  <c r="W165" i="9"/>
  <c r="P165" i="9"/>
  <c r="N165" i="9"/>
  <c r="M165" i="9"/>
  <c r="C165" i="9"/>
  <c r="A165" i="9"/>
  <c r="W164" i="9"/>
  <c r="P164" i="9"/>
  <c r="N164" i="9"/>
  <c r="M164" i="9"/>
  <c r="C164" i="9"/>
  <c r="A164" i="9"/>
  <c r="W163" i="9"/>
  <c r="P163" i="9"/>
  <c r="N163" i="9"/>
  <c r="M163" i="9"/>
  <c r="C163" i="9"/>
  <c r="A163" i="9"/>
  <c r="W162" i="9"/>
  <c r="P162" i="9"/>
  <c r="N162" i="9"/>
  <c r="M162" i="9"/>
  <c r="C162" i="9"/>
  <c r="A162" i="9"/>
  <c r="W161" i="9"/>
  <c r="P161" i="9"/>
  <c r="N161" i="9"/>
  <c r="M161" i="9"/>
  <c r="C161" i="9"/>
  <c r="A161" i="9"/>
  <c r="W160" i="9"/>
  <c r="P160" i="9"/>
  <c r="N160" i="9"/>
  <c r="M160" i="9"/>
  <c r="C160" i="9"/>
  <c r="A160" i="9"/>
  <c r="W159" i="9"/>
  <c r="P159" i="9"/>
  <c r="N159" i="9"/>
  <c r="M159" i="9"/>
  <c r="C159" i="9"/>
  <c r="A159" i="9"/>
  <c r="W158" i="9"/>
  <c r="P158" i="9"/>
  <c r="N158" i="9"/>
  <c r="M158" i="9"/>
  <c r="C158" i="9"/>
  <c r="A158" i="9"/>
  <c r="W157" i="9"/>
  <c r="P157" i="9"/>
  <c r="N157" i="9"/>
  <c r="M157" i="9"/>
  <c r="C157" i="9"/>
  <c r="A157" i="9"/>
  <c r="W156" i="9"/>
  <c r="P156" i="9"/>
  <c r="N156" i="9"/>
  <c r="M156" i="9"/>
  <c r="C156" i="9"/>
  <c r="A156" i="9"/>
  <c r="W155" i="9"/>
  <c r="P155" i="9"/>
  <c r="N155" i="9"/>
  <c r="M155" i="9"/>
  <c r="C155" i="9"/>
  <c r="A155" i="9"/>
  <c r="W154" i="9"/>
  <c r="P154" i="9"/>
  <c r="N154" i="9"/>
  <c r="M154" i="9"/>
  <c r="C154" i="9"/>
  <c r="A154" i="9"/>
  <c r="W153" i="9"/>
  <c r="P153" i="9"/>
  <c r="N153" i="9"/>
  <c r="M153" i="9"/>
  <c r="C153" i="9"/>
  <c r="A153" i="9"/>
  <c r="W152" i="9"/>
  <c r="P152" i="9"/>
  <c r="N152" i="9"/>
  <c r="M152" i="9"/>
  <c r="C152" i="9"/>
  <c r="A152" i="9"/>
  <c r="W151" i="9"/>
  <c r="P151" i="9"/>
  <c r="N151" i="9"/>
  <c r="M151" i="9"/>
  <c r="C151" i="9"/>
  <c r="A151" i="9"/>
  <c r="W150" i="9"/>
  <c r="P150" i="9"/>
  <c r="N150" i="9"/>
  <c r="M150" i="9"/>
  <c r="C150" i="9"/>
  <c r="A150" i="9"/>
  <c r="W149" i="9"/>
  <c r="P149" i="9"/>
  <c r="N149" i="9"/>
  <c r="M149" i="9"/>
  <c r="C149" i="9"/>
  <c r="A149" i="9"/>
  <c r="W148" i="9"/>
  <c r="P148" i="9"/>
  <c r="N148" i="9"/>
  <c r="M148" i="9"/>
  <c r="C148" i="9"/>
  <c r="A148" i="9"/>
  <c r="W147" i="9"/>
  <c r="P147" i="9"/>
  <c r="N147" i="9"/>
  <c r="M147" i="9"/>
  <c r="C147" i="9"/>
  <c r="A147" i="9"/>
  <c r="W146" i="9"/>
  <c r="P146" i="9"/>
  <c r="N146" i="9"/>
  <c r="M146" i="9"/>
  <c r="C146" i="9"/>
  <c r="A146" i="9"/>
  <c r="W145" i="9"/>
  <c r="P145" i="9"/>
  <c r="N145" i="9"/>
  <c r="M145" i="9"/>
  <c r="C145" i="9"/>
  <c r="A145" i="9"/>
  <c r="W144" i="9"/>
  <c r="P144" i="9"/>
  <c r="N144" i="9"/>
  <c r="M144" i="9"/>
  <c r="C144" i="9"/>
  <c r="A144" i="9"/>
  <c r="W143" i="9"/>
  <c r="P143" i="9"/>
  <c r="N143" i="9"/>
  <c r="M143" i="9"/>
  <c r="C143" i="9"/>
  <c r="A143" i="9"/>
  <c r="W142" i="9"/>
  <c r="P142" i="9"/>
  <c r="N142" i="9"/>
  <c r="M142" i="9"/>
  <c r="C142" i="9"/>
  <c r="A142" i="9"/>
  <c r="W141" i="9"/>
  <c r="P141" i="9"/>
  <c r="N141" i="9"/>
  <c r="M141" i="9"/>
  <c r="C141" i="9"/>
  <c r="A141" i="9"/>
  <c r="W140" i="9"/>
  <c r="P140" i="9"/>
  <c r="N140" i="9"/>
  <c r="M140" i="9"/>
  <c r="C140" i="9"/>
  <c r="A140" i="9"/>
  <c r="W139" i="9"/>
  <c r="P139" i="9"/>
  <c r="N139" i="9"/>
  <c r="M139" i="9"/>
  <c r="C139" i="9"/>
  <c r="A139" i="9"/>
  <c r="W138" i="9"/>
  <c r="P138" i="9"/>
  <c r="N138" i="9"/>
  <c r="M138" i="9"/>
  <c r="C138" i="9"/>
  <c r="A138" i="9"/>
  <c r="W137" i="9"/>
  <c r="P137" i="9"/>
  <c r="N137" i="9"/>
  <c r="M137" i="9"/>
  <c r="C137" i="9"/>
  <c r="A137" i="9"/>
  <c r="W136" i="9"/>
  <c r="P136" i="9"/>
  <c r="N136" i="9"/>
  <c r="M136" i="9"/>
  <c r="C136" i="9"/>
  <c r="A136" i="9"/>
  <c r="W135" i="9"/>
  <c r="P135" i="9"/>
  <c r="N135" i="9"/>
  <c r="M135" i="9"/>
  <c r="C135" i="9"/>
  <c r="A135" i="9"/>
  <c r="W134" i="9"/>
  <c r="P134" i="9"/>
  <c r="N134" i="9"/>
  <c r="M134" i="9"/>
  <c r="C134" i="9"/>
  <c r="A134" i="9"/>
  <c r="W133" i="9"/>
  <c r="P133" i="9"/>
  <c r="N133" i="9"/>
  <c r="M133" i="9"/>
  <c r="C133" i="9"/>
  <c r="A133" i="9"/>
  <c r="W132" i="9"/>
  <c r="P132" i="9"/>
  <c r="N132" i="9"/>
  <c r="M132" i="9"/>
  <c r="C132" i="9"/>
  <c r="A132" i="9"/>
  <c r="W131" i="9"/>
  <c r="P131" i="9"/>
  <c r="N131" i="9"/>
  <c r="M131" i="9"/>
  <c r="C131" i="9"/>
  <c r="A131" i="9"/>
  <c r="W130" i="9"/>
  <c r="P130" i="9"/>
  <c r="N130" i="9"/>
  <c r="M130" i="9"/>
  <c r="C130" i="9"/>
  <c r="A130" i="9"/>
  <c r="W129" i="9"/>
  <c r="P129" i="9"/>
  <c r="N129" i="9"/>
  <c r="M129" i="9"/>
  <c r="C129" i="9"/>
  <c r="A129" i="9"/>
  <c r="W128" i="9"/>
  <c r="P128" i="9"/>
  <c r="N128" i="9"/>
  <c r="M128" i="9"/>
  <c r="C128" i="9"/>
  <c r="A128" i="9"/>
  <c r="W127" i="9"/>
  <c r="P127" i="9"/>
  <c r="N127" i="9"/>
  <c r="M127" i="9"/>
  <c r="C127" i="9"/>
  <c r="A127" i="9"/>
  <c r="W126" i="9"/>
  <c r="P126" i="9"/>
  <c r="N126" i="9"/>
  <c r="M126" i="9"/>
  <c r="C126" i="9"/>
  <c r="A126" i="9"/>
  <c r="W125" i="9"/>
  <c r="P125" i="9"/>
  <c r="N125" i="9"/>
  <c r="M125" i="9"/>
  <c r="C125" i="9"/>
  <c r="A125" i="9"/>
  <c r="W124" i="9"/>
  <c r="P124" i="9"/>
  <c r="N124" i="9"/>
  <c r="M124" i="9"/>
  <c r="C124" i="9"/>
  <c r="A124" i="9"/>
  <c r="W123" i="9"/>
  <c r="P123" i="9"/>
  <c r="N123" i="9"/>
  <c r="M123" i="9"/>
  <c r="C123" i="9"/>
  <c r="A123" i="9"/>
  <c r="W122" i="9"/>
  <c r="P122" i="9"/>
  <c r="N122" i="9"/>
  <c r="M122" i="9"/>
  <c r="C122" i="9"/>
  <c r="A122" i="9"/>
  <c r="W121" i="9"/>
  <c r="P121" i="9"/>
  <c r="N121" i="9"/>
  <c r="M121" i="9"/>
  <c r="C121" i="9"/>
  <c r="A121" i="9"/>
  <c r="W120" i="9"/>
  <c r="P120" i="9"/>
  <c r="N120" i="9"/>
  <c r="M120" i="9"/>
  <c r="C120" i="9"/>
  <c r="A120" i="9"/>
  <c r="W119" i="9"/>
  <c r="P119" i="9"/>
  <c r="N119" i="9"/>
  <c r="M119" i="9"/>
  <c r="C119" i="9"/>
  <c r="A119" i="9"/>
  <c r="W118" i="9"/>
  <c r="P118" i="9"/>
  <c r="N118" i="9"/>
  <c r="M118" i="9"/>
  <c r="C118" i="9"/>
  <c r="A118" i="9"/>
  <c r="W117" i="9"/>
  <c r="P117" i="9"/>
  <c r="N117" i="9"/>
  <c r="M117" i="9"/>
  <c r="C117" i="9"/>
  <c r="A117" i="9"/>
  <c r="W116" i="9"/>
  <c r="P116" i="9"/>
  <c r="N116" i="9"/>
  <c r="M116" i="9"/>
  <c r="C116" i="9"/>
  <c r="A116" i="9"/>
  <c r="W115" i="9"/>
  <c r="P115" i="9"/>
  <c r="N115" i="9"/>
  <c r="M115" i="9"/>
  <c r="C115" i="9"/>
  <c r="A115" i="9"/>
  <c r="W114" i="9"/>
  <c r="P114" i="9"/>
  <c r="N114" i="9"/>
  <c r="M114" i="9"/>
  <c r="C114" i="9"/>
  <c r="A114" i="9"/>
  <c r="W113" i="9"/>
  <c r="P113" i="9"/>
  <c r="N113" i="9"/>
  <c r="M113" i="9"/>
  <c r="C113" i="9"/>
  <c r="A113" i="9"/>
  <c r="W112" i="9"/>
  <c r="P112" i="9"/>
  <c r="N112" i="9"/>
  <c r="M112" i="9"/>
  <c r="C112" i="9"/>
  <c r="A112" i="9"/>
  <c r="W111" i="9"/>
  <c r="P111" i="9"/>
  <c r="N111" i="9"/>
  <c r="M111" i="9"/>
  <c r="C111" i="9"/>
  <c r="A111" i="9"/>
  <c r="W110" i="9"/>
  <c r="P110" i="9"/>
  <c r="N110" i="9"/>
  <c r="M110" i="9"/>
  <c r="C110" i="9"/>
  <c r="A110" i="9"/>
  <c r="W109" i="9"/>
  <c r="P109" i="9"/>
  <c r="N109" i="9"/>
  <c r="M109" i="9"/>
  <c r="C109" i="9"/>
  <c r="A109" i="9"/>
  <c r="W108" i="9"/>
  <c r="P108" i="9"/>
  <c r="N108" i="9"/>
  <c r="M108" i="9"/>
  <c r="C108" i="9"/>
  <c r="A108" i="9"/>
  <c r="W107" i="9"/>
  <c r="P107" i="9"/>
  <c r="N107" i="9"/>
  <c r="M107" i="9"/>
  <c r="C107" i="9"/>
  <c r="A107" i="9"/>
  <c r="W106" i="9"/>
  <c r="P106" i="9"/>
  <c r="N106" i="9"/>
  <c r="M106" i="9"/>
  <c r="C106" i="9"/>
  <c r="A106" i="9"/>
  <c r="W105" i="9"/>
  <c r="P105" i="9"/>
  <c r="N105" i="9"/>
  <c r="M105" i="9"/>
  <c r="C105" i="9"/>
  <c r="A105" i="9"/>
  <c r="W104" i="9"/>
  <c r="P104" i="9"/>
  <c r="N104" i="9"/>
  <c r="M104" i="9"/>
  <c r="C104" i="9"/>
  <c r="A104" i="9"/>
  <c r="W103" i="9"/>
  <c r="P103" i="9"/>
  <c r="N103" i="9"/>
  <c r="M103" i="9"/>
  <c r="C103" i="9"/>
  <c r="A103" i="9"/>
  <c r="W102" i="9"/>
  <c r="P102" i="9"/>
  <c r="N102" i="9"/>
  <c r="M102" i="9"/>
  <c r="C102" i="9"/>
  <c r="A102" i="9"/>
  <c r="W101" i="9"/>
  <c r="P101" i="9"/>
  <c r="N101" i="9"/>
  <c r="M101" i="9"/>
  <c r="C101" i="9"/>
  <c r="A101" i="9"/>
  <c r="W100" i="9"/>
  <c r="P100" i="9"/>
  <c r="N100" i="9"/>
  <c r="M100" i="9"/>
  <c r="C100" i="9"/>
  <c r="A100" i="9"/>
  <c r="W99" i="9"/>
  <c r="P99" i="9"/>
  <c r="N99" i="9"/>
  <c r="M99" i="9"/>
  <c r="C99" i="9"/>
  <c r="A99" i="9"/>
  <c r="W98" i="9"/>
  <c r="P98" i="9"/>
  <c r="N98" i="9"/>
  <c r="M98" i="9"/>
  <c r="C98" i="9"/>
  <c r="A98" i="9"/>
  <c r="W97" i="9"/>
  <c r="P97" i="9"/>
  <c r="N97" i="9"/>
  <c r="M97" i="9"/>
  <c r="C97" i="9"/>
  <c r="A97" i="9"/>
  <c r="W96" i="9"/>
  <c r="P96" i="9"/>
  <c r="N96" i="9"/>
  <c r="M96" i="9"/>
  <c r="C96" i="9"/>
  <c r="A96" i="9"/>
  <c r="W95" i="9"/>
  <c r="P95" i="9"/>
  <c r="N95" i="9"/>
  <c r="M95" i="9"/>
  <c r="C95" i="9"/>
  <c r="A95" i="9"/>
  <c r="W94" i="9"/>
  <c r="P94" i="9"/>
  <c r="N94" i="9"/>
  <c r="M94" i="9"/>
  <c r="C94" i="9"/>
  <c r="A94" i="9"/>
  <c r="W93" i="9"/>
  <c r="P93" i="9"/>
  <c r="N93" i="9"/>
  <c r="M93" i="9"/>
  <c r="C93" i="9"/>
  <c r="A93" i="9"/>
  <c r="W92" i="9"/>
  <c r="P92" i="9"/>
  <c r="N92" i="9"/>
  <c r="M92" i="9"/>
  <c r="C92" i="9"/>
  <c r="A92" i="9"/>
  <c r="W91" i="9"/>
  <c r="P91" i="9"/>
  <c r="N91" i="9"/>
  <c r="M91" i="9"/>
  <c r="C91" i="9"/>
  <c r="A91" i="9"/>
  <c r="W90" i="9"/>
  <c r="P90" i="9"/>
  <c r="N90" i="9"/>
  <c r="M90" i="9"/>
  <c r="C90" i="9"/>
  <c r="A90" i="9"/>
  <c r="W89" i="9"/>
  <c r="P89" i="9"/>
  <c r="N89" i="9"/>
  <c r="M89" i="9"/>
  <c r="C89" i="9"/>
  <c r="A89" i="9"/>
  <c r="W88" i="9"/>
  <c r="P88" i="9"/>
  <c r="N88" i="9"/>
  <c r="M88" i="9"/>
  <c r="C88" i="9"/>
  <c r="A88" i="9"/>
  <c r="W87" i="9"/>
  <c r="P87" i="9"/>
  <c r="N87" i="9"/>
  <c r="M87" i="9"/>
  <c r="C87" i="9"/>
  <c r="A87" i="9"/>
  <c r="W86" i="9"/>
  <c r="P86" i="9"/>
  <c r="N86" i="9"/>
  <c r="M86" i="9"/>
  <c r="C86" i="9"/>
  <c r="A86" i="9"/>
  <c r="W85" i="9"/>
  <c r="P85" i="9"/>
  <c r="N85" i="9"/>
  <c r="M85" i="9"/>
  <c r="C85" i="9"/>
  <c r="A85" i="9"/>
  <c r="W84" i="9"/>
  <c r="P84" i="9"/>
  <c r="N84" i="9"/>
  <c r="M84" i="9"/>
  <c r="C84" i="9"/>
  <c r="A84" i="9"/>
  <c r="W83" i="9"/>
  <c r="P83" i="9"/>
  <c r="N83" i="9"/>
  <c r="M83" i="9"/>
  <c r="C83" i="9"/>
  <c r="A83" i="9"/>
  <c r="W82" i="9"/>
  <c r="P82" i="9"/>
  <c r="N82" i="9"/>
  <c r="M82" i="9"/>
  <c r="C82" i="9"/>
  <c r="A82" i="9"/>
  <c r="W81" i="9"/>
  <c r="P81" i="9"/>
  <c r="N81" i="9"/>
  <c r="M81" i="9"/>
  <c r="C81" i="9"/>
  <c r="A81" i="9"/>
  <c r="W80" i="9"/>
  <c r="P80" i="9"/>
  <c r="N80" i="9"/>
  <c r="M80" i="9"/>
  <c r="C80" i="9"/>
  <c r="A80" i="9"/>
  <c r="W79" i="9"/>
  <c r="P79" i="9"/>
  <c r="N79" i="9"/>
  <c r="M79" i="9"/>
  <c r="C79" i="9"/>
  <c r="A79" i="9"/>
  <c r="W78" i="9"/>
  <c r="P78" i="9"/>
  <c r="N78" i="9"/>
  <c r="M78" i="9"/>
  <c r="C78" i="9"/>
  <c r="A78" i="9"/>
  <c r="W77" i="9"/>
  <c r="P77" i="9"/>
  <c r="N77" i="9"/>
  <c r="M77" i="9"/>
  <c r="C77" i="9"/>
  <c r="A77" i="9"/>
  <c r="W76" i="9"/>
  <c r="P76" i="9"/>
  <c r="N76" i="9"/>
  <c r="M76" i="9"/>
  <c r="C76" i="9"/>
  <c r="A76" i="9"/>
  <c r="W75" i="9"/>
  <c r="P75" i="9"/>
  <c r="N75" i="9"/>
  <c r="M75" i="9"/>
  <c r="C75" i="9"/>
  <c r="A75" i="9"/>
  <c r="W74" i="9"/>
  <c r="P74" i="9"/>
  <c r="N74" i="9"/>
  <c r="M74" i="9"/>
  <c r="C74" i="9"/>
  <c r="A74" i="9"/>
  <c r="W73" i="9"/>
  <c r="P73" i="9"/>
  <c r="N73" i="9"/>
  <c r="M73" i="9"/>
  <c r="C73" i="9"/>
  <c r="A73" i="9"/>
  <c r="W72" i="9"/>
  <c r="P72" i="9"/>
  <c r="N72" i="9"/>
  <c r="M72" i="9"/>
  <c r="C72" i="9"/>
  <c r="A72" i="9"/>
  <c r="W71" i="9"/>
  <c r="P71" i="9"/>
  <c r="N71" i="9"/>
  <c r="M71" i="9"/>
  <c r="C71" i="9"/>
  <c r="A71" i="9"/>
  <c r="W70" i="9"/>
  <c r="P70" i="9"/>
  <c r="N70" i="9"/>
  <c r="M70" i="9"/>
  <c r="C70" i="9"/>
  <c r="A70" i="9"/>
  <c r="W69" i="9"/>
  <c r="P69" i="9"/>
  <c r="N69" i="9"/>
  <c r="M69" i="9"/>
  <c r="C69" i="9"/>
  <c r="A69" i="9"/>
  <c r="W68" i="9"/>
  <c r="P68" i="9"/>
  <c r="N68" i="9"/>
  <c r="M68" i="9"/>
  <c r="C68" i="9"/>
  <c r="A68" i="9"/>
  <c r="W67" i="9"/>
  <c r="P67" i="9"/>
  <c r="N67" i="9"/>
  <c r="M67" i="9"/>
  <c r="C67" i="9"/>
  <c r="A67" i="9"/>
  <c r="W66" i="9"/>
  <c r="P66" i="9"/>
  <c r="N66" i="9"/>
  <c r="M66" i="9"/>
  <c r="C66" i="9"/>
  <c r="A66" i="9"/>
  <c r="W65" i="9"/>
  <c r="P65" i="9"/>
  <c r="N65" i="9"/>
  <c r="M65" i="9"/>
  <c r="C65" i="9"/>
  <c r="A65" i="9"/>
  <c r="W64" i="9"/>
  <c r="P64" i="9"/>
  <c r="N64" i="9"/>
  <c r="M64" i="9"/>
  <c r="C64" i="9"/>
  <c r="A64" i="9"/>
  <c r="W63" i="9"/>
  <c r="P63" i="9"/>
  <c r="N63" i="9"/>
  <c r="M63" i="9"/>
  <c r="C63" i="9"/>
  <c r="A63" i="9"/>
  <c r="W62" i="9"/>
  <c r="P62" i="9"/>
  <c r="N62" i="9"/>
  <c r="M62" i="9"/>
  <c r="C62" i="9"/>
  <c r="A62" i="9"/>
  <c r="W61" i="9"/>
  <c r="P61" i="9"/>
  <c r="N61" i="9"/>
  <c r="M61" i="9"/>
  <c r="C61" i="9"/>
  <c r="A61" i="9"/>
  <c r="W60" i="9"/>
  <c r="P60" i="9"/>
  <c r="N60" i="9"/>
  <c r="M60" i="9"/>
  <c r="C60" i="9"/>
  <c r="A60" i="9"/>
  <c r="W59" i="9"/>
  <c r="P59" i="9"/>
  <c r="N59" i="9"/>
  <c r="M59" i="9"/>
  <c r="C59" i="9"/>
  <c r="A59" i="9"/>
  <c r="W58" i="9"/>
  <c r="P58" i="9"/>
  <c r="N58" i="9"/>
  <c r="M58" i="9"/>
  <c r="C58" i="9"/>
  <c r="A58" i="9"/>
  <c r="W57" i="9"/>
  <c r="P57" i="9"/>
  <c r="N57" i="9"/>
  <c r="M57" i="9"/>
  <c r="C57" i="9"/>
  <c r="A57" i="9"/>
  <c r="W56" i="9"/>
  <c r="P56" i="9"/>
  <c r="N56" i="9"/>
  <c r="M56" i="9"/>
  <c r="C56" i="9"/>
  <c r="A56" i="9"/>
  <c r="W55" i="9"/>
  <c r="P55" i="9"/>
  <c r="N55" i="9"/>
  <c r="M55" i="9"/>
  <c r="C55" i="9"/>
  <c r="A55" i="9"/>
  <c r="W54" i="9"/>
  <c r="P54" i="9"/>
  <c r="N54" i="9"/>
  <c r="M54" i="9"/>
  <c r="C54" i="9"/>
  <c r="A54" i="9"/>
  <c r="W53" i="9"/>
  <c r="P53" i="9"/>
  <c r="N53" i="9"/>
  <c r="M53" i="9"/>
  <c r="C53" i="9"/>
  <c r="A53" i="9"/>
  <c r="W52" i="9"/>
  <c r="P52" i="9"/>
  <c r="N52" i="9"/>
  <c r="M52" i="9"/>
  <c r="C52" i="9"/>
  <c r="A52" i="9"/>
  <c r="W51" i="9"/>
  <c r="P51" i="9"/>
  <c r="N51" i="9"/>
  <c r="M51" i="9"/>
  <c r="C51" i="9"/>
  <c r="A51" i="9"/>
  <c r="W50" i="9"/>
  <c r="P50" i="9"/>
  <c r="N50" i="9"/>
  <c r="M50" i="9"/>
  <c r="C50" i="9"/>
  <c r="A50" i="9"/>
  <c r="W49" i="9"/>
  <c r="P49" i="9"/>
  <c r="N49" i="9"/>
  <c r="M49" i="9"/>
  <c r="C49" i="9"/>
  <c r="A49" i="9"/>
  <c r="W48" i="9"/>
  <c r="P48" i="9"/>
  <c r="N48" i="9"/>
  <c r="M48" i="9"/>
  <c r="C48" i="9"/>
  <c r="A48" i="9"/>
  <c r="W47" i="9"/>
  <c r="P47" i="9"/>
  <c r="N47" i="9"/>
  <c r="M47" i="9"/>
  <c r="C47" i="9"/>
  <c r="A47" i="9"/>
  <c r="W46" i="9"/>
  <c r="P46" i="9"/>
  <c r="N46" i="9"/>
  <c r="M46" i="9"/>
  <c r="C46" i="9"/>
  <c r="A46" i="9"/>
  <c r="W45" i="9"/>
  <c r="P45" i="9"/>
  <c r="N45" i="9"/>
  <c r="M45" i="9"/>
  <c r="C45" i="9"/>
  <c r="A45" i="9"/>
  <c r="W44" i="9"/>
  <c r="P44" i="9"/>
  <c r="N44" i="9"/>
  <c r="M44" i="9"/>
  <c r="C44" i="9"/>
  <c r="A44" i="9"/>
  <c r="W43" i="9"/>
  <c r="P43" i="9"/>
  <c r="N43" i="9"/>
  <c r="M43" i="9"/>
  <c r="C43" i="9"/>
  <c r="A43" i="9"/>
  <c r="W42" i="9"/>
  <c r="P42" i="9"/>
  <c r="N42" i="9"/>
  <c r="M42" i="9"/>
  <c r="C42" i="9"/>
  <c r="A42" i="9"/>
  <c r="W41" i="9"/>
  <c r="P41" i="9"/>
  <c r="N41" i="9"/>
  <c r="M41" i="9"/>
  <c r="C41" i="9"/>
  <c r="A41" i="9"/>
  <c r="W40" i="9"/>
  <c r="P40" i="9"/>
  <c r="N40" i="9"/>
  <c r="M40" i="9"/>
  <c r="C40" i="9"/>
  <c r="A40" i="9"/>
  <c r="W39" i="9"/>
  <c r="P39" i="9"/>
  <c r="N39" i="9"/>
  <c r="M39" i="9"/>
  <c r="C39" i="9"/>
  <c r="A39" i="9"/>
  <c r="W38" i="9"/>
  <c r="P38" i="9"/>
  <c r="N38" i="9"/>
  <c r="M38" i="9"/>
  <c r="C38" i="9"/>
  <c r="A38" i="9"/>
  <c r="W37" i="9"/>
  <c r="P37" i="9"/>
  <c r="N37" i="9"/>
  <c r="M37" i="9"/>
  <c r="C37" i="9"/>
  <c r="A37" i="9"/>
  <c r="W36" i="9"/>
  <c r="P36" i="9"/>
  <c r="N36" i="9"/>
  <c r="M36" i="9"/>
  <c r="C36" i="9"/>
  <c r="A36" i="9"/>
  <c r="W35" i="9"/>
  <c r="P35" i="9"/>
  <c r="N35" i="9"/>
  <c r="M35" i="9"/>
  <c r="C35" i="9"/>
  <c r="A35" i="9"/>
  <c r="W34" i="9"/>
  <c r="P34" i="9"/>
  <c r="N34" i="9"/>
  <c r="M34" i="9"/>
  <c r="C34" i="9"/>
  <c r="A34" i="9"/>
  <c r="W33" i="9"/>
  <c r="P33" i="9"/>
  <c r="N33" i="9"/>
  <c r="M33" i="9"/>
  <c r="C33" i="9"/>
  <c r="A33" i="9"/>
  <c r="W32" i="9"/>
  <c r="P32" i="9"/>
  <c r="N32" i="9"/>
  <c r="M32" i="9"/>
  <c r="C32" i="9"/>
  <c r="A32" i="9"/>
  <c r="W31" i="9"/>
  <c r="P31" i="9"/>
  <c r="N31" i="9"/>
  <c r="M31" i="9"/>
  <c r="C31" i="9"/>
  <c r="A31" i="9"/>
  <c r="W30" i="9"/>
  <c r="P30" i="9"/>
  <c r="N30" i="9"/>
  <c r="M30" i="9"/>
  <c r="C30" i="9"/>
  <c r="A30" i="9"/>
  <c r="W29" i="9"/>
  <c r="P29" i="9"/>
  <c r="N29" i="9"/>
  <c r="M29" i="9"/>
  <c r="C29" i="9"/>
  <c r="A29" i="9"/>
  <c r="W28" i="9"/>
  <c r="P28" i="9"/>
  <c r="N28" i="9"/>
  <c r="M28" i="9"/>
  <c r="C28" i="9"/>
  <c r="A28" i="9"/>
  <c r="W27" i="9"/>
  <c r="P27" i="9"/>
  <c r="N27" i="9"/>
  <c r="M27" i="9"/>
  <c r="C27" i="9"/>
  <c r="A27" i="9"/>
  <c r="W26" i="9"/>
  <c r="P26" i="9"/>
  <c r="N26" i="9"/>
  <c r="M26" i="9"/>
  <c r="C26" i="9"/>
  <c r="A26" i="9"/>
  <c r="W25" i="9"/>
  <c r="P25" i="9"/>
  <c r="N25" i="9"/>
  <c r="M25" i="9"/>
  <c r="C25" i="9"/>
  <c r="A25" i="9"/>
  <c r="W24" i="9"/>
  <c r="P24" i="9"/>
  <c r="N24" i="9"/>
  <c r="M24" i="9"/>
  <c r="C24" i="9"/>
  <c r="A24" i="9"/>
  <c r="W23" i="9"/>
  <c r="P23" i="9"/>
  <c r="N23" i="9"/>
  <c r="M23" i="9"/>
  <c r="C23" i="9"/>
  <c r="A23" i="9"/>
  <c r="W22" i="9"/>
  <c r="P22" i="9"/>
  <c r="N22" i="9"/>
  <c r="M22" i="9"/>
  <c r="C22" i="9"/>
  <c r="A22" i="9"/>
  <c r="W21" i="9"/>
  <c r="P21" i="9"/>
  <c r="N21" i="9"/>
  <c r="M21" i="9"/>
  <c r="C21" i="9"/>
  <c r="A21" i="9"/>
  <c r="W20" i="9"/>
  <c r="P20" i="9"/>
  <c r="N20" i="9"/>
  <c r="M20" i="9"/>
  <c r="C20" i="9"/>
  <c r="A20" i="9"/>
  <c r="W19" i="9"/>
  <c r="P19" i="9"/>
  <c r="N19" i="9"/>
  <c r="M19" i="9"/>
  <c r="C19" i="9"/>
  <c r="A19" i="9"/>
  <c r="W18" i="9"/>
  <c r="P18" i="9"/>
  <c r="N18" i="9"/>
  <c r="M18" i="9"/>
  <c r="C18" i="9"/>
  <c r="A18" i="9"/>
  <c r="W17" i="9"/>
  <c r="P17" i="9"/>
  <c r="N17" i="9"/>
  <c r="M17" i="9"/>
  <c r="C17" i="9"/>
  <c r="A17" i="9"/>
  <c r="W16" i="9"/>
  <c r="P16" i="9"/>
  <c r="N16" i="9"/>
  <c r="M16" i="9"/>
  <c r="C16" i="9"/>
  <c r="A16" i="9"/>
  <c r="W15" i="9"/>
  <c r="P15" i="9"/>
  <c r="N15" i="9"/>
  <c r="M15" i="9"/>
  <c r="C15" i="9"/>
  <c r="A15" i="9"/>
  <c r="W14" i="9"/>
  <c r="P14" i="9"/>
  <c r="N14" i="9"/>
  <c r="M14" i="9"/>
  <c r="C14" i="9"/>
  <c r="A14" i="9"/>
  <c r="W13" i="9"/>
  <c r="P13" i="9"/>
  <c r="N13" i="9"/>
  <c r="M13" i="9"/>
  <c r="C13" i="9"/>
  <c r="A13" i="9"/>
  <c r="W12" i="9"/>
  <c r="P12" i="9"/>
  <c r="N12" i="9"/>
  <c r="M12" i="9"/>
  <c r="C12" i="9"/>
  <c r="A12" i="9"/>
  <c r="W11" i="9"/>
  <c r="P11" i="9"/>
  <c r="N11" i="9"/>
  <c r="M11" i="9"/>
  <c r="C11" i="9"/>
  <c r="A11" i="9"/>
  <c r="W10" i="9"/>
  <c r="P10" i="9"/>
  <c r="N10" i="9"/>
  <c r="M10" i="9"/>
  <c r="C10" i="9"/>
  <c r="A10" i="9"/>
  <c r="W9" i="9"/>
  <c r="P9" i="9"/>
  <c r="N9" i="9"/>
  <c r="M9" i="9"/>
  <c r="C9" i="9"/>
  <c r="A9" i="9"/>
  <c r="W8" i="9"/>
  <c r="P8" i="9"/>
  <c r="N8" i="9"/>
  <c r="M8" i="9"/>
  <c r="C8" i="9"/>
  <c r="A8" i="9"/>
  <c r="W7" i="9"/>
  <c r="P7" i="9"/>
  <c r="N7" i="9"/>
  <c r="M7" i="9"/>
  <c r="C7" i="9"/>
  <c r="A7" i="9"/>
  <c r="K4" i="9"/>
  <c r="H4" i="9"/>
  <c r="E4" i="9"/>
  <c r="B4" i="9"/>
  <c r="K3" i="9"/>
  <c r="H3" i="9"/>
  <c r="E3" i="9"/>
  <c r="B3" i="9"/>
  <c r="K2" i="9"/>
  <c r="H2" i="9"/>
  <c r="E2" i="9"/>
  <c r="B2" i="9"/>
  <c r="O1265" i="1"/>
  <c r="M1265" i="1"/>
  <c r="O1264" i="1"/>
  <c r="M1264" i="1"/>
  <c r="O1263" i="1"/>
  <c r="M1263" i="1"/>
  <c r="O1262" i="1"/>
  <c r="M1262" i="1"/>
  <c r="O1261" i="1"/>
  <c r="M1261" i="1"/>
  <c r="O1260" i="1"/>
  <c r="M1260" i="1"/>
  <c r="O1259" i="1"/>
  <c r="M1259" i="1"/>
  <c r="O1258" i="1"/>
  <c r="M1258" i="1"/>
  <c r="O1257" i="1"/>
  <c r="M1257" i="1"/>
  <c r="O1256" i="1"/>
  <c r="M1256" i="1"/>
  <c r="O1255" i="1"/>
  <c r="M1255" i="1"/>
  <c r="O1254" i="1"/>
  <c r="M1254" i="1"/>
  <c r="O1253" i="1"/>
  <c r="M1253" i="1"/>
  <c r="O1252" i="1"/>
  <c r="M1252" i="1"/>
  <c r="O1251" i="1"/>
  <c r="M1251" i="1"/>
  <c r="O1250" i="1"/>
  <c r="M1250" i="1"/>
  <c r="O1249" i="1"/>
  <c r="M1249" i="1"/>
  <c r="O1248" i="1"/>
  <c r="M1248" i="1"/>
  <c r="O1247" i="1"/>
  <c r="M1247" i="1"/>
  <c r="O1246" i="1"/>
  <c r="M1246" i="1"/>
  <c r="O1245" i="1"/>
  <c r="M1245" i="1"/>
  <c r="O1244" i="1"/>
  <c r="M1244" i="1"/>
  <c r="O1243" i="1"/>
  <c r="M1243" i="1"/>
  <c r="O1242" i="1"/>
  <c r="M1242" i="1"/>
  <c r="O1241" i="1"/>
  <c r="M1241" i="1"/>
  <c r="O1240" i="1"/>
  <c r="M1240" i="1"/>
  <c r="O1239" i="1"/>
  <c r="M1239" i="1"/>
  <c r="O1238" i="1"/>
  <c r="M1238" i="1"/>
  <c r="O1237" i="1"/>
  <c r="M1237" i="1"/>
  <c r="O1236" i="1"/>
  <c r="M1236" i="1"/>
  <c r="O1235" i="1"/>
  <c r="M1235" i="1"/>
  <c r="O1234" i="1"/>
  <c r="M1234" i="1"/>
  <c r="O1233" i="1"/>
  <c r="M1233" i="1"/>
  <c r="O1232" i="1"/>
  <c r="M1232" i="1"/>
  <c r="O1231" i="1"/>
  <c r="M1231" i="1"/>
  <c r="O1230" i="1"/>
  <c r="M1230" i="1"/>
  <c r="O1229" i="1"/>
  <c r="M1229" i="1"/>
  <c r="O1228" i="1"/>
  <c r="M1228" i="1"/>
  <c r="O1227" i="1"/>
  <c r="M1227" i="1"/>
  <c r="O1226" i="1"/>
  <c r="M1226" i="1"/>
  <c r="O1225" i="1"/>
  <c r="M1225" i="1"/>
  <c r="O1224" i="1"/>
  <c r="M1224" i="1"/>
  <c r="O1223" i="1"/>
  <c r="M1223" i="1"/>
  <c r="O1222" i="1"/>
  <c r="M1222" i="1"/>
  <c r="O1221" i="1"/>
  <c r="M1221" i="1"/>
  <c r="O1220" i="1"/>
  <c r="M1220" i="1"/>
  <c r="O1219" i="1"/>
  <c r="M1219" i="1"/>
  <c r="O1218" i="1"/>
  <c r="M1218" i="1"/>
  <c r="O1217" i="1"/>
  <c r="M1217" i="1"/>
  <c r="O1216" i="1"/>
  <c r="M1216" i="1"/>
  <c r="O1215" i="1"/>
  <c r="M1215" i="1"/>
  <c r="O1214" i="1"/>
  <c r="M1214" i="1"/>
  <c r="O1213" i="1"/>
  <c r="M1213" i="1"/>
  <c r="O1212" i="1"/>
  <c r="M1212" i="1"/>
  <c r="O1211" i="1"/>
  <c r="M1211" i="1"/>
  <c r="O1210" i="1"/>
  <c r="M1210" i="1"/>
  <c r="O1209" i="1"/>
  <c r="M1209" i="1"/>
  <c r="O1208" i="1"/>
  <c r="M1208" i="1"/>
  <c r="O1207" i="1"/>
  <c r="M1207" i="1"/>
  <c r="O1206" i="1"/>
  <c r="M1206" i="1"/>
  <c r="O1205" i="1"/>
  <c r="M1205" i="1"/>
  <c r="O1204" i="1"/>
  <c r="M1204" i="1"/>
  <c r="O1203" i="1"/>
  <c r="M1203" i="1"/>
  <c r="O1202" i="1"/>
  <c r="M1202" i="1"/>
  <c r="O1201" i="1"/>
  <c r="M1201" i="1"/>
  <c r="O1200" i="1"/>
  <c r="M1200" i="1"/>
  <c r="O1199" i="1"/>
  <c r="M1199" i="1"/>
  <c r="O1198" i="1"/>
  <c r="M1198" i="1"/>
  <c r="O1197" i="1"/>
  <c r="M1197" i="1"/>
  <c r="O1196" i="1"/>
  <c r="M1196" i="1"/>
  <c r="O1195" i="1"/>
  <c r="M1195" i="1"/>
  <c r="O1194" i="1"/>
  <c r="M1194" i="1"/>
  <c r="O1193" i="1"/>
  <c r="M1193" i="1"/>
  <c r="O1192" i="1"/>
  <c r="M1192" i="1"/>
  <c r="O1191" i="1"/>
  <c r="M1191" i="1"/>
  <c r="O1190" i="1"/>
  <c r="M1190" i="1"/>
  <c r="O1189" i="1"/>
  <c r="M1189" i="1"/>
  <c r="O1188" i="1"/>
  <c r="M1188" i="1"/>
  <c r="O1187" i="1"/>
  <c r="M1187" i="1"/>
  <c r="O1186" i="1"/>
  <c r="M1186" i="1"/>
  <c r="O1185" i="1"/>
  <c r="M1185" i="1"/>
  <c r="O1184" i="1"/>
  <c r="M1184" i="1"/>
  <c r="O1183" i="1"/>
  <c r="M1183" i="1"/>
  <c r="O1182" i="1"/>
  <c r="M1182" i="1"/>
  <c r="O1181" i="1"/>
  <c r="M1181" i="1"/>
  <c r="O1180" i="1"/>
  <c r="M1180" i="1"/>
  <c r="O1179" i="1"/>
  <c r="M1179" i="1"/>
  <c r="O1178" i="1"/>
  <c r="M1178" i="1"/>
  <c r="O1177" i="1"/>
  <c r="M1177" i="1"/>
  <c r="O1176" i="1"/>
  <c r="M1176" i="1"/>
  <c r="O1175" i="1"/>
  <c r="M1175" i="1"/>
  <c r="O1174" i="1"/>
  <c r="M1174" i="1"/>
  <c r="O1173" i="1"/>
  <c r="M1173" i="1"/>
  <c r="O1172" i="1"/>
  <c r="M1172" i="1"/>
  <c r="O1171" i="1"/>
  <c r="M1171" i="1"/>
  <c r="O1170" i="1"/>
  <c r="M1170" i="1"/>
  <c r="O1169" i="1"/>
  <c r="M1169" i="1"/>
  <c r="O1168" i="1"/>
  <c r="M1168" i="1"/>
  <c r="O1167" i="1"/>
  <c r="M1167" i="1"/>
  <c r="O1166" i="1"/>
  <c r="M1166" i="1"/>
  <c r="O1165" i="1"/>
  <c r="M1165" i="1"/>
  <c r="O1164" i="1"/>
  <c r="M1164" i="1"/>
  <c r="O1163" i="1"/>
  <c r="M1163" i="1"/>
  <c r="O1162" i="1"/>
  <c r="M1162" i="1"/>
  <c r="O1161" i="1"/>
  <c r="M1161" i="1"/>
  <c r="O1160" i="1"/>
  <c r="M1160" i="1"/>
  <c r="O1159" i="1"/>
  <c r="M1159" i="1"/>
  <c r="O1158" i="1"/>
  <c r="M1158" i="1"/>
  <c r="O1157" i="1"/>
  <c r="M1157" i="1"/>
  <c r="O1156" i="1"/>
  <c r="M1156" i="1"/>
  <c r="O1155" i="1"/>
  <c r="M1155" i="1"/>
  <c r="O1154" i="1"/>
  <c r="M1154" i="1"/>
  <c r="O1153" i="1"/>
  <c r="M1153" i="1"/>
  <c r="O1152" i="1"/>
  <c r="M1152" i="1"/>
  <c r="O1151" i="1"/>
  <c r="M1151" i="1"/>
  <c r="O1150" i="1"/>
  <c r="M1150" i="1"/>
  <c r="O1149" i="1"/>
  <c r="M1149" i="1"/>
  <c r="O1148" i="1"/>
  <c r="M1148" i="1"/>
  <c r="O1147" i="1"/>
  <c r="M1147" i="1"/>
  <c r="O1146" i="1"/>
  <c r="M1146" i="1"/>
  <c r="O1145" i="1"/>
  <c r="M1145" i="1"/>
  <c r="O1144" i="1"/>
  <c r="M1144" i="1"/>
  <c r="O1143" i="1"/>
  <c r="M1143" i="1"/>
  <c r="O1142" i="1"/>
  <c r="M1142" i="1"/>
  <c r="O1141" i="1"/>
  <c r="M1141" i="1"/>
  <c r="O1140" i="1"/>
  <c r="M1140" i="1"/>
  <c r="O1139" i="1"/>
  <c r="M1139" i="1"/>
  <c r="O1138" i="1"/>
  <c r="M1138" i="1"/>
  <c r="O1137" i="1"/>
  <c r="M1137" i="1"/>
  <c r="O1136" i="1"/>
  <c r="M1136" i="1"/>
  <c r="O1135" i="1"/>
  <c r="M1135" i="1"/>
  <c r="O1134" i="1"/>
  <c r="M1134" i="1"/>
  <c r="O1133" i="1"/>
  <c r="M1133" i="1"/>
  <c r="O1132" i="1"/>
  <c r="M1132" i="1"/>
  <c r="O1131" i="1"/>
  <c r="M1131" i="1"/>
  <c r="O1130" i="1"/>
  <c r="M1130" i="1"/>
  <c r="O1129" i="1"/>
  <c r="M1129" i="1"/>
  <c r="O1128" i="1"/>
  <c r="M1128" i="1"/>
  <c r="O1127" i="1"/>
  <c r="M1127" i="1"/>
  <c r="O1126" i="1"/>
  <c r="M1126" i="1"/>
  <c r="O1125" i="1"/>
  <c r="M1125" i="1"/>
  <c r="O1124" i="1"/>
  <c r="M1124" i="1"/>
  <c r="O1123" i="1"/>
  <c r="M1123" i="1"/>
  <c r="O1122" i="1"/>
  <c r="M1122" i="1"/>
  <c r="O1121" i="1"/>
  <c r="M1121" i="1"/>
  <c r="O1120" i="1"/>
  <c r="M1120" i="1"/>
  <c r="O1119" i="1"/>
  <c r="M1119" i="1"/>
  <c r="O1118" i="1"/>
  <c r="M1118" i="1"/>
  <c r="O1117" i="1"/>
  <c r="M1117" i="1"/>
  <c r="O1116" i="1"/>
  <c r="M1116" i="1"/>
  <c r="O1115" i="1"/>
  <c r="M1115" i="1"/>
  <c r="O1114" i="1"/>
  <c r="M1114" i="1"/>
  <c r="O1113" i="1"/>
  <c r="M1113" i="1"/>
  <c r="O1112" i="1"/>
  <c r="M1112" i="1"/>
  <c r="O1111" i="1"/>
  <c r="M1111" i="1"/>
  <c r="O1110" i="1"/>
  <c r="M1110" i="1"/>
  <c r="O1109" i="1"/>
  <c r="M1109" i="1"/>
  <c r="O1108" i="1"/>
  <c r="M1108" i="1"/>
  <c r="O1107" i="1"/>
  <c r="M1107" i="1"/>
  <c r="O1106" i="1"/>
  <c r="M1106" i="1"/>
  <c r="O1105" i="1"/>
  <c r="M1105" i="1"/>
  <c r="O1104" i="1"/>
  <c r="M1104" i="1"/>
  <c r="O1103" i="1"/>
  <c r="M1103" i="1"/>
  <c r="O1102" i="1"/>
  <c r="M1102" i="1"/>
  <c r="O1101" i="1"/>
  <c r="M1101" i="1"/>
  <c r="O1100" i="1"/>
  <c r="M1100" i="1"/>
  <c r="O1099" i="1"/>
  <c r="M1099" i="1"/>
  <c r="O1098" i="1"/>
  <c r="M1098" i="1"/>
  <c r="O1097" i="1"/>
  <c r="M1097" i="1"/>
  <c r="O1096" i="1"/>
  <c r="M1096" i="1"/>
  <c r="O1095" i="1"/>
  <c r="M1095" i="1"/>
  <c r="O1094" i="1"/>
  <c r="M1094" i="1"/>
  <c r="O1093" i="1"/>
  <c r="M1093" i="1"/>
  <c r="O1092" i="1"/>
  <c r="M1092" i="1"/>
  <c r="O1091" i="1"/>
  <c r="M1091" i="1"/>
  <c r="O1090" i="1"/>
  <c r="M1090" i="1"/>
  <c r="O1089" i="1"/>
  <c r="M1089" i="1"/>
  <c r="O1088" i="1"/>
  <c r="M1088" i="1"/>
  <c r="O1087" i="1"/>
  <c r="M1087" i="1"/>
  <c r="O1086" i="1"/>
  <c r="M1086" i="1"/>
  <c r="O1085" i="1"/>
  <c r="M1085" i="1"/>
  <c r="O1084" i="1"/>
  <c r="M1084" i="1"/>
  <c r="O1083" i="1"/>
  <c r="M1083" i="1"/>
  <c r="O1082" i="1"/>
  <c r="M1082" i="1"/>
  <c r="O1081" i="1"/>
  <c r="M1081" i="1"/>
  <c r="O1080" i="1"/>
  <c r="M1080" i="1"/>
  <c r="O1079" i="1"/>
  <c r="M1079" i="1"/>
  <c r="O1078" i="1"/>
  <c r="M1078" i="1"/>
  <c r="O1077" i="1"/>
  <c r="M1077" i="1"/>
  <c r="O1076" i="1"/>
  <c r="M1076" i="1"/>
  <c r="O1075" i="1"/>
  <c r="M1075" i="1"/>
  <c r="O1074" i="1"/>
  <c r="M1074" i="1"/>
  <c r="O1073" i="1"/>
  <c r="M1073" i="1"/>
  <c r="O1072" i="1"/>
  <c r="M1072" i="1"/>
  <c r="O1071" i="1"/>
  <c r="M1071" i="1"/>
  <c r="O1070" i="1"/>
  <c r="M1070" i="1"/>
  <c r="O1069" i="1"/>
  <c r="M1069" i="1"/>
  <c r="M1068" i="1"/>
  <c r="O1067" i="1"/>
  <c r="M1067" i="1"/>
  <c r="O1066" i="1"/>
  <c r="M1066" i="1"/>
  <c r="O1065" i="1"/>
  <c r="M1065" i="1"/>
  <c r="O1064" i="1"/>
  <c r="M1064" i="1"/>
  <c r="O1063" i="1"/>
  <c r="M1063" i="1"/>
  <c r="O1062" i="1"/>
  <c r="M1062" i="1"/>
  <c r="O1061" i="1"/>
  <c r="M1061" i="1"/>
  <c r="O1060" i="1"/>
  <c r="M1060" i="1"/>
  <c r="O1059" i="1"/>
  <c r="M1059" i="1"/>
  <c r="O1058" i="1"/>
  <c r="M1058" i="1"/>
  <c r="O1057" i="1"/>
  <c r="M1057" i="1"/>
  <c r="O1056" i="1"/>
  <c r="M1056" i="1"/>
  <c r="O1055" i="1"/>
  <c r="M1055" i="1"/>
  <c r="O1054" i="1"/>
  <c r="M1054" i="1"/>
  <c r="O1053" i="1"/>
  <c r="M1053" i="1"/>
  <c r="O1052" i="1"/>
  <c r="M1052" i="1"/>
  <c r="O1051" i="1"/>
  <c r="M1051" i="1"/>
  <c r="O1050" i="1"/>
  <c r="M1050" i="1"/>
  <c r="O1049" i="1"/>
  <c r="M1049" i="1"/>
  <c r="O1048" i="1"/>
  <c r="M1048" i="1"/>
  <c r="O1047" i="1"/>
  <c r="M1047" i="1"/>
  <c r="O1046" i="1"/>
  <c r="M1046" i="1"/>
  <c r="O1045" i="1"/>
  <c r="M1045" i="1"/>
  <c r="O1044" i="1"/>
  <c r="M1044" i="1"/>
  <c r="O1043" i="1"/>
  <c r="M1043" i="1"/>
  <c r="O1042" i="1"/>
  <c r="M1042" i="1"/>
  <c r="O1040" i="1"/>
  <c r="M1040" i="1"/>
  <c r="O1039" i="1"/>
  <c r="M1039" i="1"/>
  <c r="O1037" i="1"/>
  <c r="M1037" i="1"/>
  <c r="O1036" i="1"/>
  <c r="M1036" i="1"/>
  <c r="O1035" i="1"/>
  <c r="M1035" i="1"/>
  <c r="O1034" i="1"/>
  <c r="M1034" i="1"/>
  <c r="O1033" i="1"/>
  <c r="M1033" i="1"/>
  <c r="O1032" i="1"/>
  <c r="M1032" i="1"/>
  <c r="O1031" i="1"/>
  <c r="M1031" i="1"/>
  <c r="O1030" i="1"/>
  <c r="M1030" i="1"/>
  <c r="O1029" i="1"/>
  <c r="M1029" i="1"/>
  <c r="O1028" i="1"/>
  <c r="M1028" i="1"/>
  <c r="O1027" i="1"/>
  <c r="M1027" i="1"/>
  <c r="O1026" i="1"/>
  <c r="M1026" i="1"/>
  <c r="O1025" i="1"/>
  <c r="M1025" i="1"/>
  <c r="O1024" i="1"/>
  <c r="M1024" i="1"/>
  <c r="O1023" i="1"/>
  <c r="M1023" i="1"/>
  <c r="O1022" i="1"/>
  <c r="M1022" i="1"/>
  <c r="O1021" i="1"/>
  <c r="M1021" i="1"/>
  <c r="O1020" i="1"/>
  <c r="M1020" i="1"/>
  <c r="O1019" i="1"/>
  <c r="M1019" i="1"/>
  <c r="O1018" i="1"/>
  <c r="M1018" i="1"/>
  <c r="O1017" i="1"/>
  <c r="M1017" i="1"/>
  <c r="O1016" i="1"/>
  <c r="M1016" i="1"/>
  <c r="O1015" i="1"/>
  <c r="M1015" i="1"/>
  <c r="O1014" i="1"/>
  <c r="M1014" i="1"/>
  <c r="O1013" i="1"/>
  <c r="M1013" i="1"/>
  <c r="O1012" i="1"/>
  <c r="M1012" i="1"/>
  <c r="O1011" i="1"/>
  <c r="M1011" i="1"/>
  <c r="O1010" i="1"/>
  <c r="M1010" i="1"/>
  <c r="O1009" i="1"/>
  <c r="M1009" i="1"/>
  <c r="O1008" i="1"/>
  <c r="M1008" i="1"/>
  <c r="O1007" i="1"/>
  <c r="M1007" i="1"/>
  <c r="O1006" i="1"/>
  <c r="M1006" i="1"/>
  <c r="O1005" i="1"/>
  <c r="M1005" i="1"/>
  <c r="O1004" i="1"/>
  <c r="M1004" i="1"/>
  <c r="O1003" i="1"/>
  <c r="M1003" i="1"/>
  <c r="O1002" i="1"/>
  <c r="M1002" i="1"/>
  <c r="O1001" i="1"/>
  <c r="M1001" i="1"/>
  <c r="O1000" i="1"/>
  <c r="M1000" i="1"/>
  <c r="O999" i="1"/>
  <c r="M999" i="1"/>
  <c r="O998" i="1"/>
  <c r="M998" i="1"/>
  <c r="O997" i="1"/>
  <c r="M997" i="1"/>
  <c r="O996" i="1"/>
  <c r="M996" i="1"/>
  <c r="O995" i="1"/>
  <c r="M995" i="1"/>
  <c r="O994" i="1"/>
  <c r="M994" i="1"/>
  <c r="O993" i="1"/>
  <c r="M993" i="1"/>
  <c r="O992" i="1"/>
  <c r="M992" i="1"/>
  <c r="O991" i="1"/>
  <c r="M991" i="1"/>
  <c r="O990" i="1"/>
  <c r="M990" i="1"/>
  <c r="O989" i="1"/>
  <c r="M989" i="1"/>
  <c r="O988" i="1"/>
  <c r="M988" i="1"/>
  <c r="O987" i="1"/>
  <c r="M987" i="1"/>
  <c r="O986" i="1"/>
  <c r="M986" i="1"/>
  <c r="O985" i="1"/>
  <c r="M985" i="1"/>
  <c r="O984" i="1"/>
  <c r="M984" i="1"/>
  <c r="O983" i="1"/>
  <c r="M983" i="1"/>
  <c r="O981" i="1"/>
  <c r="M981" i="1"/>
  <c r="O980" i="1"/>
  <c r="M980" i="1"/>
  <c r="O979" i="1"/>
  <c r="M979" i="1"/>
  <c r="O978" i="1"/>
  <c r="M978" i="1"/>
  <c r="O977" i="1"/>
  <c r="M977" i="1"/>
  <c r="O976" i="1"/>
  <c r="M976" i="1"/>
  <c r="O975" i="1"/>
  <c r="M975" i="1"/>
  <c r="O974" i="1"/>
  <c r="M974" i="1"/>
  <c r="O971" i="1"/>
  <c r="M971" i="1"/>
  <c r="O970" i="1"/>
  <c r="M970" i="1"/>
  <c r="O969" i="1"/>
  <c r="M969" i="1"/>
  <c r="O968" i="1"/>
  <c r="M968" i="1"/>
  <c r="O967" i="1"/>
  <c r="M967" i="1"/>
  <c r="O966" i="1"/>
  <c r="M966" i="1"/>
  <c r="O965" i="1"/>
  <c r="M965" i="1"/>
  <c r="O964" i="1"/>
  <c r="M964" i="1"/>
  <c r="O963" i="1"/>
  <c r="M963" i="1"/>
  <c r="O962" i="1"/>
  <c r="M962" i="1"/>
  <c r="O961" i="1"/>
  <c r="M961" i="1"/>
  <c r="O960" i="1"/>
  <c r="M960" i="1"/>
  <c r="O959" i="1"/>
  <c r="M959" i="1"/>
  <c r="O958" i="1"/>
  <c r="M958" i="1"/>
  <c r="O957" i="1"/>
  <c r="M957" i="1"/>
  <c r="O956" i="1"/>
  <c r="M956" i="1"/>
  <c r="O955" i="1"/>
  <c r="M955" i="1"/>
  <c r="O954" i="1"/>
  <c r="M954" i="1"/>
  <c r="O953" i="1"/>
  <c r="M953" i="1"/>
  <c r="O952" i="1"/>
  <c r="M952" i="1"/>
  <c r="O951" i="1"/>
  <c r="M951" i="1"/>
  <c r="O950" i="1"/>
  <c r="M950" i="1"/>
  <c r="O949" i="1"/>
  <c r="M949" i="1"/>
  <c r="O948" i="1"/>
  <c r="M948" i="1"/>
  <c r="O947" i="1"/>
  <c r="M947" i="1"/>
  <c r="O946" i="1"/>
  <c r="M946" i="1"/>
  <c r="O945" i="1"/>
  <c r="M945" i="1"/>
  <c r="O944" i="1"/>
  <c r="M944" i="1"/>
  <c r="O943" i="1"/>
  <c r="M943" i="1"/>
  <c r="O942" i="1"/>
  <c r="M942" i="1"/>
  <c r="O941" i="1"/>
  <c r="M941" i="1"/>
  <c r="O940" i="1"/>
  <c r="M940" i="1"/>
  <c r="O939" i="1"/>
  <c r="M939" i="1"/>
  <c r="O938" i="1"/>
  <c r="M938" i="1"/>
  <c r="O937" i="1"/>
  <c r="M937" i="1"/>
  <c r="O936" i="1"/>
  <c r="M936" i="1"/>
  <c r="O935" i="1"/>
  <c r="M935" i="1"/>
  <c r="O934" i="1"/>
  <c r="M934" i="1"/>
  <c r="O933" i="1"/>
  <c r="M933" i="1"/>
  <c r="O932" i="1"/>
  <c r="M932" i="1"/>
  <c r="O931" i="1"/>
  <c r="M931" i="1"/>
  <c r="O930" i="1"/>
  <c r="M930" i="1"/>
  <c r="O929" i="1"/>
  <c r="M929" i="1"/>
  <c r="O928" i="1"/>
  <c r="M928" i="1"/>
  <c r="O927" i="1"/>
  <c r="M927" i="1"/>
  <c r="O926" i="1"/>
  <c r="M926" i="1"/>
  <c r="O925" i="1"/>
  <c r="M925" i="1"/>
  <c r="O924" i="1"/>
  <c r="M924" i="1"/>
  <c r="O923" i="1"/>
  <c r="M923" i="1"/>
  <c r="O922" i="1"/>
  <c r="M922" i="1"/>
  <c r="O921" i="1"/>
  <c r="M921" i="1"/>
  <c r="O920" i="1"/>
  <c r="M920" i="1"/>
  <c r="O919" i="1"/>
  <c r="M919" i="1"/>
  <c r="O918" i="1"/>
  <c r="M918" i="1"/>
  <c r="O917" i="1"/>
  <c r="M917" i="1"/>
  <c r="O916" i="1"/>
  <c r="M916" i="1"/>
  <c r="O915" i="1"/>
  <c r="M915" i="1"/>
  <c r="O914" i="1"/>
  <c r="M914" i="1"/>
  <c r="O913" i="1"/>
  <c r="M913" i="1"/>
  <c r="O912" i="1"/>
  <c r="M912" i="1"/>
  <c r="O911" i="1"/>
  <c r="M911" i="1"/>
  <c r="O910" i="1"/>
  <c r="M910" i="1"/>
  <c r="O909" i="1"/>
  <c r="M909" i="1"/>
  <c r="O908" i="1"/>
  <c r="M908" i="1"/>
  <c r="O907" i="1"/>
  <c r="M907" i="1"/>
  <c r="M906" i="1"/>
  <c r="O905" i="1"/>
  <c r="M905" i="1"/>
  <c r="O904" i="1"/>
  <c r="M904" i="1"/>
  <c r="O903" i="1"/>
  <c r="M903" i="1"/>
  <c r="O902" i="1"/>
  <c r="M902" i="1"/>
  <c r="O901" i="1"/>
  <c r="M901" i="1"/>
  <c r="O900" i="1"/>
  <c r="M900" i="1"/>
  <c r="O899" i="1"/>
  <c r="M899" i="1"/>
  <c r="O898" i="1"/>
  <c r="M898" i="1"/>
  <c r="O897" i="1"/>
  <c r="M897" i="1"/>
  <c r="O896" i="1"/>
  <c r="M896" i="1"/>
  <c r="O895" i="1"/>
  <c r="M895" i="1"/>
  <c r="O894" i="1"/>
  <c r="M894" i="1"/>
  <c r="O893" i="1"/>
  <c r="M893" i="1"/>
  <c r="O892" i="1"/>
  <c r="M892" i="1"/>
  <c r="O891" i="1"/>
  <c r="M891" i="1"/>
  <c r="O890" i="1"/>
  <c r="M890" i="1"/>
  <c r="O889" i="1"/>
  <c r="M889" i="1"/>
  <c r="O888" i="1"/>
  <c r="M888" i="1"/>
  <c r="O887" i="1"/>
  <c r="M887" i="1"/>
  <c r="O886" i="1"/>
  <c r="M886" i="1"/>
  <c r="O885" i="1"/>
  <c r="M885" i="1"/>
  <c r="O884" i="1"/>
  <c r="M884" i="1"/>
  <c r="O883" i="1"/>
  <c r="M883" i="1"/>
  <c r="O882" i="1"/>
  <c r="M882" i="1"/>
  <c r="O881" i="1"/>
  <c r="M881" i="1"/>
  <c r="O880" i="1"/>
  <c r="M880" i="1"/>
  <c r="O879" i="1"/>
  <c r="M879" i="1"/>
  <c r="M878" i="1"/>
  <c r="O877" i="1"/>
  <c r="M877" i="1"/>
  <c r="O876" i="1"/>
  <c r="M876" i="1"/>
  <c r="O875" i="1"/>
  <c r="M875" i="1"/>
  <c r="O874" i="1"/>
  <c r="M874" i="1"/>
  <c r="O873" i="1"/>
  <c r="M873" i="1"/>
  <c r="O872" i="1"/>
  <c r="M872" i="1"/>
  <c r="O871" i="1"/>
  <c r="O870" i="1"/>
  <c r="M870" i="1"/>
  <c r="O869" i="1"/>
  <c r="M869" i="1"/>
  <c r="O868" i="1"/>
  <c r="M868" i="1"/>
  <c r="O867" i="1"/>
  <c r="M867" i="1"/>
  <c r="O866" i="1"/>
  <c r="M866" i="1"/>
  <c r="O865" i="1"/>
  <c r="M865" i="1"/>
  <c r="O864" i="1"/>
  <c r="M864" i="1"/>
  <c r="O863" i="1"/>
  <c r="M863" i="1"/>
  <c r="O862" i="1"/>
  <c r="M862" i="1"/>
  <c r="O861" i="1"/>
  <c r="M861" i="1"/>
  <c r="O860" i="1"/>
  <c r="M860" i="1"/>
  <c r="O859" i="1"/>
  <c r="M859" i="1"/>
  <c r="O858" i="1"/>
  <c r="M858" i="1"/>
  <c r="O857" i="1"/>
  <c r="M857" i="1"/>
  <c r="O856" i="1"/>
  <c r="M856" i="1"/>
  <c r="O855" i="1"/>
  <c r="M855" i="1"/>
  <c r="O854" i="1"/>
  <c r="M854" i="1"/>
  <c r="O853" i="1"/>
  <c r="M853" i="1"/>
  <c r="O852" i="1"/>
  <c r="M852" i="1"/>
  <c r="O851" i="1"/>
  <c r="O850" i="1"/>
  <c r="M850" i="1"/>
  <c r="O849" i="1"/>
  <c r="M849" i="1"/>
  <c r="O848" i="1"/>
  <c r="M848" i="1"/>
  <c r="O847" i="1"/>
  <c r="M847" i="1"/>
  <c r="O846" i="1"/>
  <c r="M846" i="1"/>
  <c r="O845" i="1"/>
  <c r="M845" i="1"/>
  <c r="O844" i="1"/>
  <c r="M844" i="1"/>
  <c r="O843" i="1"/>
  <c r="M843" i="1"/>
  <c r="O842" i="1"/>
  <c r="M842" i="1"/>
  <c r="O841" i="1"/>
  <c r="M841" i="1"/>
  <c r="O840" i="1"/>
  <c r="M840" i="1"/>
  <c r="O839" i="1"/>
  <c r="M839" i="1"/>
  <c r="O838" i="1"/>
  <c r="M838" i="1"/>
  <c r="O837" i="1"/>
  <c r="M837" i="1"/>
  <c r="O836" i="1"/>
  <c r="M836" i="1"/>
  <c r="O835" i="1"/>
  <c r="M835" i="1"/>
  <c r="O834" i="1"/>
  <c r="M834" i="1"/>
  <c r="O833" i="1"/>
  <c r="M833" i="1"/>
  <c r="O832" i="1"/>
  <c r="M832" i="1"/>
  <c r="O831" i="1"/>
  <c r="M831" i="1"/>
  <c r="O830" i="1"/>
  <c r="M830" i="1"/>
  <c r="O829" i="1"/>
  <c r="M829" i="1"/>
  <c r="O828" i="1"/>
  <c r="M828" i="1"/>
  <c r="O827" i="1"/>
  <c r="M827" i="1"/>
  <c r="O826" i="1"/>
  <c r="M826" i="1"/>
  <c r="O825" i="1"/>
  <c r="M825" i="1"/>
  <c r="O824" i="1"/>
  <c r="M824" i="1"/>
  <c r="O823" i="1"/>
  <c r="M823" i="1"/>
  <c r="O822" i="1"/>
  <c r="M822" i="1"/>
  <c r="O821" i="1"/>
  <c r="M821" i="1"/>
  <c r="O820" i="1"/>
  <c r="M820" i="1"/>
  <c r="O819" i="1"/>
  <c r="M819" i="1"/>
  <c r="O818" i="1"/>
  <c r="M818" i="1"/>
  <c r="O817" i="1"/>
  <c r="M817" i="1"/>
  <c r="O816" i="1"/>
  <c r="M816" i="1"/>
  <c r="O815" i="1"/>
  <c r="M815" i="1"/>
  <c r="O814" i="1"/>
  <c r="M814" i="1"/>
  <c r="O813" i="1"/>
  <c r="M813" i="1"/>
  <c r="O812" i="1"/>
  <c r="M812" i="1"/>
  <c r="O811" i="1"/>
  <c r="M811" i="1"/>
  <c r="O810" i="1"/>
  <c r="M810" i="1"/>
  <c r="O809" i="1"/>
  <c r="M809" i="1"/>
  <c r="O808" i="1"/>
  <c r="M808" i="1"/>
  <c r="O807" i="1"/>
  <c r="M807" i="1"/>
  <c r="O806" i="1"/>
  <c r="M806" i="1"/>
  <c r="O805" i="1"/>
  <c r="M805" i="1"/>
  <c r="O804" i="1"/>
  <c r="M804" i="1"/>
  <c r="O803" i="1"/>
  <c r="M803" i="1"/>
  <c r="O802" i="1"/>
  <c r="M802" i="1"/>
  <c r="O801" i="1"/>
  <c r="M801" i="1"/>
  <c r="O800" i="1"/>
  <c r="M800" i="1"/>
  <c r="O799" i="1"/>
  <c r="M799" i="1"/>
  <c r="O798" i="1"/>
  <c r="M798" i="1"/>
  <c r="O797" i="1"/>
  <c r="M797" i="1"/>
  <c r="O796" i="1"/>
  <c r="M796" i="1"/>
  <c r="O795" i="1"/>
  <c r="M795" i="1"/>
  <c r="O794" i="1"/>
  <c r="M794" i="1"/>
  <c r="O793" i="1"/>
  <c r="M793" i="1"/>
  <c r="O792" i="1"/>
  <c r="M792" i="1"/>
  <c r="O791" i="1"/>
  <c r="M791" i="1"/>
  <c r="O790" i="1"/>
  <c r="M790" i="1"/>
  <c r="O789" i="1"/>
  <c r="M789" i="1"/>
  <c r="O788" i="1"/>
  <c r="M788" i="1"/>
  <c r="O787" i="1"/>
  <c r="M787" i="1"/>
  <c r="O786" i="1"/>
  <c r="M786" i="1"/>
  <c r="O785" i="1"/>
  <c r="M785" i="1"/>
  <c r="O784" i="1"/>
  <c r="M784" i="1"/>
  <c r="O783" i="1"/>
  <c r="M783" i="1"/>
  <c r="O782" i="1"/>
  <c r="M782" i="1"/>
  <c r="O781" i="1"/>
  <c r="M781" i="1"/>
  <c r="O780" i="1"/>
  <c r="M780" i="1"/>
  <c r="O779" i="1"/>
  <c r="M779" i="1"/>
  <c r="O778" i="1"/>
  <c r="M778" i="1"/>
  <c r="O777" i="1"/>
  <c r="M777" i="1"/>
  <c r="O776" i="1"/>
  <c r="M776" i="1"/>
  <c r="O775" i="1"/>
  <c r="M775" i="1"/>
  <c r="O774" i="1"/>
  <c r="M774" i="1"/>
  <c r="O773" i="1"/>
  <c r="M773" i="1"/>
  <c r="O772" i="1"/>
  <c r="M772" i="1"/>
  <c r="O771" i="1"/>
  <c r="M771" i="1"/>
  <c r="O770" i="1"/>
  <c r="M770" i="1"/>
  <c r="O769" i="1"/>
  <c r="M769" i="1"/>
  <c r="O768" i="1"/>
  <c r="M768" i="1"/>
  <c r="O767" i="1"/>
  <c r="M767" i="1"/>
  <c r="O766" i="1"/>
  <c r="M766" i="1"/>
  <c r="O765" i="1"/>
  <c r="M765" i="1"/>
  <c r="O764" i="1"/>
  <c r="M764" i="1"/>
  <c r="O763" i="1"/>
  <c r="M763" i="1"/>
  <c r="O762" i="1"/>
  <c r="M762" i="1"/>
  <c r="O761" i="1"/>
  <c r="M761" i="1"/>
  <c r="O760" i="1"/>
  <c r="M760" i="1"/>
  <c r="O759" i="1"/>
  <c r="M759" i="1"/>
  <c r="O758" i="1"/>
  <c r="M758" i="1"/>
  <c r="O757" i="1"/>
  <c r="M757" i="1"/>
  <c r="O756" i="1"/>
  <c r="M756" i="1"/>
  <c r="O755" i="1"/>
  <c r="M755" i="1"/>
  <c r="O754" i="1"/>
  <c r="M754" i="1"/>
  <c r="O753" i="1"/>
  <c r="M753" i="1"/>
  <c r="O752" i="1"/>
  <c r="M752" i="1"/>
  <c r="O751" i="1"/>
  <c r="M751" i="1"/>
  <c r="O750" i="1"/>
  <c r="M750" i="1"/>
  <c r="O749" i="1"/>
  <c r="M749" i="1"/>
  <c r="O748" i="1"/>
  <c r="M748" i="1"/>
  <c r="O747" i="1"/>
  <c r="M747" i="1"/>
  <c r="O746" i="1"/>
  <c r="M746" i="1"/>
  <c r="O745" i="1"/>
  <c r="M745" i="1"/>
  <c r="O744" i="1"/>
  <c r="M744" i="1"/>
  <c r="O743" i="1"/>
  <c r="M743" i="1"/>
  <c r="O742" i="1"/>
  <c r="M742" i="1"/>
  <c r="O741" i="1"/>
  <c r="M741" i="1"/>
  <c r="O740" i="1"/>
  <c r="M740" i="1"/>
  <c r="O739" i="1"/>
  <c r="M739" i="1"/>
  <c r="O738" i="1"/>
  <c r="M738" i="1"/>
  <c r="O737" i="1"/>
  <c r="M737" i="1"/>
  <c r="O736" i="1"/>
  <c r="M736" i="1"/>
  <c r="O735" i="1"/>
  <c r="M735" i="1"/>
  <c r="O734" i="1"/>
  <c r="M734" i="1"/>
  <c r="O733" i="1"/>
  <c r="M733" i="1"/>
  <c r="O732" i="1"/>
  <c r="M732" i="1"/>
  <c r="O731" i="1"/>
  <c r="M731" i="1"/>
  <c r="O730" i="1"/>
  <c r="M730" i="1"/>
  <c r="O729" i="1"/>
  <c r="M729" i="1"/>
  <c r="O728" i="1"/>
  <c r="M728" i="1"/>
  <c r="O727" i="1"/>
  <c r="M727" i="1"/>
  <c r="O726" i="1"/>
  <c r="M726" i="1"/>
  <c r="O725" i="1"/>
  <c r="M725" i="1"/>
  <c r="O724" i="1"/>
  <c r="M724" i="1"/>
  <c r="O723" i="1"/>
  <c r="M723" i="1"/>
  <c r="O722" i="1"/>
  <c r="M722" i="1"/>
  <c r="O721" i="1"/>
  <c r="M721" i="1"/>
  <c r="O720" i="1"/>
  <c r="M720" i="1"/>
  <c r="O719" i="1"/>
  <c r="M719" i="1"/>
  <c r="O718" i="1"/>
  <c r="M718" i="1"/>
  <c r="O717" i="1"/>
  <c r="M717" i="1"/>
  <c r="O716" i="1"/>
  <c r="M716" i="1"/>
  <c r="O715" i="1"/>
  <c r="M715" i="1"/>
  <c r="O714" i="1"/>
  <c r="M714" i="1"/>
  <c r="O713" i="1"/>
  <c r="M713" i="1"/>
  <c r="O712" i="1"/>
  <c r="M712" i="1"/>
  <c r="O711" i="1"/>
  <c r="M711" i="1"/>
  <c r="O710" i="1"/>
  <c r="M710" i="1"/>
  <c r="O709" i="1"/>
  <c r="M709" i="1"/>
  <c r="O708" i="1"/>
  <c r="M708" i="1"/>
  <c r="O707" i="1"/>
  <c r="M707" i="1"/>
  <c r="O706" i="1"/>
  <c r="M706" i="1"/>
  <c r="O705" i="1"/>
  <c r="M705" i="1"/>
  <c r="O704" i="1"/>
  <c r="M704" i="1"/>
  <c r="O703" i="1"/>
  <c r="M703" i="1"/>
  <c r="O702" i="1"/>
  <c r="M702" i="1"/>
  <c r="O701" i="1"/>
  <c r="M701" i="1"/>
  <c r="O700" i="1"/>
  <c r="M700" i="1"/>
  <c r="O699" i="1"/>
  <c r="M699" i="1"/>
  <c r="O698" i="1"/>
  <c r="M698" i="1"/>
  <c r="O697" i="1"/>
  <c r="M697" i="1"/>
  <c r="O696" i="1"/>
  <c r="M696" i="1"/>
  <c r="O695" i="1"/>
  <c r="M695" i="1"/>
  <c r="O694" i="1"/>
  <c r="M694" i="1"/>
  <c r="O693" i="1"/>
  <c r="M693" i="1"/>
  <c r="O692" i="1"/>
  <c r="M692" i="1"/>
  <c r="O691" i="1"/>
  <c r="M691" i="1"/>
  <c r="O690" i="1"/>
  <c r="M690" i="1"/>
  <c r="O689" i="1"/>
  <c r="M689" i="1"/>
  <c r="O688" i="1"/>
  <c r="M688" i="1"/>
  <c r="O687" i="1"/>
  <c r="M687" i="1"/>
  <c r="O686" i="1"/>
  <c r="M686" i="1"/>
  <c r="O685" i="1"/>
  <c r="M685" i="1"/>
  <c r="O684" i="1"/>
  <c r="M684" i="1"/>
  <c r="O683" i="1"/>
  <c r="M683" i="1"/>
  <c r="O682" i="1"/>
  <c r="M682" i="1"/>
  <c r="O681" i="1"/>
  <c r="M681" i="1"/>
  <c r="O680" i="1"/>
  <c r="M680" i="1"/>
  <c r="O679" i="1"/>
  <c r="M679" i="1"/>
  <c r="O678" i="1"/>
  <c r="M678" i="1"/>
  <c r="O677" i="1"/>
  <c r="M677" i="1"/>
  <c r="O676" i="1"/>
  <c r="M676" i="1"/>
  <c r="O675" i="1"/>
  <c r="M675" i="1"/>
  <c r="O674" i="1"/>
  <c r="M674" i="1"/>
  <c r="O673" i="1"/>
  <c r="M673" i="1"/>
  <c r="O672" i="1"/>
  <c r="M672" i="1"/>
  <c r="O671" i="1"/>
  <c r="M671" i="1"/>
  <c r="O670" i="1"/>
  <c r="M670" i="1"/>
  <c r="O669" i="1"/>
  <c r="M669" i="1"/>
  <c r="O668" i="1"/>
  <c r="M668" i="1"/>
  <c r="O667" i="1"/>
  <c r="M667" i="1"/>
  <c r="O666" i="1"/>
  <c r="M666" i="1"/>
  <c r="O665" i="1"/>
  <c r="M665" i="1"/>
  <c r="O664" i="1"/>
  <c r="M664" i="1"/>
  <c r="O663" i="1"/>
  <c r="M663" i="1"/>
  <c r="O662" i="1"/>
  <c r="M662" i="1"/>
  <c r="O661" i="1"/>
  <c r="M661" i="1"/>
  <c r="O660" i="1"/>
  <c r="M660" i="1"/>
  <c r="O659" i="1"/>
  <c r="M659" i="1"/>
  <c r="O658" i="1"/>
  <c r="M658" i="1"/>
  <c r="O657" i="1"/>
  <c r="M657" i="1"/>
  <c r="O656" i="1"/>
  <c r="M656" i="1"/>
  <c r="O655" i="1"/>
  <c r="M655" i="1"/>
  <c r="O654" i="1"/>
  <c r="M654" i="1"/>
  <c r="O653" i="1"/>
  <c r="M653" i="1"/>
  <c r="O652" i="1"/>
  <c r="M652" i="1"/>
  <c r="O651" i="1"/>
  <c r="M651" i="1"/>
  <c r="O650" i="1"/>
  <c r="M650" i="1"/>
  <c r="O649" i="1"/>
  <c r="M649" i="1"/>
  <c r="O648" i="1"/>
  <c r="M648" i="1"/>
  <c r="O647" i="1"/>
  <c r="M647" i="1"/>
  <c r="O646" i="1"/>
  <c r="M646" i="1"/>
  <c r="O645" i="1"/>
  <c r="M645" i="1"/>
  <c r="O644" i="1"/>
  <c r="M644" i="1"/>
  <c r="O643" i="1"/>
  <c r="M643" i="1"/>
  <c r="O642" i="1"/>
  <c r="M642" i="1"/>
  <c r="O641" i="1"/>
  <c r="M641" i="1"/>
  <c r="O640" i="1"/>
  <c r="M640" i="1"/>
  <c r="O639" i="1"/>
  <c r="M639" i="1"/>
  <c r="O638" i="1"/>
  <c r="M638" i="1"/>
  <c r="O637" i="1"/>
  <c r="M637" i="1"/>
  <c r="O636" i="1"/>
  <c r="M636" i="1"/>
  <c r="O635" i="1"/>
  <c r="M635" i="1"/>
  <c r="O634" i="1"/>
  <c r="M634" i="1"/>
  <c r="O633" i="1"/>
  <c r="M633" i="1"/>
  <c r="O632" i="1"/>
  <c r="M632" i="1"/>
  <c r="O631" i="1"/>
  <c r="M631" i="1"/>
  <c r="O630" i="1"/>
  <c r="M630" i="1"/>
  <c r="O629" i="1"/>
  <c r="M629" i="1"/>
  <c r="O628" i="1"/>
  <c r="M628" i="1"/>
  <c r="O627" i="1"/>
  <c r="M627" i="1"/>
  <c r="O626" i="1"/>
  <c r="M626" i="1"/>
  <c r="O625" i="1"/>
  <c r="M625" i="1"/>
  <c r="O624" i="1"/>
  <c r="M624" i="1"/>
  <c r="O623" i="1"/>
  <c r="M623" i="1"/>
  <c r="O622" i="1"/>
  <c r="M622" i="1"/>
  <c r="O621" i="1"/>
  <c r="M621" i="1"/>
  <c r="O620" i="1"/>
  <c r="M620" i="1"/>
  <c r="O619" i="1"/>
  <c r="M619" i="1"/>
  <c r="O618" i="1"/>
  <c r="M618" i="1"/>
  <c r="O617" i="1"/>
  <c r="M617" i="1"/>
  <c r="O616" i="1"/>
  <c r="M616" i="1"/>
  <c r="O615" i="1"/>
  <c r="M615" i="1"/>
  <c r="O614" i="1"/>
  <c r="M614" i="1"/>
  <c r="O613" i="1"/>
  <c r="M613" i="1"/>
  <c r="O612" i="1"/>
  <c r="M612" i="1"/>
  <c r="O611" i="1"/>
  <c r="M611" i="1"/>
  <c r="O610" i="1"/>
  <c r="M610" i="1"/>
  <c r="O609" i="1"/>
  <c r="M609" i="1"/>
  <c r="O608" i="1"/>
  <c r="M608" i="1"/>
  <c r="O607" i="1"/>
  <c r="M607" i="1"/>
  <c r="O606" i="1"/>
  <c r="M606" i="1"/>
  <c r="O605" i="1"/>
  <c r="M605" i="1"/>
  <c r="O604" i="1"/>
  <c r="M604" i="1"/>
  <c r="O603" i="1"/>
  <c r="M603" i="1"/>
  <c r="O602" i="1"/>
  <c r="M602" i="1"/>
  <c r="O601" i="1"/>
  <c r="M601" i="1"/>
  <c r="O600" i="1"/>
  <c r="M600" i="1"/>
  <c r="O599" i="1"/>
  <c r="M599" i="1"/>
  <c r="O598" i="1"/>
  <c r="M598" i="1"/>
  <c r="O597" i="1"/>
  <c r="M597" i="1"/>
  <c r="O596" i="1"/>
  <c r="M596" i="1"/>
  <c r="O595" i="1"/>
  <c r="M595" i="1"/>
  <c r="O594" i="1"/>
  <c r="M594" i="1"/>
  <c r="O593" i="1"/>
  <c r="M593" i="1"/>
  <c r="O592" i="1"/>
  <c r="M592" i="1"/>
  <c r="O591" i="1"/>
  <c r="M591" i="1"/>
  <c r="O590" i="1"/>
  <c r="M590" i="1"/>
  <c r="O589" i="1"/>
  <c r="M589" i="1"/>
  <c r="O588" i="1"/>
  <c r="M588" i="1"/>
  <c r="O587" i="1"/>
  <c r="M587" i="1"/>
  <c r="O586" i="1"/>
  <c r="M586" i="1"/>
  <c r="O585" i="1"/>
  <c r="M585" i="1"/>
  <c r="O584" i="1"/>
  <c r="M584" i="1"/>
  <c r="O583" i="1"/>
  <c r="M583" i="1"/>
  <c r="O582" i="1"/>
  <c r="M582" i="1"/>
  <c r="O581" i="1"/>
  <c r="M581" i="1"/>
  <c r="O580" i="1"/>
  <c r="M580" i="1"/>
  <c r="O579" i="1"/>
  <c r="M579" i="1"/>
  <c r="O578" i="1"/>
  <c r="M578" i="1"/>
  <c r="O577" i="1"/>
  <c r="M577" i="1"/>
  <c r="O576" i="1"/>
  <c r="M576" i="1"/>
  <c r="O575" i="1"/>
  <c r="M575" i="1"/>
  <c r="O574" i="1"/>
  <c r="M574" i="1"/>
  <c r="O573" i="1"/>
  <c r="M573" i="1"/>
  <c r="O572" i="1"/>
  <c r="M572" i="1"/>
  <c r="O571" i="1"/>
  <c r="M571" i="1"/>
  <c r="O570" i="1"/>
  <c r="M570" i="1"/>
  <c r="O569" i="1"/>
  <c r="M569" i="1"/>
  <c r="O568" i="1"/>
  <c r="M568" i="1"/>
  <c r="O567" i="1"/>
  <c r="M567" i="1"/>
  <c r="O566" i="1"/>
  <c r="M566" i="1"/>
  <c r="O565" i="1"/>
  <c r="M565" i="1"/>
  <c r="O564" i="1"/>
  <c r="M564" i="1"/>
  <c r="O563" i="1"/>
  <c r="M563" i="1"/>
  <c r="O562" i="1"/>
  <c r="M562" i="1"/>
  <c r="O561" i="1"/>
  <c r="M561" i="1"/>
  <c r="O560" i="1"/>
  <c r="M560" i="1"/>
  <c r="O559" i="1"/>
  <c r="M559" i="1"/>
  <c r="O558" i="1"/>
  <c r="M558" i="1"/>
  <c r="O557" i="1"/>
  <c r="M557" i="1"/>
  <c r="O556" i="1"/>
  <c r="M556" i="1"/>
  <c r="O555" i="1"/>
  <c r="M555" i="1"/>
  <c r="O554" i="1"/>
  <c r="M554" i="1"/>
  <c r="O553" i="1"/>
  <c r="M553" i="1"/>
  <c r="O552" i="1"/>
  <c r="M552" i="1"/>
  <c r="O551" i="1"/>
  <c r="M551" i="1"/>
  <c r="O550" i="1"/>
  <c r="M550" i="1"/>
  <c r="O549" i="1"/>
  <c r="M549" i="1"/>
  <c r="O548" i="1"/>
  <c r="M548" i="1"/>
  <c r="O547" i="1"/>
  <c r="M547" i="1"/>
  <c r="O546" i="1"/>
  <c r="M546" i="1"/>
  <c r="O545" i="1"/>
  <c r="M545" i="1"/>
  <c r="O544" i="1"/>
  <c r="M544" i="1"/>
  <c r="O543" i="1"/>
  <c r="M543" i="1"/>
  <c r="O542" i="1"/>
  <c r="M542" i="1"/>
  <c r="O541" i="1"/>
  <c r="M541" i="1"/>
  <c r="O540" i="1"/>
  <c r="M540" i="1"/>
  <c r="O539" i="1"/>
  <c r="M539" i="1"/>
  <c r="O538" i="1"/>
  <c r="M538" i="1"/>
  <c r="O537" i="1"/>
  <c r="M537" i="1"/>
  <c r="O536" i="1"/>
  <c r="M536" i="1"/>
  <c r="O535" i="1"/>
  <c r="M535" i="1"/>
  <c r="O534" i="1"/>
  <c r="M534" i="1"/>
  <c r="O533" i="1"/>
  <c r="M533" i="1"/>
  <c r="O532" i="1"/>
  <c r="M532" i="1"/>
  <c r="O531" i="1"/>
  <c r="M531" i="1"/>
  <c r="O530" i="1"/>
  <c r="M530" i="1"/>
  <c r="O529" i="1"/>
  <c r="M529" i="1"/>
  <c r="O528" i="1"/>
  <c r="M528" i="1"/>
  <c r="O527" i="1"/>
  <c r="M527" i="1"/>
  <c r="O526" i="1"/>
  <c r="M526" i="1"/>
  <c r="O525" i="1"/>
  <c r="M525" i="1"/>
  <c r="O524" i="1"/>
  <c r="M524" i="1"/>
  <c r="O523" i="1"/>
  <c r="M523" i="1"/>
  <c r="O522" i="1"/>
  <c r="M522" i="1"/>
  <c r="O521" i="1"/>
  <c r="M521" i="1"/>
  <c r="O520" i="1"/>
  <c r="M520" i="1"/>
  <c r="O519" i="1"/>
  <c r="M519" i="1"/>
  <c r="O518" i="1"/>
  <c r="M518" i="1"/>
  <c r="O517" i="1"/>
  <c r="M517" i="1"/>
  <c r="O516" i="1"/>
  <c r="M516" i="1"/>
  <c r="O515" i="1"/>
  <c r="M515" i="1"/>
  <c r="O514" i="1"/>
  <c r="M514" i="1"/>
  <c r="O513" i="1"/>
  <c r="M513" i="1"/>
  <c r="O512" i="1"/>
  <c r="M512" i="1"/>
  <c r="O511" i="1"/>
  <c r="M511" i="1"/>
  <c r="O510" i="1"/>
  <c r="M510" i="1"/>
  <c r="O509" i="1"/>
  <c r="M509" i="1"/>
  <c r="O508" i="1"/>
  <c r="M508" i="1"/>
  <c r="O507" i="1"/>
  <c r="M507" i="1"/>
  <c r="O506" i="1"/>
  <c r="M506" i="1"/>
  <c r="O505" i="1"/>
  <c r="M505" i="1"/>
  <c r="O504" i="1"/>
  <c r="M504" i="1"/>
  <c r="O503" i="1"/>
  <c r="M503" i="1"/>
  <c r="O502" i="1"/>
  <c r="M502" i="1"/>
  <c r="O501" i="1"/>
  <c r="M501" i="1"/>
  <c r="O500" i="1"/>
  <c r="M500" i="1"/>
  <c r="O499" i="1"/>
  <c r="M499" i="1"/>
  <c r="O498" i="1"/>
  <c r="M498" i="1"/>
  <c r="O497" i="1"/>
  <c r="O496" i="1"/>
  <c r="M496" i="1"/>
  <c r="O495" i="1"/>
  <c r="M495" i="1"/>
  <c r="O494" i="1"/>
  <c r="M494" i="1"/>
  <c r="O493" i="1"/>
  <c r="M493" i="1"/>
  <c r="O492" i="1"/>
  <c r="M492" i="1"/>
  <c r="O491" i="1"/>
  <c r="M491" i="1"/>
  <c r="O490" i="1"/>
  <c r="M490" i="1"/>
  <c r="O489" i="1"/>
  <c r="M489" i="1"/>
  <c r="O488" i="1"/>
  <c r="M488" i="1"/>
  <c r="O487" i="1"/>
  <c r="M487" i="1"/>
  <c r="O486" i="1"/>
  <c r="M486" i="1"/>
  <c r="O485" i="1"/>
  <c r="M485" i="1"/>
  <c r="O484" i="1"/>
  <c r="M484" i="1"/>
  <c r="O483" i="1"/>
  <c r="M483" i="1"/>
  <c r="O482" i="1"/>
  <c r="M482" i="1"/>
  <c r="O481" i="1"/>
  <c r="M481" i="1"/>
  <c r="O480" i="1"/>
  <c r="M480" i="1"/>
  <c r="O479" i="1"/>
  <c r="M479" i="1"/>
  <c r="O478" i="1"/>
  <c r="M478" i="1"/>
  <c r="O477" i="1"/>
  <c r="M477" i="1"/>
  <c r="O476" i="1"/>
  <c r="M476" i="1"/>
  <c r="O475" i="1"/>
  <c r="M475" i="1"/>
  <c r="O474" i="1"/>
  <c r="M474" i="1"/>
  <c r="O473" i="1"/>
  <c r="M473" i="1"/>
  <c r="O472" i="1"/>
  <c r="M472" i="1"/>
  <c r="O471" i="1"/>
  <c r="M471" i="1"/>
  <c r="O470" i="1"/>
  <c r="M470" i="1"/>
  <c r="O469" i="1"/>
  <c r="M469" i="1"/>
  <c r="O468" i="1"/>
  <c r="M468" i="1"/>
  <c r="O467" i="1"/>
  <c r="M467" i="1"/>
  <c r="O466" i="1"/>
  <c r="M466" i="1"/>
  <c r="O465" i="1"/>
  <c r="M465" i="1"/>
  <c r="O464" i="1"/>
  <c r="M464" i="1"/>
  <c r="O463" i="1"/>
  <c r="M463" i="1"/>
  <c r="O462" i="1"/>
  <c r="M462" i="1"/>
  <c r="O461" i="1"/>
  <c r="M461" i="1"/>
  <c r="O460" i="1"/>
  <c r="M460" i="1"/>
  <c r="O459" i="1"/>
  <c r="M459" i="1"/>
  <c r="O458" i="1"/>
  <c r="M458" i="1"/>
  <c r="O457" i="1"/>
  <c r="M457" i="1"/>
  <c r="O456" i="1"/>
  <c r="M456" i="1"/>
  <c r="O455" i="1"/>
  <c r="M455" i="1"/>
  <c r="O454" i="1"/>
  <c r="M454" i="1"/>
  <c r="O453" i="1"/>
  <c r="M453" i="1"/>
  <c r="O452" i="1"/>
  <c r="M452" i="1"/>
  <c r="O451" i="1"/>
  <c r="M451" i="1"/>
  <c r="O450" i="1"/>
  <c r="M450" i="1"/>
  <c r="O449" i="1"/>
  <c r="M449" i="1"/>
  <c r="O448" i="1"/>
  <c r="M448" i="1"/>
  <c r="O447" i="1"/>
  <c r="M447" i="1"/>
  <c r="O446" i="1"/>
  <c r="M446" i="1"/>
  <c r="O445" i="1"/>
  <c r="M445" i="1"/>
  <c r="O444" i="1"/>
  <c r="M444" i="1"/>
  <c r="O443" i="1"/>
  <c r="M443" i="1"/>
  <c r="O442" i="1"/>
  <c r="M442" i="1"/>
  <c r="O441" i="1"/>
  <c r="M441" i="1"/>
  <c r="O440" i="1"/>
  <c r="M440" i="1"/>
  <c r="O439" i="1"/>
  <c r="M439" i="1"/>
  <c r="O438" i="1"/>
  <c r="M438" i="1"/>
  <c r="O437" i="1"/>
  <c r="M437" i="1"/>
  <c r="O436" i="1"/>
  <c r="M436" i="1"/>
  <c r="O435" i="1"/>
  <c r="M435" i="1"/>
  <c r="O434" i="1"/>
  <c r="M434" i="1"/>
  <c r="O433" i="1"/>
  <c r="M433" i="1"/>
  <c r="O432" i="1"/>
  <c r="M432" i="1"/>
  <c r="O431" i="1"/>
  <c r="M431" i="1"/>
  <c r="O430" i="1"/>
  <c r="M430" i="1"/>
  <c r="O429" i="1"/>
  <c r="M429" i="1"/>
  <c r="O428" i="1"/>
  <c r="M428" i="1"/>
  <c r="O427" i="1"/>
  <c r="M427" i="1"/>
  <c r="O426" i="1"/>
  <c r="M426" i="1"/>
  <c r="O425" i="1"/>
  <c r="M425" i="1"/>
  <c r="O424" i="1"/>
  <c r="M424" i="1"/>
  <c r="O423" i="1"/>
  <c r="M423" i="1"/>
  <c r="O422" i="1"/>
  <c r="M422" i="1"/>
  <c r="O421" i="1"/>
  <c r="M421" i="1"/>
  <c r="O420" i="1"/>
  <c r="M420" i="1"/>
  <c r="O419" i="1"/>
  <c r="M419" i="1"/>
  <c r="O418" i="1"/>
  <c r="M418" i="1"/>
  <c r="O417" i="1"/>
  <c r="M417" i="1"/>
  <c r="O416" i="1"/>
  <c r="M416" i="1"/>
  <c r="O415" i="1"/>
  <c r="M415" i="1"/>
  <c r="O414" i="1"/>
  <c r="M414" i="1"/>
  <c r="O413" i="1"/>
  <c r="M413" i="1"/>
  <c r="O412" i="1"/>
  <c r="M412" i="1"/>
  <c r="O411" i="1"/>
  <c r="M411" i="1"/>
  <c r="O410" i="1"/>
  <c r="M410" i="1"/>
  <c r="O409" i="1"/>
  <c r="M409" i="1"/>
  <c r="O408" i="1"/>
  <c r="M408" i="1"/>
  <c r="O407" i="1"/>
  <c r="M407" i="1"/>
  <c r="O406" i="1"/>
  <c r="M406" i="1"/>
  <c r="O405" i="1"/>
  <c r="M405" i="1"/>
  <c r="O404" i="1"/>
  <c r="M404" i="1"/>
  <c r="O403" i="1"/>
  <c r="M403" i="1"/>
  <c r="O402" i="1"/>
  <c r="M402" i="1"/>
  <c r="O401" i="1"/>
  <c r="M401" i="1"/>
  <c r="O400" i="1"/>
  <c r="M400" i="1"/>
  <c r="O399" i="1"/>
  <c r="M399" i="1"/>
  <c r="O398" i="1"/>
  <c r="M398" i="1"/>
  <c r="O397" i="1"/>
  <c r="M397" i="1"/>
  <c r="O396" i="1"/>
  <c r="M396" i="1"/>
  <c r="O395" i="1"/>
  <c r="M395" i="1"/>
  <c r="O394" i="1"/>
  <c r="M394" i="1"/>
  <c r="O393" i="1"/>
  <c r="M393" i="1"/>
  <c r="O392" i="1"/>
  <c r="M392" i="1"/>
  <c r="O391" i="1"/>
  <c r="M391" i="1"/>
  <c r="O390" i="1"/>
  <c r="M390" i="1"/>
  <c r="O389" i="1"/>
  <c r="M389" i="1"/>
  <c r="O388" i="1"/>
  <c r="M388" i="1"/>
  <c r="O387" i="1"/>
  <c r="M387" i="1"/>
  <c r="O386" i="1"/>
  <c r="M386" i="1"/>
  <c r="O385" i="1"/>
  <c r="M385" i="1"/>
  <c r="O384" i="1"/>
  <c r="M384" i="1"/>
  <c r="O383" i="1"/>
  <c r="M383" i="1"/>
  <c r="O382" i="1"/>
  <c r="M382" i="1"/>
  <c r="O381" i="1"/>
  <c r="M381" i="1"/>
  <c r="M380" i="1"/>
  <c r="O379" i="1"/>
  <c r="M379" i="1"/>
  <c r="O378" i="1"/>
  <c r="M378" i="1"/>
  <c r="O377" i="1"/>
  <c r="M377" i="1"/>
  <c r="O376" i="1"/>
  <c r="M376" i="1"/>
  <c r="O375" i="1"/>
  <c r="M375" i="1"/>
  <c r="O374" i="1"/>
  <c r="M374" i="1"/>
  <c r="O373" i="1"/>
  <c r="M373" i="1"/>
  <c r="O372" i="1"/>
  <c r="M372" i="1"/>
  <c r="O371" i="1"/>
  <c r="M371" i="1"/>
  <c r="O370" i="1"/>
  <c r="M370" i="1"/>
  <c r="O369" i="1"/>
  <c r="M369" i="1"/>
  <c r="O368" i="1"/>
  <c r="M368" i="1"/>
  <c r="O367" i="1"/>
  <c r="M367" i="1"/>
  <c r="O366" i="1"/>
  <c r="M366" i="1"/>
  <c r="O365" i="1"/>
  <c r="M365" i="1"/>
  <c r="O364" i="1"/>
  <c r="M364" i="1"/>
  <c r="O363" i="1"/>
  <c r="M363" i="1"/>
  <c r="M362" i="1"/>
  <c r="O361" i="1"/>
  <c r="M361" i="1"/>
  <c r="O360" i="1"/>
  <c r="M360" i="1"/>
  <c r="O359" i="1"/>
  <c r="M359" i="1"/>
  <c r="O358" i="1"/>
  <c r="M358" i="1"/>
  <c r="O357" i="1"/>
  <c r="M357" i="1"/>
  <c r="O356" i="1"/>
  <c r="M356" i="1"/>
  <c r="O355" i="1"/>
  <c r="M355" i="1"/>
  <c r="O354" i="1"/>
  <c r="M354" i="1"/>
  <c r="O353" i="1"/>
  <c r="M353" i="1"/>
  <c r="O352" i="1"/>
  <c r="M352" i="1"/>
  <c r="O351" i="1"/>
  <c r="M351" i="1"/>
  <c r="O350" i="1"/>
  <c r="M350" i="1"/>
  <c r="O349" i="1"/>
  <c r="M349" i="1"/>
  <c r="O348" i="1"/>
  <c r="M348" i="1"/>
  <c r="O347" i="1"/>
  <c r="M347" i="1"/>
  <c r="O346" i="1"/>
  <c r="M346" i="1"/>
  <c r="O345" i="1"/>
  <c r="M345" i="1"/>
  <c r="O344" i="1"/>
  <c r="M344" i="1"/>
  <c r="O343" i="1"/>
  <c r="M343" i="1"/>
  <c r="O342" i="1"/>
  <c r="M342" i="1"/>
  <c r="O341" i="1"/>
  <c r="M341" i="1"/>
  <c r="O340" i="1"/>
  <c r="M340" i="1"/>
  <c r="O339" i="1"/>
  <c r="M339" i="1"/>
  <c r="O338" i="1"/>
  <c r="M338" i="1"/>
  <c r="O337" i="1"/>
  <c r="M337" i="1"/>
  <c r="O336" i="1"/>
  <c r="M336" i="1"/>
  <c r="O335" i="1"/>
  <c r="M335" i="1"/>
  <c r="O334" i="1"/>
  <c r="M334" i="1"/>
  <c r="O333" i="1"/>
  <c r="M333" i="1"/>
  <c r="O332" i="1"/>
  <c r="M332" i="1"/>
  <c r="O331" i="1"/>
  <c r="M331" i="1"/>
  <c r="O330" i="1"/>
  <c r="M330" i="1"/>
  <c r="O329" i="1"/>
  <c r="M329" i="1"/>
  <c r="M328" i="1"/>
  <c r="O327" i="1"/>
  <c r="M327" i="1"/>
  <c r="O326" i="1"/>
  <c r="M326" i="1"/>
  <c r="O325" i="1"/>
  <c r="M325" i="1"/>
  <c r="O324" i="1"/>
  <c r="M324" i="1"/>
  <c r="O323" i="1"/>
  <c r="M323" i="1"/>
  <c r="O322" i="1"/>
  <c r="M322" i="1"/>
  <c r="O321" i="1"/>
  <c r="M321" i="1"/>
  <c r="O320" i="1"/>
  <c r="M320" i="1"/>
  <c r="O319" i="1"/>
  <c r="M319" i="1"/>
  <c r="O318" i="1"/>
  <c r="M318" i="1"/>
  <c r="O317" i="1"/>
  <c r="M317" i="1"/>
  <c r="O316" i="1"/>
  <c r="M316" i="1"/>
  <c r="O315" i="1"/>
  <c r="M315" i="1"/>
  <c r="O314" i="1"/>
  <c r="M314" i="1"/>
  <c r="O313" i="1"/>
  <c r="M313" i="1"/>
  <c r="O312" i="1"/>
  <c r="M312" i="1"/>
  <c r="O311" i="1"/>
  <c r="M311" i="1"/>
  <c r="O310" i="1"/>
  <c r="M310" i="1"/>
  <c r="O309" i="1"/>
  <c r="M309" i="1"/>
  <c r="O308" i="1"/>
  <c r="M308" i="1"/>
  <c r="O307" i="1"/>
  <c r="M307" i="1"/>
  <c r="O306" i="1"/>
  <c r="M306" i="1"/>
  <c r="O305" i="1"/>
  <c r="M305" i="1"/>
  <c r="O304" i="1"/>
  <c r="M304" i="1"/>
  <c r="O303" i="1"/>
  <c r="M303" i="1"/>
  <c r="O302" i="1"/>
  <c r="M302" i="1"/>
  <c r="O301" i="1"/>
  <c r="M301" i="1"/>
  <c r="O300" i="1"/>
  <c r="M300" i="1"/>
  <c r="O298" i="1"/>
  <c r="M298" i="1"/>
  <c r="O297" i="1"/>
  <c r="M297" i="1"/>
  <c r="O296" i="1"/>
  <c r="M296" i="1"/>
  <c r="O295" i="1"/>
  <c r="M295" i="1"/>
  <c r="O294" i="1"/>
  <c r="M294" i="1"/>
  <c r="O293" i="1"/>
  <c r="M293" i="1"/>
  <c r="O292" i="1"/>
  <c r="M292" i="1"/>
  <c r="O291" i="1"/>
  <c r="M291" i="1"/>
  <c r="O290" i="1"/>
  <c r="M290" i="1"/>
  <c r="O289" i="1"/>
  <c r="M289" i="1"/>
  <c r="O288" i="1"/>
  <c r="M288" i="1"/>
  <c r="O287" i="1"/>
  <c r="M287" i="1"/>
  <c r="O286" i="1"/>
  <c r="M286" i="1"/>
  <c r="O285" i="1"/>
  <c r="M285" i="1"/>
  <c r="O284" i="1"/>
  <c r="M284" i="1"/>
  <c r="O283" i="1"/>
  <c r="M283" i="1"/>
  <c r="O282" i="1"/>
  <c r="M282" i="1"/>
  <c r="O281" i="1"/>
  <c r="M281" i="1"/>
  <c r="O280" i="1"/>
  <c r="M280" i="1"/>
  <c r="O279" i="1"/>
  <c r="M279" i="1"/>
  <c r="O278" i="1"/>
  <c r="M278" i="1"/>
  <c r="O277" i="1"/>
  <c r="M277" i="1"/>
  <c r="O276" i="1"/>
  <c r="M276" i="1"/>
  <c r="O275" i="1"/>
  <c r="M275" i="1"/>
  <c r="O274" i="1"/>
  <c r="M274" i="1"/>
  <c r="O273" i="1"/>
  <c r="M273" i="1"/>
  <c r="O272" i="1"/>
  <c r="M272" i="1"/>
  <c r="O271" i="1"/>
  <c r="M271" i="1"/>
  <c r="O270" i="1"/>
  <c r="M270" i="1"/>
  <c r="O269" i="1"/>
  <c r="M269" i="1"/>
  <c r="O268" i="1"/>
  <c r="M268" i="1"/>
  <c r="O267" i="1"/>
  <c r="M267" i="1"/>
  <c r="O266" i="1"/>
  <c r="M266" i="1"/>
  <c r="O265" i="1"/>
  <c r="M265" i="1"/>
  <c r="O264" i="1"/>
  <c r="M264" i="1"/>
  <c r="O263" i="1"/>
  <c r="M263" i="1"/>
  <c r="O262" i="1"/>
  <c r="M262" i="1"/>
  <c r="O261" i="1"/>
  <c r="M261" i="1"/>
  <c r="O260" i="1"/>
  <c r="M260" i="1"/>
  <c r="O259" i="1"/>
  <c r="M259" i="1"/>
  <c r="O258" i="1"/>
  <c r="M258" i="1"/>
  <c r="O257" i="1"/>
  <c r="M257" i="1"/>
  <c r="O256" i="1"/>
  <c r="M256" i="1"/>
  <c r="O255" i="1"/>
  <c r="M255" i="1"/>
  <c r="O254" i="1"/>
  <c r="M254" i="1"/>
  <c r="O253" i="1"/>
  <c r="M253" i="1"/>
  <c r="O252" i="1"/>
  <c r="M252" i="1"/>
  <c r="O251" i="1"/>
  <c r="M251" i="1"/>
  <c r="O250" i="1"/>
  <c r="M250" i="1"/>
  <c r="O249" i="1"/>
  <c r="M249" i="1"/>
  <c r="O248" i="1"/>
  <c r="M248" i="1"/>
  <c r="O247" i="1"/>
  <c r="M247" i="1"/>
  <c r="O246" i="1"/>
  <c r="M246" i="1"/>
  <c r="O245" i="1"/>
  <c r="M245" i="1"/>
  <c r="O244" i="1"/>
  <c r="M244" i="1"/>
  <c r="O243" i="1"/>
  <c r="M243" i="1"/>
  <c r="O242" i="1"/>
  <c r="M242" i="1"/>
  <c r="M241" i="1"/>
  <c r="O240" i="1"/>
  <c r="M240" i="1"/>
  <c r="M239" i="1"/>
  <c r="O238" i="1"/>
  <c r="M238" i="1"/>
  <c r="O237" i="1"/>
  <c r="M237" i="1"/>
  <c r="M236" i="1"/>
  <c r="O235" i="1"/>
  <c r="M235" i="1"/>
  <c r="O234" i="1"/>
  <c r="M234" i="1"/>
  <c r="O233" i="1"/>
  <c r="M233" i="1"/>
  <c r="O232" i="1"/>
  <c r="M232" i="1"/>
  <c r="O231" i="1"/>
  <c r="M231" i="1"/>
  <c r="M230" i="1"/>
  <c r="O229" i="1"/>
  <c r="M229" i="1"/>
  <c r="O228" i="1"/>
  <c r="M228" i="1"/>
  <c r="O227" i="1"/>
  <c r="M227" i="1"/>
  <c r="O226" i="1"/>
  <c r="M226" i="1"/>
  <c r="O225" i="1"/>
  <c r="M225" i="1"/>
  <c r="O224" i="1"/>
  <c r="M224" i="1"/>
  <c r="O223" i="1"/>
  <c r="M223" i="1"/>
  <c r="O222" i="1"/>
  <c r="M222" i="1"/>
  <c r="O221" i="1"/>
  <c r="M221" i="1"/>
  <c r="O220" i="1"/>
  <c r="M220" i="1"/>
  <c r="O219" i="1"/>
  <c r="M219" i="1"/>
  <c r="O218" i="1"/>
  <c r="M218" i="1"/>
  <c r="O217" i="1"/>
  <c r="M217" i="1"/>
  <c r="O216" i="1"/>
  <c r="M216" i="1"/>
  <c r="O215" i="1"/>
  <c r="M215" i="1"/>
  <c r="O214" i="1"/>
  <c r="M214" i="1"/>
  <c r="O213" i="1"/>
  <c r="M213" i="1"/>
  <c r="O212" i="1"/>
  <c r="M212" i="1"/>
  <c r="O211" i="1"/>
  <c r="M211" i="1"/>
  <c r="O210" i="1"/>
  <c r="M210" i="1"/>
  <c r="O209" i="1"/>
  <c r="M209" i="1"/>
  <c r="O208" i="1"/>
  <c r="M208" i="1"/>
  <c r="O207" i="1"/>
  <c r="M207" i="1"/>
  <c r="O206" i="1"/>
  <c r="M206" i="1"/>
  <c r="O205" i="1"/>
  <c r="M205" i="1"/>
  <c r="O204" i="1"/>
  <c r="M204" i="1"/>
  <c r="O203" i="1"/>
  <c r="M203" i="1"/>
  <c r="O202" i="1"/>
  <c r="M202" i="1"/>
  <c r="O201" i="1"/>
  <c r="M201" i="1"/>
  <c r="O200" i="1"/>
  <c r="M200" i="1"/>
  <c r="O199" i="1"/>
  <c r="M199" i="1"/>
  <c r="O198" i="1"/>
  <c r="M198" i="1"/>
  <c r="O197" i="1"/>
  <c r="M197" i="1"/>
  <c r="O196" i="1"/>
  <c r="M196" i="1"/>
  <c r="O195" i="1"/>
  <c r="M195" i="1"/>
  <c r="O194" i="1"/>
  <c r="M194" i="1"/>
  <c r="O193" i="1"/>
  <c r="M193" i="1"/>
  <c r="O192" i="1"/>
  <c r="M192" i="1"/>
  <c r="O191" i="1"/>
  <c r="M191" i="1"/>
  <c r="O190" i="1"/>
  <c r="M190" i="1"/>
  <c r="O189" i="1"/>
  <c r="M189" i="1"/>
  <c r="O188" i="1"/>
  <c r="M188" i="1"/>
  <c r="O187" i="1"/>
  <c r="M187" i="1"/>
  <c r="O186" i="1"/>
  <c r="M186" i="1"/>
  <c r="O185" i="1"/>
  <c r="M185" i="1"/>
  <c r="O184" i="1"/>
  <c r="M184" i="1"/>
  <c r="O183" i="1"/>
  <c r="M183" i="1"/>
  <c r="O182" i="1"/>
  <c r="M182" i="1"/>
  <c r="O181" i="1"/>
  <c r="M181" i="1"/>
  <c r="M180" i="1"/>
  <c r="O179" i="1"/>
  <c r="M179" i="1"/>
  <c r="M178" i="1"/>
  <c r="O177" i="1"/>
  <c r="M177" i="1"/>
  <c r="O176" i="1"/>
  <c r="M176" i="1"/>
  <c r="O175" i="1"/>
  <c r="M175" i="1"/>
  <c r="O174" i="1"/>
  <c r="M174" i="1"/>
  <c r="O173" i="1"/>
  <c r="M173" i="1"/>
  <c r="O172" i="1"/>
  <c r="M172" i="1"/>
  <c r="O171" i="1"/>
  <c r="M171" i="1"/>
  <c r="O170" i="1"/>
  <c r="M170" i="1"/>
  <c r="O169" i="1"/>
  <c r="M169" i="1"/>
  <c r="O168" i="1"/>
  <c r="M168" i="1"/>
  <c r="O167" i="1"/>
  <c r="M167" i="1"/>
  <c r="O166" i="1"/>
  <c r="M166" i="1"/>
  <c r="O165" i="1"/>
  <c r="M165" i="1"/>
  <c r="O164" i="1"/>
  <c r="M164" i="1"/>
  <c r="O163" i="1"/>
  <c r="M163" i="1"/>
  <c r="O162" i="1"/>
  <c r="M162" i="1"/>
  <c r="O161" i="1"/>
  <c r="M161" i="1"/>
  <c r="O160" i="1"/>
  <c r="M160" i="1"/>
  <c r="O159" i="1"/>
  <c r="M159" i="1"/>
  <c r="O158" i="1"/>
  <c r="M158" i="1"/>
  <c r="O157" i="1"/>
  <c r="M157" i="1"/>
  <c r="O156" i="1"/>
  <c r="M156" i="1"/>
  <c r="O155" i="1"/>
  <c r="M155" i="1"/>
  <c r="O154" i="1"/>
  <c r="M154" i="1"/>
  <c r="O153" i="1"/>
  <c r="M153" i="1"/>
  <c r="O152" i="1"/>
  <c r="M152" i="1"/>
  <c r="O151" i="1"/>
  <c r="M151" i="1"/>
  <c r="O150" i="1"/>
  <c r="M150" i="1"/>
  <c r="O149" i="1"/>
  <c r="M149" i="1"/>
  <c r="O148" i="1"/>
  <c r="M148" i="1"/>
  <c r="O147" i="1"/>
  <c r="M147" i="1"/>
  <c r="O146" i="1"/>
  <c r="M146" i="1"/>
  <c r="O145" i="1"/>
  <c r="M145" i="1"/>
  <c r="O144" i="1"/>
  <c r="M144" i="1"/>
  <c r="O143" i="1"/>
  <c r="M143" i="1"/>
  <c r="O142" i="1"/>
  <c r="M142" i="1"/>
  <c r="O141" i="1"/>
  <c r="M141" i="1"/>
  <c r="O140" i="1"/>
  <c r="M140" i="1"/>
  <c r="O139" i="1"/>
  <c r="M139" i="1"/>
  <c r="O138" i="1"/>
  <c r="M138" i="1"/>
  <c r="O137" i="1"/>
  <c r="M137" i="1"/>
  <c r="O136" i="1"/>
  <c r="M136" i="1"/>
  <c r="M135" i="1"/>
  <c r="O134" i="1"/>
  <c r="M134" i="1"/>
  <c r="O133" i="1"/>
  <c r="M133" i="1"/>
  <c r="O132" i="1"/>
  <c r="M132" i="1"/>
  <c r="O131" i="1"/>
  <c r="M131" i="1"/>
  <c r="O130" i="1"/>
  <c r="M130" i="1"/>
  <c r="O129" i="1"/>
  <c r="M129" i="1"/>
  <c r="O128" i="1"/>
  <c r="M128" i="1"/>
  <c r="O127" i="1"/>
  <c r="M127" i="1"/>
  <c r="M120" i="1"/>
  <c r="M119" i="1"/>
  <c r="O118" i="1"/>
  <c r="M118" i="1"/>
  <c r="O117" i="1"/>
  <c r="M117" i="1"/>
  <c r="O116" i="1"/>
  <c r="M116" i="1"/>
  <c r="O115" i="1"/>
  <c r="M115" i="1"/>
  <c r="O114" i="1"/>
  <c r="M114" i="1"/>
  <c r="M113" i="1"/>
  <c r="O112" i="1"/>
  <c r="M112" i="1"/>
  <c r="O111" i="1"/>
  <c r="M111" i="1"/>
  <c r="O110" i="1"/>
  <c r="M110" i="1"/>
  <c r="O109" i="1"/>
  <c r="M109" i="1"/>
  <c r="O108" i="1"/>
  <c r="M108" i="1"/>
  <c r="O107" i="1"/>
  <c r="M107" i="1"/>
  <c r="O106" i="1"/>
  <c r="M106" i="1"/>
  <c r="O105" i="1"/>
  <c r="M105" i="1"/>
  <c r="M104" i="1"/>
  <c r="M103" i="1"/>
  <c r="O102" i="1"/>
  <c r="M102" i="1"/>
  <c r="O101" i="1"/>
  <c r="M101" i="1"/>
  <c r="O100" i="1"/>
  <c r="M100" i="1"/>
  <c r="O99" i="1"/>
  <c r="M99" i="1"/>
  <c r="O98" i="1"/>
  <c r="M98" i="1"/>
  <c r="M97" i="1"/>
  <c r="M96" i="1"/>
  <c r="O95" i="1"/>
  <c r="M95" i="1"/>
  <c r="O94" i="1"/>
  <c r="M94" i="1"/>
  <c r="O93" i="1"/>
  <c r="M93" i="1"/>
  <c r="O92" i="1"/>
  <c r="M92" i="1"/>
  <c r="O91" i="1"/>
  <c r="M91" i="1"/>
  <c r="O90" i="1"/>
  <c r="M90" i="1"/>
  <c r="O89" i="1"/>
  <c r="M89" i="1"/>
  <c r="O88" i="1"/>
  <c r="M88" i="1"/>
  <c r="M87" i="1"/>
  <c r="M86" i="1"/>
  <c r="O85" i="1"/>
  <c r="M85" i="1"/>
  <c r="O84" i="1"/>
  <c r="M84" i="1"/>
  <c r="M83" i="1"/>
  <c r="O82" i="1"/>
  <c r="M82" i="1"/>
  <c r="O81" i="1"/>
  <c r="M81" i="1"/>
  <c r="O80" i="1"/>
  <c r="M80" i="1"/>
  <c r="O79" i="1"/>
  <c r="M79" i="1"/>
  <c r="O78" i="1"/>
  <c r="M78" i="1"/>
  <c r="M77" i="1"/>
  <c r="O76" i="1"/>
  <c r="M76" i="1"/>
  <c r="O75" i="1"/>
  <c r="M75" i="1"/>
  <c r="O74" i="1"/>
  <c r="M74" i="1"/>
  <c r="O73" i="1"/>
  <c r="M73" i="1"/>
  <c r="O72" i="1"/>
  <c r="M72" i="1"/>
  <c r="M71" i="1"/>
  <c r="M70" i="1"/>
  <c r="O69" i="1"/>
  <c r="M69" i="1"/>
  <c r="M68" i="1"/>
  <c r="O67" i="1"/>
  <c r="M67" i="1"/>
  <c r="O66" i="1"/>
  <c r="M66" i="1"/>
  <c r="O65" i="1"/>
  <c r="M65" i="1"/>
  <c r="M64" i="1"/>
  <c r="M63" i="1"/>
  <c r="O62" i="1"/>
  <c r="M62" i="1"/>
  <c r="O61" i="1"/>
  <c r="M61" i="1"/>
  <c r="M60" i="1"/>
  <c r="O59" i="1"/>
  <c r="M59" i="1"/>
  <c r="M58" i="1"/>
  <c r="O57" i="1"/>
  <c r="M57" i="1"/>
  <c r="O56" i="1"/>
  <c r="M56" i="1"/>
  <c r="M55" i="1"/>
  <c r="O54" i="1"/>
  <c r="M54" i="1"/>
  <c r="M53" i="1"/>
  <c r="O52" i="1"/>
  <c r="M52" i="1"/>
  <c r="O51" i="1"/>
  <c r="M51" i="1"/>
  <c r="M50" i="1"/>
  <c r="M49" i="1"/>
  <c r="O48" i="1"/>
  <c r="M48" i="1"/>
  <c r="O47" i="1"/>
  <c r="M47" i="1"/>
  <c r="O45" i="1"/>
  <c r="M45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M36" i="1"/>
  <c r="M35" i="1"/>
  <c r="O34" i="1"/>
  <c r="M34" i="1"/>
  <c r="O33" i="1"/>
  <c r="M33" i="1"/>
  <c r="O32" i="1"/>
  <c r="M32" i="1"/>
  <c r="M31" i="1"/>
  <c r="M30" i="1"/>
  <c r="O29" i="1"/>
  <c r="M29" i="1"/>
  <c r="M28" i="1"/>
  <c r="M27" i="1"/>
  <c r="O26" i="1"/>
  <c r="M26" i="1"/>
  <c r="M25" i="1"/>
  <c r="O24" i="1"/>
  <c r="M24" i="1"/>
  <c r="O23" i="1"/>
  <c r="M23" i="1"/>
  <c r="M22" i="1"/>
  <c r="M21" i="1"/>
  <c r="M20" i="1"/>
  <c r="O19" i="1"/>
  <c r="M19" i="1"/>
  <c r="M18" i="1"/>
  <c r="M17" i="1"/>
  <c r="M16" i="1"/>
  <c r="O15" i="1"/>
  <c r="M15" i="1"/>
  <c r="O14" i="1"/>
  <c r="M13" i="1"/>
  <c r="M12" i="1"/>
  <c r="M11" i="1"/>
  <c r="M10" i="1"/>
  <c r="M9" i="1"/>
  <c r="O8" i="1"/>
  <c r="M8" i="1"/>
  <c r="O7" i="1"/>
  <c r="M7" i="1"/>
  <c r="O6" i="1"/>
  <c r="M6" i="1"/>
  <c r="O5" i="1"/>
  <c r="M5" i="1"/>
  <c r="O4" i="1"/>
  <c r="M4" i="1"/>
  <c r="O3" i="1"/>
  <c r="M3" i="1"/>
  <c r="O2" i="1"/>
  <c r="M2" i="1"/>
  <c r="C62" i="15"/>
  <c r="C61" i="15"/>
  <c r="E20" i="15"/>
  <c r="D20" i="15"/>
  <c r="C20" i="15"/>
  <c r="E19" i="15"/>
  <c r="D19" i="15"/>
  <c r="C19" i="15"/>
  <c r="E18" i="15"/>
  <c r="D18" i="15"/>
  <c r="C18" i="15"/>
  <c r="E17" i="15"/>
  <c r="D17" i="15"/>
  <c r="C17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J6" i="15"/>
  <c r="F6" i="15"/>
  <c r="D7" i="15" s="1"/>
  <c r="D6" i="15"/>
  <c r="B6" i="15"/>
  <c r="B3" i="15"/>
  <c r="J7" i="15" l="1"/>
  <c r="F11" i="15"/>
  <c r="H7" i="15"/>
  <c r="AD16" i="14"/>
  <c r="AG16" i="14" s="1"/>
  <c r="G12" i="15"/>
  <c r="F13" i="15"/>
  <c r="F12" i="15"/>
  <c r="H12" i="15" s="1"/>
  <c r="V6" i="14" s="1"/>
  <c r="G11" i="15"/>
  <c r="H11" i="15" s="1"/>
  <c r="V5" i="14" s="1"/>
  <c r="G14" i="15"/>
  <c r="F14" i="15"/>
  <c r="F15" i="15"/>
  <c r="G13" i="15"/>
  <c r="H13" i="15" s="1"/>
  <c r="V7" i="14" s="1"/>
  <c r="G15" i="15"/>
  <c r="F16" i="15"/>
  <c r="G16" i="15"/>
  <c r="G17" i="15"/>
  <c r="F17" i="15"/>
  <c r="F19" i="15"/>
  <c r="G19" i="15"/>
  <c r="F18" i="15"/>
  <c r="G18" i="15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AM16" i="5"/>
  <c r="AM7" i="5"/>
  <c r="AM34" i="5"/>
  <c r="AM31" i="5"/>
  <c r="AM28" i="5"/>
  <c r="AM25" i="5"/>
  <c r="AM22" i="5"/>
  <c r="AM19" i="5"/>
  <c r="AM13" i="5"/>
  <c r="AM10" i="5"/>
  <c r="EG39" i="5"/>
  <c r="BT34" i="5"/>
  <c r="BT31" i="5"/>
  <c r="BT28" i="5"/>
  <c r="BT25" i="5"/>
  <c r="BT22" i="5"/>
  <c r="BT19" i="5"/>
  <c r="BT16" i="5"/>
  <c r="BT13" i="5"/>
  <c r="BT10" i="5"/>
  <c r="BT7" i="5"/>
  <c r="E4" i="10"/>
  <c r="C59" i="14"/>
  <c r="D59" i="14" s="1"/>
  <c r="C57" i="14"/>
  <c r="D57" i="14" s="1"/>
  <c r="C54" i="14"/>
  <c r="D54" i="14" s="1"/>
  <c r="C53" i="14"/>
  <c r="D53" i="14" s="1"/>
  <c r="C50" i="14"/>
  <c r="D50" i="14" s="1"/>
  <c r="C48" i="14"/>
  <c r="D48" i="14" s="1"/>
  <c r="C46" i="14"/>
  <c r="D46" i="14" s="1"/>
  <c r="C44" i="14"/>
  <c r="D44" i="14" s="1"/>
  <c r="C42" i="14"/>
  <c r="D42" i="14" s="1"/>
  <c r="C40" i="14"/>
  <c r="D40" i="14" s="1"/>
  <c r="C38" i="14"/>
  <c r="D38" i="14" s="1"/>
  <c r="C36" i="14"/>
  <c r="D36" i="14" s="1"/>
  <c r="C34" i="14"/>
  <c r="D34" i="14" s="1"/>
  <c r="C32" i="14"/>
  <c r="D32" i="14" s="1"/>
  <c r="C30" i="14"/>
  <c r="D30" i="14" s="1"/>
  <c r="C28" i="14"/>
  <c r="D28" i="14" s="1"/>
  <c r="C26" i="14"/>
  <c r="D26" i="14" s="1"/>
  <c r="C23" i="14"/>
  <c r="D23" i="14" s="1"/>
  <c r="C21" i="14"/>
  <c r="D21" i="14" s="1"/>
  <c r="C20" i="14"/>
  <c r="D20" i="14" s="1"/>
  <c r="C18" i="14"/>
  <c r="D18" i="14" s="1"/>
  <c r="C16" i="14"/>
  <c r="D16" i="14" s="1"/>
  <c r="C13" i="14"/>
  <c r="D13" i="14" s="1"/>
  <c r="C11" i="14"/>
  <c r="D11" i="14" s="1"/>
  <c r="C8" i="14"/>
  <c r="D8" i="14" s="1"/>
  <c r="C6" i="14"/>
  <c r="D6" i="14" s="1"/>
  <c r="C5" i="14"/>
  <c r="D5" i="14" s="1"/>
  <c r="G4" i="11"/>
  <c r="C14" i="14"/>
  <c r="D14" i="14" s="1"/>
  <c r="C58" i="14"/>
  <c r="D58" i="14" s="1"/>
  <c r="C56" i="14"/>
  <c r="D56" i="14" s="1"/>
  <c r="C55" i="14"/>
  <c r="D55" i="14" s="1"/>
  <c r="C52" i="14"/>
  <c r="D52" i="14" s="1"/>
  <c r="C51" i="14"/>
  <c r="D51" i="14" s="1"/>
  <c r="C49" i="14"/>
  <c r="D49" i="14" s="1"/>
  <c r="C47" i="14"/>
  <c r="D47" i="14" s="1"/>
  <c r="C45" i="14"/>
  <c r="D45" i="14" s="1"/>
  <c r="C43" i="14"/>
  <c r="D43" i="14" s="1"/>
  <c r="C41" i="14"/>
  <c r="D41" i="14" s="1"/>
  <c r="C39" i="14"/>
  <c r="D39" i="14" s="1"/>
  <c r="C37" i="14"/>
  <c r="D37" i="14" s="1"/>
  <c r="C35" i="14"/>
  <c r="D35" i="14" s="1"/>
  <c r="C33" i="14"/>
  <c r="D33" i="14" s="1"/>
  <c r="C31" i="14"/>
  <c r="D31" i="14" s="1"/>
  <c r="C29" i="14"/>
  <c r="D29" i="14" s="1"/>
  <c r="C27" i="14"/>
  <c r="D27" i="14" s="1"/>
  <c r="C25" i="14"/>
  <c r="D25" i="14" s="1"/>
  <c r="C24" i="14"/>
  <c r="D24" i="14" s="1"/>
  <c r="C22" i="14"/>
  <c r="D22" i="14" s="1"/>
  <c r="C19" i="14"/>
  <c r="D19" i="14" s="1"/>
  <c r="C17" i="14"/>
  <c r="D17" i="14" s="1"/>
  <c r="C15" i="14"/>
  <c r="D15" i="14" s="1"/>
  <c r="C12" i="14"/>
  <c r="D12" i="14" s="1"/>
  <c r="C9" i="14"/>
  <c r="D9" i="14" s="1"/>
  <c r="C7" i="14"/>
  <c r="D7" i="14" s="1"/>
  <c r="H4" i="11"/>
  <c r="I4" i="11" s="1"/>
  <c r="C10" i="14"/>
  <c r="D10" i="14" s="1"/>
  <c r="C4" i="14"/>
  <c r="D4" i="14" s="1"/>
  <c r="S31" i="14"/>
  <c r="S30" i="14"/>
  <c r="S29" i="14"/>
  <c r="S28" i="14"/>
  <c r="S27" i="14"/>
  <c r="S26" i="14"/>
  <c r="S25" i="14"/>
  <c r="S24" i="14"/>
  <c r="S23" i="14"/>
  <c r="S22" i="14"/>
  <c r="S21" i="14"/>
  <c r="S20" i="14"/>
  <c r="F20" i="15"/>
  <c r="G20" i="15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F7" i="15"/>
  <c r="B7" i="15"/>
  <c r="H6" i="15"/>
  <c r="G5" i="11"/>
  <c r="D5" i="11"/>
  <c r="C5" i="11"/>
  <c r="H5" i="11"/>
  <c r="B5" i="11"/>
  <c r="A6" i="11"/>
  <c r="E4" i="11"/>
  <c r="H14" i="15" l="1"/>
  <c r="V8" i="14" s="1"/>
  <c r="H15" i="15"/>
  <c r="V9" i="14" s="1"/>
  <c r="H17" i="15"/>
  <c r="V11" i="14" s="1"/>
  <c r="H16" i="15"/>
  <c r="V10" i="14" s="1"/>
  <c r="H18" i="15"/>
  <c r="V12" i="14" s="1"/>
  <c r="H19" i="15"/>
  <c r="V13" i="14" s="1"/>
  <c r="G21" i="15"/>
  <c r="B9" i="15" s="1"/>
  <c r="F21" i="15"/>
  <c r="H21" i="15" s="1"/>
  <c r="P31" i="14"/>
  <c r="O31" i="14"/>
  <c r="P29" i="14"/>
  <c r="O29" i="14"/>
  <c r="P24" i="14"/>
  <c r="O24" i="14"/>
  <c r="O19" i="14"/>
  <c r="P19" i="14"/>
  <c r="O17" i="14"/>
  <c r="P17" i="14"/>
  <c r="O14" i="14"/>
  <c r="P14" i="14"/>
  <c r="O12" i="14"/>
  <c r="P12" i="14"/>
  <c r="O9" i="14"/>
  <c r="P9" i="14"/>
  <c r="O7" i="14"/>
  <c r="P7" i="14"/>
  <c r="O6" i="14"/>
  <c r="P6" i="14"/>
  <c r="O15" i="14"/>
  <c r="P15" i="14"/>
  <c r="O18" i="14"/>
  <c r="P18" i="14"/>
  <c r="O16" i="14"/>
  <c r="P16" i="14"/>
  <c r="O13" i="14"/>
  <c r="P13" i="14"/>
  <c r="O10" i="14"/>
  <c r="P10" i="14"/>
  <c r="O8" i="14"/>
  <c r="P8" i="14"/>
  <c r="O11" i="14"/>
  <c r="P11" i="14"/>
  <c r="O5" i="14"/>
  <c r="P5" i="14"/>
  <c r="P60" i="14"/>
  <c r="O60" i="14"/>
  <c r="P58" i="14"/>
  <c r="O58" i="14"/>
  <c r="P55" i="14"/>
  <c r="O55" i="14"/>
  <c r="P54" i="14"/>
  <c r="O54" i="14"/>
  <c r="P51" i="14"/>
  <c r="O51" i="14"/>
  <c r="O49" i="14"/>
  <c r="P49" i="14"/>
  <c r="O47" i="14"/>
  <c r="P47" i="14"/>
  <c r="O45" i="14"/>
  <c r="P45" i="14"/>
  <c r="O43" i="14"/>
  <c r="P43" i="14"/>
  <c r="P41" i="14"/>
  <c r="O41" i="14"/>
  <c r="O39" i="14"/>
  <c r="P39" i="14"/>
  <c r="O37" i="14"/>
  <c r="P37" i="14"/>
  <c r="P35" i="14"/>
  <c r="O35" i="14"/>
  <c r="P33" i="14"/>
  <c r="O33" i="14"/>
  <c r="P27" i="14"/>
  <c r="O27" i="14"/>
  <c r="P22" i="14"/>
  <c r="O22" i="14"/>
  <c r="P21" i="14"/>
  <c r="O21" i="14"/>
  <c r="P59" i="14"/>
  <c r="O59" i="14"/>
  <c r="P57" i="14"/>
  <c r="O57" i="14"/>
  <c r="P56" i="14"/>
  <c r="O56" i="14"/>
  <c r="O53" i="14"/>
  <c r="P53" i="14"/>
  <c r="P52" i="14"/>
  <c r="O52" i="14"/>
  <c r="P50" i="14"/>
  <c r="O50" i="14"/>
  <c r="P48" i="14"/>
  <c r="O48" i="14"/>
  <c r="P46" i="14"/>
  <c r="O46" i="14"/>
  <c r="O44" i="14"/>
  <c r="P44" i="14"/>
  <c r="O42" i="14"/>
  <c r="P42" i="14"/>
  <c r="O40" i="14"/>
  <c r="P40" i="14"/>
  <c r="P38" i="14"/>
  <c r="O38" i="14"/>
  <c r="P36" i="14"/>
  <c r="O36" i="14"/>
  <c r="P34" i="14"/>
  <c r="O34" i="14"/>
  <c r="O32" i="14"/>
  <c r="P32" i="14"/>
  <c r="O30" i="14"/>
  <c r="P30" i="14"/>
  <c r="O28" i="14"/>
  <c r="P28" i="14"/>
  <c r="O26" i="14"/>
  <c r="P26" i="14"/>
  <c r="O25" i="14"/>
  <c r="P25" i="14"/>
  <c r="O23" i="14"/>
  <c r="P23" i="14"/>
  <c r="O20" i="14"/>
  <c r="P20" i="14"/>
  <c r="H20" i="15"/>
  <c r="V14" i="14" s="1"/>
  <c r="I5" i="11"/>
  <c r="E5" i="11"/>
  <c r="F5" i="11" s="1"/>
  <c r="D6" i="11"/>
  <c r="A7" i="11"/>
  <c r="C6" i="11"/>
  <c r="G6" i="11"/>
  <c r="B6" i="11"/>
  <c r="H6" i="11"/>
  <c r="F4" i="11"/>
  <c r="L7" i="15" l="1"/>
  <c r="L6" i="15"/>
  <c r="A8" i="11"/>
  <c r="B7" i="11"/>
  <c r="H7" i="11"/>
  <c r="C7" i="11"/>
  <c r="D7" i="11"/>
  <c r="G7" i="11"/>
  <c r="E6" i="11"/>
  <c r="I6" i="11"/>
  <c r="H8" i="11" l="1"/>
  <c r="B8" i="11"/>
  <c r="A9" i="11"/>
  <c r="D8" i="11"/>
  <c r="G8" i="11"/>
  <c r="C8" i="11"/>
  <c r="I7" i="11"/>
  <c r="E7" i="11"/>
  <c r="F7" i="11" s="1"/>
  <c r="F6" i="11"/>
  <c r="D9" i="11" l="1"/>
  <c r="G9" i="11"/>
  <c r="B9" i="11"/>
  <c r="H9" i="11"/>
  <c r="A10" i="11"/>
  <c r="C9" i="11"/>
  <c r="I8" i="11"/>
  <c r="E8" i="11"/>
  <c r="H10" i="11" l="1"/>
  <c r="D10" i="11"/>
  <c r="A11" i="11"/>
  <c r="B10" i="11"/>
  <c r="C10" i="11"/>
  <c r="G10" i="11"/>
  <c r="I9" i="11"/>
  <c r="E9" i="11"/>
  <c r="F8" i="11"/>
  <c r="G11" i="11" l="1"/>
  <c r="C11" i="11"/>
  <c r="B11" i="11"/>
  <c r="A12" i="11"/>
  <c r="D11" i="11"/>
  <c r="H11" i="11"/>
  <c r="E10" i="11"/>
  <c r="F10" i="11" s="1"/>
  <c r="I10" i="11"/>
  <c r="F9" i="11"/>
  <c r="I11" i="11" l="1"/>
  <c r="E11" i="11"/>
  <c r="F11" i="11" s="1"/>
  <c r="D12" i="11"/>
  <c r="G12" i="11"/>
  <c r="C12" i="11"/>
  <c r="B12" i="11"/>
  <c r="H12" i="11"/>
  <c r="A13" i="11"/>
  <c r="I12" i="11" l="1"/>
  <c r="E12" i="11"/>
  <c r="F12" i="11" s="1"/>
  <c r="G13" i="11"/>
  <c r="B13" i="11"/>
  <c r="A14" i="11"/>
  <c r="D13" i="11"/>
  <c r="H13" i="11"/>
  <c r="C13" i="11"/>
  <c r="D14" i="11" l="1"/>
  <c r="G14" i="11"/>
  <c r="A15" i="11"/>
  <c r="C14" i="11"/>
  <c r="B14" i="11"/>
  <c r="H14" i="11"/>
  <c r="I13" i="11"/>
  <c r="E13" i="11"/>
  <c r="F13" i="11" s="1"/>
  <c r="G15" i="11" l="1"/>
  <c r="D15" i="11"/>
  <c r="B15" i="11"/>
  <c r="A16" i="11"/>
  <c r="C15" i="11"/>
  <c r="H15" i="11"/>
  <c r="I14" i="11"/>
  <c r="E14" i="11"/>
  <c r="F14" i="11" s="1"/>
  <c r="B16" i="11" l="1"/>
  <c r="A17" i="11"/>
  <c r="C16" i="11"/>
  <c r="G16" i="11"/>
  <c r="D16" i="11"/>
  <c r="H16" i="11"/>
  <c r="E15" i="11"/>
  <c r="F15" i="11" s="1"/>
  <c r="I15" i="11"/>
  <c r="B17" i="11" l="1"/>
  <c r="H17" i="11"/>
  <c r="C17" i="11"/>
  <c r="A18" i="11"/>
  <c r="D17" i="11"/>
  <c r="G17" i="11"/>
  <c r="E16" i="11"/>
  <c r="F16" i="11" s="1"/>
  <c r="I16" i="11"/>
  <c r="I17" i="11" l="1"/>
  <c r="E17" i="11"/>
  <c r="F17" i="11" s="1"/>
  <c r="A19" i="11"/>
  <c r="B18" i="11"/>
  <c r="H18" i="11"/>
  <c r="D18" i="11"/>
  <c r="G18" i="11"/>
  <c r="C18" i="11"/>
  <c r="D19" i="11" l="1"/>
  <c r="G19" i="11"/>
  <c r="B19" i="11"/>
  <c r="C19" i="11"/>
  <c r="A20" i="11"/>
  <c r="H19" i="11"/>
  <c r="I18" i="11"/>
  <c r="E18" i="11"/>
  <c r="F18" i="11" s="1"/>
  <c r="E19" i="11" l="1"/>
  <c r="F19" i="11" s="1"/>
  <c r="I19" i="11"/>
  <c r="D20" i="11"/>
  <c r="G20" i="11"/>
  <c r="C20" i="11"/>
  <c r="A21" i="11"/>
  <c r="B20" i="11"/>
  <c r="H20" i="11"/>
  <c r="I20" i="11" l="1"/>
  <c r="E20" i="11"/>
  <c r="F20" i="11" s="1"/>
  <c r="H21" i="11"/>
  <c r="B21" i="11"/>
  <c r="A22" i="11"/>
  <c r="C21" i="11"/>
  <c r="G21" i="11"/>
  <c r="D21" i="11"/>
  <c r="D22" i="11" l="1"/>
  <c r="G22" i="11"/>
  <c r="B22" i="11"/>
  <c r="A23" i="11"/>
  <c r="H22" i="11"/>
  <c r="C22" i="11"/>
  <c r="I21" i="11"/>
  <c r="E21" i="11"/>
  <c r="F21" i="11" s="1"/>
  <c r="D23" i="11" l="1"/>
  <c r="C23" i="11"/>
  <c r="G23" i="11"/>
  <c r="A24" i="11"/>
  <c r="B23" i="11"/>
  <c r="H23" i="11"/>
  <c r="E22" i="11"/>
  <c r="F22" i="11" s="1"/>
  <c r="I22" i="11"/>
  <c r="E23" i="11" l="1"/>
  <c r="F23" i="11" s="1"/>
  <c r="I23" i="11"/>
  <c r="B24" i="11"/>
  <c r="A25" i="11"/>
  <c r="D24" i="11"/>
  <c r="G24" i="11"/>
  <c r="C24" i="11"/>
  <c r="H24" i="11"/>
  <c r="A26" i="11" l="1"/>
  <c r="B25" i="11"/>
  <c r="H25" i="11"/>
  <c r="D25" i="11"/>
  <c r="C25" i="11"/>
  <c r="G25" i="11"/>
  <c r="E24" i="11"/>
  <c r="F24" i="11" s="1"/>
  <c r="I24" i="11"/>
  <c r="H26" i="11" l="1"/>
  <c r="B26" i="11"/>
  <c r="C26" i="11"/>
  <c r="A27" i="11"/>
  <c r="D26" i="11"/>
  <c r="G26" i="11"/>
  <c r="I25" i="11"/>
  <c r="E25" i="11"/>
  <c r="F25" i="11" s="1"/>
  <c r="E26" i="11" l="1"/>
  <c r="F26" i="11" s="1"/>
  <c r="I26" i="11"/>
  <c r="A28" i="11"/>
  <c r="B27" i="11"/>
  <c r="G27" i="11"/>
  <c r="C27" i="11"/>
  <c r="H27" i="11"/>
  <c r="D27" i="11"/>
  <c r="D28" i="11" l="1"/>
  <c r="A29" i="11"/>
  <c r="C28" i="11"/>
  <c r="G28" i="11"/>
  <c r="B28" i="11"/>
  <c r="H28" i="11"/>
  <c r="E27" i="11"/>
  <c r="F27" i="11" s="1"/>
  <c r="I27" i="11"/>
  <c r="D29" i="11" l="1"/>
  <c r="H29" i="11"/>
  <c r="A30" i="11"/>
  <c r="B29" i="11"/>
  <c r="G29" i="11"/>
  <c r="C29" i="11"/>
  <c r="I28" i="11"/>
  <c r="E28" i="11"/>
  <c r="F28" i="11" s="1"/>
  <c r="B30" i="11" l="1"/>
  <c r="C30" i="11"/>
  <c r="D30" i="11"/>
  <c r="G30" i="11"/>
  <c r="H30" i="11"/>
  <c r="A31" i="11"/>
  <c r="I29" i="11"/>
  <c r="E29" i="11"/>
  <c r="F29" i="11" s="1"/>
  <c r="E30" i="11" l="1"/>
  <c r="F30" i="11" s="1"/>
  <c r="I30" i="11"/>
  <c r="C31" i="11"/>
  <c r="G31" i="11"/>
  <c r="B31" i="11"/>
  <c r="D31" i="11"/>
  <c r="H31" i="11"/>
  <c r="A32" i="11"/>
  <c r="E31" i="11" l="1"/>
  <c r="F31" i="11" s="1"/>
  <c r="I31" i="11"/>
  <c r="D32" i="11"/>
  <c r="H32" i="11"/>
  <c r="B32" i="11"/>
  <c r="A33" i="11"/>
  <c r="C32" i="11"/>
  <c r="G32" i="11"/>
  <c r="C33" i="11" l="1"/>
  <c r="H33" i="11"/>
  <c r="D33" i="11"/>
  <c r="A34" i="11"/>
  <c r="B33" i="11"/>
  <c r="G33" i="11"/>
  <c r="E32" i="11"/>
  <c r="F32" i="11" s="1"/>
  <c r="I32" i="11"/>
  <c r="E33" i="11" l="1"/>
  <c r="F33" i="11" s="1"/>
  <c r="I33" i="11"/>
  <c r="D34" i="11"/>
  <c r="A35" i="11"/>
  <c r="C34" i="11"/>
  <c r="H34" i="11"/>
  <c r="B34" i="11"/>
  <c r="G34" i="11"/>
  <c r="D35" i="11" l="1"/>
  <c r="G35" i="11"/>
  <c r="B35" i="11"/>
  <c r="H35" i="11"/>
  <c r="C35" i="11"/>
  <c r="A36" i="11"/>
  <c r="E34" i="11"/>
  <c r="F34" i="11" s="1"/>
  <c r="I34" i="11"/>
  <c r="E35" i="11" l="1"/>
  <c r="F35" i="11" s="1"/>
  <c r="I35" i="11"/>
  <c r="C36" i="11"/>
  <c r="A37" i="11"/>
  <c r="D36" i="11"/>
  <c r="H36" i="11"/>
  <c r="B36" i="11"/>
  <c r="G36" i="11"/>
  <c r="E36" i="11" l="1"/>
  <c r="F36" i="11" s="1"/>
  <c r="I36" i="11"/>
  <c r="C37" i="11"/>
  <c r="G37" i="11"/>
  <c r="A38" i="11"/>
  <c r="B37" i="11"/>
  <c r="D37" i="11"/>
  <c r="H37" i="11"/>
  <c r="I37" i="11" l="1"/>
  <c r="E37" i="11"/>
  <c r="F37" i="11" s="1"/>
  <c r="C38" i="11"/>
  <c r="A39" i="11"/>
  <c r="B38" i="11"/>
  <c r="D38" i="11"/>
  <c r="G38" i="11"/>
  <c r="H38" i="11"/>
  <c r="E38" i="11" l="1"/>
  <c r="F38" i="11" s="1"/>
  <c r="I38" i="11"/>
  <c r="C39" i="11"/>
  <c r="G39" i="11"/>
  <c r="H39" i="11"/>
  <c r="B39" i="11"/>
  <c r="D39" i="11"/>
  <c r="A40" i="11"/>
  <c r="E39" i="11" l="1"/>
  <c r="F39" i="11" s="1"/>
  <c r="I39" i="11"/>
  <c r="C40" i="11"/>
  <c r="G40" i="11"/>
  <c r="H40" i="11"/>
  <c r="B40" i="11"/>
  <c r="D40" i="11"/>
  <c r="A41" i="11"/>
  <c r="E40" i="11" l="1"/>
  <c r="F40" i="11" s="1"/>
  <c r="I40" i="11"/>
  <c r="C41" i="11"/>
  <c r="G41" i="11"/>
  <c r="A42" i="11"/>
  <c r="B41" i="11"/>
  <c r="D41" i="11"/>
  <c r="H41" i="11"/>
  <c r="E41" i="11" l="1"/>
  <c r="F41" i="11" s="1"/>
  <c r="I41" i="11"/>
  <c r="C42" i="11"/>
  <c r="G42" i="11"/>
  <c r="A43" i="11"/>
  <c r="B42" i="11"/>
  <c r="D42" i="11"/>
  <c r="H42" i="11"/>
  <c r="E42" i="11" l="1"/>
  <c r="F42" i="11" s="1"/>
  <c r="I42" i="11"/>
  <c r="B43" i="11"/>
  <c r="D43" i="11"/>
  <c r="A44" i="11"/>
  <c r="C43" i="11"/>
  <c r="G43" i="11"/>
  <c r="H43" i="11"/>
  <c r="C44" i="11" l="1"/>
  <c r="G44" i="11"/>
  <c r="H44" i="11"/>
  <c r="B44" i="11"/>
  <c r="D44" i="11"/>
  <c r="A45" i="11"/>
  <c r="E43" i="11"/>
  <c r="F43" i="11" s="1"/>
  <c r="I43" i="11"/>
  <c r="E44" i="11" l="1"/>
  <c r="F44" i="11" s="1"/>
  <c r="I44" i="11"/>
  <c r="C45" i="11"/>
  <c r="H45" i="11"/>
  <c r="B45" i="11"/>
  <c r="D45" i="11"/>
  <c r="G45" i="11"/>
  <c r="A46" i="11"/>
  <c r="E45" i="11" l="1"/>
  <c r="F45" i="11" s="1"/>
  <c r="I45" i="11"/>
  <c r="D46" i="11"/>
  <c r="A47" i="11"/>
  <c r="B46" i="11"/>
  <c r="C46" i="11"/>
  <c r="G46" i="11"/>
  <c r="H46" i="11"/>
  <c r="C47" i="11" l="1"/>
  <c r="G47" i="11"/>
  <c r="H47" i="11"/>
  <c r="B47" i="11"/>
  <c r="D47" i="11"/>
  <c r="A48" i="11"/>
  <c r="E46" i="11"/>
  <c r="F46" i="11" s="1"/>
  <c r="I46" i="11"/>
  <c r="E47" i="11" l="1"/>
  <c r="F47" i="11" s="1"/>
  <c r="I47" i="11"/>
  <c r="C48" i="11"/>
  <c r="G48" i="11"/>
  <c r="A49" i="11"/>
  <c r="B48" i="11"/>
  <c r="D48" i="11"/>
  <c r="H48" i="11"/>
  <c r="E48" i="11" l="1"/>
  <c r="F48" i="11" s="1"/>
  <c r="I48" i="11"/>
  <c r="C49" i="11"/>
  <c r="A50" i="11"/>
  <c r="B49" i="11"/>
  <c r="D49" i="11"/>
  <c r="G49" i="11"/>
  <c r="H49" i="11"/>
  <c r="E49" i="11" l="1"/>
  <c r="F49" i="11" s="1"/>
  <c r="I49" i="11"/>
  <c r="B50" i="11"/>
  <c r="C50" i="11"/>
  <c r="D50" i="11"/>
  <c r="G50" i="11"/>
  <c r="H50" i="11"/>
  <c r="A51" i="11"/>
  <c r="I50" i="11" l="1"/>
  <c r="E50" i="11"/>
  <c r="F50" i="11" s="1"/>
  <c r="B51" i="11"/>
  <c r="C51" i="11"/>
  <c r="D51" i="11"/>
  <c r="G51" i="11"/>
  <c r="H51" i="11"/>
  <c r="A52" i="11"/>
  <c r="E51" i="11" l="1"/>
  <c r="F51" i="11" s="1"/>
  <c r="I51" i="11"/>
  <c r="B52" i="11"/>
  <c r="C52" i="11"/>
  <c r="D52" i="11"/>
  <c r="G52" i="11"/>
  <c r="H52" i="11"/>
  <c r="A53" i="11"/>
  <c r="E52" i="11" l="1"/>
  <c r="F52" i="11" s="1"/>
  <c r="I52" i="11"/>
  <c r="B53" i="11"/>
  <c r="C53" i="11"/>
  <c r="D53" i="11"/>
  <c r="G53" i="11"/>
  <c r="H53" i="11"/>
  <c r="A54" i="11"/>
  <c r="E53" i="11" l="1"/>
  <c r="F53" i="11" s="1"/>
  <c r="I53" i="11"/>
  <c r="B54" i="11"/>
  <c r="C54" i="11"/>
  <c r="D54" i="11"/>
  <c r="G54" i="11"/>
  <c r="H54" i="11"/>
  <c r="A55" i="11"/>
  <c r="E54" i="11" l="1"/>
  <c r="F54" i="11" s="1"/>
  <c r="I54" i="11"/>
  <c r="B55" i="11"/>
  <c r="C55" i="11"/>
  <c r="D55" i="11"/>
  <c r="G55" i="11"/>
  <c r="H55" i="11"/>
  <c r="A56" i="11"/>
  <c r="E55" i="11" l="1"/>
  <c r="F55" i="11" s="1"/>
  <c r="I55" i="11"/>
  <c r="B56" i="11"/>
  <c r="C56" i="11"/>
  <c r="D56" i="11"/>
  <c r="G56" i="11"/>
  <c r="H56" i="11"/>
  <c r="A57" i="11"/>
  <c r="E56" i="11" l="1"/>
  <c r="F56" i="11" s="1"/>
  <c r="I56" i="11"/>
  <c r="B57" i="11"/>
  <c r="C57" i="11"/>
  <c r="D57" i="11"/>
  <c r="G57" i="11"/>
  <c r="H57" i="11"/>
  <c r="A58" i="11"/>
  <c r="E57" i="11" l="1"/>
  <c r="F57" i="11" s="1"/>
  <c r="I57" i="11"/>
  <c r="B58" i="11"/>
  <c r="C58" i="11"/>
  <c r="D58" i="11"/>
  <c r="G58" i="11"/>
  <c r="H58" i="11"/>
  <c r="A59" i="11"/>
  <c r="E58" i="11" l="1"/>
  <c r="F58" i="11" s="1"/>
  <c r="I58" i="11"/>
  <c r="B59" i="11"/>
  <c r="B60" i="11" s="1"/>
  <c r="C59" i="11"/>
  <c r="D59" i="11"/>
  <c r="D60" i="11" s="1"/>
  <c r="G59" i="11"/>
  <c r="G60" i="11" s="1"/>
  <c r="H59" i="11"/>
  <c r="H60" i="11" s="1"/>
  <c r="C60" i="11" l="1"/>
  <c r="E59" i="11"/>
  <c r="I59" i="11"/>
  <c r="I60" i="11" s="1"/>
  <c r="E60" i="11" l="1"/>
  <c r="F60" i="11" s="1"/>
  <c r="F59" i="11"/>
  <c r="O126" i="1"/>
</calcChain>
</file>

<file path=xl/sharedStrings.xml><?xml version="1.0" encoding="utf-8"?>
<sst xmlns="http://schemas.openxmlformats.org/spreadsheetml/2006/main" count="30417" uniqueCount="3910">
  <si>
    <t>LORRY NO.</t>
  </si>
  <si>
    <t xml:space="preserve">FROM </t>
  </si>
  <si>
    <t>LORRY MAKE</t>
  </si>
  <si>
    <t>BROAKER ADRESS</t>
  </si>
  <si>
    <t xml:space="preserve">UNLOADING DATE </t>
  </si>
  <si>
    <t>TN52TM-7760</t>
  </si>
  <si>
    <t>RANCHI</t>
  </si>
  <si>
    <t xml:space="preserve">32FEET SXL </t>
  </si>
  <si>
    <t xml:space="preserve">Transporter 01 </t>
  </si>
  <si>
    <t>POINT GR NO.</t>
  </si>
  <si>
    <t>TO GR NO.</t>
  </si>
  <si>
    <t>TN52TM-1398</t>
  </si>
  <si>
    <t xml:space="preserve">Transporter 02 </t>
  </si>
  <si>
    <t xml:space="preserve">LOADING DATE </t>
  </si>
  <si>
    <t>10.05.2024</t>
  </si>
  <si>
    <t>15.05.2024</t>
  </si>
  <si>
    <t>S.NO.</t>
  </si>
  <si>
    <t>15/05/2024./18/05/2024</t>
  </si>
  <si>
    <t>KA05TT-6944</t>
  </si>
  <si>
    <t>KA02GM-9724</t>
  </si>
  <si>
    <t>TN12RW-1972</t>
  </si>
  <si>
    <t xml:space="preserve">REACH UNLOADING POINT </t>
  </si>
  <si>
    <t xml:space="preserve">SAME DAY </t>
  </si>
  <si>
    <t>MOBILE NO.</t>
  </si>
  <si>
    <t>NARSAPUR.043922.BOX</t>
  </si>
  <si>
    <t xml:space="preserve">24FEET </t>
  </si>
  <si>
    <t>N/A</t>
  </si>
  <si>
    <t>HASSAN.909686.BOX 312</t>
  </si>
  <si>
    <t xml:space="preserve">22FEET </t>
  </si>
  <si>
    <t xml:space="preserve">BOMMANSA.562608,BOX 578 </t>
  </si>
  <si>
    <t xml:space="preserve">HASSAN.176610,BOX 04 </t>
  </si>
  <si>
    <t>HOSKOTE.749378,BOX 983</t>
  </si>
  <si>
    <t>HASSAN,772300,BOX 004</t>
  </si>
  <si>
    <t xml:space="preserve">20FEET  </t>
  </si>
  <si>
    <t>HOSKOTE.125550.BOX 729</t>
  </si>
  <si>
    <t>20/05/2024./22/05/2024</t>
  </si>
  <si>
    <t>21/05/2024./22/05/2024</t>
  </si>
  <si>
    <t xml:space="preserve">24FEET SXL </t>
  </si>
  <si>
    <t>JH01KM-4371</t>
  </si>
  <si>
    <t>KA51DJ-2589</t>
  </si>
  <si>
    <t>HASSAN,978172.BOX</t>
  </si>
  <si>
    <t>HOSKOTE</t>
  </si>
  <si>
    <t>TIRUPUR</t>
  </si>
  <si>
    <t>PB13MM-3286</t>
  </si>
  <si>
    <t>BOMMANHALLI</t>
  </si>
  <si>
    <t>DODABALLAPUR</t>
  </si>
  <si>
    <t xml:space="preserve">RANCHI </t>
  </si>
  <si>
    <t>KA02YH-5646</t>
  </si>
  <si>
    <t>Month</t>
  </si>
  <si>
    <t>May</t>
  </si>
  <si>
    <t>Provider</t>
  </si>
  <si>
    <t>3rd Party</t>
  </si>
  <si>
    <t xml:space="preserve"> LORRY RATE </t>
  </si>
  <si>
    <t>Current Status</t>
  </si>
  <si>
    <t>Closed</t>
  </si>
  <si>
    <t>Net Saving</t>
  </si>
  <si>
    <t>BN</t>
  </si>
  <si>
    <t xml:space="preserve">BN </t>
  </si>
  <si>
    <t>24FEET SXL</t>
  </si>
  <si>
    <t>24FEET</t>
  </si>
  <si>
    <t>JH01KM-8803</t>
  </si>
  <si>
    <t>Billing Rate Charges</t>
  </si>
  <si>
    <t>Adance Paid (INR)</t>
  </si>
  <si>
    <t>Balance To pay</t>
  </si>
  <si>
    <t>Grand Total</t>
  </si>
  <si>
    <t>May Total</t>
  </si>
  <si>
    <t>Values</t>
  </si>
  <si>
    <t xml:space="preserve">  LORRY RATE </t>
  </si>
  <si>
    <t xml:space="preserve"> Billing Rate Charges</t>
  </si>
  <si>
    <t xml:space="preserve"> Net Saving</t>
  </si>
  <si>
    <t xml:space="preserve"> Adance Paid (INR)</t>
  </si>
  <si>
    <t xml:space="preserve"> Balance To pay</t>
  </si>
  <si>
    <t>Closed Total</t>
  </si>
  <si>
    <t xml:space="preserve">BN   </t>
  </si>
  <si>
    <t xml:space="preserve">3rd Party </t>
  </si>
  <si>
    <t xml:space="preserve">20FEET </t>
  </si>
  <si>
    <t xml:space="preserve">JUNE </t>
  </si>
  <si>
    <t>JUNE  Total</t>
  </si>
  <si>
    <t>3rd Party Total</t>
  </si>
  <si>
    <t>BN  Total</t>
  </si>
  <si>
    <t>3rd Party  Total</t>
  </si>
  <si>
    <t>KA05RX-6944</t>
  </si>
  <si>
    <t xml:space="preserve">24 FEET SXL </t>
  </si>
  <si>
    <t xml:space="preserve">LOADING </t>
  </si>
  <si>
    <t>HOSKOTE,749252</t>
  </si>
  <si>
    <t>HOSKOTE ,140915</t>
  </si>
  <si>
    <t>HOSKOTE,467212</t>
  </si>
  <si>
    <t>NARSAPUR,803363</t>
  </si>
  <si>
    <t>HOKOTE,579908</t>
  </si>
  <si>
    <t>HASSAN,913653</t>
  </si>
  <si>
    <t>HASSAN,872860</t>
  </si>
  <si>
    <t>BOMMANSANDRA ,890248</t>
  </si>
  <si>
    <t>NARSAPUR,970325+HOSKOTE,425534</t>
  </si>
  <si>
    <t>RANCHI ,872415/27</t>
  </si>
  <si>
    <t>HOSKOTE,264810</t>
  </si>
  <si>
    <t>RANCHI,407449</t>
  </si>
  <si>
    <t xml:space="preserve">REMARKS </t>
  </si>
  <si>
    <t>closed</t>
  </si>
  <si>
    <t xml:space="preserve">closed </t>
  </si>
  <si>
    <t>JH01KM8803</t>
  </si>
  <si>
    <t xml:space="preserve">32 FEET SXL </t>
  </si>
  <si>
    <t>closed  Total</t>
  </si>
  <si>
    <t xml:space="preserve">DONE </t>
  </si>
  <si>
    <t xml:space="preserve">BILL STATUS </t>
  </si>
  <si>
    <t xml:space="preserve">PENDING </t>
  </si>
  <si>
    <t>ERODE</t>
  </si>
  <si>
    <t>WB23J-3143</t>
  </si>
  <si>
    <t>32FEET MXL</t>
  </si>
  <si>
    <t xml:space="preserve">Transporter 03 </t>
  </si>
  <si>
    <t xml:space="preserve">ERODE </t>
  </si>
  <si>
    <t>Invoice No.</t>
  </si>
  <si>
    <t>Payment Status</t>
  </si>
  <si>
    <t>01</t>
  </si>
  <si>
    <t>RECEIPT</t>
  </si>
  <si>
    <t>02</t>
  </si>
  <si>
    <t>03</t>
  </si>
  <si>
    <t>05</t>
  </si>
  <si>
    <t>06</t>
  </si>
  <si>
    <t>07</t>
  </si>
  <si>
    <t>09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</si>
  <si>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</si>
  <si>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</si>
  <si>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</si>
  <si>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</si>
  <si>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</si>
  <si>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</si>
  <si>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</si>
  <si>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</si>
  <si>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</si>
  <si>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</si>
  <si>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</si>
  <si>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</si>
  <si>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</si>
  <si>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04</t>
  </si>
  <si>
    <t>08</t>
  </si>
  <si>
    <t>10</t>
  </si>
  <si>
    <t>BOMMANSANDRA,933942</t>
  </si>
  <si>
    <t>HOSKOTE,387835</t>
  </si>
  <si>
    <t>HOSKOTE,900316</t>
  </si>
  <si>
    <t>RANCHI,476477</t>
  </si>
  <si>
    <t>BOMMANSA,863494</t>
  </si>
  <si>
    <t>NARSAPUR,763576</t>
  </si>
  <si>
    <t>BOMMANSANDRA,516517</t>
  </si>
  <si>
    <t>HASSAN,857821</t>
  </si>
  <si>
    <t>RANCHI,454688</t>
  </si>
  <si>
    <t>RANCHI,187030</t>
  </si>
  <si>
    <t>RANCHI,241257</t>
  </si>
  <si>
    <t>DONE</t>
  </si>
  <si>
    <t>KA53T-7407</t>
  </si>
  <si>
    <t>OVERLOAD - EXTRA CHARGE</t>
  </si>
  <si>
    <t>19-06-2024</t>
  </si>
  <si>
    <t>LORRY HALTING - EXTRA CHARGE</t>
  </si>
  <si>
    <t>18-06-2024</t>
  </si>
  <si>
    <t>TN93L-8071</t>
  </si>
  <si>
    <t>SPEED MODE MATERIAL EXTRA CHARGE</t>
  </si>
  <si>
    <t>21-06-2024</t>
  </si>
  <si>
    <t>22-06-2024</t>
  </si>
  <si>
    <t>23-06-2024</t>
  </si>
  <si>
    <t>HOSUR</t>
  </si>
  <si>
    <t>25-06-2024</t>
  </si>
  <si>
    <t>26-06-2024</t>
  </si>
  <si>
    <t>MISC NOTE</t>
  </si>
  <si>
    <t>TN18GS-5854</t>
  </si>
  <si>
    <t>27-06-2024</t>
  </si>
  <si>
    <t>LORRY HALTING - EXTRA CHARGE</t>
  </si>
  <si>
    <t>30-06-2024</t>
  </si>
  <si>
    <t>GJ27K-9382</t>
  </si>
  <si>
    <t>AHM.</t>
  </si>
  <si>
    <t>20FEET</t>
  </si>
  <si>
    <t>28-06-2024</t>
  </si>
  <si>
    <t>Transporter 04</t>
  </si>
  <si>
    <t>01-07-2024</t>
  </si>
  <si>
    <t>32FEET</t>
  </si>
  <si>
    <t>MATERIAL SHIFTED TO ANOTHER VEHICLE</t>
  </si>
  <si>
    <t>KA52W-2643</t>
  </si>
  <si>
    <t>LORRY HALTING - EXTRA CHARGE</t>
  </si>
  <si>
    <t>HASSAN,493930</t>
  </si>
  <si>
    <t>BOMMANSANDRA,607558</t>
  </si>
  <si>
    <t>NARSAPUR,912069+HOSKOTE,483982</t>
  </si>
  <si>
    <t>HASSAN ,377936</t>
  </si>
  <si>
    <t>HOSKOTE,742750</t>
  </si>
  <si>
    <t>RANCHI,261832</t>
  </si>
  <si>
    <t>HOSKOTE,491423</t>
  </si>
  <si>
    <t>NARSAPUR,366358</t>
  </si>
  <si>
    <t>HOSKOTE,136530</t>
  </si>
  <si>
    <t>HASSAN,323165</t>
  </si>
  <si>
    <t>TIRUPUR,484647</t>
  </si>
  <si>
    <t>ERODE,743866</t>
  </si>
  <si>
    <t>TIRUPUR,211792/56</t>
  </si>
  <si>
    <t>ERODE,377051</t>
  </si>
  <si>
    <t>NARSAPUR,795057</t>
  </si>
  <si>
    <t>025</t>
  </si>
  <si>
    <t>026</t>
  </si>
  <si>
    <t>027</t>
  </si>
  <si>
    <t>024</t>
  </si>
  <si>
    <t>028</t>
  </si>
  <si>
    <t>029</t>
  </si>
  <si>
    <t>030</t>
  </si>
  <si>
    <t>TN12XD-6346</t>
  </si>
  <si>
    <t xml:space="preserve">PART LOAD </t>
  </si>
  <si>
    <t>03-07-2024</t>
  </si>
  <si>
    <t>031</t>
  </si>
  <si>
    <t>032</t>
  </si>
  <si>
    <t>033</t>
  </si>
  <si>
    <t>HOSKOTE,042648</t>
  </si>
  <si>
    <t>BOMMANSANDRA,693938</t>
  </si>
  <si>
    <t>034</t>
  </si>
  <si>
    <t>HOSUR,398331</t>
  </si>
  <si>
    <t>NARSAPUR,362044</t>
  </si>
  <si>
    <t>035</t>
  </si>
  <si>
    <t>WEIGHT-BASED BILLING (PART LOAD)</t>
  </si>
  <si>
    <t>036</t>
  </si>
  <si>
    <t>NL01N-2927</t>
  </si>
  <si>
    <t xml:space="preserve">Transporter 05 </t>
  </si>
  <si>
    <t>LORRY HALTING - EXTRA CHARGE</t>
  </si>
  <si>
    <t>TN88W-4748</t>
  </si>
  <si>
    <t>05-07-2024</t>
  </si>
  <si>
    <t>04-07-2024</t>
  </si>
  <si>
    <t>JH01DH-4340</t>
  </si>
  <si>
    <t>Transporter 06</t>
  </si>
  <si>
    <t>PICK-UP AND DELIVERY CHARGE ADDED</t>
  </si>
  <si>
    <t>KA52K-7153</t>
  </si>
  <si>
    <t>10FEET</t>
  </si>
  <si>
    <t>06-07-2024</t>
  </si>
  <si>
    <t>TN18DH-3563</t>
  </si>
  <si>
    <t xml:space="preserve">Transporter 07 </t>
  </si>
  <si>
    <t>09-07-2024</t>
  </si>
  <si>
    <t>10-07-2024</t>
  </si>
  <si>
    <t>UP21LJ-1159</t>
  </si>
  <si>
    <t>KA52J-5960</t>
  </si>
  <si>
    <t>LORRY DELAY</t>
  </si>
  <si>
    <t>11-07-2024</t>
  </si>
  <si>
    <t>12-07-2024</t>
  </si>
  <si>
    <t>LOCAL</t>
  </si>
  <si>
    <t>UP21SV-4401</t>
  </si>
  <si>
    <t>LUDHIANA</t>
  </si>
  <si>
    <t>Transporter 08</t>
  </si>
  <si>
    <t>JULY</t>
  </si>
  <si>
    <t>JULY Total</t>
  </si>
  <si>
    <t>TN93L-3191</t>
  </si>
  <si>
    <t>RANCHI,862761</t>
  </si>
  <si>
    <t>037</t>
  </si>
  <si>
    <t>NARSAPUR,199550</t>
  </si>
  <si>
    <t>BOMMANSANDRA, 387363</t>
  </si>
  <si>
    <t>NARSAPUR,590354</t>
  </si>
  <si>
    <t>HASSAN, 125936</t>
  </si>
  <si>
    <t>HOSKOTE+BMS,185224,176322</t>
  </si>
  <si>
    <t>HASSAN,299082</t>
  </si>
  <si>
    <t>038</t>
  </si>
  <si>
    <t>039</t>
  </si>
  <si>
    <t>NARSAPUR,602705</t>
  </si>
  <si>
    <t>HOSKOTE,234717</t>
  </si>
  <si>
    <t>NARSAPUR,309027</t>
  </si>
  <si>
    <t>040</t>
  </si>
  <si>
    <t>041</t>
  </si>
  <si>
    <t>042</t>
  </si>
  <si>
    <t>043</t>
  </si>
  <si>
    <t>HASSAN,568746</t>
  </si>
  <si>
    <t>NARSAPUR,297445</t>
  </si>
  <si>
    <t>HOSUR,469253</t>
  </si>
  <si>
    <t>044</t>
  </si>
  <si>
    <t>045</t>
  </si>
  <si>
    <t>046</t>
  </si>
  <si>
    <t>HASSAN,590477</t>
  </si>
  <si>
    <t>NARSAPUR+HOSKOTE+BMS,862275,600470,484009</t>
  </si>
  <si>
    <t>NARSAPUR+BMS,932329,620472</t>
  </si>
  <si>
    <t>HOSUR,412908</t>
  </si>
  <si>
    <t>PENDING</t>
  </si>
  <si>
    <t>15-07-2024</t>
  </si>
  <si>
    <t>16-07-2024</t>
  </si>
  <si>
    <t>NL01YH-1190</t>
  </si>
  <si>
    <t>19-07-2024</t>
  </si>
  <si>
    <t>18-07-2024</t>
  </si>
  <si>
    <t>TN52NV-3691</t>
  </si>
  <si>
    <t>ERODE,090919</t>
  </si>
  <si>
    <t>RANCHI,612989</t>
  </si>
  <si>
    <t>RANCHI,473378</t>
  </si>
  <si>
    <t>HOSKOTE,102073</t>
  </si>
  <si>
    <t>NARSAPUR,002622+BMS,068162</t>
  </si>
  <si>
    <t>HASSAN,117872</t>
  </si>
  <si>
    <t>047</t>
  </si>
  <si>
    <t>048</t>
  </si>
  <si>
    <t>049</t>
  </si>
  <si>
    <t>050</t>
  </si>
  <si>
    <t>051</t>
  </si>
  <si>
    <t>052</t>
  </si>
  <si>
    <t>20-07-2024</t>
  </si>
  <si>
    <t>21-07-2024</t>
  </si>
  <si>
    <t>22-07-2024</t>
  </si>
  <si>
    <t>NL01BJ-0985</t>
  </si>
  <si>
    <t xml:space="preserve">LORRY BREAK DOWN </t>
  </si>
  <si>
    <t>KA52W-2384</t>
  </si>
  <si>
    <t>25-07-2024</t>
  </si>
  <si>
    <t>26-07-2024</t>
  </si>
  <si>
    <t>27-07-2024</t>
  </si>
  <si>
    <t>NARSAPUR,220963</t>
  </si>
  <si>
    <t>HOSKOTE,617581</t>
  </si>
  <si>
    <t>HASSAN,241354</t>
  </si>
  <si>
    <t>HOSKOTE,471302</t>
  </si>
  <si>
    <t>HOSKOTE,659144</t>
  </si>
  <si>
    <t>HOSUR,535479</t>
  </si>
  <si>
    <t>NARSAPUR,701529</t>
  </si>
  <si>
    <t>HOSKOTE,550035</t>
  </si>
  <si>
    <t>RANCHI,448558</t>
  </si>
  <si>
    <t>ERODE,39067</t>
  </si>
  <si>
    <t>TIRUPUR,700296</t>
  </si>
  <si>
    <t>053</t>
  </si>
  <si>
    <t>054</t>
  </si>
  <si>
    <t>055</t>
  </si>
  <si>
    <t>056</t>
  </si>
  <si>
    <t>057</t>
  </si>
  <si>
    <t>058</t>
  </si>
  <si>
    <t>NL01TM-4272</t>
  </si>
  <si>
    <t>TN05WJ-5569</t>
  </si>
  <si>
    <t>28-07-2024</t>
  </si>
  <si>
    <t>29-07-2024</t>
  </si>
  <si>
    <t>KA52K-5945</t>
  </si>
  <si>
    <t>31-07-2024</t>
  </si>
  <si>
    <t>01-08-2024</t>
  </si>
  <si>
    <t>WB17-0431</t>
  </si>
  <si>
    <t>Transporter 09</t>
  </si>
  <si>
    <t>OVERLOAD - EXTRA CHARGE</t>
  </si>
  <si>
    <t>30-07-2024</t>
  </si>
  <si>
    <t>02-08-2024</t>
  </si>
  <si>
    <t>AUGUST</t>
  </si>
  <si>
    <t>AUGUST Total</t>
  </si>
  <si>
    <t>NARSAPUR,362297+HOSKOTE,334147+HOSUR,693307</t>
  </si>
  <si>
    <t>BMS,778726</t>
  </si>
  <si>
    <t>RANCHI,858226</t>
  </si>
  <si>
    <t>NARSAPUR,118909</t>
  </si>
  <si>
    <t>HASSAN,216580</t>
  </si>
  <si>
    <t>HOSKOTE,150285</t>
  </si>
  <si>
    <t>HASSAN,436347</t>
  </si>
  <si>
    <t>HOSKOTE,328759</t>
  </si>
  <si>
    <t>HASSAN,562566</t>
  </si>
  <si>
    <t>059</t>
  </si>
  <si>
    <t>060</t>
  </si>
  <si>
    <t>061</t>
  </si>
  <si>
    <t>062</t>
  </si>
  <si>
    <t>PB10UW-4147</t>
  </si>
  <si>
    <t>Transporter 10</t>
  </si>
  <si>
    <t>32FEETSXL</t>
  </si>
  <si>
    <t>TN25MM-5315</t>
  </si>
  <si>
    <t>HR38K-4865</t>
  </si>
  <si>
    <t>Transporter 11</t>
  </si>
  <si>
    <t>KA51DJ-7560</t>
  </si>
  <si>
    <t>08-08-2024</t>
  </si>
  <si>
    <t>05-08-2024</t>
  </si>
  <si>
    <t>06-08-2024</t>
  </si>
  <si>
    <t>09-08-2024</t>
  </si>
  <si>
    <t>RANCHI,128779</t>
  </si>
  <si>
    <t>ERODE,156406</t>
  </si>
  <si>
    <t>RANCHI,505803</t>
  </si>
  <si>
    <t>RANCHI,093231</t>
  </si>
  <si>
    <t>HOSUR,044633+BMS,889749+WHITEFIELD,361169</t>
  </si>
  <si>
    <t>HASSAN,149999</t>
  </si>
  <si>
    <t>NARSAPUR,090549+HOSKOTE,595919+HOSUR,927</t>
  </si>
  <si>
    <t>HASSAN,596476</t>
  </si>
  <si>
    <t>HOSKOTE,613421</t>
  </si>
  <si>
    <t>HASSAN,969311</t>
  </si>
  <si>
    <t>BMS,415100+HSOKOTE,050034</t>
  </si>
  <si>
    <t>063</t>
  </si>
  <si>
    <t>064</t>
  </si>
  <si>
    <t>065</t>
  </si>
  <si>
    <t>066</t>
  </si>
  <si>
    <t>067</t>
  </si>
  <si>
    <t>068</t>
  </si>
  <si>
    <t>069</t>
  </si>
  <si>
    <t>TN02ZE-2186</t>
  </si>
  <si>
    <t>BMS</t>
  </si>
  <si>
    <t xml:space="preserve">Transporter 12 </t>
  </si>
  <si>
    <t>TN01FG-7374</t>
  </si>
  <si>
    <t xml:space="preserve">3rd  party </t>
  </si>
  <si>
    <t>11-08-2024</t>
  </si>
  <si>
    <t>12-08-2024</t>
  </si>
  <si>
    <t>3rd  party  Total</t>
  </si>
  <si>
    <t>KA52K-1206</t>
  </si>
  <si>
    <t>HASSAN</t>
  </si>
  <si>
    <t>13-08-2024</t>
  </si>
  <si>
    <t>NL01JS-2253</t>
  </si>
  <si>
    <t xml:space="preserve">BY AIR </t>
  </si>
  <si>
    <t>FLIGHT</t>
  </si>
  <si>
    <t>KA51YH-4062</t>
  </si>
  <si>
    <t>KL59NV-3787</t>
  </si>
  <si>
    <t>25FEET</t>
  </si>
  <si>
    <t>KA13T-7124</t>
  </si>
  <si>
    <t>14-08-2024</t>
  </si>
  <si>
    <t>16-08-2024</t>
  </si>
  <si>
    <t>18-08-2024</t>
  </si>
  <si>
    <t>19-08-2024</t>
  </si>
  <si>
    <t>23-08-2024</t>
  </si>
  <si>
    <t>24-08-2024</t>
  </si>
  <si>
    <t>20-08-2024</t>
  </si>
  <si>
    <t>21-08-2024</t>
  </si>
  <si>
    <t>BOMMANSANDRA</t>
  </si>
  <si>
    <t>25-08-2024</t>
  </si>
  <si>
    <t>TN02EV-8853</t>
  </si>
  <si>
    <t>MH14CY-6391</t>
  </si>
  <si>
    <t>26-08-2024</t>
  </si>
  <si>
    <t>KA05GM-9110</t>
  </si>
  <si>
    <t xml:space="preserve">Transporter 13 </t>
  </si>
  <si>
    <t>KA52K-7446</t>
  </si>
  <si>
    <t>OVERLOAD - EXTRA CHARGE</t>
  </si>
  <si>
    <t>KA53NV-5673</t>
  </si>
  <si>
    <t>NARSAPUR,592+HOSKOTE,189304</t>
  </si>
  <si>
    <t>BMS,864438</t>
  </si>
  <si>
    <t>HOSKOTE,987663</t>
  </si>
  <si>
    <t>BMS,789024</t>
  </si>
  <si>
    <t>RANCHI,068347</t>
  </si>
  <si>
    <t>HOSKOTE,781390</t>
  </si>
  <si>
    <t>HASSAN,975201</t>
  </si>
  <si>
    <t>BMS,846401</t>
  </si>
  <si>
    <t>HASSAN,928118</t>
  </si>
  <si>
    <t>NARSAPUR,542310</t>
  </si>
  <si>
    <t>HOSKOTE,530353</t>
  </si>
  <si>
    <t>HASSAN,421295</t>
  </si>
  <si>
    <t>BMS,334059</t>
  </si>
  <si>
    <t>RANCHI,506848</t>
  </si>
  <si>
    <t>HASSAN,820548</t>
  </si>
  <si>
    <t>HOSKOTE,090684+HOSUR,678655</t>
  </si>
  <si>
    <t>HASSAN,729295</t>
  </si>
  <si>
    <t>BOMMANSANDRA,467189</t>
  </si>
  <si>
    <t>NARSAPUR,219420</t>
  </si>
  <si>
    <t>BOMMANSANDRA,071351</t>
  </si>
  <si>
    <t>HASSAN,452608</t>
  </si>
  <si>
    <t>NARSAPUR,415768 +HOSKOTE,364185</t>
  </si>
  <si>
    <t>BOMMANSANDRA,901796</t>
  </si>
  <si>
    <t>HOSUR,903559(AMOUNT 76215)</t>
  </si>
  <si>
    <t>HOSUR,630362 (76215)</t>
  </si>
  <si>
    <t>HOSUR,731673(78679)</t>
  </si>
  <si>
    <t>HOSUR,556621 (89221)</t>
  </si>
  <si>
    <t>28-08-2024</t>
  </si>
  <si>
    <t>29-08-2024</t>
  </si>
  <si>
    <t>30-08-2024</t>
  </si>
  <si>
    <t>31-08-2024</t>
  </si>
  <si>
    <t>KA52K-0229</t>
  </si>
  <si>
    <t>02-09-2024</t>
  </si>
  <si>
    <t>NL01JH-8344</t>
  </si>
  <si>
    <t>KA51GM-6709</t>
  </si>
  <si>
    <t>Transporter 14</t>
  </si>
  <si>
    <t>NARSAPUR</t>
  </si>
  <si>
    <t>NARSAPUR+HOSKOTE+BOMMANSANDRA</t>
  </si>
  <si>
    <t>Transporter 15</t>
  </si>
  <si>
    <t>SEPTEMBER</t>
  </si>
  <si>
    <t>JH01FN-1953</t>
  </si>
  <si>
    <t>AUTO</t>
  </si>
  <si>
    <t xml:space="preserve">Transporter 16 </t>
  </si>
  <si>
    <t>LOCAL VEHICLE / LOCAL PICK-UP</t>
  </si>
  <si>
    <t>SEPTEMBER Total</t>
  </si>
  <si>
    <t>HR38JS-5392</t>
  </si>
  <si>
    <t>KA51BJ-8283</t>
  </si>
  <si>
    <t>KA52K-5382</t>
  </si>
  <si>
    <t>HR38JS-8954</t>
  </si>
  <si>
    <t>Transporter 17</t>
  </si>
  <si>
    <t>HR55GM-8540</t>
  </si>
  <si>
    <t xml:space="preserve">32FEET MXL </t>
  </si>
  <si>
    <t>07-09-2024</t>
  </si>
  <si>
    <t>09-09-2024</t>
  </si>
  <si>
    <t>KA51BJ-3117</t>
  </si>
  <si>
    <t>KA02YH-0797</t>
  </si>
  <si>
    <t>TN18GS-8699</t>
  </si>
  <si>
    <t>03-09-2024</t>
  </si>
  <si>
    <t>04-09-2024</t>
  </si>
  <si>
    <t>08-09-2024</t>
  </si>
  <si>
    <t>10-09-2024</t>
  </si>
  <si>
    <t>11-09-2024</t>
  </si>
  <si>
    <t>HR38JH-5489</t>
  </si>
  <si>
    <t>KA52J-4041</t>
  </si>
  <si>
    <t>NL01N-8849</t>
  </si>
  <si>
    <t>12-09-2024</t>
  </si>
  <si>
    <t>14-09-2024</t>
  </si>
  <si>
    <t>13-09-2024</t>
  </si>
  <si>
    <t>3rd party</t>
  </si>
  <si>
    <t>PICK-UP AND DELIVERY CHARGE ADDED</t>
  </si>
  <si>
    <t xml:space="preserve">Transporter 18 </t>
  </si>
  <si>
    <t>ERODE,004319+VENDOR F,715236</t>
  </si>
  <si>
    <t>BOMMANSANDRA,289556</t>
  </si>
  <si>
    <t>NARSAPUR,216580+HOSKOTE,827747</t>
  </si>
  <si>
    <t>HASSAN,362327</t>
  </si>
  <si>
    <t>HOSKOTE,613357+NARSAPUR,365872</t>
  </si>
  <si>
    <t>HASSAN,542689</t>
  </si>
  <si>
    <t>NARSAPUR,889749+HOSKOTE,778726</t>
  </si>
  <si>
    <t>BOMMANSANDRA,334147</t>
  </si>
  <si>
    <t>BANGLORE AIRPORT ,583866</t>
  </si>
  <si>
    <t>NARSAPUR,969311</t>
  </si>
  <si>
    <t>HASSAN,903559</t>
  </si>
  <si>
    <t>15-09-2024</t>
  </si>
  <si>
    <t>16-09-2024</t>
  </si>
  <si>
    <t>RANCHI,877431</t>
  </si>
  <si>
    <t>BANGLORE AIRPORT ,090549</t>
  </si>
  <si>
    <t>NARSAPUR,128779</t>
  </si>
  <si>
    <t>HOSKOTE,596476</t>
  </si>
  <si>
    <t>HOSKOTE,562566</t>
  </si>
  <si>
    <t>HASSAN,545738</t>
  </si>
  <si>
    <t>BOMMANSANDRA,328759</t>
  </si>
  <si>
    <t>NARSAPUR,150285</t>
  </si>
  <si>
    <t>HOSKOTE,693307</t>
  </si>
  <si>
    <t>BOMMANSANDRA,415821</t>
  </si>
  <si>
    <t>RANCHI,595919</t>
  </si>
  <si>
    <t>RANCHI,583866</t>
  </si>
  <si>
    <t>JH22W-8840</t>
  </si>
  <si>
    <t>RANCHI,415100</t>
  </si>
  <si>
    <t>BOMMANSANDRA,044633</t>
  </si>
  <si>
    <t>HASSAN,361169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</si>
  <si>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</si>
  <si>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</si>
  <si>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</si>
  <si>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</si>
  <si>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</si>
  <si>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</si>
  <si>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</si>
  <si>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</si>
  <si>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</si>
  <si>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</si>
  <si>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</si>
  <si>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NARSAPUR,149999+HOSUR,889749(57485)</t>
  </si>
  <si>
    <t>125</t>
  </si>
  <si>
    <t>129</t>
  </si>
  <si>
    <t>123+124</t>
  </si>
  <si>
    <t>126</t>
  </si>
  <si>
    <t>128</t>
  </si>
  <si>
    <t>127</t>
  </si>
  <si>
    <t>PICK-UP AND DELIVERY CHARGE ADDED</t>
  </si>
  <si>
    <t>130</t>
  </si>
  <si>
    <t>131</t>
  </si>
  <si>
    <t>17-09-2024</t>
  </si>
  <si>
    <t>18-09-2024</t>
  </si>
  <si>
    <t>KA51ES-4486</t>
  </si>
  <si>
    <t>HOSKOTE (VENDOR A)</t>
  </si>
  <si>
    <t>Transporter 02</t>
  </si>
  <si>
    <t>HR55RX-2631</t>
  </si>
  <si>
    <t>BN Total</t>
  </si>
  <si>
    <t>HOSUR,450806 (86986)</t>
  </si>
  <si>
    <t>HOSUR,769145</t>
  </si>
  <si>
    <t>HOSUR,186467</t>
  </si>
  <si>
    <t>KA52K-9302</t>
  </si>
  <si>
    <t>20-09-2024</t>
  </si>
  <si>
    <t>21-09-2024</t>
  </si>
  <si>
    <t>MISC NOTE</t>
  </si>
  <si>
    <t>KA51W-2856</t>
  </si>
  <si>
    <t>TN88C-5863</t>
  </si>
  <si>
    <t>32FEEET</t>
  </si>
  <si>
    <t>KA52K-0743</t>
  </si>
  <si>
    <t>24-09-2024</t>
  </si>
  <si>
    <t>26-09-2024</t>
  </si>
  <si>
    <t>23-09-2024</t>
  </si>
  <si>
    <t>25-09-2024</t>
  </si>
  <si>
    <t>TN93T-4136</t>
  </si>
  <si>
    <t>TN22LJ-1448</t>
  </si>
  <si>
    <t>KA02YH-5713</t>
  </si>
  <si>
    <t>27-09-2024</t>
  </si>
  <si>
    <t>28-09-2024</t>
  </si>
  <si>
    <t>MH04JE-8324</t>
  </si>
  <si>
    <t>30-09-2024</t>
  </si>
  <si>
    <t>HR55EU-8747</t>
  </si>
  <si>
    <t>29-09-2024</t>
  </si>
  <si>
    <t>KA02ES-5748</t>
  </si>
  <si>
    <t>KA05GM-3162</t>
  </si>
  <si>
    <t>01-10-2024</t>
  </si>
  <si>
    <t xml:space="preserve">Transporter 19 </t>
  </si>
  <si>
    <t>NARSAPUR,424822+HOSKOTE,349799</t>
  </si>
  <si>
    <t>HASSAN,759311</t>
  </si>
  <si>
    <t>BOMMANSADRA,681447</t>
  </si>
  <si>
    <t>NARSAPUR,045008</t>
  </si>
  <si>
    <t>BOMMANSADRA,648738</t>
  </si>
  <si>
    <t>HASSAN,399374</t>
  </si>
  <si>
    <t>HOSKOTE,234304</t>
  </si>
  <si>
    <t>HASSAN,555473</t>
  </si>
  <si>
    <t>NARSAPUR,028909</t>
  </si>
  <si>
    <t>HOSKOTE,072369</t>
  </si>
  <si>
    <t>NARSAPUR,640240</t>
  </si>
  <si>
    <t>BOMMANSANDRA,652453</t>
  </si>
  <si>
    <t>NARSAPUR,296792</t>
  </si>
  <si>
    <t>RANCHI,481737</t>
  </si>
  <si>
    <t>BOMMANSANDRA,326633</t>
  </si>
  <si>
    <t>NARSAPUR,321121+HOSKOTE,937433</t>
  </si>
  <si>
    <t>HOSKOTE,791044</t>
  </si>
  <si>
    <t>BOMMANSANDRA,059374</t>
  </si>
  <si>
    <t>NARSAPUR,055144+HOSKOTE,928118</t>
  </si>
  <si>
    <t>BOMMANSANDRA,846401</t>
  </si>
  <si>
    <t>NARSAPUR,987663+HOSKOTE,781390</t>
  </si>
  <si>
    <t>BOMMANSANDRA,975201</t>
  </si>
  <si>
    <t>HOSKOTE,189304</t>
  </si>
  <si>
    <t>HASSAN,789024</t>
  </si>
  <si>
    <t>NARSAPUR,528879</t>
  </si>
  <si>
    <t>BOMMANSANDRA,864438</t>
  </si>
  <si>
    <t>NARSAPUR,093231</t>
  </si>
  <si>
    <t>RANCHI,103699</t>
  </si>
  <si>
    <t>ERODE,500788</t>
  </si>
  <si>
    <t>RANCHI,713429</t>
  </si>
  <si>
    <t>RANCHI,050034</t>
  </si>
  <si>
    <t>134</t>
  </si>
  <si>
    <t>144</t>
  </si>
  <si>
    <t>135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</si>
  <si>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</si>
  <si>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</si>
  <si>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</si>
  <si>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</si>
  <si>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</si>
  <si>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</si>
  <si>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</si>
  <si>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</si>
  <si>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</si>
  <si>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</si>
  <si>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OCTOBER</t>
  </si>
  <si>
    <t>KA52W-4782</t>
  </si>
  <si>
    <t>RJ14BZ-1986</t>
  </si>
  <si>
    <t>PICK-UP AND DELIVERY CHARGE ADDED</t>
  </si>
  <si>
    <t>TN43C-4482</t>
  </si>
  <si>
    <t>VENDOR A</t>
  </si>
  <si>
    <t>WEIGHT-BASED BILLING (PART LOAD)</t>
  </si>
  <si>
    <t>OCTOBER Total</t>
  </si>
  <si>
    <t>KA52J-9584</t>
  </si>
  <si>
    <t>04-10-2024</t>
  </si>
  <si>
    <t>05-10-2024</t>
  </si>
  <si>
    <t>03-10-2024</t>
  </si>
  <si>
    <t>KA01XD-1311</t>
  </si>
  <si>
    <t>TN93L-3149</t>
  </si>
  <si>
    <t>NL01ES-3350</t>
  </si>
  <si>
    <t>KA06TT-0675</t>
  </si>
  <si>
    <t>07-10-2024</t>
  </si>
  <si>
    <t>TN70TK-4471</t>
  </si>
  <si>
    <t>08-10-2024</t>
  </si>
  <si>
    <t>22FEET</t>
  </si>
  <si>
    <t>TN12FG-3913</t>
  </si>
  <si>
    <t>HR47J-2736</t>
  </si>
  <si>
    <t>PICK-UP AND DELIVERY CHARGE ADDED</t>
  </si>
  <si>
    <t>07-10-204</t>
  </si>
  <si>
    <t>09-10-2024</t>
  </si>
  <si>
    <t>10-10-2024</t>
  </si>
  <si>
    <t>11-10-2024</t>
  </si>
  <si>
    <t>KA52W-2451</t>
  </si>
  <si>
    <t>PICK-UP AND DELIVERY CHARGE ADDED</t>
  </si>
  <si>
    <t>HOSKOTE,334059</t>
  </si>
  <si>
    <t>BOMMANSANDRA,421295</t>
  </si>
  <si>
    <t>NARSAPUR,729295+HOSKOTE,090684</t>
  </si>
  <si>
    <t>BOMMANSANDRA,678655</t>
  </si>
  <si>
    <t>NARSAPUR,467189</t>
  </si>
  <si>
    <t>HASSAN,071351</t>
  </si>
  <si>
    <t>HOSKOTE,289556</t>
  </si>
  <si>
    <t>NARSAPUR+HOSKOTE,731673</t>
  </si>
  <si>
    <t>BOMMANSANDRA,452608</t>
  </si>
  <si>
    <t>HOSKOTE,056372</t>
  </si>
  <si>
    <t>NARSAPUR,364185</t>
  </si>
  <si>
    <t>BOMMANSANDRA,415768</t>
  </si>
  <si>
    <t>NARSAPUR,556621+HOSKOTE,925335</t>
  </si>
  <si>
    <t>BOMMANSANDRA,895525</t>
  </si>
  <si>
    <t>NARSAPUR,456932</t>
  </si>
  <si>
    <t>HOSKOTE,995982</t>
  </si>
  <si>
    <t>BOMMANSANDRA,270400</t>
  </si>
  <si>
    <t>NARSAPUR,574549</t>
  </si>
  <si>
    <t>HOSKOTE,186467</t>
  </si>
  <si>
    <t>BOMMANSANDRA,746430</t>
  </si>
  <si>
    <t>NARSAPUR,769145</t>
  </si>
  <si>
    <t>BOMMANSANDRA,059242</t>
  </si>
  <si>
    <t>NARSAPUR,523109</t>
  </si>
  <si>
    <t>HOSKOTE,450806</t>
  </si>
  <si>
    <t>ERODE,02217</t>
  </si>
  <si>
    <t>RANCHI,43482</t>
  </si>
  <si>
    <t>RANCHI,820548</t>
  </si>
  <si>
    <t>RANCHI,994572</t>
  </si>
  <si>
    <t>ERODE,901796</t>
  </si>
  <si>
    <t>RANCHI,152986</t>
  </si>
  <si>
    <t>ERODE,549115</t>
  </si>
  <si>
    <t>RANCHI,472734</t>
  </si>
  <si>
    <t>150</t>
  </si>
  <si>
    <t>171</t>
  </si>
  <si>
    <t>151</t>
  </si>
  <si>
    <t>161</t>
  </si>
  <si>
    <t>152</t>
  </si>
  <si>
    <t>153</t>
  </si>
  <si>
    <t>173</t>
  </si>
  <si>
    <t>170</t>
  </si>
  <si>
    <t>160</t>
  </si>
  <si>
    <t>154</t>
  </si>
  <si>
    <t>165</t>
  </si>
  <si>
    <t>155</t>
  </si>
  <si>
    <t>166</t>
  </si>
  <si>
    <t>156</t>
  </si>
  <si>
    <t>157</t>
  </si>
  <si>
    <t>158</t>
  </si>
  <si>
    <t>159</t>
  </si>
  <si>
    <t>162</t>
  </si>
  <si>
    <t>163</t>
  </si>
  <si>
    <t>164</t>
  </si>
  <si>
    <t>167</t>
  </si>
  <si>
    <t>168</t>
  </si>
  <si>
    <t>169</t>
  </si>
  <si>
    <t>172</t>
  </si>
  <si>
    <t>ERODE,35907</t>
  </si>
  <si>
    <t>RANCHI,41357</t>
  </si>
  <si>
    <t>14-10-2024</t>
  </si>
  <si>
    <t>13-10-2024</t>
  </si>
  <si>
    <t>174</t>
  </si>
  <si>
    <t>TN88R-3934</t>
  </si>
  <si>
    <t>Transporter 20</t>
  </si>
  <si>
    <t>TN93R-5719</t>
  </si>
  <si>
    <t>KA51JH-0937</t>
  </si>
  <si>
    <t>JH01TC-6962</t>
  </si>
  <si>
    <t>18-10-2024</t>
  </si>
  <si>
    <t xml:space="preserve">Transporter 21 </t>
  </si>
  <si>
    <t>MISC NOTE</t>
  </si>
  <si>
    <t>MH48JT-3199</t>
  </si>
  <si>
    <t>MUMBAI</t>
  </si>
  <si>
    <t>21-10-2024</t>
  </si>
  <si>
    <t xml:space="preserve">Transporter 22 </t>
  </si>
  <si>
    <t>KA05YH-0630</t>
  </si>
  <si>
    <t>TN76AT-2773</t>
  </si>
  <si>
    <t>19-10-2024</t>
  </si>
  <si>
    <t>20-10-2024</t>
  </si>
  <si>
    <t>TN29PM-4289</t>
  </si>
  <si>
    <t>KA51T-2189</t>
  </si>
  <si>
    <t>TN48ZD-2445</t>
  </si>
  <si>
    <t>WEIGHT-BASED BILLING (PART LOAD)</t>
  </si>
  <si>
    <t>22-10-2024</t>
  </si>
  <si>
    <t>23-10-2024</t>
  </si>
  <si>
    <t>KA52K-9295</t>
  </si>
  <si>
    <t>WHITEFIELD,200088</t>
  </si>
  <si>
    <t>HASSAN,843447</t>
  </si>
  <si>
    <t>NARSAPUR,118157</t>
  </si>
  <si>
    <t>HOSKOTE,201937</t>
  </si>
  <si>
    <t>HOSKOTE,152114+BMS,879609</t>
  </si>
  <si>
    <t>HASSAN,169929</t>
  </si>
  <si>
    <t>NARSAPUR,044078+WHITEFIELF,246827</t>
  </si>
  <si>
    <t>HASSAN,491103</t>
  </si>
  <si>
    <t>NARSAPUR,191703+HOSKOTE,171538</t>
  </si>
  <si>
    <t>BOMMANSANDRA,491103</t>
  </si>
  <si>
    <t>HOSKOTE,082130</t>
  </si>
  <si>
    <t>HASSAN,064879</t>
  </si>
  <si>
    <t>NARSAPUR,523897</t>
  </si>
  <si>
    <t>BOMMANSANDRA,131276</t>
  </si>
  <si>
    <t>HASSAN,260099</t>
  </si>
  <si>
    <t>NARSAPUR,624531</t>
  </si>
  <si>
    <t>BOMMANSANDRA,638440</t>
  </si>
  <si>
    <t>NARSAPUR,931443</t>
  </si>
  <si>
    <t>HASSAN,702344</t>
  </si>
  <si>
    <t>BOMMANSANDRA,060076</t>
  </si>
  <si>
    <t>HOSKOTE,052069+WHITEFIELD,414038</t>
  </si>
  <si>
    <t>HOSKOTE,865013</t>
  </si>
  <si>
    <t>24-10-2024</t>
  </si>
  <si>
    <t>ERODE,044078</t>
  </si>
  <si>
    <t>RANCHI,075054</t>
  </si>
  <si>
    <t>175</t>
  </si>
  <si>
    <t>182</t>
  </si>
  <si>
    <t>176</t>
  </si>
  <si>
    <t>177</t>
  </si>
  <si>
    <t>178</t>
  </si>
  <si>
    <t>179</t>
  </si>
  <si>
    <t>180</t>
  </si>
  <si>
    <t>RANCHI,040681</t>
  </si>
  <si>
    <t>181</t>
  </si>
  <si>
    <t>183</t>
  </si>
  <si>
    <t>184</t>
  </si>
  <si>
    <t>185</t>
  </si>
  <si>
    <t>TN12KX-4828</t>
  </si>
  <si>
    <t>TN16C-6983</t>
  </si>
  <si>
    <t>25-10-2024</t>
  </si>
  <si>
    <t>TN37NR-0142</t>
  </si>
  <si>
    <t>KA51BJ-7697</t>
  </si>
  <si>
    <t>Transporter 23</t>
  </si>
  <si>
    <t>27-10-2024</t>
  </si>
  <si>
    <t>28-10-2024</t>
  </si>
  <si>
    <t>29-10-2024</t>
  </si>
  <si>
    <t>26-10-2024</t>
  </si>
  <si>
    <t>KA51YH-8717</t>
  </si>
  <si>
    <t>26FEET</t>
  </si>
  <si>
    <t>07-11-2024</t>
  </si>
  <si>
    <t>08-11-2024</t>
  </si>
  <si>
    <t>NOVEMBER</t>
  </si>
  <si>
    <t>03-11-2024</t>
  </si>
  <si>
    <t>04-11-2024</t>
  </si>
  <si>
    <t>TN29DH-8633</t>
  </si>
  <si>
    <t>KA05RX-0967</t>
  </si>
  <si>
    <t>MH04UE-7578</t>
  </si>
  <si>
    <t>10-11-2024</t>
  </si>
  <si>
    <t>11-11-2024</t>
  </si>
  <si>
    <t>KA52J-4159</t>
  </si>
  <si>
    <t>TN22YT-2598</t>
  </si>
  <si>
    <t>TN33WA-4513</t>
  </si>
  <si>
    <t>06-11-2024</t>
  </si>
  <si>
    <t>NOVEMBER Total</t>
  </si>
  <si>
    <t>30-10-2024</t>
  </si>
  <si>
    <t>01-11-2024</t>
  </si>
  <si>
    <t>HASSAN,310556</t>
  </si>
  <si>
    <t>HOSKOTE,615426+BOMMANSANDRA,799993</t>
  </si>
  <si>
    <t>HSOKOTE,671433</t>
  </si>
  <si>
    <t>HASSAN,507938</t>
  </si>
  <si>
    <t>BOMMANSANDRA,107823</t>
  </si>
  <si>
    <t>NARSAPUR,703309</t>
  </si>
  <si>
    <t>HASSAN,325127</t>
  </si>
  <si>
    <t>NARSAPUR,306224+HOSKOTE,586605+BOMMANSANDRA,512639</t>
  </si>
  <si>
    <t>HOSKOTE,731658</t>
  </si>
  <si>
    <t>BOMMANSANDRA,658257</t>
  </si>
  <si>
    <t>NARSAPUR,197925</t>
  </si>
  <si>
    <t>RANCHI,575863</t>
  </si>
  <si>
    <t>KA05XD-8363</t>
  </si>
  <si>
    <t>HASSAN,950920</t>
  </si>
  <si>
    <t>BOMMANSANDRA,445422</t>
  </si>
  <si>
    <t>HASSAN,249250</t>
  </si>
  <si>
    <t>HOSKOTE,593116+BOMMANSANDRA,455071</t>
  </si>
  <si>
    <t>NARSAPUR,129848</t>
  </si>
  <si>
    <t>HOSKOTE,917033</t>
  </si>
  <si>
    <t>BOMMANSANDRA,390707</t>
  </si>
  <si>
    <t>RAJARAJESHWARI,575863</t>
  </si>
  <si>
    <t>RANCHI,950920</t>
  </si>
  <si>
    <t>RAJARAJESHWARI,249250</t>
  </si>
  <si>
    <t>RANCHI,445422</t>
  </si>
  <si>
    <t>ERODE,593116</t>
  </si>
  <si>
    <t>RANCHI,455071</t>
  </si>
  <si>
    <t>RANCHI,789398</t>
  </si>
  <si>
    <t>ERODE,694315/75</t>
  </si>
  <si>
    <t>RANCHI,822975</t>
  </si>
  <si>
    <t>ERODE,953793+VENDOR F,507004</t>
  </si>
  <si>
    <t>187</t>
  </si>
  <si>
    <t>188</t>
  </si>
  <si>
    <t>199</t>
  </si>
  <si>
    <t>186</t>
  </si>
  <si>
    <t>189</t>
  </si>
  <si>
    <t>190</t>
  </si>
  <si>
    <t>191</t>
  </si>
  <si>
    <t>192</t>
  </si>
  <si>
    <t>193</t>
  </si>
  <si>
    <t>194</t>
  </si>
  <si>
    <t>195</t>
  </si>
  <si>
    <t>198</t>
  </si>
  <si>
    <t>196</t>
  </si>
  <si>
    <t>197</t>
  </si>
  <si>
    <t>200</t>
  </si>
  <si>
    <t>204</t>
  </si>
  <si>
    <t>205</t>
  </si>
  <si>
    <t>206</t>
  </si>
  <si>
    <t>207</t>
  </si>
  <si>
    <t>201</t>
  </si>
  <si>
    <t>202</t>
  </si>
  <si>
    <t>203</t>
  </si>
  <si>
    <t>HOSKOTE,493034</t>
  </si>
  <si>
    <t>BOMMANSANDRA,514340</t>
  </si>
  <si>
    <t>HASSAN,043004</t>
  </si>
  <si>
    <t>BOMMANSANDRA,670855</t>
  </si>
  <si>
    <t>NARSAPUR,978625</t>
  </si>
  <si>
    <t>HOSKOTE,507938</t>
  </si>
  <si>
    <t>NARSAPUR,107823</t>
  </si>
  <si>
    <t>BOMMANSANDRA,703309</t>
  </si>
  <si>
    <t>RANCHI,441415</t>
  </si>
  <si>
    <t>208</t>
  </si>
  <si>
    <t>209</t>
  </si>
  <si>
    <t>210</t>
  </si>
  <si>
    <t>211</t>
  </si>
  <si>
    <t>212</t>
  </si>
  <si>
    <t>KA39J-2102</t>
  </si>
  <si>
    <t>12-11-2024</t>
  </si>
  <si>
    <t>13-11-2024</t>
  </si>
  <si>
    <t>15-11-2024</t>
  </si>
  <si>
    <t>TN12C-6158</t>
  </si>
  <si>
    <t>16-11-2024</t>
  </si>
  <si>
    <t>17-11-2024</t>
  </si>
  <si>
    <t>18-11-2024</t>
  </si>
  <si>
    <t>WB17-7701</t>
  </si>
  <si>
    <t>TN12TK-2083</t>
  </si>
  <si>
    <t>Transporter 24</t>
  </si>
  <si>
    <t>TN13TM-4305</t>
  </si>
  <si>
    <t>TN59ZK-4102</t>
  </si>
  <si>
    <t>TN95C-1059</t>
  </si>
  <si>
    <t>21-11-2024</t>
  </si>
  <si>
    <t>22-11-2024</t>
  </si>
  <si>
    <t>JH0KM-8803</t>
  </si>
  <si>
    <t>TN73GM-2489</t>
  </si>
  <si>
    <t>23-11-2024</t>
  </si>
  <si>
    <t>25-11-2024</t>
  </si>
  <si>
    <t>TN78AP-5952</t>
  </si>
  <si>
    <t>TN12MB-3670</t>
  </si>
  <si>
    <t>TN39TP-7485</t>
  </si>
  <si>
    <t>26-11-2024</t>
  </si>
  <si>
    <t>27-11-2024</t>
  </si>
  <si>
    <t>TN36LU-5834</t>
  </si>
  <si>
    <t>WEIGHT-BASED BILLING (PART LOAD)</t>
  </si>
  <si>
    <t>TN40JH-0010</t>
  </si>
  <si>
    <t>TN12RX-0936</t>
  </si>
  <si>
    <t>KA50K-9916</t>
  </si>
  <si>
    <t>KA01XD-2221</t>
  </si>
  <si>
    <t>JH05ZT-1294</t>
  </si>
  <si>
    <t>29-11-2024</t>
  </si>
  <si>
    <t>28-11-2024</t>
  </si>
  <si>
    <t>TN15EF-4424</t>
  </si>
  <si>
    <t>UP25LJ-6157</t>
  </si>
  <si>
    <t>SPEED MODE MATERIAL EXTRA CHARGE</t>
  </si>
  <si>
    <t>30-11-2024</t>
  </si>
  <si>
    <t>01-12-2024</t>
  </si>
  <si>
    <t>02-12-2024</t>
  </si>
  <si>
    <t>(blank)</t>
  </si>
  <si>
    <t>(blank) Total</t>
  </si>
  <si>
    <t>DECEMBER</t>
  </si>
  <si>
    <t>DECEMBER Total</t>
  </si>
  <si>
    <t>NARSAPUR,993525+WHITEFIELD</t>
  </si>
  <si>
    <t>BOMMANSANDRA,118684</t>
  </si>
  <si>
    <t>HASKOTE,674983</t>
  </si>
  <si>
    <t>HASSAN,523279</t>
  </si>
  <si>
    <t>NARSAPUR,680958+HOSKOTE,320639</t>
  </si>
  <si>
    <t>BOMMANSANDRA,738150</t>
  </si>
  <si>
    <t>NARSAPUR,230627</t>
  </si>
  <si>
    <t>BOMMANSANDRA,882957</t>
  </si>
  <si>
    <t>HOSKOTE,920609+NARSAPUR,695719</t>
  </si>
  <si>
    <t>BOMMANSANDRA,188712</t>
  </si>
  <si>
    <t>HOSKOTE,709097</t>
  </si>
  <si>
    <t>HASSAN,581297</t>
  </si>
  <si>
    <t>NARSAPUR,113522</t>
  </si>
  <si>
    <t>BOMMANSANDRA,661630</t>
  </si>
  <si>
    <t>NARSAPUR,117411</t>
  </si>
  <si>
    <t>HASSAN,150931</t>
  </si>
  <si>
    <t>HOSKOTE,296497</t>
  </si>
  <si>
    <t>BOMMANSANDRA,198809</t>
  </si>
  <si>
    <t>BOMMANSANDRA,080877+HOSKOTE,835134+NARSAPUR,273524</t>
  </si>
  <si>
    <t>HASSAN,863371</t>
  </si>
  <si>
    <t>NARSAPUR,728945</t>
  </si>
  <si>
    <t>NARSAPUR,819764</t>
  </si>
  <si>
    <t>BOMMANSANDRA,716578</t>
  </si>
  <si>
    <t>HASSAN,962892</t>
  </si>
  <si>
    <t>HOSKOTE,490510</t>
  </si>
  <si>
    <t>HOSKOTE,51800</t>
  </si>
  <si>
    <t>NARSAPUR,180827</t>
  </si>
  <si>
    <t>BOMMANSANDRA,350412</t>
  </si>
  <si>
    <t>BOMMANSANDRA,831213</t>
  </si>
  <si>
    <t>HASSAN,027333</t>
  </si>
  <si>
    <t>NARSAPUR,077849</t>
  </si>
  <si>
    <t>HOSKOTE,151870</t>
  </si>
  <si>
    <t>BOMMANSANDRA,104011</t>
  </si>
  <si>
    <t>HASSAN,402878</t>
  </si>
  <si>
    <t>NARSAPUR,591476</t>
  </si>
  <si>
    <t>HOSKOTE,684065</t>
  </si>
  <si>
    <t>NARSAPUR,779200</t>
  </si>
  <si>
    <t>BOMMANSANDRA,414315</t>
  </si>
  <si>
    <t>HASSAN,108827</t>
  </si>
  <si>
    <t>NARSAPUR,398933</t>
  </si>
  <si>
    <t>BOMMANSANDRA,532768 +HOSKOTE,784376</t>
  </si>
  <si>
    <t>HASSAN,356247</t>
  </si>
  <si>
    <t>NARSAPUR,787296</t>
  </si>
  <si>
    <t>HOSKOTE,688125</t>
  </si>
  <si>
    <t>ERODE,416128</t>
  </si>
  <si>
    <t>RANCHI,563690</t>
  </si>
  <si>
    <t>RANCHI,493992</t>
  </si>
  <si>
    <t>ERODE,492177</t>
  </si>
  <si>
    <t>HOSKOTE,756516</t>
  </si>
  <si>
    <t>BOMMANSANDRA,404585</t>
  </si>
  <si>
    <t>NARSAPUR,456498</t>
  </si>
  <si>
    <t>NARSAPUR,583048 +HOSKOTE,160888</t>
  </si>
  <si>
    <t>BOMMANSANDRA,544587</t>
  </si>
  <si>
    <t>213</t>
  </si>
  <si>
    <t>214</t>
  </si>
  <si>
    <t>215</t>
  </si>
  <si>
    <t>216</t>
  </si>
  <si>
    <t>217</t>
  </si>
  <si>
    <t>218</t>
  </si>
  <si>
    <t>222</t>
  </si>
  <si>
    <t>221</t>
  </si>
  <si>
    <t>225</t>
  </si>
  <si>
    <t>227</t>
  </si>
  <si>
    <t>226</t>
  </si>
  <si>
    <t>229</t>
  </si>
  <si>
    <t>228</t>
  </si>
  <si>
    <t>230</t>
  </si>
  <si>
    <t>219</t>
  </si>
  <si>
    <t>231</t>
  </si>
  <si>
    <t>HOSUR,859556</t>
  </si>
  <si>
    <t>TIRUPUR,510032</t>
  </si>
  <si>
    <t>220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</si>
  <si>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</si>
  <si>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</si>
  <si>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</si>
  <si>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</si>
  <si>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</si>
  <si>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</si>
  <si>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</si>
  <si>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</si>
  <si>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</si>
  <si>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TN73ES-1287</t>
  </si>
  <si>
    <t>KA52W-0113</t>
  </si>
  <si>
    <t>KA52K-9918</t>
  </si>
  <si>
    <t>KA51DJ-1486</t>
  </si>
  <si>
    <t>LORRY HALTING - EXTRA CHARGE</t>
  </si>
  <si>
    <t>TN37NR-2471</t>
  </si>
  <si>
    <t>TN12PL-2257</t>
  </si>
  <si>
    <t>03-12-2024</t>
  </si>
  <si>
    <t>07-12-2024</t>
  </si>
  <si>
    <t>06-12-2024</t>
  </si>
  <si>
    <t>04-12-2024</t>
  </si>
  <si>
    <t>05-12-2024</t>
  </si>
  <si>
    <t>MISC NOTE</t>
  </si>
  <si>
    <t>KA51YH-4915</t>
  </si>
  <si>
    <t>TN24KX-2493</t>
  </si>
  <si>
    <t>TN42RX-3596</t>
  </si>
  <si>
    <t>KA01BJ-1585</t>
  </si>
  <si>
    <t>08-12-2024</t>
  </si>
  <si>
    <t>11-12-2024</t>
  </si>
  <si>
    <t>14-12-2024</t>
  </si>
  <si>
    <t>09-12-2024</t>
  </si>
  <si>
    <t>17-12-2024</t>
  </si>
  <si>
    <t>18-12-2024</t>
  </si>
  <si>
    <t>16-12-2024</t>
  </si>
  <si>
    <t>05-12-2025</t>
  </si>
  <si>
    <t>3rd PARTY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</si>
  <si>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</si>
  <si>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</si>
  <si>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</si>
  <si>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</si>
  <si>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</si>
  <si>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HASSAN,934154</t>
  </si>
  <si>
    <t>NARSAPUR,085015+HOSKOTE,902613</t>
  </si>
  <si>
    <t>BOMMANSANDRA,426479</t>
  </si>
  <si>
    <t>NARSAPUR,292309</t>
  </si>
  <si>
    <t>HASSAN,027554</t>
  </si>
  <si>
    <t>HOSKOE,896057</t>
  </si>
  <si>
    <t>BOMMANSANDRA,095326</t>
  </si>
  <si>
    <t>HOSKOTE,292506</t>
  </si>
  <si>
    <t>HASSAN,621349</t>
  </si>
  <si>
    <t>NARSAPUR,543717</t>
  </si>
  <si>
    <t>BOMMANSANDRA,919445</t>
  </si>
  <si>
    <t>HOSKOTE,638343</t>
  </si>
  <si>
    <t>BOMMANSANDRA,645115</t>
  </si>
  <si>
    <t>NARSAPUR,249375</t>
  </si>
  <si>
    <t>HOSKOTE,131251</t>
  </si>
  <si>
    <t>NARSAPUR,690613 +HOSKOTE,603383</t>
  </si>
  <si>
    <t>BOMMANSANDRA,045715</t>
  </si>
  <si>
    <t>NARSAPUR,449404</t>
  </si>
  <si>
    <t>HASSAN,199685</t>
  </si>
  <si>
    <t>HOSKOTE,163225</t>
  </si>
  <si>
    <t>BOMMANSANDRA,953609</t>
  </si>
  <si>
    <t>NARSAPUR,776195 +HOSKOTE,109672</t>
  </si>
  <si>
    <t>BOMMANSANDRA,032885</t>
  </si>
  <si>
    <t>HOSKOTE,605554</t>
  </si>
  <si>
    <t>NARSAPUR,362945</t>
  </si>
  <si>
    <t>HASSAN,184831</t>
  </si>
  <si>
    <t>BOMMANSANDRA,230170</t>
  </si>
  <si>
    <t>HOSKOTE,869037</t>
  </si>
  <si>
    <t>NARSAPUR,167195</t>
  </si>
  <si>
    <t>NARSAPUR,693361</t>
  </si>
  <si>
    <t>BOMMANSANDRA,280066</t>
  </si>
  <si>
    <t>NARSAPUR,502434</t>
  </si>
  <si>
    <t>RANCHI,473632</t>
  </si>
  <si>
    <t>RANCHI,262226</t>
  </si>
  <si>
    <t>RANCHI,644744</t>
  </si>
  <si>
    <t>RANCHI,416771</t>
  </si>
  <si>
    <t>NARSAPUR,686240</t>
  </si>
  <si>
    <t>RANCHI,550191</t>
  </si>
  <si>
    <t>ERODE,779964</t>
  </si>
  <si>
    <t>RANCHI,923713</t>
  </si>
  <si>
    <t>ERODE,723638</t>
  </si>
  <si>
    <t>RANCHI,676901</t>
  </si>
  <si>
    <t>RANCHI12026</t>
  </si>
  <si>
    <t>ERODE,371473</t>
  </si>
  <si>
    <t>RANCHI,829567</t>
  </si>
  <si>
    <t>ERODE,546095</t>
  </si>
  <si>
    <t>RANCHI,534312</t>
  </si>
  <si>
    <t>BOMMANSANDRA,413100 +HOSKOTE,296549</t>
  </si>
  <si>
    <t>HASSAN,356155</t>
  </si>
  <si>
    <t>239</t>
  </si>
  <si>
    <t>242</t>
  </si>
  <si>
    <t>254</t>
  </si>
  <si>
    <t>271</t>
  </si>
  <si>
    <t>245</t>
  </si>
  <si>
    <t>243</t>
  </si>
  <si>
    <t>240</t>
  </si>
  <si>
    <t>256</t>
  </si>
  <si>
    <t>274</t>
  </si>
  <si>
    <t>272</t>
  </si>
  <si>
    <t>241</t>
  </si>
  <si>
    <t>244</t>
  </si>
  <si>
    <t>246</t>
  </si>
  <si>
    <t>249</t>
  </si>
  <si>
    <t>247</t>
  </si>
  <si>
    <t>248</t>
  </si>
  <si>
    <t>250</t>
  </si>
  <si>
    <t>251</t>
  </si>
  <si>
    <t>252</t>
  </si>
  <si>
    <t>253</t>
  </si>
  <si>
    <t>263</t>
  </si>
  <si>
    <t>273</t>
  </si>
  <si>
    <t>255</t>
  </si>
  <si>
    <t>266</t>
  </si>
  <si>
    <t>257</t>
  </si>
  <si>
    <t>269</t>
  </si>
  <si>
    <t>268</t>
  </si>
  <si>
    <t>258</t>
  </si>
  <si>
    <t>261</t>
  </si>
  <si>
    <t>259</t>
  </si>
  <si>
    <t>260</t>
  </si>
  <si>
    <t>262</t>
  </si>
  <si>
    <t>264</t>
  </si>
  <si>
    <t>265</t>
  </si>
  <si>
    <t>267</t>
  </si>
  <si>
    <t>270</t>
  </si>
  <si>
    <t>NL01EU-7349</t>
  </si>
  <si>
    <t>20-12-2024</t>
  </si>
  <si>
    <t>NL01JS-2854</t>
  </si>
  <si>
    <t>TIRUPPUR</t>
  </si>
  <si>
    <t>23-12-2024</t>
  </si>
  <si>
    <t>22-12-2024</t>
  </si>
  <si>
    <t>21-12-2024</t>
  </si>
  <si>
    <t>24-12-2024</t>
  </si>
  <si>
    <t>TN69DD-6351</t>
  </si>
  <si>
    <t>20FEET SXL</t>
  </si>
  <si>
    <t>25-12-2024</t>
  </si>
  <si>
    <t>WB19S-1156</t>
  </si>
  <si>
    <t>26-12-204</t>
  </si>
  <si>
    <t>TN37VP-4793</t>
  </si>
  <si>
    <t>TN23PS-7099</t>
  </si>
  <si>
    <t>TN23JM-1648</t>
  </si>
  <si>
    <t>WB23T-7040</t>
  </si>
  <si>
    <t>27-12-2024</t>
  </si>
  <si>
    <t>TN23TA-3043</t>
  </si>
  <si>
    <t>KA51YH-2856</t>
  </si>
  <si>
    <t>NL01BJ-2029</t>
  </si>
  <si>
    <t>JANUARY</t>
  </si>
  <si>
    <t>TN88C-5780</t>
  </si>
  <si>
    <t>SPEED MODE MATERIAL EXTRA CHARGE</t>
  </si>
  <si>
    <t>JANUARY Total</t>
  </si>
  <si>
    <t>HR38JH-8948</t>
  </si>
  <si>
    <t>30-12-2024</t>
  </si>
  <si>
    <t>01-01-2025</t>
  </si>
  <si>
    <t>02-01-2025</t>
  </si>
  <si>
    <t>31-12-2024</t>
  </si>
  <si>
    <t>31-12-2025</t>
  </si>
  <si>
    <t>02-01-2024</t>
  </si>
  <si>
    <t>03-01-2025</t>
  </si>
  <si>
    <t>05-01-2025</t>
  </si>
  <si>
    <t>06-01-2025</t>
  </si>
  <si>
    <t>07-01-2025</t>
  </si>
  <si>
    <t>04-01-2025</t>
  </si>
  <si>
    <t>NARSAPUR938593</t>
  </si>
  <si>
    <t>BOMMANSANDRA,744051</t>
  </si>
  <si>
    <t>NARSAPUR,623178</t>
  </si>
  <si>
    <t>HOSKOTE,997266</t>
  </si>
  <si>
    <t>NARSAPUR,658354</t>
  </si>
  <si>
    <t>NARSAPUR,279330</t>
  </si>
  <si>
    <t>BOMMANSANDRA,374651</t>
  </si>
  <si>
    <t>NARSAPUR,899994</t>
  </si>
  <si>
    <t>NARSAPUR,446554 +BOMMANSANDRA,086207</t>
  </si>
  <si>
    <t>HASSAN,528358</t>
  </si>
  <si>
    <t>NARSAPUR,996563</t>
  </si>
  <si>
    <t>NARSAPUR,621912</t>
  </si>
  <si>
    <t>NARSAPUR,067832</t>
  </si>
  <si>
    <t>NARSAPUR,485795</t>
  </si>
  <si>
    <t>HOSKOTE,262677</t>
  </si>
  <si>
    <t>NARSAPUR,736476 +BOMMANSANDRA,920816 +WHITEFIELD,737211</t>
  </si>
  <si>
    <t>HASSAN,211034</t>
  </si>
  <si>
    <t>NARSAPUR,275537</t>
  </si>
  <si>
    <t>NARSAPUR,062235</t>
  </si>
  <si>
    <t>NARSAPUR,582427</t>
  </si>
  <si>
    <t>HOSKOTE,753671</t>
  </si>
  <si>
    <t>BOMMANSANDRA,276726</t>
  </si>
  <si>
    <t>NARSAPUR,752267</t>
  </si>
  <si>
    <t>NARSAPUR,260845</t>
  </si>
  <si>
    <t>NARSAPUR,368898</t>
  </si>
  <si>
    <t>CLIENT H.O.672956</t>
  </si>
  <si>
    <t>CLIENT H.O.992253</t>
  </si>
  <si>
    <t>ERODE,VENDOR F 974793</t>
  </si>
  <si>
    <t>RANCHI,835393</t>
  </si>
  <si>
    <t>ERODE,824193</t>
  </si>
  <si>
    <t>RANCHI,961661</t>
  </si>
  <si>
    <t>ERODE,436455</t>
  </si>
  <si>
    <t>RANCHI,321493</t>
  </si>
  <si>
    <t>NARSAPUR,119831 +DHL,129397</t>
  </si>
  <si>
    <t>HASSAN,736990</t>
  </si>
  <si>
    <t>DELHI,086754</t>
  </si>
  <si>
    <t>RANCHI,464081</t>
  </si>
  <si>
    <t>RANCHI,351567</t>
  </si>
  <si>
    <t>RANCHI,564313</t>
  </si>
  <si>
    <t>ERODE,207247</t>
  </si>
  <si>
    <t>RANCHI,045804</t>
  </si>
  <si>
    <t>RANCHI,098907</t>
  </si>
  <si>
    <t>275</t>
  </si>
  <si>
    <t>295</t>
  </si>
  <si>
    <t>276</t>
  </si>
  <si>
    <t>286</t>
  </si>
  <si>
    <t>277</t>
  </si>
  <si>
    <t>278</t>
  </si>
  <si>
    <t>299</t>
  </si>
  <si>
    <t>288</t>
  </si>
  <si>
    <t>281</t>
  </si>
  <si>
    <t>282</t>
  </si>
  <si>
    <t>287</t>
  </si>
  <si>
    <t>279</t>
  </si>
  <si>
    <t>290</t>
  </si>
  <si>
    <t>293</t>
  </si>
  <si>
    <t>294</t>
  </si>
  <si>
    <t>280</t>
  </si>
  <si>
    <t>284</t>
  </si>
  <si>
    <t>296</t>
  </si>
  <si>
    <t>WEIGHT-BASED BILLING (PART LOAD)</t>
  </si>
  <si>
    <t>WEIGHT-BASED BILLING (PART LOAD)</t>
  </si>
  <si>
    <t>WEIGHT-BASED BILLING (PART LOAD)</t>
  </si>
  <si>
    <t>283</t>
  </si>
  <si>
    <t>285</t>
  </si>
  <si>
    <t>300</t>
  </si>
  <si>
    <t>292</t>
  </si>
  <si>
    <t>298</t>
  </si>
  <si>
    <t>289</t>
  </si>
  <si>
    <t>291</t>
  </si>
  <si>
    <t>RANCHI,954318</t>
  </si>
  <si>
    <t>297</t>
  </si>
  <si>
    <t>301</t>
  </si>
  <si>
    <t>302</t>
  </si>
  <si>
    <t>303</t>
  </si>
  <si>
    <t>304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</si>
  <si>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</si>
  <si>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</si>
  <si>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</si>
  <si>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</si>
  <si>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</si>
  <si>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305</t>
  </si>
  <si>
    <t>306</t>
  </si>
  <si>
    <t>307</t>
  </si>
  <si>
    <t>308</t>
  </si>
  <si>
    <t>309</t>
  </si>
  <si>
    <t>WEIGHT-BASED BILLING (PART LOAD)</t>
  </si>
  <si>
    <t>TN28GS-8513</t>
  </si>
  <si>
    <t>3rdParty</t>
  </si>
  <si>
    <t>3rdParty Total</t>
  </si>
  <si>
    <t>KA51YH-5410</t>
  </si>
  <si>
    <t>KA01TK-7242</t>
  </si>
  <si>
    <t>11-01-2025</t>
  </si>
  <si>
    <t>13-01-2025</t>
  </si>
  <si>
    <t>09-01-2025</t>
  </si>
  <si>
    <t>10-01-2025</t>
  </si>
  <si>
    <t>12-01-2025</t>
  </si>
  <si>
    <t>TN88AP-5738</t>
  </si>
  <si>
    <t>SPEED MODE MATERIAL EXTRA CHARGE</t>
  </si>
  <si>
    <t>SPEED MODE MATERIAL EXTRA CHARGE</t>
  </si>
  <si>
    <t>14-01-2025</t>
  </si>
  <si>
    <t>NARSAPUR,675258</t>
  </si>
  <si>
    <t>BOMMANSANDRA,586000</t>
  </si>
  <si>
    <t>HASSAN,667138</t>
  </si>
  <si>
    <t>HASSAN,771744</t>
  </si>
  <si>
    <t>NARSAPUR,434292</t>
  </si>
  <si>
    <t>HOSKOTE,497126</t>
  </si>
  <si>
    <t>NARSAPUR,148541</t>
  </si>
  <si>
    <t>NARSAPUR,099242</t>
  </si>
  <si>
    <t>HOSKOTE,983738</t>
  </si>
  <si>
    <t>BOMMANSANDRA,749516</t>
  </si>
  <si>
    <t>NARSAPUR,132098</t>
  </si>
  <si>
    <t>NARSAPUR,133596 +HOSKOTE,543717</t>
  </si>
  <si>
    <t>ERODE,84167</t>
  </si>
  <si>
    <t>RANCHI,618155</t>
  </si>
  <si>
    <t>RANCHI,972850</t>
  </si>
  <si>
    <t>RANCHI,391296</t>
  </si>
  <si>
    <t>310</t>
  </si>
  <si>
    <t>311</t>
  </si>
  <si>
    <t>312</t>
  </si>
  <si>
    <t>WEIGHT-BASED BILLING (PART LOAD)</t>
  </si>
  <si>
    <t>313</t>
  </si>
  <si>
    <t>314</t>
  </si>
  <si>
    <t>315</t>
  </si>
  <si>
    <t>316</t>
  </si>
  <si>
    <t>317</t>
  </si>
  <si>
    <t>318</t>
  </si>
  <si>
    <t>319</t>
  </si>
  <si>
    <t>320</t>
  </si>
  <si>
    <t>TN52NV-9757</t>
  </si>
  <si>
    <t>15-01-2025</t>
  </si>
  <si>
    <t>16-01-2025</t>
  </si>
  <si>
    <t>17-01-2025</t>
  </si>
  <si>
    <t>18-01-2025</t>
  </si>
  <si>
    <t>WB17K-6927</t>
  </si>
  <si>
    <t>HR38JH-3535</t>
  </si>
  <si>
    <t>KA52W-9693</t>
  </si>
  <si>
    <t>20-01-2025</t>
  </si>
  <si>
    <t>21-01-2025</t>
  </si>
  <si>
    <t>23-01-2025</t>
  </si>
  <si>
    <t>22-01-2025</t>
  </si>
  <si>
    <t>HR38K-6331</t>
  </si>
  <si>
    <t>WB19C-1091</t>
  </si>
  <si>
    <t>NARSAPUR,382994</t>
  </si>
  <si>
    <t>NARSAPUR,048049</t>
  </si>
  <si>
    <t>BOMMANSANDRA,733948</t>
  </si>
  <si>
    <t>NARSAPUR,402678</t>
  </si>
  <si>
    <t>BOMMANSANDRA,289751</t>
  </si>
  <si>
    <t>NARSAPUR,915780</t>
  </si>
  <si>
    <t>NARSAPUR,163943</t>
  </si>
  <si>
    <t>NARSAPUR,981225</t>
  </si>
  <si>
    <t>BOMMANSANDRA,341667</t>
  </si>
  <si>
    <t>NARSAPUR,818826</t>
  </si>
  <si>
    <t>HOSKOTE,288282</t>
  </si>
  <si>
    <t>BOMMANSANDRA,233442</t>
  </si>
  <si>
    <t>NARSAPUR,857862 +HOSKOTE,084746</t>
  </si>
  <si>
    <t>BOMMANSANDRA,301858</t>
  </si>
  <si>
    <t>NARSAPUR ,616947 +HOSKOTE,625282</t>
  </si>
  <si>
    <t>BOMMANSANDRA,185472</t>
  </si>
  <si>
    <t>NARSAPUR,860613</t>
  </si>
  <si>
    <t>NARSAPUR,549231</t>
  </si>
  <si>
    <t>HOSKOTE,958755</t>
  </si>
  <si>
    <t>ERODE,321411</t>
  </si>
  <si>
    <t>RANCHI,076187</t>
  </si>
  <si>
    <t>RANCHI,970746</t>
  </si>
  <si>
    <t>RANCHI,051095</t>
  </si>
  <si>
    <t>RANCHI,622648</t>
  </si>
  <si>
    <t>MISC NOTE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</si>
  <si>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</si>
  <si>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</si>
  <si>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</si>
  <si>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</si>
  <si>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</si>
  <si>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</si>
  <si>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</si>
  <si>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</si>
  <si>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</si>
  <si>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</si>
  <si>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</si>
  <si>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</si>
  <si>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KA50K-8206</t>
  </si>
  <si>
    <t>LORRY HALTING - EXTRA CHARGE</t>
  </si>
  <si>
    <t>Transporter 25</t>
  </si>
  <si>
    <t>25-01-2025</t>
  </si>
  <si>
    <t>27-01-2025</t>
  </si>
  <si>
    <t>WB11L-6220</t>
  </si>
  <si>
    <t>MP09GC-4181</t>
  </si>
  <si>
    <t>PATNA</t>
  </si>
  <si>
    <t>TN21DA-8801</t>
  </si>
  <si>
    <t>NL01DJ-8442</t>
  </si>
  <si>
    <t>WB17-5925</t>
  </si>
  <si>
    <t>FEBRUARY</t>
  </si>
  <si>
    <t>SPEED MODE MATERIAL EXTRA CHARGE</t>
  </si>
  <si>
    <t>Transporter 27</t>
  </si>
  <si>
    <t>Transporter 26</t>
  </si>
  <si>
    <t>28-01-2025</t>
  </si>
  <si>
    <t>26-01-2025</t>
  </si>
  <si>
    <t>31-01-2025</t>
  </si>
  <si>
    <t>29-01-2025</t>
  </si>
  <si>
    <t>29-01-225</t>
  </si>
  <si>
    <t>30-01-2025</t>
  </si>
  <si>
    <t>01-02-2025</t>
  </si>
  <si>
    <t>03-02-2025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</si>
  <si>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</si>
  <si>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</si>
  <si>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</si>
  <si>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</si>
  <si>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</si>
  <si>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</si>
  <si>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</si>
  <si>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</si>
  <si>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</si>
  <si>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FEBRUARY Total</t>
  </si>
  <si>
    <t>NARSAPUR,016752</t>
  </si>
  <si>
    <t>NARSAPUR ,991716 +HOSKOTE,799463</t>
  </si>
  <si>
    <t>BOMMANSANDRA,955323</t>
  </si>
  <si>
    <t>NARSAPUR,454431</t>
  </si>
  <si>
    <t>NARSAPUR,785314</t>
  </si>
  <si>
    <t>HOSKOTE,126081</t>
  </si>
  <si>
    <t>BOMMANSANDRA,093824</t>
  </si>
  <si>
    <t>NARSAPUR,961661</t>
  </si>
  <si>
    <t>HOSKOTE,453178</t>
  </si>
  <si>
    <t>BOMMANSANDRA,953302</t>
  </si>
  <si>
    <t>NARSAPUR,982468</t>
  </si>
  <si>
    <t>NARSAPUR,274222</t>
  </si>
  <si>
    <t>NARSAPUR,547661</t>
  </si>
  <si>
    <t>NARSAPUR,193884</t>
  </si>
  <si>
    <t>NARSAPUR,755974</t>
  </si>
  <si>
    <t>NARSAPUR,926217</t>
  </si>
  <si>
    <t>BOMMANSANDRA,481932 +NARSAPUR,712660</t>
  </si>
  <si>
    <t>NARSAPUR,934476</t>
  </si>
  <si>
    <t>RANCHI,511408</t>
  </si>
  <si>
    <t>ERODE,296480</t>
  </si>
  <si>
    <t>RANCHI,472876</t>
  </si>
  <si>
    <t>VENDOR F ERODE,478450</t>
  </si>
  <si>
    <t>RANCHI,503034</t>
  </si>
  <si>
    <t>RANCHI,172796</t>
  </si>
  <si>
    <t>RANCHI,924832</t>
  </si>
  <si>
    <t>DODABALLAPUR,746521</t>
  </si>
  <si>
    <t>RANCHI,164614</t>
  </si>
  <si>
    <t>333</t>
  </si>
  <si>
    <t>334</t>
  </si>
  <si>
    <t>335</t>
  </si>
  <si>
    <t>340</t>
  </si>
  <si>
    <t>351</t>
  </si>
  <si>
    <t>336</t>
  </si>
  <si>
    <t>337</t>
  </si>
  <si>
    <t>339</t>
  </si>
  <si>
    <t>338</t>
  </si>
  <si>
    <t>341</t>
  </si>
  <si>
    <t>354</t>
  </si>
  <si>
    <t>346</t>
  </si>
  <si>
    <t>352</t>
  </si>
  <si>
    <t>342</t>
  </si>
  <si>
    <t>343</t>
  </si>
  <si>
    <t>344</t>
  </si>
  <si>
    <t>345</t>
  </si>
  <si>
    <t>359</t>
  </si>
  <si>
    <t>347</t>
  </si>
  <si>
    <t>355</t>
  </si>
  <si>
    <t>350</t>
  </si>
  <si>
    <t>348</t>
  </si>
  <si>
    <t>349</t>
  </si>
  <si>
    <t>353</t>
  </si>
  <si>
    <t>356</t>
  </si>
  <si>
    <t>357</t>
  </si>
  <si>
    <t>VENDOR V ,253495 +VENDOR U ,960808+DODABALLAPUR,589142</t>
  </si>
  <si>
    <t>RANCHI,911472</t>
  </si>
  <si>
    <t>DODABALLAPUR,473499</t>
  </si>
  <si>
    <t>358</t>
  </si>
  <si>
    <t>360</t>
  </si>
  <si>
    <t>361</t>
  </si>
  <si>
    <t>DL1GB-5370</t>
  </si>
  <si>
    <t>05-02-2025</t>
  </si>
  <si>
    <t>04-02-2025</t>
  </si>
  <si>
    <t>TN88S-3048</t>
  </si>
  <si>
    <t>07-02-2025</t>
  </si>
  <si>
    <t>SPEED MODE MATERIAL EXTRA CHARGE</t>
  </si>
  <si>
    <t>TN12PL-2365</t>
  </si>
  <si>
    <t>JK05ES-2703</t>
  </si>
  <si>
    <t>08-02-2025</t>
  </si>
  <si>
    <t>10-02-2025</t>
  </si>
  <si>
    <t>TN97L-3202</t>
  </si>
  <si>
    <t>AP39HV-5498</t>
  </si>
  <si>
    <t>LUDHIANA,457470</t>
  </si>
  <si>
    <t>NARSAPUR 361215 + HOSKOTE 107716</t>
  </si>
  <si>
    <t>BOMMANSANDRA,195005</t>
  </si>
  <si>
    <t>NARSAPUR,380938</t>
  </si>
  <si>
    <t>NARSAPUR,353107</t>
  </si>
  <si>
    <t>BOMMANSANDRA,075974</t>
  </si>
  <si>
    <t>NARSAPUR 395791+HOSKOTE 006106 +TIRUPPUR</t>
  </si>
  <si>
    <t>BOMMANSANDRA,481618</t>
  </si>
  <si>
    <t>NARSAPUR,301824</t>
  </si>
  <si>
    <t>HOSKOTE,741244</t>
  </si>
  <si>
    <t>BOMMANSANDRA,042223</t>
  </si>
  <si>
    <t>NARSAPUR,279405</t>
  </si>
  <si>
    <t>RANCHI,514279</t>
  </si>
  <si>
    <t>RANCHI,844125</t>
  </si>
  <si>
    <t>362</t>
  </si>
  <si>
    <t>363</t>
  </si>
  <si>
    <t>364</t>
  </si>
  <si>
    <t>365</t>
  </si>
  <si>
    <t>366</t>
  </si>
  <si>
    <t>367</t>
  </si>
  <si>
    <t>368</t>
  </si>
  <si>
    <t>RANCHI,056906</t>
  </si>
  <si>
    <t>VENDOR F ERODE,093758</t>
  </si>
  <si>
    <t>369</t>
  </si>
  <si>
    <t>370</t>
  </si>
  <si>
    <t>371</t>
  </si>
  <si>
    <t>KA52W-0583</t>
  </si>
  <si>
    <t>WB19C-4587</t>
  </si>
  <si>
    <t>KA52W-3558</t>
  </si>
  <si>
    <t>TN03P-7223</t>
  </si>
  <si>
    <t>TN02PM-3513</t>
  </si>
  <si>
    <t>VENDOR F</t>
  </si>
  <si>
    <t>TN87J-9423</t>
  </si>
  <si>
    <t>KA50K-1403</t>
  </si>
  <si>
    <t>MH46JT-7405</t>
  </si>
  <si>
    <t>HR61T-4936</t>
  </si>
  <si>
    <t>KA27W-8395</t>
  </si>
  <si>
    <t>TN93R-4644</t>
  </si>
  <si>
    <t>WB05J-8975</t>
  </si>
  <si>
    <t>11-02-2025</t>
  </si>
  <si>
    <t>12-02-2025</t>
  </si>
  <si>
    <t>13-02-2025</t>
  </si>
  <si>
    <t>14-02-2025</t>
  </si>
  <si>
    <t>15-02-2025</t>
  </si>
  <si>
    <t>17-02-2025</t>
  </si>
  <si>
    <t>16-02-2025</t>
  </si>
  <si>
    <t>18-02-2025</t>
  </si>
  <si>
    <t>19-02-2025</t>
  </si>
  <si>
    <t>20-02-2025</t>
  </si>
  <si>
    <t>TN37VP-9118</t>
  </si>
  <si>
    <t>NL01DJ-0164</t>
  </si>
  <si>
    <t>TN42BX-2964</t>
  </si>
  <si>
    <t>24-02-2025</t>
  </si>
  <si>
    <t>25-02-2025</t>
  </si>
  <si>
    <t>22-02-2025</t>
  </si>
  <si>
    <t>23-02-2025</t>
  </si>
  <si>
    <t>NARSAPUR,233059</t>
  </si>
  <si>
    <t>BOMMANSANDRA,455460</t>
  </si>
  <si>
    <t>HOSKOTE,419115</t>
  </si>
  <si>
    <t>NARSAPUR 712703 + HOSKOTE 850611</t>
  </si>
  <si>
    <t>BOMMANSANDRA 506553</t>
  </si>
  <si>
    <t>NARSAPUR 966952</t>
  </si>
  <si>
    <t>BOMMANSANDRA 921467</t>
  </si>
  <si>
    <t>HOSKOTE 045547</t>
  </si>
  <si>
    <t>BOMMANSANDRA 472421</t>
  </si>
  <si>
    <t>NARSAPUR 734368</t>
  </si>
  <si>
    <t>NARSAPUR 705075 + HOSKOTE 818532</t>
  </si>
  <si>
    <t>BOMMANSANDRA 117744</t>
  </si>
  <si>
    <t>NARSAPUR 995352 + HOSKOTE 042065</t>
  </si>
  <si>
    <t>BOMMANSANDRA 938257</t>
  </si>
  <si>
    <t>NARSAPUR 259884</t>
  </si>
  <si>
    <t>HOSKOTE 252530</t>
  </si>
  <si>
    <t>NARSAPUR 162634 + HOSKOTE 933950</t>
  </si>
  <si>
    <t>BOMMANSANDRA 681771</t>
  </si>
  <si>
    <t>NARSAPUR 133873</t>
  </si>
  <si>
    <t>NARSAPUR 893394 + HOSKOTE 561705</t>
  </si>
  <si>
    <t>BOMMANSANDRA 421762</t>
  </si>
  <si>
    <t>NARSAPUR 070726</t>
  </si>
  <si>
    <t>HOSKOTE 04517</t>
  </si>
  <si>
    <t>NARSAPUR 718079</t>
  </si>
  <si>
    <t>NARSAPUR 373366</t>
  </si>
  <si>
    <t>NARSAPUR 318942</t>
  </si>
  <si>
    <t>HOSKOTE 022464</t>
  </si>
  <si>
    <t>NARSAPUR 141555</t>
  </si>
  <si>
    <t>BOMMANSANDRA 786716</t>
  </si>
  <si>
    <t>DODABALLAPUR 561248</t>
  </si>
  <si>
    <t>RANCHI 949855</t>
  </si>
  <si>
    <t>RANCHI 081831</t>
  </si>
  <si>
    <t>RANCHI 152212</t>
  </si>
  <si>
    <t>ERODE 446506</t>
  </si>
  <si>
    <t>RANCHI 223523</t>
  </si>
  <si>
    <t>RANCHI 866806</t>
  </si>
  <si>
    <t>NARSAPUR 415939</t>
  </si>
  <si>
    <t>RANCHI 492257</t>
  </si>
  <si>
    <t>NARSAPUR ,256719</t>
  </si>
  <si>
    <t>HOSKOTE 515665</t>
  </si>
  <si>
    <t>RANCHI 466029</t>
  </si>
  <si>
    <t>373</t>
  </si>
  <si>
    <t>383</t>
  </si>
  <si>
    <t>374</t>
  </si>
  <si>
    <t>384</t>
  </si>
  <si>
    <t>395</t>
  </si>
  <si>
    <t>376</t>
  </si>
  <si>
    <t>380</t>
  </si>
  <si>
    <t>375</t>
  </si>
  <si>
    <t>385</t>
  </si>
  <si>
    <t>387</t>
  </si>
  <si>
    <t>398</t>
  </si>
  <si>
    <t>388</t>
  </si>
  <si>
    <t>378</t>
  </si>
  <si>
    <t>377</t>
  </si>
  <si>
    <t>392</t>
  </si>
  <si>
    <t>379</t>
  </si>
  <si>
    <t>390</t>
  </si>
  <si>
    <t>381</t>
  </si>
  <si>
    <t>382</t>
  </si>
  <si>
    <t>386</t>
  </si>
  <si>
    <t>389</t>
  </si>
  <si>
    <t>391</t>
  </si>
  <si>
    <t>393</t>
  </si>
  <si>
    <t>394</t>
  </si>
  <si>
    <t>396</t>
  </si>
  <si>
    <t>397</t>
  </si>
  <si>
    <t>399</t>
  </si>
  <si>
    <t>KA05TT-6307</t>
  </si>
  <si>
    <t>KA51K-8128</t>
  </si>
  <si>
    <t>MYSORE</t>
  </si>
  <si>
    <t>MARCH</t>
  </si>
  <si>
    <t>01-03-2025</t>
  </si>
  <si>
    <t>TN88Z-9167</t>
  </si>
  <si>
    <t>NL01JS-5216</t>
  </si>
  <si>
    <t>KOLKATA</t>
  </si>
  <si>
    <t>27-02-2025</t>
  </si>
  <si>
    <t>26-02-2025</t>
  </si>
  <si>
    <t>28-02-2025</t>
  </si>
  <si>
    <t xml:space="preserve">Transporter 28 </t>
  </si>
  <si>
    <t>MARCH Total</t>
  </si>
  <si>
    <t>LOCAL VEHICLE / LOCAL PICK-UP</t>
  </si>
  <si>
    <t>KA22W-8015</t>
  </si>
  <si>
    <t>KA59-4493</t>
  </si>
  <si>
    <t xml:space="preserve">Transporter 29 </t>
  </si>
  <si>
    <t>WEIGHT-BASED BILLING (PART LOAD)</t>
  </si>
  <si>
    <t>WEIGHT-BASED BILLING (PART LOAD)</t>
  </si>
  <si>
    <t>WEIGHT-BASED BILLING (PART LOAD)</t>
  </si>
  <si>
    <t>WEIGHT-BASED BILLING (PART LOAD)</t>
  </si>
  <si>
    <t>WEIGHT-BASED BILLING (PART LOAD)</t>
  </si>
  <si>
    <t>29-02-2025</t>
  </si>
  <si>
    <t>WEIGHT-BASED BILLING (PART LOAD)</t>
  </si>
  <si>
    <t>TN88R-3691</t>
  </si>
  <si>
    <t xml:space="preserve">LOCAL </t>
  </si>
  <si>
    <t>FACTORY</t>
  </si>
  <si>
    <t>JH0KM-4371</t>
  </si>
  <si>
    <t>20-03-2025</t>
  </si>
  <si>
    <t>21-03-2025</t>
  </si>
  <si>
    <t>JH01MJ-4160</t>
  </si>
  <si>
    <t>TETRI RAMPUR</t>
  </si>
  <si>
    <t>14FEET</t>
  </si>
  <si>
    <t>27-03-2025</t>
  </si>
  <si>
    <t>NARSAPUR,285737</t>
  </si>
  <si>
    <t>NARSAPUR,294025</t>
  </si>
  <si>
    <t>NARSAPUR,886719</t>
  </si>
  <si>
    <t>HOSKOTE,062937</t>
  </si>
  <si>
    <t>NARSAPUR,444052</t>
  </si>
  <si>
    <t>BOMMANSANDRA,238666</t>
  </si>
  <si>
    <t>HOSKOTE,912051</t>
  </si>
  <si>
    <t>NARSAPUR 372802 + HOSKOTE 300126</t>
  </si>
  <si>
    <t>BOMMANSANDRA 761602</t>
  </si>
  <si>
    <t>NARSAPUR 323264</t>
  </si>
  <si>
    <t>HOSKOTE 809696</t>
  </si>
  <si>
    <t>NARSAPUR 813020</t>
  </si>
  <si>
    <t>HOSKOTE 846755</t>
  </si>
  <si>
    <t>BOMMANSANDRA 677193</t>
  </si>
  <si>
    <t>NARSAPUR 230243</t>
  </si>
  <si>
    <t>NARSAPUR 180778 + HOSKOTE 888780</t>
  </si>
  <si>
    <t>BOMMANSANDRA 076718</t>
  </si>
  <si>
    <t>NARSAPUR 830384</t>
  </si>
  <si>
    <t>HOSKOTE 351709</t>
  </si>
  <si>
    <t>NARSAPUR 43610</t>
  </si>
  <si>
    <t>NARSAPUR 738194 + HOSKOTE 481413</t>
  </si>
  <si>
    <t>BOMMANSANDRA 391356</t>
  </si>
  <si>
    <t>RANCHI 495462</t>
  </si>
  <si>
    <t>RANCHI 193072.909</t>
  </si>
  <si>
    <t>RANCHI 971150</t>
  </si>
  <si>
    <t>03-03-2025</t>
  </si>
  <si>
    <t>04-03-2025</t>
  </si>
  <si>
    <t>05-03-2025</t>
  </si>
  <si>
    <t>07-03-2025</t>
  </si>
  <si>
    <t>RANCHI ,458639</t>
  </si>
  <si>
    <t>TAIMARA RANCHI,424286</t>
  </si>
  <si>
    <t>RAMPUR RANCHI ,543545</t>
  </si>
  <si>
    <t>RAMPUR RANCHI ,020009</t>
  </si>
  <si>
    <t>RAMPUR RANCHI ,245345</t>
  </si>
  <si>
    <t>FACTORY,258593</t>
  </si>
  <si>
    <t>RANCHI ,132346</t>
  </si>
  <si>
    <t>400</t>
  </si>
  <si>
    <t>401</t>
  </si>
  <si>
    <t>402</t>
  </si>
  <si>
    <t>403</t>
  </si>
  <si>
    <t>404</t>
  </si>
  <si>
    <t>405</t>
  </si>
  <si>
    <t>406</t>
  </si>
  <si>
    <t>423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</si>
  <si>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</si>
  <si>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</si>
  <si>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</si>
  <si>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</si>
  <si>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</si>
  <si>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</si>
  <si>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</si>
  <si>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</si>
  <si>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</si>
  <si>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</si>
  <si>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</si>
  <si>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</si>
  <si>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</si>
  <si>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</si>
  <si>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</si>
  <si>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</si>
  <si>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424</t>
  </si>
  <si>
    <t>RANCHI ,327710</t>
  </si>
  <si>
    <t>MYSORE ,350412</t>
  </si>
  <si>
    <t>425</t>
  </si>
  <si>
    <t>426</t>
  </si>
  <si>
    <t>WB11U-0361</t>
  </si>
  <si>
    <t>JH01KD-2417</t>
  </si>
  <si>
    <t>WB17K-1385</t>
  </si>
  <si>
    <t>JH01KD-6142</t>
  </si>
  <si>
    <t>NL01BJ-8597</t>
  </si>
  <si>
    <t>KA55W-2384</t>
  </si>
  <si>
    <t>TN52R-5693</t>
  </si>
  <si>
    <t>JH01KD-3958</t>
  </si>
  <si>
    <t>KA51BJ-8743</t>
  </si>
  <si>
    <t>KA41T-9739</t>
  </si>
  <si>
    <t>JH01KD-0526</t>
  </si>
  <si>
    <t>RANCHI,763531</t>
  </si>
  <si>
    <t>DODABALLAPUR,044016</t>
  </si>
  <si>
    <t>NARSAPUR,787241</t>
  </si>
  <si>
    <t>NARSAPUR,915516</t>
  </si>
  <si>
    <t>NARSAPUR 105730 + HOSKOTE 616903</t>
  </si>
  <si>
    <t>BOMMANSANDRA 305971</t>
  </si>
  <si>
    <t>NARSAPUR 972773</t>
  </si>
  <si>
    <t>BOMMANSANDRA 434231</t>
  </si>
  <si>
    <t>NARSAPUR 415551</t>
  </si>
  <si>
    <t>BOMMANSANDRA 670850</t>
  </si>
  <si>
    <t>NARSAPUR 659292</t>
  </si>
  <si>
    <t>HOSKOTE 007988 + BOMMANSANDRA 206270</t>
  </si>
  <si>
    <t>RANCHI 496906</t>
  </si>
  <si>
    <t>NARSAPUR 390400</t>
  </si>
  <si>
    <t>HOSKOTE 432234</t>
  </si>
  <si>
    <t>NARSAPUR 485428</t>
  </si>
  <si>
    <t>HOSKOTE 067649</t>
  </si>
  <si>
    <t>NARSAPUR 757621</t>
  </si>
  <si>
    <t>NARSAPUR 694311</t>
  </si>
  <si>
    <t>HOSKOTE 356842 + BOMMANSANDRA 228810</t>
  </si>
  <si>
    <t>NARSAPUR 420868</t>
  </si>
  <si>
    <t>HOSKOTE 526749</t>
  </si>
  <si>
    <t>NARSAPUR 120248</t>
  </si>
  <si>
    <t>NARSAPUR 810183</t>
  </si>
  <si>
    <t>HOSKOTE 033439 + BOMMANSANDRA 606463</t>
  </si>
  <si>
    <t>NARSAPUR 513235</t>
  </si>
  <si>
    <t>NARSAPUR 849471</t>
  </si>
  <si>
    <t>BOMMANSANDRA 969915</t>
  </si>
  <si>
    <t>NARSAPUR 43482</t>
  </si>
  <si>
    <t>HOSKOTE 800601+ BOMMANSANDRA 112143</t>
  </si>
  <si>
    <t>NARSAPUR 791092</t>
  </si>
  <si>
    <t>NARSAPUR 015332</t>
  </si>
  <si>
    <t>BOMMANSANDRA 826317</t>
  </si>
  <si>
    <t>NARSAPUR 472893</t>
  </si>
  <si>
    <t>HOSKOTE 072241 + BOMMANSANDRA 564582</t>
  </si>
  <si>
    <t>NARSAPUR 092075</t>
  </si>
  <si>
    <t>NARSAPUR 548396</t>
  </si>
  <si>
    <t>BOMMANSANDRA 618110</t>
  </si>
  <si>
    <t>RANCHI 993202</t>
  </si>
  <si>
    <t>RANCHI 095046</t>
  </si>
  <si>
    <t>HOSKOTE 122487</t>
  </si>
  <si>
    <t>08-03-2025</t>
  </si>
  <si>
    <t>10-03-2025</t>
  </si>
  <si>
    <t>18-03-2025</t>
  </si>
  <si>
    <t>12-03-2025</t>
  </si>
  <si>
    <t>29-03-2025</t>
  </si>
  <si>
    <t>11-03-2025</t>
  </si>
  <si>
    <t>31-03-2025</t>
  </si>
  <si>
    <t>22-03-2025</t>
  </si>
  <si>
    <t>14-03-2025</t>
  </si>
  <si>
    <t>15-03-2025</t>
  </si>
  <si>
    <t>17-03-2025</t>
  </si>
  <si>
    <t>24-03-2025</t>
  </si>
  <si>
    <t>25-03-2025</t>
  </si>
  <si>
    <t>26-03-2025</t>
  </si>
  <si>
    <t>30-03-2025</t>
  </si>
  <si>
    <t>01-04-2025</t>
  </si>
  <si>
    <t>RANCHI  698017</t>
  </si>
  <si>
    <t>RANCHI 444052</t>
  </si>
  <si>
    <t>RANCHI  273208</t>
  </si>
  <si>
    <t>RANCHI  550430</t>
  </si>
  <si>
    <t>RANCHI 755257</t>
  </si>
  <si>
    <t>RANCHI 455906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</si>
  <si>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</si>
  <si>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</si>
  <si>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</si>
  <si>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</si>
  <si>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</si>
  <si>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</si>
  <si>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</si>
  <si>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</si>
  <si>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</si>
  <si>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</si>
  <si>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</si>
  <si>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</si>
  <si>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</si>
  <si>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</si>
  <si>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</si>
  <si>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</si>
  <si>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</si>
  <si>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445</t>
  </si>
  <si>
    <t>444</t>
  </si>
  <si>
    <t>446</t>
  </si>
  <si>
    <t>447</t>
  </si>
  <si>
    <t>448</t>
  </si>
  <si>
    <t>449</t>
  </si>
  <si>
    <t>450</t>
  </si>
  <si>
    <t>451</t>
  </si>
  <si>
    <t>452</t>
  </si>
  <si>
    <t>WEIGHT-BASED BILLING (PART LOAD)</t>
  </si>
  <si>
    <t>NARSAPUR ,026712</t>
  </si>
  <si>
    <t>453</t>
  </si>
  <si>
    <t>454</t>
  </si>
  <si>
    <t>455</t>
  </si>
  <si>
    <t>RANCHI 669233</t>
  </si>
  <si>
    <t>456</t>
  </si>
  <si>
    <t>457</t>
  </si>
  <si>
    <t>458</t>
  </si>
  <si>
    <t>459</t>
  </si>
  <si>
    <t>03-04-2025</t>
  </si>
  <si>
    <t>02-04-2025</t>
  </si>
  <si>
    <t>APRIL</t>
  </si>
  <si>
    <t>APRIL Total</t>
  </si>
  <si>
    <t>05-04-2025</t>
  </si>
  <si>
    <t>07-04-2025</t>
  </si>
  <si>
    <t>JH01KM-0526</t>
  </si>
  <si>
    <t>08-04-2025</t>
  </si>
  <si>
    <t>10-04-2025</t>
  </si>
  <si>
    <t>11-04-2025</t>
  </si>
  <si>
    <t>12-04-2025</t>
  </si>
  <si>
    <t>14-04-2025</t>
  </si>
  <si>
    <t>13-04-2025</t>
  </si>
  <si>
    <t>HASSAN,776429</t>
  </si>
  <si>
    <t>NARSAPUR 523259 + HOSKOTE 090962</t>
  </si>
  <si>
    <t>BOMMANSANDRA 192700</t>
  </si>
  <si>
    <t>NARSAPUR 330575 + HOSKOTE 273370</t>
  </si>
  <si>
    <t>BOMMANSANDRA 479151</t>
  </si>
  <si>
    <t>NARSAPUR 581302</t>
  </si>
  <si>
    <t>NARSAPUR 707127</t>
  </si>
  <si>
    <t>NARSAPUR 993583</t>
  </si>
  <si>
    <t>HOSKOTE 670397 + BOMMANSANDRA 212818</t>
  </si>
  <si>
    <t>NARSAPUR 912458</t>
  </si>
  <si>
    <t>BOMMANSANDRA 098966</t>
  </si>
  <si>
    <t>NARSAPUR 315951</t>
  </si>
  <si>
    <t>HOSKOTE 050428</t>
  </si>
  <si>
    <t>NARSAPUR 692273</t>
  </si>
  <si>
    <t>NARSAPUR 001181</t>
  </si>
  <si>
    <t>NARSAPUR 040896</t>
  </si>
  <si>
    <t>HOSKOTE 458163</t>
  </si>
  <si>
    <t>RANCHI 897132/52</t>
  </si>
  <si>
    <t>RANCHI 493089</t>
  </si>
  <si>
    <t>RANCHI 772314</t>
  </si>
  <si>
    <t>RANCHI 326352</t>
  </si>
  <si>
    <t>RANCHI 675839</t>
  </si>
  <si>
    <t>RANCHI 871841</t>
  </si>
  <si>
    <t xml:space="preserve">VENDOR G 550430 + VENDOR U 273208+VENDOR V </t>
  </si>
  <si>
    <t>460</t>
  </si>
  <si>
    <t xml:space="preserve">UP AND DOWN </t>
  </si>
  <si>
    <t>JAMTARA</t>
  </si>
  <si>
    <t>461</t>
  </si>
  <si>
    <t>462</t>
  </si>
  <si>
    <t>464</t>
  </si>
  <si>
    <t>465</t>
  </si>
  <si>
    <t>469</t>
  </si>
  <si>
    <t>463</t>
  </si>
  <si>
    <t>466</t>
  </si>
  <si>
    <t>467</t>
  </si>
  <si>
    <t>468</t>
  </si>
  <si>
    <t>470</t>
  </si>
  <si>
    <t>471</t>
  </si>
  <si>
    <t xml:space="preserve">VENDOR U 912051+ VENDOR V 238666 </t>
  </si>
  <si>
    <t>472</t>
  </si>
  <si>
    <t>473</t>
  </si>
  <si>
    <t>475</t>
  </si>
  <si>
    <t>474</t>
  </si>
  <si>
    <t>476</t>
  </si>
  <si>
    <t>477</t>
  </si>
  <si>
    <t>478</t>
  </si>
  <si>
    <t>479</t>
  </si>
  <si>
    <t>KA51DJ-8656</t>
  </si>
  <si>
    <t>15-04-2025</t>
  </si>
  <si>
    <t>32FFET</t>
  </si>
  <si>
    <t>TN15GN-0844</t>
  </si>
  <si>
    <t>KRISHNAGIRI</t>
  </si>
  <si>
    <t>MARKET LOAD - BALANCE PENDING</t>
  </si>
  <si>
    <t>NEELMANLGA</t>
  </si>
  <si>
    <t>16-04-2025</t>
  </si>
  <si>
    <t>17-04-2025</t>
  </si>
  <si>
    <t>18-04-2025</t>
  </si>
  <si>
    <t>19-04-2025</t>
  </si>
  <si>
    <t xml:space="preserve">32FEET </t>
  </si>
  <si>
    <t>BIHAR SHARIF</t>
  </si>
  <si>
    <t>21-04-2025</t>
  </si>
  <si>
    <t>22-04-2025</t>
  </si>
  <si>
    <t>BALANCE PENDING</t>
  </si>
  <si>
    <t>MARKET LOAD - BALANCE PENDING</t>
  </si>
  <si>
    <t>KA51GM-8301</t>
  </si>
  <si>
    <t>23-04-2025</t>
  </si>
  <si>
    <t>24-04-2025</t>
  </si>
  <si>
    <t>25-04-2025</t>
  </si>
  <si>
    <t>26-04-2025</t>
  </si>
  <si>
    <t>NARSAPUR,355752</t>
  </si>
  <si>
    <t>HOSKOTE,361223</t>
  </si>
  <si>
    <t>NARSAPUR,428071</t>
  </si>
  <si>
    <t>NARSAPUR,547681</t>
  </si>
  <si>
    <t>HOSKOTE,591021</t>
  </si>
  <si>
    <t>NARSAPUR,978859</t>
  </si>
  <si>
    <t>HOSKOTE,799812</t>
  </si>
  <si>
    <t>NARSAPUR,220778</t>
  </si>
  <si>
    <t>HOSKOTE,309569</t>
  </si>
  <si>
    <t>NARSAPUR,924978</t>
  </si>
  <si>
    <t>NARSAPUR,377409</t>
  </si>
  <si>
    <t>HOSKOTE,117789</t>
  </si>
  <si>
    <t>NARSAPUR,775374</t>
  </si>
  <si>
    <t>HOSKOTE,445798</t>
  </si>
  <si>
    <t>NARSAPUR,191846</t>
  </si>
  <si>
    <t>HOSKOTE,179349</t>
  </si>
  <si>
    <t>NARSAPUR,680488</t>
  </si>
  <si>
    <t>HOSKOTE,515231</t>
  </si>
  <si>
    <t>NARSAPUR,137675</t>
  </si>
  <si>
    <t>NARSAPUR,483706</t>
  </si>
  <si>
    <t>HOSKOTE,449101</t>
  </si>
  <si>
    <t>NARSAPUR,683859</t>
  </si>
  <si>
    <t>RANCHI,830137</t>
  </si>
  <si>
    <t>RANCHI,256601</t>
  </si>
  <si>
    <t>VENDOR F,ERODE,479880</t>
  </si>
  <si>
    <t>RANCHI,189762</t>
  </si>
  <si>
    <t>RANCHI,465907</t>
  </si>
  <si>
    <t>RANCHI,335475</t>
  </si>
  <si>
    <t>480</t>
  </si>
  <si>
    <t>490</t>
  </si>
  <si>
    <t>481</t>
  </si>
  <si>
    <t>491</t>
  </si>
  <si>
    <t>482</t>
  </si>
  <si>
    <t>483</t>
  </si>
  <si>
    <t>494</t>
  </si>
  <si>
    <t>484</t>
  </si>
  <si>
    <t>485</t>
  </si>
  <si>
    <t>486</t>
  </si>
  <si>
    <t>493</t>
  </si>
  <si>
    <t>487</t>
  </si>
  <si>
    <t>488</t>
  </si>
  <si>
    <t>489</t>
  </si>
  <si>
    <t>492</t>
  </si>
  <si>
    <t>495</t>
  </si>
  <si>
    <t>496</t>
  </si>
  <si>
    <t>497</t>
  </si>
  <si>
    <t>RANCHI,541114</t>
  </si>
  <si>
    <t>498</t>
  </si>
  <si>
    <t>-</t>
  </si>
  <si>
    <t>28-04-2025</t>
  </si>
  <si>
    <t>TN12P-0811</t>
  </si>
  <si>
    <t>KA52K-1952</t>
  </si>
  <si>
    <t>HR38K-7197</t>
  </si>
  <si>
    <t>29-04-2025</t>
  </si>
  <si>
    <t>09-05-2025</t>
  </si>
  <si>
    <t>19-05-2025</t>
  </si>
  <si>
    <t>30-04-2025</t>
  </si>
  <si>
    <t>03-05-2025</t>
  </si>
  <si>
    <t>02-05-2025</t>
  </si>
  <si>
    <t>04-05-2025</t>
  </si>
  <si>
    <t>05-05-2025</t>
  </si>
  <si>
    <t>06-05-2025</t>
  </si>
  <si>
    <t>13-05-2025</t>
  </si>
  <si>
    <t>16-05-2025</t>
  </si>
  <si>
    <t>12-05-2025</t>
  </si>
  <si>
    <t>10-05-2025</t>
  </si>
  <si>
    <t>14-05-2025</t>
  </si>
  <si>
    <t>17-05-2025</t>
  </si>
  <si>
    <t>01-05-2025 Total</t>
  </si>
  <si>
    <t>OD07V-0007</t>
  </si>
  <si>
    <t>02POINT VENDOR V+VENDOR U</t>
  </si>
  <si>
    <t>20-05-2025</t>
  </si>
  <si>
    <t>332FEET</t>
  </si>
  <si>
    <t>JUNE</t>
  </si>
  <si>
    <t>23-05-2025</t>
  </si>
  <si>
    <t>24-05-2025</t>
  </si>
  <si>
    <t>26-05-2025</t>
  </si>
  <si>
    <t>29-05-2025</t>
  </si>
  <si>
    <t>27-05-2025</t>
  </si>
  <si>
    <t>30-05-2025</t>
  </si>
  <si>
    <t>JUNE Total</t>
  </si>
  <si>
    <t>WEIGHT-BASED BILLING (PART LOAD)</t>
  </si>
  <si>
    <t>WEIGHT-BASED BILLING (PART LOAD)</t>
  </si>
  <si>
    <t>JH01EJ-4551</t>
  </si>
  <si>
    <t>LOCAL AUTO</t>
  </si>
  <si>
    <t>PICK-UP AND DELIVERY CHARGE ADDED</t>
  </si>
  <si>
    <t>02-06-2025</t>
  </si>
  <si>
    <t>73</t>
  </si>
  <si>
    <t>56</t>
  </si>
  <si>
    <t>42</t>
  </si>
  <si>
    <t>67</t>
  </si>
  <si>
    <t>40</t>
  </si>
  <si>
    <t>41</t>
  </si>
  <si>
    <t>48</t>
  </si>
  <si>
    <t>47</t>
  </si>
  <si>
    <t>46</t>
  </si>
  <si>
    <t>55</t>
  </si>
  <si>
    <t>57</t>
  </si>
  <si>
    <t>50</t>
  </si>
  <si>
    <t>58</t>
  </si>
  <si>
    <t>54</t>
  </si>
  <si>
    <t>52</t>
  </si>
  <si>
    <t>74</t>
  </si>
  <si>
    <t>72</t>
  </si>
  <si>
    <t>43</t>
  </si>
  <si>
    <t>51</t>
  </si>
  <si>
    <t>53</t>
  </si>
  <si>
    <t>44'</t>
  </si>
  <si>
    <t>45</t>
  </si>
  <si>
    <t>49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</si>
  <si>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</si>
  <si>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</si>
  <si>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</si>
  <si>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</si>
  <si>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</si>
  <si>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</si>
  <si>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</si>
  <si>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</si>
  <si>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</si>
  <si>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</si>
  <si>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</si>
  <si>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</si>
  <si>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HOSKOTE,011529</t>
  </si>
  <si>
    <t>NARSAPUR,864894</t>
  </si>
  <si>
    <t>NARSAPUR,588066</t>
  </si>
  <si>
    <t>NARSAPUR,6367</t>
  </si>
  <si>
    <t>NARSAPUR,1249</t>
  </si>
  <si>
    <t>HOSKOTE,1487</t>
  </si>
  <si>
    <t>NARSAPUR,8123</t>
  </si>
  <si>
    <t>HOSKOTE,5178</t>
  </si>
  <si>
    <t>NARSAPUR,3362</t>
  </si>
  <si>
    <t>NARSAPUR,8791</t>
  </si>
  <si>
    <t>HOSKOTE,6674</t>
  </si>
  <si>
    <t>NARSAPUR,3610</t>
  </si>
  <si>
    <t>HOSKOTE,7188</t>
  </si>
  <si>
    <t>NARSAPUR,9362</t>
  </si>
  <si>
    <t>NARSAPUR,3369</t>
  </si>
  <si>
    <t>03-06-2025</t>
  </si>
  <si>
    <t>75</t>
  </si>
  <si>
    <t>76</t>
  </si>
  <si>
    <t>77</t>
  </si>
  <si>
    <t>78</t>
  </si>
  <si>
    <t>79</t>
  </si>
  <si>
    <t>RANCHI,7536</t>
  </si>
  <si>
    <t>80</t>
  </si>
  <si>
    <t>81</t>
  </si>
  <si>
    <t>82</t>
  </si>
  <si>
    <t>83</t>
  </si>
  <si>
    <t>84</t>
  </si>
  <si>
    <t>VENDOR M TIRUPPUR ,1864 +VENDOR U ,4857</t>
  </si>
  <si>
    <t>85</t>
  </si>
  <si>
    <t>86</t>
  </si>
  <si>
    <t>87</t>
  </si>
  <si>
    <t>04-06-2025</t>
  </si>
  <si>
    <t>KA52K-0009</t>
  </si>
  <si>
    <t>05-06-2025</t>
  </si>
  <si>
    <t>WEIGHT-BASED BILLING (PART LOAD)</t>
  </si>
  <si>
    <t>07-06-2025</t>
  </si>
  <si>
    <t>06-06-2025</t>
  </si>
  <si>
    <t>PB13HW-0604</t>
  </si>
  <si>
    <t>10-06-2025</t>
  </si>
  <si>
    <t>09-06-2025</t>
  </si>
  <si>
    <t>08-06-2025</t>
  </si>
  <si>
    <t>11-06-2025</t>
  </si>
  <si>
    <t>12-06-2025</t>
  </si>
  <si>
    <t>13-06-2025</t>
  </si>
  <si>
    <t>NL01JH-7264</t>
  </si>
  <si>
    <t>NARSAPUR,8022</t>
  </si>
  <si>
    <t>NARSAPUR,6950</t>
  </si>
  <si>
    <t>HOSKOTE,7568</t>
  </si>
  <si>
    <t>NARSAPUR,1571</t>
  </si>
  <si>
    <t>HOSKOTE,3373</t>
  </si>
  <si>
    <t>NARSAPUR,3293</t>
  </si>
  <si>
    <t>HOSKOTE,2169</t>
  </si>
  <si>
    <t>NARSAPUR,0750</t>
  </si>
  <si>
    <t>HOSKOTE,5908</t>
  </si>
  <si>
    <t>NARSAPUR,9768</t>
  </si>
  <si>
    <t>HOSKOTE,0936</t>
  </si>
  <si>
    <t>NARSAPUR,3527</t>
  </si>
  <si>
    <t>HOSKOTE,0897</t>
  </si>
  <si>
    <t>NARSAPUR,0268</t>
  </si>
  <si>
    <t>NARSAPUR,7209</t>
  </si>
  <si>
    <t>HOSKOTE,4817</t>
  </si>
  <si>
    <t>NARSAPUR,3292</t>
  </si>
  <si>
    <t>NARSAPUR,7797</t>
  </si>
  <si>
    <t>HOSKOTE,4438</t>
  </si>
  <si>
    <t>VENDOR U+VENDOR V,198621</t>
  </si>
  <si>
    <t>RANCHI,642951</t>
  </si>
  <si>
    <t>RANCHI,295884</t>
  </si>
  <si>
    <t>RANCHI,4610</t>
  </si>
  <si>
    <t>VENDOR F,ERODE,442683</t>
  </si>
  <si>
    <t>RANCHI,666661</t>
  </si>
  <si>
    <t>VENDOR U+VENDOR V,6287</t>
  </si>
  <si>
    <t>RANCHI,9954</t>
  </si>
  <si>
    <t>CLIENT BOMMANSANDRA,596986</t>
  </si>
  <si>
    <t>RANCHI,558427</t>
  </si>
  <si>
    <t>RANCHI,9409</t>
  </si>
  <si>
    <t>NARSAPUR,0558</t>
  </si>
  <si>
    <t>88</t>
  </si>
  <si>
    <t>89</t>
  </si>
  <si>
    <t>99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</si>
  <si>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</si>
  <si>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</si>
  <si>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</si>
  <si>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</si>
  <si>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</si>
  <si>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</si>
  <si>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</si>
  <si>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</si>
  <si>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</si>
  <si>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</si>
  <si>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</si>
  <si>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</si>
  <si>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</si>
  <si>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</si>
  <si>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</si>
  <si>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TN55GS-6058</t>
  </si>
  <si>
    <t>Transporter 30</t>
  </si>
  <si>
    <t>14-06-2025</t>
  </si>
  <si>
    <t>16-06-2025</t>
  </si>
  <si>
    <t>TN57DD-1436</t>
  </si>
  <si>
    <t>WEIGHT-BASED BILLING (PART LOAD)</t>
  </si>
  <si>
    <t>17-06-2025</t>
  </si>
  <si>
    <t>19-06-2025</t>
  </si>
  <si>
    <t>18-06-2025</t>
  </si>
  <si>
    <t>20-06-2025</t>
  </si>
  <si>
    <t>21-06-2025</t>
  </si>
  <si>
    <t>KA51BX-8000</t>
  </si>
  <si>
    <t>TN24RW-4847</t>
  </si>
  <si>
    <t>23-06-2025</t>
  </si>
  <si>
    <t>25-06-2025</t>
  </si>
  <si>
    <t>26-06-2025</t>
  </si>
  <si>
    <t>24-06-2025</t>
  </si>
  <si>
    <t>NARSAPUR,0125</t>
  </si>
  <si>
    <t>HOSKOTE,0350</t>
  </si>
  <si>
    <t>NARSAPUR,6250</t>
  </si>
  <si>
    <t>NARSAPUR,0620</t>
  </si>
  <si>
    <t>HOSKOTE,7874</t>
  </si>
  <si>
    <t>NARSAPUR,4122</t>
  </si>
  <si>
    <t>HOSKOTE,0211</t>
  </si>
  <si>
    <t>NARSAPUR,0308</t>
  </si>
  <si>
    <t>NARSAPUR,9409</t>
  </si>
  <si>
    <t>NARSAPUR,9144</t>
  </si>
  <si>
    <t>HOSKOTE,9962</t>
  </si>
  <si>
    <t>NARSAPUR,2523</t>
  </si>
  <si>
    <t>HOSKOTE,1052</t>
  </si>
  <si>
    <t>NARSAPUR,1854</t>
  </si>
  <si>
    <t>HOSKOTE1404</t>
  </si>
  <si>
    <t>NARSAPUR,0178</t>
  </si>
  <si>
    <t>HOSKOTE,7776</t>
  </si>
  <si>
    <t>NARSAPUR,3767</t>
  </si>
  <si>
    <t>HOSKOTE,8334</t>
  </si>
  <si>
    <t>RANCHI,78313</t>
  </si>
  <si>
    <t>RANCHI,715081</t>
  </si>
  <si>
    <t>NARSAPUR,7294.66.67</t>
  </si>
  <si>
    <t>RANCHI,6643</t>
  </si>
  <si>
    <t>RANCHI,292311</t>
  </si>
  <si>
    <t>106</t>
  </si>
  <si>
    <t>107</t>
  </si>
  <si>
    <t>108</t>
  </si>
  <si>
    <t>109</t>
  </si>
  <si>
    <t>110</t>
  </si>
  <si>
    <t>VENDOR G ERODE,827438</t>
  </si>
  <si>
    <t>RANCHI,617845</t>
  </si>
  <si>
    <t>111</t>
  </si>
  <si>
    <t>123</t>
  </si>
  <si>
    <t>TN52TM-2163</t>
  </si>
  <si>
    <t>DN09Z-8454</t>
  </si>
  <si>
    <t>AHMEDABAD</t>
  </si>
  <si>
    <t xml:space="preserve">Transporter 31 </t>
  </si>
  <si>
    <t>28-06-2025</t>
  </si>
  <si>
    <t>29-06-2025</t>
  </si>
  <si>
    <t>HASSAN,6735</t>
  </si>
  <si>
    <t>30-06-2025</t>
  </si>
  <si>
    <t>01-07-2025</t>
  </si>
  <si>
    <t>TN12ZD-1448</t>
  </si>
  <si>
    <t>JH02DD-9758</t>
  </si>
  <si>
    <t>02-07-2025</t>
  </si>
  <si>
    <t>03-07-2025</t>
  </si>
  <si>
    <t>JULY,25</t>
  </si>
  <si>
    <t>JULY,25 Total</t>
  </si>
  <si>
    <t>04-07-2025</t>
  </si>
  <si>
    <t>TN93L-8099</t>
  </si>
  <si>
    <t>05-07-2025</t>
  </si>
  <si>
    <t>06-07-2025</t>
  </si>
  <si>
    <t>07-07-2025</t>
  </si>
  <si>
    <t>HOSKOTE RETURNS MATERIAL</t>
  </si>
  <si>
    <t>08-07-2025</t>
  </si>
  <si>
    <t>10-07-2025</t>
  </si>
  <si>
    <t>11-07-2025</t>
  </si>
  <si>
    <t>12-07-2025</t>
  </si>
  <si>
    <t>13-07-2025</t>
  </si>
  <si>
    <t>14-07-2025</t>
  </si>
  <si>
    <t>15-07-2025</t>
  </si>
  <si>
    <t>NARSAPUR,9226</t>
  </si>
  <si>
    <t>NARSAPUR,4886</t>
  </si>
  <si>
    <t>HOSKOTE,8571</t>
  </si>
  <si>
    <t>NARSAPUR,6036</t>
  </si>
  <si>
    <t>HOSKOTE,6173</t>
  </si>
  <si>
    <t>NARSAPUR,6952</t>
  </si>
  <si>
    <t>NARSAPUR,7904</t>
  </si>
  <si>
    <t>HOSKOTE,5658</t>
  </si>
  <si>
    <t>NARSAPUR4994</t>
  </si>
  <si>
    <t>HOSKOTE,5547</t>
  </si>
  <si>
    <t>NARSAPUR,2872</t>
  </si>
  <si>
    <t>HOSKOTE,2092</t>
  </si>
  <si>
    <t>NARSAPUR,5473</t>
  </si>
  <si>
    <t>NARSAPUR3912</t>
  </si>
  <si>
    <t>HOSKOTE,3846</t>
  </si>
  <si>
    <t>NARSAPUR,1486</t>
  </si>
  <si>
    <t>HOSKOTE,8837</t>
  </si>
  <si>
    <t>NARSAPUR,2578</t>
  </si>
  <si>
    <t>HOSKOTE,2243</t>
  </si>
  <si>
    <t>NARSAPUR,8792</t>
  </si>
  <si>
    <t>HOSKOTE,4420</t>
  </si>
  <si>
    <t>NARSAPUR,1250</t>
  </si>
  <si>
    <t>HOSKOTE,9764</t>
  </si>
  <si>
    <t>NARSAPUR,5410</t>
  </si>
  <si>
    <t>HOSKOTE,5596</t>
  </si>
  <si>
    <t>MUMBAI,6613</t>
  </si>
  <si>
    <t>RANCHI,8375</t>
  </si>
  <si>
    <t>RANCHI,894998</t>
  </si>
  <si>
    <t>VENDOR U+VENDOR F,ERODE,4612</t>
  </si>
  <si>
    <t>RANCHI,8117</t>
  </si>
  <si>
    <t>VENDOR F+VENDOR G,3452</t>
  </si>
  <si>
    <t>RANCHI,9821</t>
  </si>
  <si>
    <t>RANCHI,5185</t>
  </si>
  <si>
    <t>RANCHI,7406</t>
  </si>
  <si>
    <t>132</t>
  </si>
  <si>
    <t>133</t>
  </si>
  <si>
    <t>136</t>
  </si>
  <si>
    <t>137</t>
  </si>
  <si>
    <t>RANCHI,312288</t>
  </si>
  <si>
    <t>VENDOR C BANGLORE ,128986</t>
  </si>
  <si>
    <t>RANCHI,568164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</si>
  <si>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</si>
  <si>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</si>
  <si>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</si>
  <si>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</si>
  <si>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</si>
  <si>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</si>
  <si>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</si>
  <si>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BANGLORE</t>
  </si>
  <si>
    <t>RANCHI,133582</t>
  </si>
  <si>
    <t>DODABALLAPUR,VENDOR D,641327+VENDOR U</t>
  </si>
  <si>
    <t>VENDOR V+VENDOR U,214791</t>
  </si>
  <si>
    <t>RANCHI,876287</t>
  </si>
  <si>
    <t>RANCHI,0234</t>
  </si>
  <si>
    <t>VENDOR U+VENDOR V,9169</t>
  </si>
  <si>
    <t>VENDOR F+VENDOR U,4197</t>
  </si>
  <si>
    <t>RANCHI,4044</t>
  </si>
  <si>
    <t>RANCHI,142969</t>
  </si>
  <si>
    <t>RANCHI,8208</t>
  </si>
  <si>
    <t>VENDOR N,792335+VENDOR D ,277059</t>
  </si>
  <si>
    <t>NARSAPUR,7382</t>
  </si>
  <si>
    <t>HOSKOTE,9281</t>
  </si>
  <si>
    <t>NARSAPUR,3925</t>
  </si>
  <si>
    <t>NARSAPUR,0028</t>
  </si>
  <si>
    <t>HOSKOTE,9170</t>
  </si>
  <si>
    <t>NARAPUR,8156</t>
  </si>
  <si>
    <t>HOSKOTE,4789</t>
  </si>
  <si>
    <t>NARSAPUR,7385</t>
  </si>
  <si>
    <t>NARSAPUR,9151</t>
  </si>
  <si>
    <t>HOSKOTE,2189</t>
  </si>
  <si>
    <t>NARSAPUR,7044</t>
  </si>
  <si>
    <t>HOSKOTE,5131</t>
  </si>
  <si>
    <t>NARSAPUR,6540 +HOSKOTE,2828</t>
  </si>
  <si>
    <t>HASSAN,8571</t>
  </si>
  <si>
    <t>149</t>
  </si>
  <si>
    <t>28-07-2025</t>
  </si>
  <si>
    <t>25-07-2025</t>
  </si>
  <si>
    <t>26-07-2025</t>
  </si>
  <si>
    <t>27-07-2025</t>
  </si>
  <si>
    <t>29-07-2025</t>
  </si>
  <si>
    <t>AUGUST,25</t>
  </si>
  <si>
    <t>AUGUST,25 Total</t>
  </si>
  <si>
    <t>31-07-2025</t>
  </si>
  <si>
    <t>01-08-2025</t>
  </si>
  <si>
    <t>02-08-2025</t>
  </si>
  <si>
    <t>KA02BX-7653</t>
  </si>
  <si>
    <t>OD07V-4354</t>
  </si>
  <si>
    <t>KA51YH-3126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</si>
  <si>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</si>
  <si>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</si>
  <si>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</si>
  <si>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</si>
  <si>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</si>
  <si>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</si>
  <si>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</si>
  <si>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</si>
  <si>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</si>
  <si>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TN83YU-9613</t>
  </si>
  <si>
    <t>NARSAPUR,9125</t>
  </si>
  <si>
    <t>NARSAPUR,5318</t>
  </si>
  <si>
    <t>HOSKOTE,7769</t>
  </si>
  <si>
    <t>NARSAPUR,1436</t>
  </si>
  <si>
    <t>HOSKOTE,0221</t>
  </si>
  <si>
    <t>NARSAPUR,5537</t>
  </si>
  <si>
    <t>HOSKOTE,9110</t>
  </si>
  <si>
    <t>NARSAPUR,9881+HOSKOTE,5356</t>
  </si>
  <si>
    <t>HASSAN,6629</t>
  </si>
  <si>
    <t>NARSAPUR,0871</t>
  </si>
  <si>
    <t>HOSKOTE,0194</t>
  </si>
  <si>
    <t>NARSAPUR,0194</t>
  </si>
  <si>
    <t>HOSKOTE,4000</t>
  </si>
  <si>
    <t>NARSAPUR,3597</t>
  </si>
  <si>
    <t>NARSAPUR,2091</t>
  </si>
  <si>
    <t>HOSKOTE,7790</t>
  </si>
  <si>
    <t>NARSAPUR,5665</t>
  </si>
  <si>
    <t>NARSAPUR,8557</t>
  </si>
  <si>
    <t>NARSAPUR,3081</t>
  </si>
  <si>
    <t>HOSKOTE,5077</t>
  </si>
  <si>
    <t>HOSKOTE,3806</t>
  </si>
  <si>
    <t>NARSAPUR,6897</t>
  </si>
  <si>
    <t>NARSAPUR,2461</t>
  </si>
  <si>
    <t>HOSKOTE,6213</t>
  </si>
  <si>
    <t>HOSKOTE,3050 +TIRUPUR,2213</t>
  </si>
  <si>
    <t>NARSAPUR,6360</t>
  </si>
  <si>
    <t>HOSKOTE,3154</t>
  </si>
  <si>
    <t>NARSAPUR,7924</t>
  </si>
  <si>
    <t>HOSKOTE,8316</t>
  </si>
  <si>
    <t>NARSAPUR,7938</t>
  </si>
  <si>
    <t>NARSAPUR,0132</t>
  </si>
  <si>
    <t>VENDOR U,845740+VENDOR V,815944+VENDOR D,529805</t>
  </si>
  <si>
    <t>RANCHI,4552</t>
  </si>
  <si>
    <t>VENDOR U,9729</t>
  </si>
  <si>
    <t>VENDOR U,1018+VENDOR G,2485</t>
  </si>
  <si>
    <t>VENDOR U,748541</t>
  </si>
  <si>
    <t>VENDOR U,327710</t>
  </si>
  <si>
    <t>VENDOR V,5954 +VENDOR U,8676</t>
  </si>
  <si>
    <t>JH01FX-0874</t>
  </si>
  <si>
    <t>13-08-2025</t>
  </si>
  <si>
    <t>17-08-2025</t>
  </si>
  <si>
    <t>18-08-2025</t>
  </si>
  <si>
    <t>16-08-2025</t>
  </si>
  <si>
    <t>19-08-2025</t>
  </si>
  <si>
    <t>21-08-2025</t>
  </si>
  <si>
    <t>TN84AP-4891</t>
  </si>
  <si>
    <t>22-08-2025</t>
  </si>
  <si>
    <t>NL01GM-1095</t>
  </si>
  <si>
    <t>TN52NV-1351</t>
  </si>
  <si>
    <t>24-08-2025</t>
  </si>
  <si>
    <t>25-08-2025</t>
  </si>
  <si>
    <t>26-08-2025</t>
  </si>
  <si>
    <t>NARSAPUR,5578</t>
  </si>
  <si>
    <t>HOSKOTE,8337</t>
  </si>
  <si>
    <t>NARSAPUR,6284</t>
  </si>
  <si>
    <t>NARSAPUR,0434</t>
  </si>
  <si>
    <t>HOSKOTE,4758</t>
  </si>
  <si>
    <t>NARSAPUR,0624</t>
  </si>
  <si>
    <t>HOSKOTE,6892</t>
  </si>
  <si>
    <t>NARSAPUR,6863</t>
  </si>
  <si>
    <t>HOSKOTE,9041</t>
  </si>
  <si>
    <t>NARSAPUR,8848</t>
  </si>
  <si>
    <t>NARSAPUR,5455</t>
  </si>
  <si>
    <t>HOSKOTE,4692</t>
  </si>
  <si>
    <t>NARSAPUR,6796</t>
  </si>
  <si>
    <t>HOSKOTE,3482</t>
  </si>
  <si>
    <t>NARSAPUR,6035</t>
  </si>
  <si>
    <t>HOSKOTE,0849</t>
  </si>
  <si>
    <t>JH01KD0526</t>
  </si>
  <si>
    <t>NARSAPUR,4483</t>
  </si>
  <si>
    <t>HOSKOTE,1514</t>
  </si>
  <si>
    <t>NARSAPUR,3448</t>
  </si>
  <si>
    <t>HOSKOTE,3882</t>
  </si>
  <si>
    <t>RANCHI,554775</t>
  </si>
  <si>
    <t>VENDOR V+VENDOR H, 0262</t>
  </si>
  <si>
    <t>RANCHI,6322</t>
  </si>
  <si>
    <t>RANCHI,0670</t>
  </si>
  <si>
    <t>VENDOR U,6694+VENDOR H,7167+VENDOR F,5339</t>
  </si>
  <si>
    <t>VENDOR V,2068</t>
  </si>
  <si>
    <t>28-08-2025</t>
  </si>
  <si>
    <t>27-08-2025</t>
  </si>
  <si>
    <t>29-08-2025</t>
  </si>
  <si>
    <t>SEPTEMBER,25</t>
  </si>
  <si>
    <t>KA01TK-9546</t>
  </si>
  <si>
    <t>24/32 FEET</t>
  </si>
  <si>
    <t>30-08-2025</t>
  </si>
  <si>
    <t>31-08-2025</t>
  </si>
  <si>
    <t>01-09-2025</t>
  </si>
  <si>
    <t>02-09-2025</t>
  </si>
  <si>
    <t>SEPTEMBER,25 Total</t>
  </si>
  <si>
    <t>03-09-2025</t>
  </si>
  <si>
    <t>04-09-2025</t>
  </si>
  <si>
    <t>VENDOR D,1312 +VENDOR G,5407</t>
  </si>
  <si>
    <t>VENDOR H,142960+VENDOR U,987587</t>
  </si>
  <si>
    <t>RANCHI,2858</t>
  </si>
  <si>
    <t>RANCHI,3486</t>
  </si>
  <si>
    <t>VENDOR U,1097+VENDOR F,ERODE,5165</t>
  </si>
  <si>
    <t>NARSAPUR,9618</t>
  </si>
  <si>
    <t>HOSKOTE,1548</t>
  </si>
  <si>
    <t>NARSAPUR,5777</t>
  </si>
  <si>
    <t>HOSKOTE,6705</t>
  </si>
  <si>
    <t>NARSAPUR,0758</t>
  </si>
  <si>
    <t>HOSKOTE,7542</t>
  </si>
  <si>
    <t>NARSAPUR,3921</t>
  </si>
  <si>
    <t>HOSKOTE,3973</t>
  </si>
  <si>
    <t>NARSAPUR,3302</t>
  </si>
  <si>
    <t>HOSKOTE,0864</t>
  </si>
  <si>
    <t>05-09-2025</t>
  </si>
  <si>
    <t>06-09-2025</t>
  </si>
  <si>
    <t>VENDOR U</t>
  </si>
  <si>
    <t>07-09-2025</t>
  </si>
  <si>
    <t>08-09-2025</t>
  </si>
  <si>
    <t>09-09-2025</t>
  </si>
  <si>
    <t>RANCHI,250718</t>
  </si>
  <si>
    <t>VENDOR U,0793+VENDOR V,9758+VENDOR F,0991</t>
  </si>
  <si>
    <t>RANCHI,3911</t>
  </si>
  <si>
    <t>BY AIR</t>
  </si>
  <si>
    <t>WEIGHT-BASED BILLING (PART LOAD)</t>
  </si>
  <si>
    <t>BR24XY-8129</t>
  </si>
  <si>
    <t>Transporter 32</t>
  </si>
  <si>
    <t>12-09-2025</t>
  </si>
  <si>
    <t>TN46NV-0141</t>
  </si>
  <si>
    <t>16-09-2025</t>
  </si>
  <si>
    <t>17-09-2025</t>
  </si>
  <si>
    <t>18-09-2025</t>
  </si>
  <si>
    <t>NL01N-3470</t>
  </si>
  <si>
    <t>LORRY HALTING - EXTRA CHARGE</t>
  </si>
  <si>
    <t>19-09-2025</t>
  </si>
  <si>
    <t>20-09-2025</t>
  </si>
  <si>
    <t>22-09-2025</t>
  </si>
  <si>
    <t>NARSAPUR+HOSKOTE</t>
  </si>
  <si>
    <t>KA05TK-1907</t>
  </si>
  <si>
    <t>Transporter 29</t>
  </si>
  <si>
    <t>JH001KM-4371</t>
  </si>
  <si>
    <t>NARSAPUR,2206</t>
  </si>
  <si>
    <t>NARSAPUR,4199</t>
  </si>
  <si>
    <t>HOSKOTE,8748</t>
  </si>
  <si>
    <t>NARSAPUR,2389</t>
  </si>
  <si>
    <t>HOSKOTE,3331</t>
  </si>
  <si>
    <t>VENDOR V,8086+VENDOR U,6346</t>
  </si>
  <si>
    <t>NARSAPUR,9623</t>
  </si>
  <si>
    <t>HOSKOTE,2732</t>
  </si>
  <si>
    <t>NARSAPUR,1765</t>
  </si>
  <si>
    <t>HOSKOTE,8650</t>
  </si>
  <si>
    <t>24-09-2025</t>
  </si>
  <si>
    <t>25-09-2025</t>
  </si>
  <si>
    <t>26-09-2025</t>
  </si>
  <si>
    <t>DHULAGARH</t>
  </si>
  <si>
    <t>KA02YH-9767</t>
  </si>
  <si>
    <t>27-09-2025</t>
  </si>
  <si>
    <t>MATERIAL SHIFTED TO ANOTHER VEHICLE</t>
  </si>
  <si>
    <t>VENDOR G,1280+VENDOR P,5689</t>
  </si>
  <si>
    <t>VENDOR G'''''5027</t>
  </si>
  <si>
    <t>VENDOR V'4380</t>
  </si>
  <si>
    <t>VENDOR G,,9403</t>
  </si>
  <si>
    <t>VENDOR U,7010+VENDOR F,0868</t>
  </si>
  <si>
    <t>VENDOR U,2918</t>
  </si>
  <si>
    <t>RANCHI,4105</t>
  </si>
  <si>
    <t>RANCHI,2383</t>
  </si>
  <si>
    <t>RANCHI,086345</t>
  </si>
  <si>
    <t>TN86C-4840</t>
  </si>
  <si>
    <t>NARSAPUR,0161</t>
  </si>
  <si>
    <t>HOSKOTE,0268</t>
  </si>
  <si>
    <t>HOSKOTE,6089</t>
  </si>
  <si>
    <t>HOSKOTE,5284</t>
  </si>
  <si>
    <t>HOSKOTE,5987</t>
  </si>
  <si>
    <t>HOSKOTE,2588</t>
  </si>
  <si>
    <t>HOSKOTE,2286</t>
  </si>
  <si>
    <t>HASSAN,2345</t>
  </si>
  <si>
    <t>HOSKOTE,7796</t>
  </si>
  <si>
    <t>HOSKOTE,9933</t>
  </si>
  <si>
    <t>HOSKOTE,4309</t>
  </si>
  <si>
    <t>28-09-2025</t>
  </si>
  <si>
    <t>29-09-2025</t>
  </si>
  <si>
    <t>30-09-2025</t>
  </si>
  <si>
    <t>03-10-2025</t>
  </si>
  <si>
    <t>04-10-2025</t>
  </si>
  <si>
    <t>OCTOBER,25</t>
  </si>
  <si>
    <t>OCTOBER,25 Total</t>
  </si>
  <si>
    <t>09-10-2025</t>
  </si>
  <si>
    <t>07-10-2025</t>
  </si>
  <si>
    <t>08-10-2025</t>
  </si>
  <si>
    <t>10-10-2025</t>
  </si>
  <si>
    <t>11-10-2025</t>
  </si>
  <si>
    <t>TN79T-8586</t>
  </si>
  <si>
    <t>14-10-2025</t>
  </si>
  <si>
    <t>12-10-2025</t>
  </si>
  <si>
    <t>13-10-2025</t>
  </si>
  <si>
    <t>15-10-2025</t>
  </si>
  <si>
    <t>KA02BX-9788</t>
  </si>
  <si>
    <t>16-10-2025</t>
  </si>
  <si>
    <t>NARSAPUR,4153</t>
  </si>
  <si>
    <t>HOSKOTE,4328</t>
  </si>
  <si>
    <t>NARSAPUR,2686</t>
  </si>
  <si>
    <t>NARSAPUR,6099</t>
  </si>
  <si>
    <t>HOSKOTE,9733</t>
  </si>
  <si>
    <t>NARSAPUR,6429</t>
  </si>
  <si>
    <t>NARSAPUR,0609</t>
  </si>
  <si>
    <t>HOSKOTE,9031</t>
  </si>
  <si>
    <t>NARSAPUR,4183</t>
  </si>
  <si>
    <t>HOSKOTE,2955</t>
  </si>
  <si>
    <t>NARSAPUR,5753</t>
  </si>
  <si>
    <t>HOSKOTE,3308</t>
  </si>
  <si>
    <t>NARSAPUR,9641</t>
  </si>
  <si>
    <t>HOSKOTE,6854</t>
  </si>
  <si>
    <t>HOSKOTE,3311</t>
  </si>
  <si>
    <t>NARSAPUR,1414</t>
  </si>
  <si>
    <t>HOSKOTE,6913</t>
  </si>
  <si>
    <t>NARSAPUR,9854</t>
  </si>
  <si>
    <t>HOSKOTE,7176</t>
  </si>
  <si>
    <t>NARSAPUR,0133</t>
  </si>
  <si>
    <t>HOSKOTE,0873</t>
  </si>
  <si>
    <t>NARSAPUR,2383</t>
  </si>
  <si>
    <t>HOSKOTE,7964</t>
  </si>
  <si>
    <t>VENDOR U,48587+VENDOR H+VENDOR G,37925</t>
  </si>
  <si>
    <t>VENDOR G,68514</t>
  </si>
  <si>
    <t>VENDOR U,2523</t>
  </si>
  <si>
    <t>VENDOR V,9356</t>
  </si>
  <si>
    <t>VENDOR U,6168+VENDOR P ,7928</t>
  </si>
  <si>
    <t>VENDOR D,1992+VENDOR U,2838</t>
  </si>
  <si>
    <t>VENDOR G,315944</t>
  </si>
  <si>
    <t>VENDOR U,425495</t>
  </si>
  <si>
    <t>VENDOR F,5882+VENDOR G,3613</t>
  </si>
  <si>
    <t>VENDOR F,3470</t>
  </si>
  <si>
    <t>NL01DJ-2612</t>
  </si>
  <si>
    <t>17-10-2025</t>
  </si>
  <si>
    <t>18-10-2025</t>
  </si>
  <si>
    <t>19-10-2025</t>
  </si>
  <si>
    <t>20-10-205</t>
  </si>
  <si>
    <t>21-10-2025</t>
  </si>
  <si>
    <t>22-10-2025</t>
  </si>
  <si>
    <t>24-10-2025</t>
  </si>
  <si>
    <t>28-10-2025</t>
  </si>
  <si>
    <t>JAMSHEDPUR</t>
  </si>
  <si>
    <t>29-10-2025</t>
  </si>
  <si>
    <t>27-10-2025</t>
  </si>
  <si>
    <t>30-10-2025</t>
  </si>
  <si>
    <t>NOVEMBER,25</t>
  </si>
  <si>
    <t>NOVEMBER,25 Total</t>
  </si>
  <si>
    <t>S</t>
  </si>
  <si>
    <t>KA52K-5585</t>
  </si>
  <si>
    <t>JH02LU-5213</t>
  </si>
  <si>
    <t>02-11-2025</t>
  </si>
  <si>
    <t>03-11-2025</t>
  </si>
  <si>
    <t>04-11-2025</t>
  </si>
  <si>
    <t>TN37WS-8942</t>
  </si>
  <si>
    <t>TN97K-1347</t>
  </si>
  <si>
    <t>07-11-2025</t>
  </si>
  <si>
    <t>06-11-2025</t>
  </si>
  <si>
    <t>VEHICLE ACCIDENT - MATERIAL SHIFTED TO ANOTHER VEHICLE</t>
  </si>
  <si>
    <t>05-11-2025</t>
  </si>
  <si>
    <t>NARSAPUR,8748</t>
  </si>
  <si>
    <t>NARSAPUR,8718</t>
  </si>
  <si>
    <t>HOSKOTE,3577</t>
  </si>
  <si>
    <t>NARSAPUR,6095</t>
  </si>
  <si>
    <t>HOSKOTE,1539</t>
  </si>
  <si>
    <t>NARSAPUR,3559</t>
  </si>
  <si>
    <t>HOSKOTE,0803</t>
  </si>
  <si>
    <t>NARSAPUR,2217</t>
  </si>
  <si>
    <t>HOSKOTE,2121</t>
  </si>
  <si>
    <t>NARSAPUR,1922</t>
  </si>
  <si>
    <t>NARSAPUR,3641</t>
  </si>
  <si>
    <t>HOSKOTE,6089</t>
  </si>
  <si>
    <t>NARSAPUR,9718</t>
  </si>
  <si>
    <t>HOSKOTE,7188</t>
  </si>
  <si>
    <t>NARSAPUR,7428</t>
  </si>
  <si>
    <t>NARSAPUR,0936</t>
  </si>
  <si>
    <t>HOSKOTE,9413</t>
  </si>
  <si>
    <t>NARSAPUR,6570</t>
  </si>
  <si>
    <t>NARSAPUR,1845</t>
  </si>
  <si>
    <t>HOSKOTE,6831</t>
  </si>
  <si>
    <t>NARSAPUR,2952</t>
  </si>
  <si>
    <t>NARSAPUR,2104</t>
  </si>
  <si>
    <t>HOSKOTE,7828</t>
  </si>
  <si>
    <t>NARSAPUR,3235</t>
  </si>
  <si>
    <t>08-11-2025</t>
  </si>
  <si>
    <t>WEIGHT-BASED BILLING (PART LOAD)</t>
  </si>
  <si>
    <t>HOSKOTE,1386</t>
  </si>
  <si>
    <t>HOSKOTE,3409</t>
  </si>
  <si>
    <t>NARSAPUR,9337</t>
  </si>
  <si>
    <t>VENDOR U,8636</t>
  </si>
  <si>
    <t>VENDOR V,5174</t>
  </si>
  <si>
    <t>VENDOR U,0801</t>
  </si>
  <si>
    <t>VENDOR H,5751+VENDOR U,0970</t>
  </si>
  <si>
    <t>VENDOR V,583+VENDOR G,506</t>
  </si>
  <si>
    <t>RANCHI,404196</t>
  </si>
  <si>
    <t>VENDOR U,2109</t>
  </si>
  <si>
    <t>VENDOR G,0148+VENDOR D,1503+VENDOR F,2008</t>
  </si>
  <si>
    <t>TN23NB-9461</t>
  </si>
  <si>
    <t>10-11-2025</t>
  </si>
  <si>
    <t>10-11-205</t>
  </si>
  <si>
    <t>11-11-2025</t>
  </si>
  <si>
    <t>12-11-2025</t>
  </si>
  <si>
    <t>13-11-2025</t>
  </si>
  <si>
    <t>KA04JH-0459</t>
  </si>
  <si>
    <t>14-11-2025</t>
  </si>
  <si>
    <t>16-11-2025</t>
  </si>
  <si>
    <t>17-11-2025</t>
  </si>
  <si>
    <t>18-11-2025</t>
  </si>
  <si>
    <t>Transporter 33</t>
  </si>
  <si>
    <t>20-11-2025</t>
  </si>
  <si>
    <t>21-11-2025</t>
  </si>
  <si>
    <t>TN30MN-9649</t>
  </si>
  <si>
    <t>24-11-2025</t>
  </si>
  <si>
    <t>23-11-2025</t>
  </si>
  <si>
    <t>NL01TM-8875</t>
  </si>
  <si>
    <t>25-11-2025</t>
  </si>
  <si>
    <t>TN58PA-8900</t>
  </si>
  <si>
    <t>26-11-2025</t>
  </si>
  <si>
    <t>27-11-2025</t>
  </si>
  <si>
    <t>NARSAPUR,6257</t>
  </si>
  <si>
    <t>HOSKOTE,0293</t>
  </si>
  <si>
    <t>NARSAPUR,4834 + HOSKOTE,8832</t>
  </si>
  <si>
    <t>HASSAN,7623</t>
  </si>
  <si>
    <t>NARSAPUR,5332</t>
  </si>
  <si>
    <t>NARSAPUR,7223</t>
  </si>
  <si>
    <t>NARSAPUR,5479</t>
  </si>
  <si>
    <t>HOSKOTE,5426</t>
  </si>
  <si>
    <t>NARSAPUR,9700</t>
  </si>
  <si>
    <t>HOSKOTE,8542</t>
  </si>
  <si>
    <t>NARSAPUR,5300</t>
  </si>
  <si>
    <t>HOSKOTE,2610</t>
  </si>
  <si>
    <t>NARSAPUR,9040</t>
  </si>
  <si>
    <t>NARSAPUR,3875</t>
  </si>
  <si>
    <t>NARSAPUR,2678</t>
  </si>
  <si>
    <t>HOSKOTE,2665</t>
  </si>
  <si>
    <t>NARSAPUR,8356</t>
  </si>
  <si>
    <t>HOSKOTE,5947</t>
  </si>
  <si>
    <t>NARSAPUR,5846</t>
  </si>
  <si>
    <t>HOSKOTE,2216</t>
  </si>
  <si>
    <t>NARSAPUR,6399</t>
  </si>
  <si>
    <t>NARSAPUR,8854</t>
  </si>
  <si>
    <t>HOSKOTE,5302</t>
  </si>
  <si>
    <t>NARSAPUR,1039</t>
  </si>
  <si>
    <t>HOSKOTE,0525</t>
  </si>
  <si>
    <t>NARSAPUR,1641</t>
  </si>
  <si>
    <t>HOSKOTE,0914</t>
  </si>
  <si>
    <t>NARSAPUR,0115</t>
  </si>
  <si>
    <t>VENDOR F,0003</t>
  </si>
  <si>
    <t>VENDOR V,9179</t>
  </si>
  <si>
    <t>VENDOR U,2025</t>
  </si>
  <si>
    <t>VENDOR F,5845 + VENDOR V,8419</t>
  </si>
  <si>
    <t>VENDOR U,1525</t>
  </si>
  <si>
    <t>VENDOR U,8290</t>
  </si>
  <si>
    <t>VENDOR U,5343</t>
  </si>
  <si>
    <t>VENDOR U,6579</t>
  </si>
  <si>
    <t>NARSAPUR,1704</t>
  </si>
  <si>
    <t>VENDOR U,8441 + VENDOR V,7789</t>
  </si>
  <si>
    <t>28-11-2025</t>
  </si>
  <si>
    <t>28-11-205</t>
  </si>
  <si>
    <t>29-11-2025</t>
  </si>
  <si>
    <t>01-12-2025</t>
  </si>
  <si>
    <t>30-11-2025</t>
  </si>
  <si>
    <t>DECEMBER,25</t>
  </si>
  <si>
    <t>DECEMBER,25 Total</t>
  </si>
  <si>
    <t>03-12-2025</t>
  </si>
  <si>
    <t>04-12-2025</t>
  </si>
  <si>
    <t>06-12-2025</t>
  </si>
  <si>
    <t>08-12-2025</t>
  </si>
  <si>
    <t>k</t>
  </si>
  <si>
    <t>NARSAPUR,0241</t>
  </si>
  <si>
    <t>HOSKOTE,2281</t>
  </si>
  <si>
    <t>NARSAPUR,9011</t>
  </si>
  <si>
    <t>NARSAPUR,1585</t>
  </si>
  <si>
    <t>HOSKOTE,0912</t>
  </si>
  <si>
    <t>VENDOR U,7786+VENDOR D,8638 +VENDOR C,9820</t>
  </si>
  <si>
    <t>TN58MM-9550</t>
  </si>
  <si>
    <t>10-12-2025</t>
  </si>
  <si>
    <t>11-12-2025</t>
  </si>
  <si>
    <t>LOCAL VEHICLE / LOCAL PICK-UP</t>
  </si>
  <si>
    <t>TN56C-6482</t>
  </si>
  <si>
    <t>TN42EU-0622</t>
  </si>
  <si>
    <t>13-12-2025</t>
  </si>
  <si>
    <t>15-12-2025</t>
  </si>
  <si>
    <t>14-12-2025</t>
  </si>
  <si>
    <t>Transporter 34</t>
  </si>
  <si>
    <t>TN09MS-2646</t>
  </si>
  <si>
    <t>16-12-2025</t>
  </si>
  <si>
    <t>18-12-2025</t>
  </si>
  <si>
    <t>19-12-2025</t>
  </si>
  <si>
    <t>20-12-2025</t>
  </si>
  <si>
    <t>22-12-2025</t>
  </si>
  <si>
    <t>23-12-2025</t>
  </si>
  <si>
    <t>25-12-2025</t>
  </si>
  <si>
    <t>NARSAPUR,3671</t>
  </si>
  <si>
    <t>HOSKOTE,6103</t>
  </si>
  <si>
    <t>NARSAPUR,5674</t>
  </si>
  <si>
    <t>NARSAPUR,9480</t>
  </si>
  <si>
    <t>HOSKOTE,2264</t>
  </si>
  <si>
    <t>HOSKOTE4631</t>
  </si>
  <si>
    <t>HASSAN,0814</t>
  </si>
  <si>
    <t>NARSAPUR,0997</t>
  </si>
  <si>
    <t>NARSAPUR,2235</t>
  </si>
  <si>
    <t>HOSKOTE,9782</t>
  </si>
  <si>
    <t>NARSAPUR2545</t>
  </si>
  <si>
    <t>NARSAPUR,3872</t>
  </si>
  <si>
    <t>HOSKOTE,1017</t>
  </si>
  <si>
    <t>372</t>
  </si>
  <si>
    <t>Transporter 35</t>
  </si>
  <si>
    <t>26-12-2025</t>
  </si>
  <si>
    <t>27-12-2025</t>
  </si>
  <si>
    <t>28-12-2025</t>
  </si>
  <si>
    <t>VENDOR U,6218,3510</t>
  </si>
  <si>
    <t>VENDOR U,7050 + VENDOR V,3492+VENDOR H,2210</t>
  </si>
  <si>
    <t>VENDOR F,4307 + VENDOR G,7214</t>
  </si>
  <si>
    <t>VENDOR U,6069 + VENDOR V,1541 + VENDOR G</t>
  </si>
  <si>
    <t>VENDOR U,6165</t>
  </si>
  <si>
    <t>VENDOR V,9377 + VENDOR U,1252 + VENDOR H,2493</t>
  </si>
  <si>
    <t>VENDOR U,6703 + VENDOR V,8309</t>
  </si>
  <si>
    <t>VENDOR U,5462 + VENDOR F,6857</t>
  </si>
  <si>
    <t>VENDOR U,4856</t>
  </si>
  <si>
    <t>VENDOR F,3701 + VENDOR G,2039</t>
  </si>
  <si>
    <t>VENDOR U,1670</t>
  </si>
  <si>
    <t>VENDOR U,0967</t>
  </si>
  <si>
    <t>NARSAPUR,2545</t>
  </si>
  <si>
    <t>NARSAPUR,3879</t>
  </si>
  <si>
    <t>HOSKOTE,6218</t>
  </si>
  <si>
    <t>NARSAPUR,5521</t>
  </si>
  <si>
    <t>NARSAPUR,8234</t>
  </si>
  <si>
    <t>HOSKOTE,4137</t>
  </si>
  <si>
    <t>NARSAPUR,4846</t>
  </si>
  <si>
    <t>NARSAPUR,1542</t>
  </si>
  <si>
    <t>NARSAPUR,1280</t>
  </si>
  <si>
    <t>HOSKOTE,0243</t>
  </si>
  <si>
    <t>NARSAPUR,7612</t>
  </si>
  <si>
    <t>NARSAPUR,0657</t>
  </si>
  <si>
    <t>HOSKOTE,1935</t>
  </si>
  <si>
    <t>NARSAPUR,0808</t>
  </si>
  <si>
    <t>HOSKOTE,9963</t>
  </si>
  <si>
    <t>NARSAPUR,0935</t>
  </si>
  <si>
    <t>NARSAPUR,9915</t>
  </si>
  <si>
    <t>NARSAPUR,1094</t>
  </si>
  <si>
    <t>NARSAPUR,4122</t>
  </si>
  <si>
    <t>HOSKOTE,8906</t>
  </si>
  <si>
    <t>NARSAPUR,9248</t>
  </si>
  <si>
    <t>HOSKOTE,8318</t>
  </si>
  <si>
    <t>NARSAPUR,1589</t>
  </si>
  <si>
    <t>HOSKOTE,0123</t>
  </si>
  <si>
    <t>NARSAPUR,9184</t>
  </si>
  <si>
    <t>VENDOR U,7245</t>
  </si>
  <si>
    <t>JANUARY,26</t>
  </si>
  <si>
    <t>30-12-2025</t>
  </si>
  <si>
    <t>02-01-2026</t>
  </si>
  <si>
    <t>03-01-2026</t>
  </si>
  <si>
    <t>06-01-2026</t>
  </si>
  <si>
    <t>JANUARY,26 Total</t>
  </si>
  <si>
    <t>TN83J-1318</t>
  </si>
  <si>
    <t>TN56K-9047</t>
  </si>
  <si>
    <t>07-01-2026</t>
  </si>
  <si>
    <t>09-01-2026</t>
  </si>
  <si>
    <t>10-01-2026</t>
  </si>
  <si>
    <t>NARSAPUR,1516</t>
  </si>
  <si>
    <t>NARSAPUR ,0630 + HOSKOTE,6138</t>
  </si>
  <si>
    <t>HASSAN,7924</t>
  </si>
  <si>
    <t>NRSAPUR,6235</t>
  </si>
  <si>
    <t>NARSAPUR,7257</t>
  </si>
  <si>
    <t>NARSAPUR,1129</t>
  </si>
  <si>
    <t>HOSKOTE,7717</t>
  </si>
  <si>
    <t>NARSAPUR,7717</t>
  </si>
  <si>
    <t>NARSAPUR,5435</t>
  </si>
  <si>
    <t>NARSAPUR,0462</t>
  </si>
  <si>
    <t>HOSKOTE,2414</t>
  </si>
  <si>
    <t>NARSAPUR,0515</t>
  </si>
  <si>
    <t>HOSKOTE,1710</t>
  </si>
  <si>
    <t>VENDOR U,6919 + VENDOR V,5214</t>
  </si>
  <si>
    <t>VENDOR V,9803</t>
  </si>
  <si>
    <t>VENDOR U,8741</t>
  </si>
  <si>
    <t>VENDOR U,6583+VENDOR V,5204+VENDOR F,3828</t>
  </si>
  <si>
    <t>VENDOR U,3332</t>
  </si>
  <si>
    <t>VENDOR U,7397 +VENDOR D,0460</t>
  </si>
  <si>
    <t>12-01-2026</t>
  </si>
  <si>
    <t>13-01-2026</t>
  </si>
  <si>
    <t>14-01-2026</t>
  </si>
  <si>
    <t>15-01-2026</t>
  </si>
  <si>
    <t>16-01-2026</t>
  </si>
  <si>
    <t>17-01-2026</t>
  </si>
  <si>
    <t>NARSAPUR,8548</t>
  </si>
  <si>
    <t>HOSKOTE,7178</t>
  </si>
  <si>
    <t>NARSAPUR,2984</t>
  </si>
  <si>
    <t>NARSAPUR,1867</t>
  </si>
  <si>
    <t>HOSKOTE,8140</t>
  </si>
  <si>
    <t>NARSAPUR,0500</t>
  </si>
  <si>
    <t>HOSKOTE,1908</t>
  </si>
  <si>
    <t>NARSAPUR,9174</t>
  </si>
  <si>
    <t>HOSKOTE,0002</t>
  </si>
  <si>
    <t>19-01-2026</t>
  </si>
  <si>
    <t>20-01-2026</t>
  </si>
  <si>
    <t>TN93KN-0867</t>
  </si>
  <si>
    <t>UP21NF-6677</t>
  </si>
  <si>
    <t xml:space="preserve">Transporter 36 </t>
  </si>
  <si>
    <t>HOSKOTE,2206</t>
  </si>
  <si>
    <t>NARSAPUR,8973</t>
  </si>
  <si>
    <t>NARSAPUR,4611</t>
  </si>
  <si>
    <t>23-01-2026</t>
  </si>
  <si>
    <t>24-01-2026</t>
  </si>
  <si>
    <t>26-01-2026</t>
  </si>
  <si>
    <t>27-01-2026</t>
  </si>
  <si>
    <t>NARSAPUR,1658</t>
  </si>
  <si>
    <t>NARSAPUR,5358</t>
  </si>
  <si>
    <t>RANCHI,6131</t>
  </si>
  <si>
    <t>VENDOR U,1042 + VENDOR F,4620</t>
  </si>
  <si>
    <t>VENDOR U,3923 + VENDOR V,6165</t>
  </si>
  <si>
    <t>VENDOR U,3923 + VENDOR G,2975</t>
  </si>
  <si>
    <t>BOMMANSADRA,5754</t>
  </si>
  <si>
    <t>RANCHI,8557</t>
  </si>
  <si>
    <t>28-01-2026</t>
  </si>
  <si>
    <t>NARSAPUR,0796</t>
  </si>
  <si>
    <t>NARSAPUR,1178</t>
  </si>
  <si>
    <t>NARSAPUR,7329</t>
  </si>
  <si>
    <t>VENDOR V,1849</t>
  </si>
  <si>
    <t>01-02-2026</t>
  </si>
  <si>
    <t>31-01-2026</t>
  </si>
  <si>
    <t>30-01-2026</t>
  </si>
  <si>
    <t>FEBRUARY,26</t>
  </si>
  <si>
    <t>FEBRUARY,26 Total</t>
  </si>
  <si>
    <t>NARSAPUR,6131</t>
  </si>
  <si>
    <t>ERODE VENDOR F,0499 +  VENDOR U,6733</t>
  </si>
  <si>
    <t>VENDOR U,4277</t>
  </si>
  <si>
    <t>02-02-2026</t>
  </si>
  <si>
    <t>03-02-2026</t>
  </si>
  <si>
    <t>06-02-2026</t>
  </si>
  <si>
    <t>07-02-2026</t>
  </si>
  <si>
    <t>NARSAPUR,4290</t>
  </si>
  <si>
    <t>NARSAPUR,7788</t>
  </si>
  <si>
    <t>NARSAPUR,8506</t>
  </si>
  <si>
    <t>HOSKOTE,1844</t>
  </si>
  <si>
    <t>NARSAPUR,9893</t>
  </si>
  <si>
    <t>HOSKOTE,5833</t>
  </si>
  <si>
    <t>NARSAPUR,3299</t>
  </si>
  <si>
    <t>HOSKOTE,9539</t>
  </si>
  <si>
    <t>VENDOR S BNG,7883 + VENDOR F,9433</t>
  </si>
  <si>
    <t>VENDOR V,7141</t>
  </si>
  <si>
    <t>VENDOR U,6082</t>
  </si>
  <si>
    <t>VENDOR U,6316</t>
  </si>
  <si>
    <t>09-02-2026</t>
  </si>
  <si>
    <t>10-02-2026</t>
  </si>
  <si>
    <t>12-02-2026</t>
  </si>
  <si>
    <t>13-02-2026</t>
  </si>
  <si>
    <t>NARSAPUR,9389</t>
  </si>
  <si>
    <t>HOSKOTE,8381</t>
  </si>
  <si>
    <t>NARSAPUR,9320</t>
  </si>
  <si>
    <t>HOSKOTE,1228</t>
  </si>
  <si>
    <t>14-02-2026</t>
  </si>
  <si>
    <t>16-02-2026</t>
  </si>
  <si>
    <t>17-02-2026</t>
  </si>
  <si>
    <t>19-02-2026</t>
  </si>
  <si>
    <t>VENDOR U,6729+ VENDOR V,4028 + VENDOR D ,0806</t>
  </si>
  <si>
    <t>VENDOR J 1473 + VENDOR G 7274 + VENDOR F 2477</t>
  </si>
  <si>
    <t>VENDOR U,5584</t>
  </si>
  <si>
    <t>NARSAPUR1249</t>
  </si>
  <si>
    <t>HOSKOTE,9844</t>
  </si>
  <si>
    <t>NARSAPUR,6909</t>
  </si>
  <si>
    <t>HOSKOTE,7250</t>
  </si>
  <si>
    <t>21-02-2026</t>
  </si>
  <si>
    <t>VENDOR U,9784</t>
  </si>
  <si>
    <t>VENDOR U 9511 + VENDOR V,8932 + VENDOR G,2747</t>
  </si>
  <si>
    <t>VENDOR U,7185</t>
  </si>
  <si>
    <t>NARSAPUR,1199</t>
  </si>
  <si>
    <t>HOSKOTE,7429</t>
  </si>
  <si>
    <t>NARSAPUR,0217</t>
  </si>
  <si>
    <t>HOSKOTE,4882</t>
  </si>
  <si>
    <t>,473</t>
  </si>
  <si>
    <t>24-02-2026</t>
  </si>
  <si>
    <t>25-02-2026</t>
  </si>
  <si>
    <t>26-02-2026</t>
  </si>
  <si>
    <t>27-02-2026</t>
  </si>
  <si>
    <t>KA01TK-1675</t>
  </si>
  <si>
    <t>MARCH,26</t>
  </si>
  <si>
    <t>TN70FG-1590</t>
  </si>
  <si>
    <t>MARCH,26 Total</t>
  </si>
  <si>
    <t>28-02-2026</t>
  </si>
  <si>
    <t>02-03-2026</t>
  </si>
  <si>
    <t>03-03-2026</t>
  </si>
  <si>
    <t>04-03-2026</t>
  </si>
  <si>
    <t>06-03-2026</t>
  </si>
  <si>
    <t>05-03-2026</t>
  </si>
  <si>
    <t>07-03-2026</t>
  </si>
  <si>
    <t>10-03-2026</t>
  </si>
  <si>
    <t>NARSAPUR,9701</t>
  </si>
  <si>
    <t>NARSAPUR,0572</t>
  </si>
  <si>
    <t>NARSAPUR,0899</t>
  </si>
  <si>
    <t>HOSKOTE,8814</t>
  </si>
  <si>
    <t>NARSAPUR,1332</t>
  </si>
  <si>
    <t>HOSKOTE,9586</t>
  </si>
  <si>
    <t>NARSAPUR,1438 + HOSKOTE,6520</t>
  </si>
  <si>
    <t>HASSAN ,4559</t>
  </si>
  <si>
    <t>NARSAPUR,5889</t>
  </si>
  <si>
    <t>HOSKOTE,1315</t>
  </si>
  <si>
    <t>NARSAPUR,3748</t>
  </si>
  <si>
    <t>HOSKOTE,9228</t>
  </si>
  <si>
    <t>NARSAPUR,1809</t>
  </si>
  <si>
    <t>HOSKOTE,5055</t>
  </si>
  <si>
    <t>NARSAPUR,9573</t>
  </si>
  <si>
    <t>HOSKOTE,7841</t>
  </si>
  <si>
    <t>VENDOR U,2188 + VENDOR V,7958</t>
  </si>
  <si>
    <t>VENDOR U,5869</t>
  </si>
  <si>
    <t>VENDOR V,8358 + VENDOR F,4842</t>
  </si>
  <si>
    <t>VENDOR U,9246</t>
  </si>
  <si>
    <t>VENDOR U,5388</t>
  </si>
  <si>
    <t xml:space="preserve">COIMBATORE,3710 + VENDOR U,5251 </t>
  </si>
  <si>
    <t>11-03-2026</t>
  </si>
  <si>
    <t>VENDOR U,4079</t>
  </si>
  <si>
    <t>VENDOR U,6172</t>
  </si>
  <si>
    <t>13-03-2026</t>
  </si>
  <si>
    <t>VENDOR U,3594</t>
  </si>
  <si>
    <t>HOSKOTE,5950</t>
  </si>
  <si>
    <t>HOSKOTE,1658</t>
  </si>
  <si>
    <t>VENDOR V,1339 + VENDOR G,2636</t>
  </si>
  <si>
    <t>NARSAPUR,0232</t>
  </si>
  <si>
    <t>14-03-2026</t>
  </si>
  <si>
    <t>15-03-2026</t>
  </si>
  <si>
    <t>16-03-2026</t>
  </si>
  <si>
    <t>17-03-2026</t>
  </si>
  <si>
    <t>18-03-2026</t>
  </si>
  <si>
    <t>NARSAPUR,1303</t>
  </si>
  <si>
    <t>HOSKOTE,0853</t>
  </si>
  <si>
    <t>NARSAPUR,0069</t>
  </si>
  <si>
    <t>NARSAPUR,9440</t>
  </si>
  <si>
    <t>HOSKOTE,2726</t>
  </si>
  <si>
    <t>NARSAPUR,2859</t>
  </si>
  <si>
    <t>HOSKOTE,0694</t>
  </si>
  <si>
    <t>VENDOR U,9945</t>
  </si>
  <si>
    <t>VENDOR U,9986+VENDOR V,0273+VENDOR F,6599</t>
  </si>
  <si>
    <t>499</t>
  </si>
  <si>
    <t>500</t>
  </si>
  <si>
    <t>501</t>
  </si>
  <si>
    <t>502</t>
  </si>
  <si>
    <t>503</t>
  </si>
  <si>
    <t>504</t>
  </si>
  <si>
    <t>20-03-2026</t>
  </si>
  <si>
    <t>19-03-2026</t>
  </si>
  <si>
    <t>22-03-2026</t>
  </si>
  <si>
    <t>NL01YH-6403</t>
  </si>
  <si>
    <t>24-03-2026</t>
  </si>
  <si>
    <t>NL01JH-0282</t>
  </si>
  <si>
    <t>26-03-2026</t>
  </si>
  <si>
    <t>28-03-2026</t>
  </si>
  <si>
    <t>30-03-2026</t>
  </si>
  <si>
    <t>02-04-2026</t>
  </si>
  <si>
    <t>31-03-2026</t>
  </si>
  <si>
    <t>APRIL,26</t>
  </si>
  <si>
    <t>JH01KR-7230</t>
  </si>
  <si>
    <t>APRIL,26 Total</t>
  </si>
  <si>
    <t xml:space="preserve">VENDOR F,4120 + VENDOR U,2538 </t>
  </si>
  <si>
    <t>HASSAN,0694</t>
  </si>
  <si>
    <t>NARSAPUR,0224+HOSKOTE,4829</t>
  </si>
  <si>
    <t>NARSAPUR,8948</t>
  </si>
  <si>
    <t>HOSKOTE,4687</t>
  </si>
  <si>
    <t>NARSAPUR,5250</t>
  </si>
  <si>
    <t>HOSKOTE,5955</t>
  </si>
  <si>
    <t>NARSAPUR,0309</t>
  </si>
  <si>
    <t>HOSKOTE,1594</t>
  </si>
  <si>
    <t>NARSAPUR,8154</t>
  </si>
  <si>
    <t>HOSKOTE,0225</t>
  </si>
  <si>
    <t>NARSAPUR,8109</t>
  </si>
  <si>
    <t>NARSAPUR,2858</t>
  </si>
  <si>
    <t>HOSKOTE,1171</t>
  </si>
  <si>
    <t>NARSAPUR,8683</t>
  </si>
  <si>
    <t>HOSKOTE,9417</t>
  </si>
  <si>
    <t>HASSAN,3310</t>
  </si>
  <si>
    <t>VENDOR U,4899</t>
  </si>
  <si>
    <t>505</t>
  </si>
  <si>
    <t>NARSAPUR,0224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</si>
  <si>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</si>
  <si>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</si>
  <si>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</si>
  <si>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</si>
  <si>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</si>
  <si>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</si>
  <si>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</si>
  <si>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</si>
  <si>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</si>
  <si>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 xml:space="preserve">BN Logistics </t>
  </si>
  <si>
    <t>Daily Trucks Tracking Report</t>
  </si>
  <si>
    <t>Month :</t>
  </si>
  <si>
    <t>Truck No</t>
  </si>
  <si>
    <t>Size</t>
  </si>
  <si>
    <t>Capacity ( Ton)</t>
  </si>
  <si>
    <t>Driver</t>
  </si>
  <si>
    <t>Details</t>
  </si>
  <si>
    <t>Total KM</t>
  </si>
  <si>
    <t>Tgt</t>
  </si>
  <si>
    <t>Blc to TGT</t>
  </si>
  <si>
    <t>32 Feet</t>
  </si>
  <si>
    <t>Driver A</t>
  </si>
  <si>
    <t>Plan</t>
  </si>
  <si>
    <t>Tripur to Ranchi</t>
  </si>
  <si>
    <t>Ranchi to Narshpur / Hoskotey</t>
  </si>
  <si>
    <t>HK to Tripur</t>
  </si>
  <si>
    <t>Tirpur to Ranchi</t>
  </si>
  <si>
    <t>Ranchi to Narshapur</t>
  </si>
  <si>
    <t>Narshpur to Culcutta</t>
  </si>
  <si>
    <t>Calcutta to Ranchi</t>
  </si>
  <si>
    <t>Ranchi to Narsapur/Hoskote</t>
  </si>
  <si>
    <t xml:space="preserve">Hoskote to Mysore </t>
  </si>
  <si>
    <t>Hoskote to Mysore</t>
  </si>
  <si>
    <t>Actual</t>
  </si>
  <si>
    <t xml:space="preserve">KM </t>
  </si>
  <si>
    <t xml:space="preserve">32 feet </t>
  </si>
  <si>
    <t>Driver B</t>
  </si>
  <si>
    <t xml:space="preserve">Tiruppur to Ranchi </t>
  </si>
  <si>
    <t>Ranchi to Naesapur/Hoskote</t>
  </si>
  <si>
    <t>HK to Tiruppur</t>
  </si>
  <si>
    <t>Tiruppur to Ranchi</t>
  </si>
  <si>
    <t>Hoskote to Jigni bng</t>
  </si>
  <si>
    <t xml:space="preserve">Banglore to Patna </t>
  </si>
  <si>
    <t>Patna to Kolkata</t>
  </si>
  <si>
    <t xml:space="preserve">Kolkata to Ranchi </t>
  </si>
  <si>
    <t>Ranchi to Narsapur</t>
  </si>
  <si>
    <t>Narsapur to Jigni/Atiballi</t>
  </si>
  <si>
    <t xml:space="preserve">Atiballi to Bhagalpur </t>
  </si>
  <si>
    <t>0526</t>
  </si>
  <si>
    <t xml:space="preserve">32feet </t>
  </si>
  <si>
    <t xml:space="preserve">Hoskote to Sambalpur Odissa </t>
  </si>
  <si>
    <t>Odissa to Ranchi</t>
  </si>
  <si>
    <t xml:space="preserve">Ranchi to Hassan </t>
  </si>
  <si>
    <t xml:space="preserve">Hassan to Tiruppur </t>
  </si>
  <si>
    <t>Ranchi to Hoskote</t>
  </si>
  <si>
    <t>Driver D</t>
  </si>
  <si>
    <t xml:space="preserve">Hoskote to Soukiya Bng </t>
  </si>
  <si>
    <t xml:space="preserve">Soukiya Bng to Kolkata </t>
  </si>
  <si>
    <t>Ranchi to Narsapur/Hoslkote</t>
  </si>
  <si>
    <t>Hoskote to Jigni Bng</t>
  </si>
  <si>
    <t xml:space="preserve">Jigni Bng to Bhubneshwar </t>
  </si>
  <si>
    <t xml:space="preserve">Bhubneshwar to Ranchi </t>
  </si>
  <si>
    <t>Ranchi to Sambalpur</t>
  </si>
  <si>
    <t xml:space="preserve">Sambalpur to Ranchi </t>
  </si>
  <si>
    <t xml:space="preserve">Ranchi to Narsapur </t>
  </si>
  <si>
    <t xml:space="preserve">Hoskote to Cimbatore/Tiruppur </t>
  </si>
  <si>
    <t xml:space="preserve">Coimbatore +Tiruppur to Ranchi </t>
  </si>
  <si>
    <t xml:space="preserve">Ranchi to Narsapur/Hoskote </t>
  </si>
  <si>
    <t xml:space="preserve">Hoskote to Tiruppur </t>
  </si>
  <si>
    <t>Patna to Hazipur</t>
  </si>
  <si>
    <t>Hazipur to Ramgarh</t>
  </si>
  <si>
    <t xml:space="preserve">24feet </t>
  </si>
  <si>
    <t xml:space="preserve">Break Down vehicle </t>
  </si>
  <si>
    <t xml:space="preserve">Service center </t>
  </si>
  <si>
    <t>32feet</t>
  </si>
  <si>
    <t>Driver G</t>
  </si>
  <si>
    <t xml:space="preserve">Ranchi to Kharagpur </t>
  </si>
  <si>
    <t>Driver H</t>
  </si>
  <si>
    <t xml:space="preserve">Ranchi to Hoskote/Hassan </t>
  </si>
  <si>
    <t>Driver I</t>
  </si>
  <si>
    <t>Driver J</t>
  </si>
  <si>
    <t>Make</t>
  </si>
  <si>
    <t>Capacity</t>
  </si>
  <si>
    <t>Year</t>
  </si>
  <si>
    <t>Tata</t>
  </si>
  <si>
    <t>Ashok</t>
  </si>
  <si>
    <t>24 Feet</t>
  </si>
  <si>
    <t>Driver B</t>
  </si>
  <si>
    <t>Driver C</t>
  </si>
  <si>
    <t>Driver E</t>
  </si>
  <si>
    <t>Driver F</t>
  </si>
  <si>
    <t>March</t>
  </si>
  <si>
    <t>Actual Total  KM Run</t>
  </si>
  <si>
    <t>Target KM / Month</t>
  </si>
  <si>
    <t>Veriation</t>
  </si>
  <si>
    <t>Incentive</t>
  </si>
  <si>
    <t>On Road Date</t>
  </si>
  <si>
    <t>April</t>
  </si>
  <si>
    <t>LOAD DATE</t>
  </si>
  <si>
    <t xml:space="preserve">CUSTOMER NAME </t>
  </si>
  <si>
    <t xml:space="preserve">LOAD FROM </t>
  </si>
  <si>
    <t xml:space="preserve">DELIVERY POINT </t>
  </si>
  <si>
    <t>RATE</t>
  </si>
  <si>
    <t>ADVANCE</t>
  </si>
  <si>
    <t>BALANCE</t>
  </si>
  <si>
    <t>ADVANCE RECEIVED DATE</t>
  </si>
  <si>
    <t xml:space="preserve">POD STATUS </t>
  </si>
  <si>
    <t xml:space="preserve">Customer 01 </t>
  </si>
  <si>
    <t xml:space="preserve">ALL FREIGHT CLEAR NO DUES </t>
  </si>
  <si>
    <t>Customer 02</t>
  </si>
  <si>
    <t>MALUR</t>
  </si>
  <si>
    <t>ATIBALLI+NEELMANGLA</t>
  </si>
  <si>
    <t>ANGUL ODISSA</t>
  </si>
  <si>
    <t>BURGED ODISSA</t>
  </si>
  <si>
    <t>ATIBALLI+JIGNI</t>
  </si>
  <si>
    <t>SAMBALPUR ODISSA</t>
  </si>
  <si>
    <t>TIRCHY</t>
  </si>
  <si>
    <t>JIGNI+NEELMANGLA</t>
  </si>
  <si>
    <t xml:space="preserve">Customer 05 </t>
  </si>
  <si>
    <t>HOWRAH</t>
  </si>
  <si>
    <t>DURGAPUR</t>
  </si>
  <si>
    <t>K.R.PURAM BANGLORE</t>
  </si>
  <si>
    <t>BRAHMAPUR,ODISSA</t>
  </si>
  <si>
    <t>Customer 06</t>
  </si>
  <si>
    <t>BRAHMAPUR</t>
  </si>
  <si>
    <t>KEONJHAR</t>
  </si>
  <si>
    <t>JIGNI,BNG</t>
  </si>
  <si>
    <t/>
  </si>
  <si>
    <t xml:space="preserve">Customer 07 </t>
  </si>
  <si>
    <t>NEELMANGLA</t>
  </si>
  <si>
    <t>JIGNI</t>
  </si>
  <si>
    <t>JH01KD2417</t>
  </si>
  <si>
    <t>CHENNAI</t>
  </si>
  <si>
    <t>26-08-205</t>
  </si>
  <si>
    <t xml:space="preserve">BALANCE PENDING </t>
  </si>
  <si>
    <t>BALASORE</t>
  </si>
  <si>
    <t>KR PURAM BNG</t>
  </si>
  <si>
    <t>Customer 08</t>
  </si>
  <si>
    <t>Customer 09</t>
  </si>
  <si>
    <t>TUMKUR BNG</t>
  </si>
  <si>
    <t>ODISSA+KOLKATA</t>
  </si>
  <si>
    <t>DONE ,V6903129326</t>
  </si>
  <si>
    <t>BILL NO.234</t>
  </si>
  <si>
    <t>DARBHANGA BIHAR</t>
  </si>
  <si>
    <t>DONE,V1662352462</t>
  </si>
  <si>
    <t>ATIBALLI</t>
  </si>
  <si>
    <t>PURNIA BIHAR</t>
  </si>
  <si>
    <t>BHAGALPUR</t>
  </si>
  <si>
    <t>ATIBALLI,BNG</t>
  </si>
  <si>
    <t>MUJAFFARPUR</t>
  </si>
  <si>
    <t>JIGNI BNG</t>
  </si>
  <si>
    <t>BILLNO.316</t>
  </si>
  <si>
    <t>SOUKIYA BNG</t>
  </si>
  <si>
    <t xml:space="preserve">HALTING CHARGE PENDING </t>
  </si>
  <si>
    <t>Customer 10</t>
  </si>
  <si>
    <t>BHUBNESHWAR</t>
  </si>
  <si>
    <t>PURI ODISSA</t>
  </si>
  <si>
    <t>KOLKATA,2</t>
  </si>
  <si>
    <t>PATNA,3</t>
  </si>
  <si>
    <t>HAZIPUR BIHAR</t>
  </si>
  <si>
    <t>RAMGARH RANCHI</t>
  </si>
  <si>
    <t>TOTAL AMOUNT ,</t>
  </si>
  <si>
    <t>BALANCE PENDING,</t>
  </si>
  <si>
    <t>Auburn Sale</t>
  </si>
  <si>
    <t>Market Sale</t>
  </si>
  <si>
    <t>Total Sale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</si>
  <si>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</si>
  <si>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</si>
  <si>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</si>
  <si>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</si>
  <si>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</si>
  <si>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</si>
  <si>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</si>
  <si>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</si>
  <si>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</si>
  <si>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</si>
  <si>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</si>
  <si>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</si>
  <si>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July </t>
  </si>
  <si>
    <t xml:space="preserve">August </t>
  </si>
  <si>
    <t xml:space="preserve">September </t>
  </si>
  <si>
    <t xml:space="preserve">December </t>
  </si>
  <si>
    <t xml:space="preserve">Kharagpur to Howrah </t>
  </si>
  <si>
    <t>Ramgarh to Ranchi</t>
  </si>
  <si>
    <t>JH01KR-1695</t>
  </si>
  <si>
    <t>NAGRI RANCHI</t>
  </si>
  <si>
    <t>KHARAGPUR</t>
  </si>
  <si>
    <t>JIGNI+ATIBALLI BNG</t>
  </si>
  <si>
    <t>SALAP KOLKATA</t>
  </si>
  <si>
    <t>Ranchi to Patna</t>
  </si>
  <si>
    <t>Ranchi to Kolkata</t>
  </si>
  <si>
    <t xml:space="preserve">Service Center </t>
  </si>
  <si>
    <t xml:space="preserve">Howrah to Ranchi </t>
  </si>
  <si>
    <t>WB19R-8368</t>
  </si>
  <si>
    <t xml:space="preserve">Transporter 37 </t>
  </si>
  <si>
    <t>03-04-2026</t>
  </si>
  <si>
    <t>04-04-2026</t>
  </si>
  <si>
    <t>05-04-2026</t>
  </si>
  <si>
    <t>06-04-2026</t>
  </si>
  <si>
    <t>08-04-2026</t>
  </si>
  <si>
    <t xml:space="preserve">Mysore to Tiruppur </t>
  </si>
  <si>
    <t xml:space="preserve">Patna to Simdega </t>
  </si>
  <si>
    <t>PATNA HAZIPUR</t>
  </si>
  <si>
    <t>SIMDEGA</t>
  </si>
  <si>
    <t>CUTTACK</t>
  </si>
  <si>
    <t>ODISSA</t>
  </si>
  <si>
    <t xml:space="preserve">Driver L </t>
  </si>
  <si>
    <t>09-04-2026</t>
  </si>
  <si>
    <t>VENDOR C,3975</t>
  </si>
  <si>
    <t>NARSAPUR,2351</t>
  </si>
  <si>
    <t>VENDOR V,8185</t>
  </si>
  <si>
    <t>VENDOR K,493 + VENDOR U,979</t>
  </si>
  <si>
    <t>VENDOR U,2065</t>
  </si>
  <si>
    <t>UP21RT-8341</t>
  </si>
  <si>
    <t xml:space="preserve">Transporter 38 </t>
  </si>
  <si>
    <t xml:space="preserve">Ranchi to Cuttack </t>
  </si>
  <si>
    <t xml:space="preserve">Simdega to Ranchi </t>
  </si>
  <si>
    <t xml:space="preserve">Hassan to Erode </t>
  </si>
  <si>
    <t>Erode to Tiruppur</t>
  </si>
  <si>
    <t>515</t>
  </si>
  <si>
    <t xml:space="preserve">Cuttack to Banglore </t>
  </si>
  <si>
    <t xml:space="preserve">Hazipur to Cuttack </t>
  </si>
  <si>
    <t xml:space="preserve">Salap kolkata to Ranihati howrah </t>
  </si>
  <si>
    <t xml:space="preserve">Ranihati howrah to Cuttack </t>
  </si>
  <si>
    <t xml:space="preserve">Jamshedpur to Chennai </t>
  </si>
  <si>
    <t xml:space="preserve">Kolkata to Madurai </t>
  </si>
  <si>
    <t>11-04-2026</t>
  </si>
  <si>
    <t>13-04-2026</t>
  </si>
  <si>
    <t>14-04-2026</t>
  </si>
  <si>
    <t xml:space="preserve">JAMSHEDPUR </t>
  </si>
  <si>
    <t xml:space="preserve">Customer 11 </t>
  </si>
  <si>
    <t>JH01KD-7230</t>
  </si>
  <si>
    <t>Customer 12</t>
  </si>
  <si>
    <t>JH01KR-9064</t>
  </si>
  <si>
    <t xml:space="preserve">Banglore to Tirppur </t>
  </si>
  <si>
    <t xml:space="preserve">Narsapur to Mysore </t>
  </si>
  <si>
    <t xml:space="preserve">Mysore to Tirppur </t>
  </si>
  <si>
    <t>Ranchi to Jamshedpur</t>
  </si>
  <si>
    <t xml:space="preserve">Jamshedpur to Angul odissa </t>
  </si>
  <si>
    <t>Driver K</t>
  </si>
  <si>
    <t xml:space="preserve">Cuttack to Hosur </t>
  </si>
  <si>
    <t>JH01KR-5582</t>
  </si>
  <si>
    <t xml:space="preserve">Chennai to Patna </t>
  </si>
  <si>
    <t xml:space="preserve">Customer 09 </t>
  </si>
  <si>
    <t xml:space="preserve">VENDOR D,9207 + VENDOR J </t>
  </si>
  <si>
    <t>NARSAPUR,5707</t>
  </si>
  <si>
    <t>NARSAPUR,4024</t>
  </si>
  <si>
    <t>VENDOR U,0070 + VENDOR F,1129</t>
  </si>
  <si>
    <t>VENDOR U,214</t>
  </si>
  <si>
    <t>VENDOR K,7305 + VENDOR U,1323</t>
  </si>
  <si>
    <t>11</t>
  </si>
  <si>
    <t>12</t>
  </si>
  <si>
    <t xml:space="preserve">Odissa to Hosur </t>
  </si>
  <si>
    <t>Hosur to Tiruppur</t>
  </si>
  <si>
    <t>17-04-2026</t>
  </si>
  <si>
    <t>18-04-2026</t>
  </si>
  <si>
    <t>MH40TT-6949</t>
  </si>
  <si>
    <t xml:space="preserve">Transporter 39 </t>
  </si>
  <si>
    <t>20-04-2026</t>
  </si>
  <si>
    <t>Customer 10+ 05DAYS HALTING 7518</t>
  </si>
  <si>
    <t xml:space="preserve">Customer 13 </t>
  </si>
  <si>
    <t xml:space="preserve">BALASORE </t>
  </si>
  <si>
    <t>NAMAKKAL ,TN.</t>
  </si>
  <si>
    <t>Banglore to Kolkata</t>
  </si>
  <si>
    <t>Balasore to Namakkal,TN</t>
  </si>
  <si>
    <t xml:space="preserve">Patna to Bokaro </t>
  </si>
  <si>
    <t>Customer 14</t>
  </si>
  <si>
    <t xml:space="preserve">BOKARO </t>
  </si>
  <si>
    <t>DANKUNI</t>
  </si>
  <si>
    <t>Narsapur to Tiruppur</t>
  </si>
  <si>
    <t xml:space="preserve">Narsapur to Tiruppur </t>
  </si>
  <si>
    <t>Hosur to Bng</t>
  </si>
  <si>
    <t>Patna to Ranchi</t>
  </si>
  <si>
    <t xml:space="preserve">Patna to Jamshedpur </t>
  </si>
  <si>
    <t>21-04-2026</t>
  </si>
  <si>
    <t>23-04-2026</t>
  </si>
  <si>
    <t>22-04-2026</t>
  </si>
  <si>
    <t xml:space="preserve">Banglore to Kolkata </t>
  </si>
  <si>
    <t>Erode to Ranchi</t>
  </si>
  <si>
    <t xml:space="preserve">Ranchi to Hoskote </t>
  </si>
  <si>
    <t>NARSAPUR,1690</t>
  </si>
  <si>
    <t>VENDOR Q,6731</t>
  </si>
  <si>
    <t>NARSAPUR,3761</t>
  </si>
  <si>
    <t>NARSAPUR,6769</t>
  </si>
  <si>
    <t>HOSKOTE,4957</t>
  </si>
  <si>
    <t>NARSAPUR,2668</t>
  </si>
  <si>
    <t>VENDOR U,9163 + VENDOR V,6382</t>
  </si>
  <si>
    <t>VENDOR U,6652</t>
  </si>
  <si>
    <t>14</t>
  </si>
  <si>
    <t>15</t>
  </si>
  <si>
    <t>16</t>
  </si>
  <si>
    <t>17</t>
  </si>
  <si>
    <t>18</t>
  </si>
  <si>
    <t>VENDOR V,1494</t>
  </si>
  <si>
    <t>19</t>
  </si>
  <si>
    <t>20</t>
  </si>
  <si>
    <t>21</t>
  </si>
  <si>
    <t>24-04-2026</t>
  </si>
  <si>
    <t>25-04-2026</t>
  </si>
  <si>
    <t xml:space="preserve">BAGNAN KOLKATA </t>
  </si>
  <si>
    <t>27-04-2026</t>
  </si>
  <si>
    <t>Narsapur to Tirupur</t>
  </si>
  <si>
    <t xml:space="preserve">Banglore to Guwahati </t>
  </si>
  <si>
    <t xml:space="preserve">Narsapur to Erode </t>
  </si>
  <si>
    <t xml:space="preserve">BANGLORE </t>
  </si>
  <si>
    <t>GUWAHATI</t>
  </si>
  <si>
    <t>28-04-2026</t>
  </si>
  <si>
    <t>MATERIAL UNLOADED AT BN OFFICE</t>
  </si>
  <si>
    <t xml:space="preserve">Erode to Ranchi </t>
  </si>
  <si>
    <t xml:space="preserve">Hoskote to Jigni </t>
  </si>
  <si>
    <t>29-04-2026</t>
  </si>
  <si>
    <t>Jigni bng to Odissa</t>
  </si>
  <si>
    <t xml:space="preserve">Jamshedpur to Bng </t>
  </si>
  <si>
    <t>DHARWAD</t>
  </si>
  <si>
    <t>ADVANCE PENDING</t>
  </si>
  <si>
    <t>Tirupur to Ranchi</t>
  </si>
  <si>
    <t>30-04-2026</t>
  </si>
  <si>
    <t>01-05-2026</t>
  </si>
  <si>
    <t>02-05-2026</t>
  </si>
  <si>
    <t>MAY,26</t>
  </si>
  <si>
    <t>MAY,26 Total</t>
  </si>
  <si>
    <t>Driver L</t>
  </si>
  <si>
    <t>Tirupur to ranchi</t>
  </si>
  <si>
    <t>VENDOR F,1837 + VENDOR G,2442 + VENDOR E,9661</t>
  </si>
  <si>
    <t>VENDOR U,9392</t>
  </si>
  <si>
    <t>VENDOR D,8911</t>
  </si>
  <si>
    <t>VENDOR V,3960</t>
  </si>
  <si>
    <t>VENDOR U,9329</t>
  </si>
  <si>
    <t>NARSAPUR,6920</t>
  </si>
  <si>
    <t>NARSAPUR,8954</t>
  </si>
  <si>
    <t>HOSKOTE,7677</t>
  </si>
  <si>
    <t>HOSKOTE,9235</t>
  </si>
  <si>
    <t>NARSAPUR,3545</t>
  </si>
  <si>
    <t>NARSAPUR,7721</t>
  </si>
  <si>
    <t>HOSKOTE,1595</t>
  </si>
  <si>
    <t>NARSAPUR,9738</t>
  </si>
  <si>
    <t>HOSKOTE,5078</t>
  </si>
  <si>
    <t>NARSAPUR,9533</t>
  </si>
  <si>
    <t>HOSKOTE,3260</t>
  </si>
  <si>
    <t>NARSAPUR,7672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</si>
  <si>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</si>
  <si>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</si>
  <si>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</si>
  <si>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</si>
  <si>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</si>
  <si>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</si>
  <si>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</si>
  <si>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</si>
  <si>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</si>
  <si>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</si>
  <si>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Hoskote to Tirupur </t>
  </si>
  <si>
    <t xml:space="preserve">Balasore to Hyderabad </t>
  </si>
  <si>
    <t xml:space="preserve">Jamshedpur to Mysore </t>
  </si>
  <si>
    <t xml:space="preserve">Tirupur to Ranchi </t>
  </si>
  <si>
    <t>Hoskote to Tirupur</t>
  </si>
  <si>
    <t xml:space="preserve">Ranchi to narsapur/Hoskote/Hassan </t>
  </si>
  <si>
    <t xml:space="preserve">Dharwad to Narsapur </t>
  </si>
  <si>
    <t xml:space="preserve">Tirupur to Coimbatore/Ranchi </t>
  </si>
  <si>
    <t>04-05-2026</t>
  </si>
  <si>
    <t>05-05-2026</t>
  </si>
  <si>
    <t>JH01SA-4371</t>
  </si>
  <si>
    <t xml:space="preserve">JAJPUR ODISSA </t>
  </si>
  <si>
    <t>HYDERABAD</t>
  </si>
  <si>
    <t xml:space="preserve">GUWAHATI </t>
  </si>
  <si>
    <t xml:space="preserve">PAKUR JHARKHAND </t>
  </si>
  <si>
    <t>DHARWAD GOA</t>
  </si>
  <si>
    <t>NARSAPUR,9584 + HOSKOTE,4732</t>
  </si>
  <si>
    <t>HASSAN,1317</t>
  </si>
  <si>
    <t>NARSAPUR,4322</t>
  </si>
  <si>
    <t>NARSAPUR,6381</t>
  </si>
  <si>
    <t>HOSKOTE,4240</t>
  </si>
  <si>
    <t>NARSAPUR,8361</t>
  </si>
  <si>
    <t>NARSAPUR,6141</t>
  </si>
  <si>
    <t>HOSKOTE,6086</t>
  </si>
  <si>
    <t>NARSAPUR,2472</t>
  </si>
  <si>
    <t>NARSAPUR,6868</t>
  </si>
  <si>
    <t>NARSAPUR,1513</t>
  </si>
  <si>
    <t>HOSKOTE,1184</t>
  </si>
  <si>
    <t>NARSAPUR,8999</t>
  </si>
  <si>
    <t>NARSAPUR,4508</t>
  </si>
  <si>
    <t>HOSKOTE,6896</t>
  </si>
  <si>
    <t>NARSAPUR,4863</t>
  </si>
  <si>
    <t>NARSAPUR,2173</t>
  </si>
  <si>
    <t>NARSAPUR,5148</t>
  </si>
  <si>
    <t>VENDOR U,6716</t>
  </si>
  <si>
    <t>VENDOR U,7173</t>
  </si>
  <si>
    <t>VENDOR D,5366</t>
  </si>
  <si>
    <t>VENDOR V,2077 + VENDOR U,2077</t>
  </si>
  <si>
    <t>VENDOR U,3961</t>
  </si>
  <si>
    <t>VENDOR U,2191 + VENDOR F,2253</t>
  </si>
  <si>
    <t>VENDOR U,4378</t>
  </si>
  <si>
    <t>VENDOR U,737</t>
  </si>
  <si>
    <t>VENDOR F,597+VENDOR R ,100+VENDOR H,128</t>
  </si>
  <si>
    <t>VENDOR U,0695</t>
  </si>
  <si>
    <t>VENDOR U,0148</t>
  </si>
  <si>
    <t>VENDOR L 5070 +  VENDOR B COIMBATORE,9546</t>
  </si>
  <si>
    <t>VENDOR V 3815,+VENDOR H,8455</t>
  </si>
  <si>
    <t>32</t>
  </si>
  <si>
    <t>33</t>
  </si>
  <si>
    <t>34</t>
  </si>
  <si>
    <t>44</t>
  </si>
  <si>
    <t>35</t>
  </si>
  <si>
    <t>36</t>
  </si>
  <si>
    <t>37</t>
  </si>
  <si>
    <t>38</t>
  </si>
  <si>
    <t>39</t>
  </si>
  <si>
    <t>NARSAPUR,9005</t>
  </si>
  <si>
    <t>NARSAPUR,7276</t>
  </si>
  <si>
    <t>NARSAPUR,4872</t>
  </si>
  <si>
    <t>NARSAPUR,1725</t>
  </si>
  <si>
    <t>NARSAPUR,3037</t>
  </si>
  <si>
    <t>HOSKOTE,4249</t>
  </si>
  <si>
    <t>NARSAPUR,6976</t>
  </si>
  <si>
    <t>NARSAPUR,3488</t>
  </si>
  <si>
    <t>HOSKOTE,4554</t>
  </si>
  <si>
    <t>NARSAPUR,3603</t>
  </si>
  <si>
    <t>HOSKOTE,2067</t>
  </si>
  <si>
    <t>VENDOR V,6914</t>
  </si>
  <si>
    <t>VENDOR V,9972</t>
  </si>
  <si>
    <t>VENDOR U,1180 + VENDOR F,8461</t>
  </si>
  <si>
    <t>VENDOR U,8533</t>
  </si>
  <si>
    <t xml:space="preserve">Customer 16 </t>
  </si>
  <si>
    <t xml:space="preserve">SRICITY </t>
  </si>
  <si>
    <t>JH01KD-1695</t>
  </si>
  <si>
    <t>SRICITY</t>
  </si>
  <si>
    <t xml:space="preserve">GOA </t>
  </si>
  <si>
    <t xml:space="preserve">BHUBNESHWAR </t>
  </si>
  <si>
    <t xml:space="preserve">Customer 17 </t>
  </si>
  <si>
    <t>MULBAGAL</t>
  </si>
  <si>
    <t>MUZAFFARPUR</t>
  </si>
  <si>
    <t xml:space="preserve">MYSORE ROAD </t>
  </si>
  <si>
    <t>Customer 18</t>
  </si>
  <si>
    <t xml:space="preserve">Jamshedpur to Goa </t>
  </si>
  <si>
    <t xml:space="preserve">Goa to Banglore </t>
  </si>
  <si>
    <t>Banglore to Tirupur</t>
  </si>
  <si>
    <t>Ranchi to Hoskote/Narsapur</t>
  </si>
  <si>
    <t>Narsapur to tirupur</t>
  </si>
  <si>
    <t>Hassan to tirupur</t>
  </si>
  <si>
    <t>Hoskote to tirupur</t>
  </si>
  <si>
    <t xml:space="preserve">Narsapur to Tirupur </t>
  </si>
  <si>
    <t xml:space="preserve">Ranchi to Narsapur/hoskote </t>
  </si>
  <si>
    <t xml:space="preserve">Tirupur to ranchi </t>
  </si>
  <si>
    <t xml:space="preserve">Mysore road to Kolkata </t>
  </si>
  <si>
    <t xml:space="preserve">Ranchi to Jamshedpur </t>
  </si>
  <si>
    <t xml:space="preserve">Jamshedpur to Sricity </t>
  </si>
  <si>
    <t>Sricity to Ranchi</t>
  </si>
  <si>
    <t xml:space="preserve">Ranchi to narsapur/Hoskote </t>
  </si>
  <si>
    <t xml:space="preserve">Banglore to Mujaffarpur </t>
  </si>
  <si>
    <t xml:space="preserve">Mujaffarpur to Ranchi </t>
  </si>
  <si>
    <t>Ranchi to narsapur/Hoskote</t>
  </si>
  <si>
    <t xml:space="preserve">Patna to Ranchi </t>
  </si>
  <si>
    <t xml:space="preserve">Hosur to Cuttack </t>
  </si>
  <si>
    <t>Cuttack to Ranchi</t>
  </si>
  <si>
    <t xml:space="preserve">Guwahati to Pakur Jharkhand </t>
  </si>
  <si>
    <t xml:space="preserve">Pakur to Kharagpur </t>
  </si>
  <si>
    <t xml:space="preserve">Kharagpur to Banglore </t>
  </si>
  <si>
    <t xml:space="preserve">Banglore to Tirupur </t>
  </si>
  <si>
    <t xml:space="preserve">Patna to Banglore </t>
  </si>
  <si>
    <t xml:space="preserve">Banglore to Bhubneshwar </t>
  </si>
  <si>
    <t xml:space="preserve">Hyderabad to Banglore </t>
  </si>
  <si>
    <t xml:space="preserve">Banglore to Ranchi </t>
  </si>
  <si>
    <t xml:space="preserve">Hoskote to tirupur </t>
  </si>
  <si>
    <t>JUNE,26</t>
  </si>
  <si>
    <t>JUNE,26 Total</t>
  </si>
  <si>
    <t xml:space="preserve">Kolkata to Banglore </t>
  </si>
  <si>
    <t>NARSAPUR,3424</t>
  </si>
  <si>
    <t>HOSKOTE,1762</t>
  </si>
  <si>
    <t>NARSAPUR,5561</t>
  </si>
  <si>
    <t>HOSKOTE,4513</t>
  </si>
  <si>
    <t>VENDOR U,0911</t>
  </si>
  <si>
    <t>Kolkata to Ranchi</t>
  </si>
  <si>
    <t xml:space="preserve">Ranchi to Jamshedpur/Sricity </t>
  </si>
  <si>
    <t>Hoskote to Tiruppur</t>
  </si>
  <si>
    <t>VENDOR U 7904 + VENDOR V,9151</t>
  </si>
  <si>
    <t>VENDOR U,2241</t>
  </si>
  <si>
    <t>NARSAPUR,5477</t>
  </si>
  <si>
    <t>HOSKOTE,8010</t>
  </si>
  <si>
    <t>NARSAPUR,3330</t>
  </si>
  <si>
    <t>HOSKOTE,0411</t>
  </si>
  <si>
    <t>VENDOR U,6346</t>
  </si>
  <si>
    <t>Banglore to Patna</t>
  </si>
  <si>
    <t>Hoskote to Bng /Tiruppur</t>
  </si>
  <si>
    <t>Tirupati to Patna</t>
  </si>
  <si>
    <t>Running</t>
  </si>
  <si>
    <t>Running Total</t>
  </si>
  <si>
    <t>TN21UX-4481</t>
  </si>
  <si>
    <t>13-06-2026</t>
  </si>
  <si>
    <t>14-06-2026</t>
  </si>
  <si>
    <t>15-06-2026</t>
  </si>
  <si>
    <t xml:space="preserve">Service Cenre </t>
  </si>
  <si>
    <t xml:space="preserve">Banglore to odissa </t>
  </si>
  <si>
    <t xml:space="preserve">Patna to Odissa </t>
  </si>
  <si>
    <t>16-06-2026</t>
  </si>
  <si>
    <t>17-06-2026</t>
  </si>
  <si>
    <t>Patna to Icchapuram</t>
  </si>
  <si>
    <t xml:space="preserve">Banglore to Odissa </t>
  </si>
  <si>
    <t xml:space="preserve">TIRUPATI </t>
  </si>
  <si>
    <t xml:space="preserve">CUTTACK </t>
  </si>
  <si>
    <t>ICCHAPURAM</t>
  </si>
  <si>
    <t xml:space="preserve">Hoskote to Tiruppur/Bms </t>
  </si>
  <si>
    <t>19-06-2026</t>
  </si>
  <si>
    <t>NARSAPUR,4268</t>
  </si>
  <si>
    <t>HOSKOTE,9814</t>
  </si>
  <si>
    <t>NARSAPUR,2239</t>
  </si>
  <si>
    <t>HOSKOTE,3400</t>
  </si>
  <si>
    <t>NARSAPUR,5837</t>
  </si>
  <si>
    <t>HOSKOTE,8170</t>
  </si>
  <si>
    <t>NARSAPUR,0796</t>
  </si>
  <si>
    <t>NARSAPUR,6191</t>
  </si>
  <si>
    <t>HOSKOTE,0796</t>
  </si>
  <si>
    <t>NARSAPUR,3615</t>
  </si>
  <si>
    <t>HOSKOTE,1074</t>
  </si>
  <si>
    <t>NARSAPUR,1533</t>
  </si>
  <si>
    <t>HOSKOTE,8449</t>
  </si>
  <si>
    <t>NARSAPUR,0081</t>
  </si>
  <si>
    <t>NARSAPUR,4513</t>
  </si>
  <si>
    <t>VENDOR U,2338 + VENDOR F,4553</t>
  </si>
  <si>
    <t>VENDOR V,6312 +  VENDOR F,5437</t>
  </si>
  <si>
    <t>VENDOR E,6429 + VENDOR U,0830</t>
  </si>
  <si>
    <t>VENDOR V,7872 + VENDOR F,5031</t>
  </si>
  <si>
    <t xml:space="preserve">Service Centre </t>
  </si>
  <si>
    <t xml:space="preserve">Odissa to Ranchi </t>
  </si>
  <si>
    <t>20-06-2026</t>
  </si>
  <si>
    <t>22-06-2026</t>
  </si>
  <si>
    <t xml:space="preserve">Bng to Kolkata </t>
  </si>
  <si>
    <t>Service Centre</t>
  </si>
  <si>
    <t>23-06-2026</t>
  </si>
  <si>
    <t>Narsapur,Service Centre</t>
  </si>
  <si>
    <t xml:space="preserve">Narsapur to Bms/Tiruppur </t>
  </si>
  <si>
    <t xml:space="preserve">Bng to Ranchi </t>
  </si>
  <si>
    <t>24-06-2026</t>
  </si>
  <si>
    <t>26-06-2026</t>
  </si>
  <si>
    <t xml:space="preserve">Kolkata to Bng </t>
  </si>
  <si>
    <t xml:space="preserve">Hoskote to jigni/tiruppur </t>
  </si>
  <si>
    <t>Hoskote to Tirppur</t>
  </si>
  <si>
    <t>NARSAPUR,8829</t>
  </si>
  <si>
    <t>HOSKOTE,0707</t>
  </si>
  <si>
    <t>NARSAPUR,6454</t>
  </si>
  <si>
    <t>HOSKOTE,5375</t>
  </si>
  <si>
    <t>NARSAPUR,6394</t>
  </si>
  <si>
    <t>NARSAPUR,6403</t>
  </si>
  <si>
    <t>HOSKOTE,5540</t>
  </si>
  <si>
    <t>NARSAPUR,6773</t>
  </si>
  <si>
    <t>HOSKOTE,0625</t>
  </si>
  <si>
    <t>NARSAPUR,2984</t>
  </si>
  <si>
    <t>HOSKOTE,7091</t>
  </si>
  <si>
    <t>NARSAPUR,8779</t>
  </si>
  <si>
    <t>HOSKOTE,3164</t>
  </si>
  <si>
    <t>NARSAPUR,8958</t>
  </si>
  <si>
    <t>HOSKOTE,2389</t>
  </si>
  <si>
    <t>VENDOR C,2580 + VENDOR F,1927 + VENDOR U,5117</t>
  </si>
  <si>
    <t>VENDOR U,9690</t>
  </si>
  <si>
    <t>RANCHI TANDWA</t>
  </si>
  <si>
    <t>27-06-2026</t>
  </si>
  <si>
    <t xml:space="preserve">Ranchi to Chittoor </t>
  </si>
  <si>
    <t>28-06-2026</t>
  </si>
  <si>
    <t>29-06-2026</t>
  </si>
  <si>
    <t>BNG</t>
  </si>
  <si>
    <t>CHITTOOR</t>
  </si>
  <si>
    <t>Total Target,150000</t>
  </si>
  <si>
    <t>Loss k.m.27000</t>
  </si>
  <si>
    <t>Running k.m.123000</t>
  </si>
  <si>
    <t>JULY,26</t>
  </si>
  <si>
    <t>30-06-2026</t>
  </si>
  <si>
    <t>01-07-2026</t>
  </si>
  <si>
    <t>JULY,26 Total</t>
  </si>
  <si>
    <t xml:space="preserve">Ranchi Narsapur / hoskote </t>
  </si>
  <si>
    <t xml:space="preserve">Ranchi to Narsapur /Hoskote </t>
  </si>
  <si>
    <t xml:space="preserve">Bng to Hazaribagh </t>
  </si>
  <si>
    <t>VENDOR V,3304</t>
  </si>
  <si>
    <t>VENDOR U,1309</t>
  </si>
  <si>
    <t>VENDOR E,3700 + VENDOR V,6540</t>
  </si>
  <si>
    <t>NARSAPUR,1941</t>
  </si>
  <si>
    <t>HOSKOTE,7683</t>
  </si>
  <si>
    <t>NARSAPUR,6771</t>
  </si>
  <si>
    <t>VENDOR E,8611 + VENDOR U,7671</t>
  </si>
  <si>
    <t>VENDOR V ,0065 + VENDOR U,8276</t>
  </si>
  <si>
    <t>VENDOR U,2820</t>
  </si>
  <si>
    <t>VENDOR E ,0965 + VENDOR U,0792</t>
  </si>
  <si>
    <t xml:space="preserve">Ranchi to Banglore </t>
  </si>
  <si>
    <t xml:space="preserve">Srvice centre </t>
  </si>
  <si>
    <t xml:space="preserve">Ranchi Hold </t>
  </si>
  <si>
    <t xml:space="preserve">Bng to Tiruppur </t>
  </si>
  <si>
    <t xml:space="preserve">Bng to Patna </t>
  </si>
  <si>
    <t>03-07-2026</t>
  </si>
  <si>
    <t>04-07-2026</t>
  </si>
  <si>
    <t xml:space="preserve">Ranchi to Narsapur/Hoskote/Hassan </t>
  </si>
  <si>
    <t>05-07-2026</t>
  </si>
  <si>
    <t>07-07-2026</t>
  </si>
  <si>
    <t xml:space="preserve">Banglore to Tiruppur </t>
  </si>
  <si>
    <t xml:space="preserve">Mujjafarpur to Odissa </t>
  </si>
  <si>
    <t>09-07-2026</t>
  </si>
  <si>
    <t>MATERIAL UNLOADED AT BN OFFICE</t>
  </si>
  <si>
    <t>Tiruppur to Erode/Ranchi</t>
  </si>
  <si>
    <t>Customer 19</t>
  </si>
  <si>
    <t>DARING BADI ODISSA</t>
  </si>
  <si>
    <t>11-07-2026</t>
  </si>
  <si>
    <t>12-07-2026</t>
  </si>
  <si>
    <t>13-07-2026</t>
  </si>
  <si>
    <t xml:space="preserve">Odissa to Banglore </t>
  </si>
  <si>
    <t>Odissa to Banglore</t>
  </si>
  <si>
    <t>Ranchi to Jsp/Hosur</t>
  </si>
  <si>
    <t xml:space="preserve">Ranchi to Hyderabad </t>
  </si>
  <si>
    <t>14-07-2026</t>
  </si>
  <si>
    <t>NARSAPUR,9146</t>
  </si>
  <si>
    <t>HOSKOTE,0513</t>
  </si>
  <si>
    <t>NARSAPUR,3871</t>
  </si>
  <si>
    <t>HOSKOTE,2542</t>
  </si>
  <si>
    <t>HASSAN,9819</t>
  </si>
  <si>
    <t>NARSAPUR,1934 + HOSKOTE,3540</t>
  </si>
  <si>
    <t>NARSAPUR,6861</t>
  </si>
  <si>
    <t>HOSKOTE,6737</t>
  </si>
  <si>
    <t>NARSAPUR,2456</t>
  </si>
  <si>
    <t>HOSKOTE,5564</t>
  </si>
  <si>
    <t>NARSAPUR,2604</t>
  </si>
  <si>
    <t>NRSAPUR,4208</t>
  </si>
  <si>
    <t>VENDOR U 2526 + VENDOR V,2568</t>
  </si>
  <si>
    <t>VENDOR U,7525</t>
  </si>
  <si>
    <t>VENDOR U ,0514 + VENDOR F,4755 + VENDOR V,2258</t>
  </si>
  <si>
    <t xml:space="preserve">VENDOR D,6363 + VENDOR C,7226 + VENDOR E,3477 </t>
  </si>
  <si>
    <t>VENDOR U,7943</t>
  </si>
  <si>
    <t>VENDOR U,0198 + VENDOR V,4448</t>
  </si>
  <si>
    <t>VENDOR U,0699</t>
  </si>
  <si>
    <t>15-07-2026</t>
  </si>
  <si>
    <t>17-07-2026</t>
  </si>
  <si>
    <t>MATERIAL SHIFTED TO ANOTHER VEHICLE</t>
  </si>
  <si>
    <t>- Total</t>
  </si>
  <si>
    <t>Ranchi to Narsapur/Hoskote/Hassan</t>
  </si>
  <si>
    <t xml:space="preserve">Hosur to Dodaballapur </t>
  </si>
  <si>
    <t xml:space="preserve">Break Down </t>
  </si>
  <si>
    <t xml:space="preserve">Customer 20 </t>
  </si>
  <si>
    <t xml:space="preserve">DEVENGIRI BNG </t>
  </si>
  <si>
    <t>124</t>
  </si>
  <si>
    <t>VENDOR D,2712</t>
  </si>
  <si>
    <t>VENDOR U,8668 + VENDOR F,7666</t>
  </si>
  <si>
    <t>Banglore to Bhubneshwar</t>
  </si>
  <si>
    <t xml:space="preserve">Bng,Tiruppur to Ranchi </t>
  </si>
  <si>
    <t>Banglore to Keonjhar odissa</t>
  </si>
  <si>
    <t xml:space="preserve">Hyderabad to Kharagpur </t>
  </si>
  <si>
    <t>Kharagpur to Ranchi</t>
  </si>
  <si>
    <t xml:space="preserve">Bng to Kharagpur </t>
  </si>
  <si>
    <t>Bng to Bankura w.b.</t>
  </si>
  <si>
    <t>20-07-2026</t>
  </si>
  <si>
    <t>21-07-2026</t>
  </si>
  <si>
    <t>BNG HOSUR</t>
  </si>
  <si>
    <t>BARJOR W.B.</t>
  </si>
  <si>
    <t xml:space="preserve">Bankuda to Ranchi </t>
  </si>
  <si>
    <t xml:space="preserve">KEONJHAR </t>
  </si>
  <si>
    <t>VENDOR U,5466</t>
  </si>
  <si>
    <t>NARSAPUR,0293</t>
  </si>
  <si>
    <t>NARSAPUR,0919</t>
  </si>
  <si>
    <t>HOSKOTE,9735</t>
  </si>
  <si>
    <t>NARSAPUR,2374</t>
  </si>
  <si>
    <t>NARSAPUR,2489</t>
  </si>
  <si>
    <t>HOSKOTE,1322</t>
  </si>
  <si>
    <t>NARSAPUR,8387</t>
  </si>
  <si>
    <t>24-07-2026</t>
  </si>
  <si>
    <t>25-07-2026</t>
  </si>
  <si>
    <t>Hoskote to Bng/Tiruppur</t>
  </si>
  <si>
    <t>Bhubneshwar to Tiruvannamalai</t>
  </si>
  <si>
    <t xml:space="preserve">Keonjhar to Ranchi </t>
  </si>
  <si>
    <t>26-07-2026</t>
  </si>
  <si>
    <t>27-07-2026</t>
  </si>
  <si>
    <t xml:space="preserve">Ranchi to Jsp/Chennai </t>
  </si>
  <si>
    <t>28-07-2026</t>
  </si>
  <si>
    <t>29-07-2026</t>
  </si>
  <si>
    <t xml:space="preserve">Ranchi to Nrasapur </t>
  </si>
  <si>
    <t>30-07-2026</t>
  </si>
  <si>
    <t>MADURAI</t>
  </si>
  <si>
    <t>Customer 21 HOWRAH ,2580</t>
  </si>
  <si>
    <t xml:space="preserve">Tiruvannamalai to Tiruppur </t>
  </si>
  <si>
    <t>Running k.m.123950</t>
  </si>
  <si>
    <t>Loss k.m.26050</t>
  </si>
  <si>
    <t>31-07-2026</t>
  </si>
  <si>
    <t>AUGUST,26</t>
  </si>
  <si>
    <t>UP21MJ-1013</t>
  </si>
  <si>
    <t>Transporter 41</t>
  </si>
  <si>
    <t>AUGUST,26 Total</t>
  </si>
  <si>
    <t>01-08-2026</t>
  </si>
  <si>
    <t>03-08-2026</t>
  </si>
  <si>
    <t>Transporter 40</t>
  </si>
  <si>
    <t>NARSAPUR,6213</t>
  </si>
  <si>
    <t>HOSKOTE,9242</t>
  </si>
  <si>
    <t>NARSAPUR,2890</t>
  </si>
  <si>
    <t>NARSAPUR,2332</t>
  </si>
  <si>
    <t>NARSAPUR,2278</t>
  </si>
  <si>
    <t>HOSKOTE,3760</t>
  </si>
  <si>
    <t>NARSAPUR,0784</t>
  </si>
  <si>
    <t>NARSAPUR,8090</t>
  </si>
  <si>
    <t>HOSKOTE,0875</t>
  </si>
  <si>
    <t>NARSAPUR,4628</t>
  </si>
  <si>
    <t>NARSAPUR,3163</t>
  </si>
  <si>
    <t>NARSAPUR,5029</t>
  </si>
  <si>
    <t>HOSKOTE,0449</t>
  </si>
  <si>
    <t>VENDOR U,7924 + VENDOR V,8163</t>
  </si>
  <si>
    <t>VENDOR U,6573 + VENDOR F,6069</t>
  </si>
  <si>
    <t>VENDOR V,6511</t>
  </si>
  <si>
    <t xml:space="preserve">VENDOR E,7304 + VENDOR C,3480 </t>
  </si>
  <si>
    <t>VENDOR U,5228</t>
  </si>
  <si>
    <t>VENDOR D,0120 + VENDOR F,4206 + VENDOR U,8668</t>
  </si>
  <si>
    <t>VENDOR V,5524</t>
  </si>
  <si>
    <t>VENDOR U,4974</t>
  </si>
  <si>
    <t>VENDOR V,0378</t>
  </si>
  <si>
    <t xml:space="preserve">Bng to Cuttack </t>
  </si>
  <si>
    <t xml:space="preserve">Ranchi to Bng </t>
  </si>
  <si>
    <t xml:space="preserve">Bng to patna </t>
  </si>
  <si>
    <t>Bng to Kharagpur</t>
  </si>
  <si>
    <t>Chennai to Kharagpur</t>
  </si>
  <si>
    <t xml:space="preserve">KOLAR BNG </t>
  </si>
  <si>
    <t>Customer 22</t>
  </si>
  <si>
    <t xml:space="preserve">Kharagpur to Ranchi </t>
  </si>
  <si>
    <t>KA52W-7334</t>
  </si>
  <si>
    <t>05-08-2026</t>
  </si>
  <si>
    <t>TN12JT-5089</t>
  </si>
  <si>
    <t>Mysore to Ranchi</t>
  </si>
  <si>
    <t>Bng to Tiruppur</t>
  </si>
  <si>
    <t>8-08-2026</t>
  </si>
  <si>
    <t>08-08-2026</t>
  </si>
  <si>
    <t>10-08-2026</t>
  </si>
  <si>
    <t>VEHICLE ACCIDENT - MATERIAL SHIFTED TO ANOTHER VEHICLE</t>
  </si>
  <si>
    <t>11-08-2026</t>
  </si>
  <si>
    <t>12-08-2026</t>
  </si>
  <si>
    <t>Mysore to Jigni/Ranchi</t>
  </si>
  <si>
    <t xml:space="preserve">Hoskote to Bidadi </t>
  </si>
  <si>
    <t>Bidadi bng to Ranchi</t>
  </si>
  <si>
    <t xml:space="preserve">Ranchi to Narsapur/Hassan </t>
  </si>
  <si>
    <t>13-08-2026</t>
  </si>
  <si>
    <t>14-08-2026</t>
  </si>
  <si>
    <t>NARSAPUR,6425</t>
  </si>
  <si>
    <t>NARSAPUR,8563</t>
  </si>
  <si>
    <t>HOSKOTE,3288</t>
  </si>
  <si>
    <t>NARSAPUR,0127</t>
  </si>
  <si>
    <t>NARSAPUR,5610</t>
  </si>
  <si>
    <t>HOSKOTE,4156</t>
  </si>
  <si>
    <t>NARSAPUR,4502</t>
  </si>
  <si>
    <t>HOSKOTE,7855</t>
  </si>
  <si>
    <t>NARSAPUR,3510</t>
  </si>
  <si>
    <t>NARSAPUR,8181</t>
  </si>
  <si>
    <t>NARSAPUR,3757</t>
  </si>
  <si>
    <t>NARSAPUR,2800</t>
  </si>
  <si>
    <t>HOSKOTE,1074</t>
  </si>
  <si>
    <t>NARSAPUR,7197</t>
  </si>
  <si>
    <t>NARSAPUR,2387</t>
  </si>
  <si>
    <t>HOSKOTE,7479</t>
  </si>
  <si>
    <t>VENDOR U,3303</t>
  </si>
  <si>
    <t>VENDOR L ,4595</t>
  </si>
  <si>
    <t>VENDOR V,0244 + VENDOR U,7802</t>
  </si>
  <si>
    <t>CLIENT,2782 + VENDOR D,3668</t>
  </si>
  <si>
    <t>VENDOR U,4408</t>
  </si>
  <si>
    <t>VENDOR U,1989</t>
  </si>
  <si>
    <t>VENDOR U,7925+VENDOR F,8006</t>
  </si>
  <si>
    <t>VENDOR U,0082</t>
  </si>
  <si>
    <t>VENDOR C,6220</t>
  </si>
  <si>
    <t>VENDOR U,6879</t>
  </si>
  <si>
    <t>VENDOR E ,9398 + VENDOR F,4392 + VENDOR U,4660</t>
  </si>
  <si>
    <t>NARSAPUR,3529</t>
  </si>
  <si>
    <t>NARSAPUR,2345</t>
  </si>
  <si>
    <t>HOSKOTE,2566</t>
  </si>
  <si>
    <t>HOSKOTE,3662</t>
  </si>
  <si>
    <t>NARSAPUR,1273</t>
  </si>
  <si>
    <t>NARSAPUR,0042</t>
  </si>
  <si>
    <t>NARSAPUR,5711+HOSKOTE8677,HASSAN,6555</t>
  </si>
  <si>
    <t>HOSKOTE,6025</t>
  </si>
  <si>
    <t>NARSAPUR,1519</t>
  </si>
  <si>
    <t>HOSKOTE,8329</t>
  </si>
  <si>
    <t>NARSAPUR,6562</t>
  </si>
  <si>
    <t>HOSKOTE,1132</t>
  </si>
  <si>
    <t>15-08-2026</t>
  </si>
  <si>
    <t>20-08-2026</t>
  </si>
  <si>
    <t>21-08-2026</t>
  </si>
  <si>
    <t>18-08-2026</t>
  </si>
  <si>
    <t>17-08-2026</t>
  </si>
  <si>
    <t>22-08-2026</t>
  </si>
  <si>
    <t>24-08-2026</t>
  </si>
  <si>
    <t>25-08-2026</t>
  </si>
  <si>
    <t>26-08-2026</t>
  </si>
  <si>
    <t>27-08-2026</t>
  </si>
  <si>
    <t>28-08-2026</t>
  </si>
  <si>
    <t>29-08-2026</t>
  </si>
  <si>
    <t>31-08-2026</t>
  </si>
  <si>
    <t>Bng to Kolkata</t>
  </si>
  <si>
    <t>Hoskote to Bidadi Bng</t>
  </si>
  <si>
    <t>Bidadi Bng to Kolkata</t>
  </si>
  <si>
    <t>Hoskote to VENDOR E</t>
  </si>
  <si>
    <t xml:space="preserve">VENDOR E to VENDOR F  </t>
  </si>
  <si>
    <t xml:space="preserve">VENDOR U tiruppur to Ranchi </t>
  </si>
  <si>
    <t xml:space="preserve">Hassan to Bidadi </t>
  </si>
  <si>
    <t>AUG</t>
  </si>
  <si>
    <t>Loss k.m.49950</t>
  </si>
  <si>
    <t>Running k.m.100050</t>
  </si>
  <si>
    <t>NARSAPUR,2833</t>
  </si>
  <si>
    <t>HOSKOTE,4542</t>
  </si>
  <si>
    <t>NARSAPUR,1226</t>
  </si>
  <si>
    <t>HOSKOTE,4448</t>
  </si>
  <si>
    <t>NARSAPUR,6463</t>
  </si>
  <si>
    <t>NARSAPUR,2835</t>
  </si>
  <si>
    <t>HOSKOTE,4353</t>
  </si>
  <si>
    <t>NARSAPUR,6789</t>
  </si>
  <si>
    <t>NARSAPUR,4811</t>
  </si>
  <si>
    <t>HOSKOTE,7452</t>
  </si>
  <si>
    <t>NARSAPUR,0947</t>
  </si>
  <si>
    <t>HOSKOTE,8967</t>
  </si>
  <si>
    <t>NARSAPUR,7240</t>
  </si>
  <si>
    <t xml:space="preserve">VENDOR U,9553 + VENDOR L,0424 </t>
  </si>
  <si>
    <t>VENDOR U,8276</t>
  </si>
  <si>
    <t>VENDOR U,0039 + CHENNAI MACHINE,3817</t>
  </si>
  <si>
    <t>VENDOR U,0450 + VENDOR F,2465</t>
  </si>
  <si>
    <t>VENDOR U,5142</t>
  </si>
  <si>
    <t>SEPTEMBER,26</t>
  </si>
  <si>
    <t>VENDOR C + VENDOR D</t>
  </si>
  <si>
    <t>VENDOR U + VENDOR B COIMBATORE</t>
  </si>
  <si>
    <t>02-09-2026</t>
  </si>
  <si>
    <t>01-09-2026</t>
  </si>
  <si>
    <t>SEPTEMBER,26 Total</t>
  </si>
  <si>
    <t>VENDOR V</t>
  </si>
  <si>
    <t>03-09-2026</t>
  </si>
  <si>
    <t>04-09-2026</t>
  </si>
  <si>
    <t>05-09-2026</t>
  </si>
  <si>
    <t>Hoskote to tiruppur</t>
  </si>
  <si>
    <t xml:space="preserve">tiruppur to Ranchi </t>
  </si>
  <si>
    <t xml:space="preserve">Kolkata to Muri Ranchi </t>
  </si>
  <si>
    <t>Banglore to Ranchi</t>
  </si>
  <si>
    <t>Break Down</t>
  </si>
  <si>
    <t>29.7K</t>
  </si>
  <si>
    <t>AUBURN LOAD REGISTER — BN LOGISTICS</t>
  </si>
  <si>
    <t>LOADING DATE</t>
  </si>
  <si>
    <t>MONTH</t>
  </si>
  <si>
    <t>PROVIDER</t>
  </si>
  <si>
    <t>FROM</t>
  </si>
  <si>
    <t>LORRY RATE (₹)</t>
  </si>
  <si>
    <t>BILLING RATE (₹)</t>
  </si>
  <si>
    <t>NET SAVING (₹)</t>
  </si>
  <si>
    <t>MARGIN %</t>
  </si>
  <si>
    <t>ADVANCE PAID (₹)</t>
  </si>
  <si>
    <t>BALANCE TO PAY (₹)</t>
  </si>
  <si>
    <t>BILL STATUS</t>
  </si>
  <si>
    <t>INVOICE NO.</t>
  </si>
  <si>
    <t>PAYMENT STATUS</t>
  </si>
  <si>
    <t>REACH DATE</t>
  </si>
  <si>
    <t>UNLOAD DATE</t>
  </si>
  <si>
    <t>UNLOAD END</t>
  </si>
  <si>
    <t>TRANSIT DAYS</t>
  </si>
  <si>
    <t>CURRENT STATUS</t>
  </si>
  <si>
    <t>BROKER ADDRESS</t>
  </si>
  <si>
    <t>REMARKS</t>
  </si>
  <si>
    <t>REACH AS LOGGED</t>
  </si>
  <si>
    <t>UNLOAD AS LOGGED</t>
  </si>
  <si>
    <t>HASSAN.176610,BOX 04</t>
  </si>
  <si>
    <t>BOMMANSA.562608,BOX 578</t>
  </si>
  <si>
    <t>32FEET SXL</t>
  </si>
  <si>
    <t>Transporter 01</t>
  </si>
  <si>
    <t>SAME DAY</t>
  </si>
  <si>
    <t>LOADING</t>
  </si>
  <si>
    <t>24 FEET SXL</t>
  </si>
  <si>
    <t>32 FEET SXL</t>
  </si>
  <si>
    <t>LORRY HALTING - EXTRA CHARGE</t>
  </si>
  <si>
    <t>Transporter 03</t>
  </si>
  <si>
    <t>OVERLOAD - EXTRA CHARGE</t>
  </si>
  <si>
    <t>MISC NOTE</t>
  </si>
  <si>
    <t>MATERIAL SHIFTED TO ANOTHER VEHICLE</t>
  </si>
  <si>
    <t>PART LOAD</t>
  </si>
  <si>
    <t>Transporter 05</t>
  </si>
  <si>
    <t>PICK-UP AND DELIVERY CHARGE ADDED</t>
  </si>
  <si>
    <t>Transporter 07</t>
  </si>
  <si>
    <t>LORRY DELAY</t>
  </si>
  <si>
    <t>LORRY BREAK DOWN</t>
  </si>
  <si>
    <t>Transporter 12</t>
  </si>
  <si>
    <t>Transporter 13</t>
  </si>
  <si>
    <t>Transporter 16</t>
  </si>
  <si>
    <t>LOCAL VEHICLE / LOCAL PICK-UP</t>
  </si>
  <si>
    <t>Transporter 18</t>
  </si>
  <si>
    <t>Transporter 19</t>
  </si>
  <si>
    <t>PICK-UP AND DELIVERY CHARGE ADDED</t>
  </si>
  <si>
    <t>PICK-UP AND DELIVERY CHARGE ADDED</t>
  </si>
  <si>
    <t>PICK-UP AND DELIVERY CHARGE ADDED</t>
  </si>
  <si>
    <t>Transporter 21</t>
  </si>
  <si>
    <t>MISC NOTE</t>
  </si>
  <si>
    <t>Transporter 22</t>
  </si>
  <si>
    <t>SPEED MODE MATERIAL EXTRA CHARGE</t>
  </si>
  <si>
    <t>WEIGHT-BASED BILLING (PART LOAD)</t>
  </si>
  <si>
    <t>WEIGHT-BASED BILLING (PART LOAD)</t>
  </si>
  <si>
    <t>Transporter 28</t>
  </si>
  <si>
    <t>RANCHI 698017</t>
  </si>
  <si>
    <t>RANCHI 273208</t>
  </si>
  <si>
    <t>WEIGHT-BASED BILLING (PART LOAD)</t>
  </si>
  <si>
    <t>RANCHI 550430</t>
  </si>
  <si>
    <t>UP AND DOWN</t>
  </si>
  <si>
    <t>VENDOR U 912051+ VENDOR V 238666</t>
  </si>
  <si>
    <t>VENDOR G 550430 + VENDOR U 273208+VENDOR V</t>
  </si>
  <si>
    <t>MARKET LOAD - BALANCE PENDING</t>
  </si>
  <si>
    <t>PICK-UP AND DELIVERY CHARGE ADDED</t>
  </si>
  <si>
    <t>WEIGHT-BASED BILLING (PART LOAD)</t>
  </si>
  <si>
    <t>Transporter 31</t>
  </si>
  <si>
    <t>WEIGHT-BASED BILLING (PART LOAD)</t>
  </si>
  <si>
    <t>MATERIAL SHIFTED TO ANOTHER VEHICLE</t>
  </si>
  <si>
    <t>LOCAL VEHICLE / LOCAL PICK-UP</t>
  </si>
  <si>
    <t>Transporter 36</t>
  </si>
  <si>
    <t>ERODE VENDOR F,0499 + VENDOR U,6733</t>
  </si>
  <si>
    <t>COIMBATORE,3710 + VENDOR U,5251</t>
  </si>
  <si>
    <t>VENDOR F,4120 + VENDOR U,2538</t>
  </si>
  <si>
    <t>Customer 15</t>
  </si>
  <si>
    <t>VENDOR D,9207 + VENDOR J</t>
  </si>
  <si>
    <t>Transporter 38</t>
  </si>
  <si>
    <t>Transporter 39</t>
  </si>
  <si>
    <t>MATERIAL UNLOADED AT BN OFFICE</t>
  </si>
  <si>
    <t>VENDOR L 5070 + VENDOR B COIMBATORE,9546</t>
  </si>
  <si>
    <t>VENDOR V,6312 + VENDOR F,5437</t>
  </si>
  <si>
    <t>MATERIAL UNLOADED AT BN OFFICE</t>
  </si>
  <si>
    <t>VENDOR D,6363 + VENDOR C,7226 + VENDOR E,3477</t>
  </si>
  <si>
    <t>VENDOR E,7304 + VENDOR C,3480</t>
  </si>
  <si>
    <t>VEHICLE ACCIDENT - MATERIAL SHIFTED TO ANOTHER VEHICLE</t>
  </si>
  <si>
    <t>VENDOR U,9553 + VENDOR L,0424</t>
  </si>
  <si>
    <t>LOADS</t>
  </si>
  <si>
    <t>PERIOD</t>
  </si>
  <si>
    <t>AVG TRANSIT DAYS</t>
  </si>
  <si>
    <t>LORRY RATE PAID</t>
  </si>
  <si>
    <t>BILLED TO AUBURN</t>
  </si>
  <si>
    <t>NET SAVING</t>
  </si>
  <si>
    <t>ADVANCE PAID</t>
  </si>
  <si>
    <t>BALANCE TO PAY</t>
  </si>
  <si>
    <t>OWN FLEET (BN) LOADS</t>
  </si>
  <si>
    <t>3RD PARTY LOADS</t>
  </si>
  <si>
    <t>NO ADVANCE LOGGED</t>
  </si>
  <si>
    <t>Blue = you type it</t>
  </si>
  <si>
    <t>Black = calculated, do not type</t>
  </si>
  <si>
    <t>AA:AB (grouped) keep the original date text for traceability</t>
  </si>
  <si>
    <t>MARKET LOAD REGISTER — BN LOGISTICS (own trucks sold outside Auburn)</t>
  </si>
  <si>
    <t>CUSTOMER NAME</t>
  </si>
  <si>
    <t>LOAD FROM</t>
  </si>
  <si>
    <t>DELIVERY POINT</t>
  </si>
  <si>
    <t>RATE (₹)</t>
  </si>
  <si>
    <t>ADVANCE RECEIVED (₹)</t>
  </si>
  <si>
    <t>BALANCE DUE (₹)</t>
  </si>
  <si>
    <t>DAYS TO RECEIVE</t>
  </si>
  <si>
    <t>POD STATUS</t>
  </si>
  <si>
    <t>POD REF</t>
  </si>
  <si>
    <t>POD AS LOGGED</t>
  </si>
  <si>
    <t>Customer 01</t>
  </si>
  <si>
    <t>ALL FREIGHT CLEAR NO DUES</t>
  </si>
  <si>
    <t>Customer 05</t>
  </si>
  <si>
    <t>Customer 07</t>
  </si>
  <si>
    <t>V6903129326</t>
  </si>
  <si>
    <t>BILLNO.234</t>
  </si>
  <si>
    <t>V1662352462</t>
  </si>
  <si>
    <t>Customer 13</t>
  </si>
  <si>
    <t>BOKARO</t>
  </si>
  <si>
    <t>BALANCE PENDING</t>
  </si>
  <si>
    <t>BAGNAN KOLKATA</t>
  </si>
  <si>
    <t>JAJPUR ODISSA</t>
  </si>
  <si>
    <t>PAKUR JHARKHAND</t>
  </si>
  <si>
    <t>Customer 16</t>
  </si>
  <si>
    <t>GOA</t>
  </si>
  <si>
    <t>Customer 17</t>
  </si>
  <si>
    <t>MYSORE ROAD</t>
  </si>
  <si>
    <t>TIRUPATI</t>
  </si>
  <si>
    <t>Customer 20</t>
  </si>
  <si>
    <t>DEVENGIRI BNG</t>
  </si>
  <si>
    <t>KOLAR BNG</t>
  </si>
  <si>
    <t>CUSTOMERS</t>
  </si>
  <si>
    <t>REVENUE</t>
  </si>
  <si>
    <t>RECEIVED</t>
  </si>
  <si>
    <t>BALANCE DUE</t>
  </si>
  <si>
    <t>AVG LOAD VALUE</t>
  </si>
  <si>
    <t>AVG DAYS TO RECEIVE</t>
  </si>
  <si>
    <t>POD NOT DONE</t>
  </si>
  <si>
    <t>BALANCE DUE = RATE − ADVANCE RECEIVED</t>
  </si>
  <si>
    <t>MONTHLY SALE — BN LOGISTICS</t>
  </si>
  <si>
    <t>AUBURN LOADS</t>
  </si>
  <si>
    <t>AUBURN BILLED (₹)</t>
  </si>
  <si>
    <t>AUBURN LORRY COST (₹)</t>
  </si>
  <si>
    <t>AUBURN MARGIN (₹)</t>
  </si>
  <si>
    <t>AUBURN MARGIN %</t>
  </si>
  <si>
    <t>MARKET LOADS</t>
  </si>
  <si>
    <t>MARKET SALE (₹)</t>
  </si>
  <si>
    <t>TOTAL SALE (₹)</t>
  </si>
  <si>
    <t>TOTAL</t>
  </si>
  <si>
    <t>MONTHLY KM RUN vs TARGET — BN LOGISTICS</t>
  </si>
  <si>
    <t>INCENTIVE RATE (₹ per km over target)</t>
  </si>
  <si>
    <t>DEFAULT TARGET KM / TRUCK / MONTH</t>
  </si>
  <si>
    <t>TRUCK NO.</t>
  </si>
  <si>
    <t>MAKE</t>
  </si>
  <si>
    <t>CAPACITY</t>
  </si>
  <si>
    <t>DRIVER</t>
  </si>
  <si>
    <t>ACTUAL KM</t>
  </si>
  <si>
    <t>TARGET KM</t>
  </si>
  <si>
    <t>VARIANCE (KM)</t>
  </si>
  <si>
    <t>UTILISATION %</t>
  </si>
  <si>
    <t>INCENTIVE (₹)</t>
  </si>
  <si>
    <t>TOTAL ACTUAL KM</t>
  </si>
  <si>
    <t>TOTAL TARGET KM</t>
  </si>
  <si>
    <t>FLEET UTILISATION</t>
  </si>
  <si>
    <t>TRUCK-MONTHS AT TARGET</t>
  </si>
  <si>
    <t>TOTAL INCENTIVE EARNED</t>
  </si>
  <si>
    <t>2417</t>
  </si>
  <si>
    <t>3958</t>
  </si>
  <si>
    <t>6142</t>
  </si>
  <si>
    <t>8803</t>
  </si>
  <si>
    <t>4371</t>
  </si>
  <si>
    <t>1695</t>
  </si>
  <si>
    <t>7230</t>
  </si>
  <si>
    <t>9064</t>
  </si>
  <si>
    <t>5582</t>
  </si>
  <si>
    <t>DASHBOARD SOURCE DATA — aggregated from AUBURN LOAD CLEAN, MARKET LOAD CLEAN and KM RUN CLEAN</t>
  </si>
  <si>
    <t>AUBURN BILLED</t>
  </si>
  <si>
    <t>MARKET SALE</t>
  </si>
  <si>
    <t>TOTAL SALE</t>
  </si>
  <si>
    <t>AUBURN LORRY COST</t>
  </si>
  <si>
    <t>BN LOGISTICS — SALES &amp; FLEET DASHBOARD</t>
  </si>
  <si>
    <t>VIEW YEAR</t>
  </si>
  <si>
    <t>All years</t>
  </si>
  <si>
    <t>Filter bounds (helper — driven by VIEW YEAR)</t>
  </si>
  <si>
    <t>TO</t>
  </si>
  <si>
    <t>TRUCK</t>
  </si>
  <si>
    <t>FLEET</t>
  </si>
  <si>
    <t>LORRY COST</t>
  </si>
  <si>
    <t>FLEET USE</t>
  </si>
  <si>
    <t>CHART SOURCE — MONTHLY (filtered)</t>
  </si>
  <si>
    <t>AUBURN</t>
  </si>
  <si>
    <t>MARKET</t>
  </si>
  <si>
    <t>MONTHLY REVENUE — AUBURN vs MARKET</t>
  </si>
  <si>
    <t>AUBURN MARGIN % TREND</t>
  </si>
  <si>
    <t>UTILISATION BY TRUCK</t>
  </si>
  <si>
    <t>YEAR LIST (drives dashboard dropdown)</t>
  </si>
  <si>
    <t xml:space="preserve">CONDITIONAL FORMATTING </t>
  </si>
  <si>
    <t>UTILITY %</t>
  </si>
  <si>
    <t xml:space="preserve">Auburn figures come from AUBURN LOAD CLEAN, market figures from MARKET LOAD CLEAN — all SUMIFS by month. </t>
  </si>
  <si>
    <t>CHART SOURCE — CALENDAR MONTHS (driven by VIEW YEAR)</t>
  </si>
  <si>
    <t>M</t>
  </si>
  <si>
    <t>LORRY COST (helper)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</si>
</sst>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dd\-mmm\-yyyy"/>
    <numFmt numFmtId="168" formatCode="mmm\-yyyy"/>
    <numFmt numFmtId="169" formatCode="\₹#,##0;\(\₹#,##0\);&quot;-&quot;"/>
    <numFmt numFmtId="170" formatCode="0.0%"/>
    <numFmt numFmtId="171" formatCode="0;;&quot;-&quot;"/>
    <numFmt numFmtId="172" formatCode="0.0"/>
    <numFmt numFmtId="173" formatCode="\₹#,##0"/>
    <numFmt numFmtId="174" formatCode="#,##0;;&quot;-&quot;"/>
    <numFmt numFmtId="175" formatCode="0.0%;;&quot;-&quot;"/>
    <numFmt numFmtId="176" formatCode="#,##0;\(#,##0\);&quot;-&quot;"/>
    <numFmt numFmtId="177" formatCode="\₹#,##0;;&quot;-&quot;"/>
    <numFmt numFmtId="178" formatCode="\₹#,##0.00"/>
    <numFmt numFmtId="180" formatCode="#,##0;\(#,##0\);&quot;–&quot;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7F6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8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8"/>
      <color rgb="FF808080"/>
      <name val="Calibri"/>
      <family val="2"/>
      <scheme val="minor"/>
    </font>
    <font>
      <i/>
      <sz val="8"/>
      <color rgb="FF80808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5"/>
      <color rgb="FF833C0C"/>
      <name val="Calibri"/>
      <family val="2"/>
      <scheme val="minor"/>
    </font>
    <font>
      <b/>
      <sz val="15"/>
      <color rgb="FF375623"/>
      <name val="Calibri"/>
      <family val="2"/>
      <scheme val="minor"/>
    </font>
    <font>
      <b/>
      <sz val="15"/>
      <color rgb="FF7F6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1F3864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4" borderId="0" xfId="0" applyFill="1"/>
    <xf numFmtId="165" fontId="0" fillId="0" borderId="0" xfId="0" applyNumberFormat="1"/>
    <xf numFmtId="165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0" fontId="0" fillId="2" borderId="0" xfId="0" applyFill="1"/>
    <xf numFmtId="165" fontId="0" fillId="2" borderId="0" xfId="0" applyNumberFormat="1" applyFill="1"/>
    <xf numFmtId="0" fontId="3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quotePrefix="1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164" fontId="4" fillId="0" borderId="2" xfId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0" xfId="1" quotePrefix="1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64" fontId="4" fillId="0" borderId="5" xfId="1" applyFont="1" applyBorder="1" applyAlignment="1">
      <alignment horizontal="center"/>
    </xf>
    <xf numFmtId="165" fontId="4" fillId="0" borderId="5" xfId="1" applyNumberFormat="1" applyFont="1" applyBorder="1" applyAlignment="1">
      <alignment horizontal="center"/>
    </xf>
    <xf numFmtId="165" fontId="4" fillId="0" borderId="5" xfId="1" quotePrefix="1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0" xfId="1" quotePrefix="1" applyNumberFormat="1" applyFont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165" fontId="4" fillId="0" borderId="1" xfId="1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14" fontId="4" fillId="0" borderId="1" xfId="0" quotePrefix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" fontId="4" fillId="0" borderId="0" xfId="0" quotePrefix="1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17" fontId="7" fillId="0" borderId="0" xfId="0" applyNumberFormat="1" applyFont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2" borderId="15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6" borderId="13" xfId="0" applyFill="1" applyBorder="1" applyAlignment="1">
      <alignment horizontal="left"/>
    </xf>
    <xf numFmtId="0" fontId="0" fillId="6" borderId="13" xfId="0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0" fillId="8" borderId="13" xfId="0" applyFill="1" applyBorder="1" applyAlignment="1">
      <alignment horizontal="center"/>
    </xf>
    <xf numFmtId="0" fontId="7" fillId="2" borderId="13" xfId="0" applyFont="1" applyFill="1" applyBorder="1" applyAlignment="1">
      <alignment horizontal="left"/>
    </xf>
    <xf numFmtId="0" fontId="0" fillId="9" borderId="13" xfId="0" applyFill="1" applyBorder="1" applyAlignment="1">
      <alignment horizontal="left"/>
    </xf>
    <xf numFmtId="0" fontId="0" fillId="9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5" borderId="13" xfId="0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7" borderId="19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0" fontId="0" fillId="4" borderId="15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0" xfId="0" applyFill="1"/>
    <xf numFmtId="0" fontId="0" fillId="9" borderId="0" xfId="0" applyFill="1"/>
    <xf numFmtId="0" fontId="0" fillId="2" borderId="15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5" fillId="0" borderId="0" xfId="0" applyFont="1"/>
    <xf numFmtId="165" fontId="0" fillId="0" borderId="0" xfId="1" applyNumberFormat="1" applyFont="1" applyBorder="1"/>
    <xf numFmtId="0" fontId="8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1" borderId="13" xfId="0" applyFill="1" applyBorder="1" applyAlignment="1">
      <alignment horizontal="left"/>
    </xf>
    <xf numFmtId="0" fontId="11" fillId="4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17" borderId="13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5" borderId="13" xfId="0" applyFill="1" applyBorder="1" applyAlignment="1">
      <alignment horizontal="left"/>
    </xf>
    <xf numFmtId="0" fontId="0" fillId="20" borderId="13" xfId="0" applyFill="1" applyBorder="1" applyAlignment="1">
      <alignment horizontal="center"/>
    </xf>
    <xf numFmtId="0" fontId="0" fillId="21" borderId="13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22" borderId="13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5" borderId="13" xfId="0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9" borderId="13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0" borderId="13" xfId="0" applyFill="1" applyBorder="1" applyAlignment="1">
      <alignment horizontal="center"/>
    </xf>
    <xf numFmtId="0" fontId="0" fillId="31" borderId="13" xfId="0" applyFill="1" applyBorder="1" applyAlignment="1">
      <alignment horizontal="center"/>
    </xf>
    <xf numFmtId="0" fontId="12" fillId="25" borderId="0" xfId="0" applyFont="1" applyFill="1" applyAlignment="1">
      <alignment horizontal="center"/>
    </xf>
    <xf numFmtId="0" fontId="7" fillId="25" borderId="13" xfId="0" applyFont="1" applyFill="1" applyBorder="1" applyAlignment="1">
      <alignment horizontal="left"/>
    </xf>
    <xf numFmtId="0" fontId="0" fillId="32" borderId="13" xfId="0" applyFill="1" applyBorder="1" applyAlignment="1">
      <alignment horizontal="center"/>
    </xf>
    <xf numFmtId="0" fontId="9" fillId="26" borderId="24" xfId="0" applyFont="1" applyFill="1" applyBorder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19" borderId="0" xfId="0" applyFill="1"/>
    <xf numFmtId="0" fontId="0" fillId="33" borderId="13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165" fontId="0" fillId="34" borderId="0" xfId="1" applyNumberFormat="1" applyFont="1" applyFill="1" applyBorder="1"/>
    <xf numFmtId="165" fontId="0" fillId="34" borderId="0" xfId="0" applyNumberFormat="1" applyFill="1"/>
    <xf numFmtId="0" fontId="0" fillId="34" borderId="17" xfId="0" quotePrefix="1" applyFill="1" applyBorder="1" applyAlignment="1">
      <alignment horizontal="center"/>
    </xf>
    <xf numFmtId="0" fontId="0" fillId="34" borderId="0" xfId="0" quotePrefix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/>
    <xf numFmtId="165" fontId="5" fillId="19" borderId="0" xfId="1" applyNumberFormat="1" applyFont="1" applyFill="1" applyBorder="1"/>
    <xf numFmtId="0" fontId="0" fillId="21" borderId="17" xfId="0" applyFill="1" applyBorder="1" applyAlignment="1">
      <alignment horizontal="center"/>
    </xf>
    <xf numFmtId="14" fontId="0" fillId="21" borderId="0" xfId="0" applyNumberFormat="1" applyFill="1"/>
    <xf numFmtId="0" fontId="0" fillId="21" borderId="0" xfId="0" applyFill="1"/>
    <xf numFmtId="0" fontId="0" fillId="21" borderId="0" xfId="0" applyFill="1" applyAlignment="1">
      <alignment horizontal="center"/>
    </xf>
    <xf numFmtId="165" fontId="0" fillId="21" borderId="0" xfId="1" applyNumberFormat="1" applyFont="1" applyFill="1" applyBorder="1"/>
    <xf numFmtId="0" fontId="0" fillId="21" borderId="17" xfId="0" quotePrefix="1" applyFill="1" applyBorder="1" applyAlignment="1">
      <alignment horizontal="center"/>
    </xf>
    <xf numFmtId="0" fontId="0" fillId="7" borderId="0" xfId="0" applyFill="1"/>
    <xf numFmtId="0" fontId="7" fillId="7" borderId="11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0" fillId="7" borderId="15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11" fillId="7" borderId="1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13" xfId="0" applyFill="1" applyBorder="1" applyAlignment="1">
      <alignment horizontal="left"/>
    </xf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6" borderId="0" xfId="0" applyFill="1"/>
    <xf numFmtId="0" fontId="0" fillId="2" borderId="0" xfId="0" applyFill="1" applyAlignment="1">
      <alignment horizontal="center"/>
    </xf>
    <xf numFmtId="0" fontId="0" fillId="21" borderId="14" xfId="0" applyFill="1" applyBorder="1" applyAlignment="1">
      <alignment horizontal="center"/>
    </xf>
    <xf numFmtId="0" fontId="0" fillId="28" borderId="0" xfId="0" applyFill="1"/>
    <xf numFmtId="0" fontId="0" fillId="19" borderId="14" xfId="0" applyFill="1" applyBorder="1" applyAlignment="1">
      <alignment horizontal="center"/>
    </xf>
    <xf numFmtId="0" fontId="0" fillId="14" borderId="13" xfId="0" applyFill="1" applyBorder="1" applyAlignment="1">
      <alignment horizontal="left"/>
    </xf>
    <xf numFmtId="0" fontId="12" fillId="22" borderId="0" xfId="0" applyFont="1" applyFill="1" applyAlignment="1">
      <alignment horizontal="center"/>
    </xf>
    <xf numFmtId="0" fontId="7" fillId="22" borderId="13" xfId="0" applyFont="1" applyFill="1" applyBorder="1" applyAlignment="1">
      <alignment horizontal="left"/>
    </xf>
    <xf numFmtId="0" fontId="0" fillId="22" borderId="0" xfId="0" applyFill="1"/>
    <xf numFmtId="0" fontId="0" fillId="34" borderId="13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31" borderId="14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14" fontId="0" fillId="17" borderId="0" xfId="0" applyNumberFormat="1" applyFill="1"/>
    <xf numFmtId="0" fontId="0" fillId="17" borderId="0" xfId="0" applyFill="1"/>
    <xf numFmtId="165" fontId="0" fillId="17" borderId="0" xfId="1" applyNumberFormat="1" applyFont="1" applyFill="1" applyBorder="1"/>
    <xf numFmtId="0" fontId="0" fillId="17" borderId="17" xfId="0" quotePrefix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9" borderId="13" xfId="0" applyFill="1" applyBorder="1" applyAlignment="1">
      <alignment horizontal="left"/>
    </xf>
    <xf numFmtId="0" fontId="11" fillId="19" borderId="13" xfId="0" applyFont="1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165" fontId="0" fillId="17" borderId="1" xfId="1" applyNumberFormat="1" applyFont="1" applyFill="1" applyBorder="1" applyAlignment="1">
      <alignment horizontal="center"/>
    </xf>
    <xf numFmtId="0" fontId="0" fillId="19" borderId="25" xfId="0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26" borderId="13" xfId="0" applyFill="1" applyBorder="1" applyAlignment="1">
      <alignment horizontal="left"/>
    </xf>
    <xf numFmtId="0" fontId="0" fillId="38" borderId="13" xfId="0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7" fillId="18" borderId="13" xfId="0" applyFont="1" applyFill="1" applyBorder="1" applyAlignment="1">
      <alignment horizontal="left"/>
    </xf>
    <xf numFmtId="0" fontId="0" fillId="40" borderId="13" xfId="0" applyFill="1" applyBorder="1" applyAlignment="1">
      <alignment horizontal="center"/>
    </xf>
    <xf numFmtId="165" fontId="0" fillId="0" borderId="22" xfId="1" applyNumberFormat="1" applyFont="1" applyBorder="1" applyAlignment="1">
      <alignment horizontal="center"/>
    </xf>
    <xf numFmtId="165" fontId="0" fillId="0" borderId="0" xfId="1" applyNumberFormat="1" applyFont="1"/>
    <xf numFmtId="165" fontId="0" fillId="0" borderId="14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165" fontId="5" fillId="25" borderId="0" xfId="1" applyNumberFormat="1" applyFont="1" applyFill="1"/>
    <xf numFmtId="9" fontId="0" fillId="25" borderId="0" xfId="2" applyFont="1" applyFill="1"/>
    <xf numFmtId="0" fontId="0" fillId="25" borderId="0" xfId="0" applyFill="1"/>
    <xf numFmtId="0" fontId="0" fillId="41" borderId="1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65" fontId="0" fillId="7" borderId="1" xfId="1" applyNumberFormat="1" applyFont="1" applyFill="1" applyBorder="1" applyAlignment="1">
      <alignment horizontal="center"/>
    </xf>
    <xf numFmtId="0" fontId="0" fillId="42" borderId="13" xfId="0" applyFill="1" applyBorder="1" applyAlignment="1">
      <alignment horizontal="center"/>
    </xf>
    <xf numFmtId="0" fontId="0" fillId="42" borderId="14" xfId="0" applyFill="1" applyBorder="1" applyAlignment="1">
      <alignment horizontal="center"/>
    </xf>
    <xf numFmtId="0" fontId="0" fillId="42" borderId="0" xfId="0" applyFill="1"/>
    <xf numFmtId="0" fontId="0" fillId="34" borderId="14" xfId="0" applyFill="1" applyBorder="1" applyAlignment="1">
      <alignment horizontal="center"/>
    </xf>
    <xf numFmtId="0" fontId="0" fillId="39" borderId="0" xfId="0" applyFill="1"/>
    <xf numFmtId="0" fontId="0" fillId="15" borderId="0" xfId="0" applyFill="1"/>
    <xf numFmtId="0" fontId="0" fillId="37" borderId="0" xfId="0" applyFill="1" applyAlignment="1">
      <alignment horizontal="center"/>
    </xf>
    <xf numFmtId="0" fontId="0" fillId="18" borderId="0" xfId="0" applyFill="1"/>
    <xf numFmtId="165" fontId="5" fillId="7" borderId="29" xfId="0" applyNumberFormat="1" applyFont="1" applyFill="1" applyBorder="1"/>
    <xf numFmtId="0" fontId="0" fillId="26" borderId="17" xfId="0" applyFill="1" applyBorder="1" applyAlignment="1">
      <alignment horizontal="center"/>
    </xf>
    <xf numFmtId="14" fontId="0" fillId="26" borderId="0" xfId="0" applyNumberFormat="1" applyFill="1"/>
    <xf numFmtId="0" fontId="0" fillId="26" borderId="0" xfId="0" applyFill="1"/>
    <xf numFmtId="0" fontId="0" fillId="26" borderId="0" xfId="0" applyFill="1" applyAlignment="1">
      <alignment horizontal="center"/>
    </xf>
    <xf numFmtId="165" fontId="0" fillId="26" borderId="0" xfId="1" applyNumberFormat="1" applyFont="1" applyFill="1" applyBorder="1"/>
    <xf numFmtId="0" fontId="0" fillId="26" borderId="17" xfId="0" quotePrefix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18" borderId="0" xfId="0" applyFont="1" applyFill="1"/>
    <xf numFmtId="165" fontId="5" fillId="18" borderId="0" xfId="1" applyNumberFormat="1" applyFont="1" applyFill="1" applyBorder="1"/>
    <xf numFmtId="165" fontId="5" fillId="7" borderId="0" xfId="1" applyNumberFormat="1" applyFont="1" applyFill="1"/>
    <xf numFmtId="9" fontId="0" fillId="7" borderId="0" xfId="2" applyFont="1" applyFill="1"/>
    <xf numFmtId="0" fontId="0" fillId="37" borderId="15" xfId="0" applyFill="1" applyBorder="1" applyAlignment="1">
      <alignment horizontal="center"/>
    </xf>
    <xf numFmtId="0" fontId="0" fillId="28" borderId="15" xfId="0" applyFill="1" applyBorder="1" applyAlignment="1">
      <alignment horizontal="center"/>
    </xf>
    <xf numFmtId="0" fontId="0" fillId="31" borderId="13" xfId="0" applyFill="1" applyBorder="1" applyAlignment="1">
      <alignment horizontal="left"/>
    </xf>
    <xf numFmtId="0" fontId="0" fillId="43" borderId="13" xfId="0" applyFill="1" applyBorder="1" applyAlignment="1">
      <alignment horizontal="center"/>
    </xf>
    <xf numFmtId="0" fontId="7" fillId="43" borderId="13" xfId="0" applyFont="1" applyFill="1" applyBorder="1" applyAlignment="1">
      <alignment horizontal="center"/>
    </xf>
    <xf numFmtId="0" fontId="0" fillId="44" borderId="1" xfId="0" applyFill="1" applyBorder="1" applyAlignment="1">
      <alignment horizontal="center"/>
    </xf>
    <xf numFmtId="14" fontId="0" fillId="44" borderId="1" xfId="0" applyNumberFormat="1" applyFill="1" applyBorder="1" applyAlignment="1">
      <alignment horizontal="center"/>
    </xf>
    <xf numFmtId="165" fontId="0" fillId="44" borderId="1" xfId="1" applyNumberFormat="1" applyFont="1" applyFill="1" applyBorder="1" applyAlignment="1">
      <alignment horizontal="center"/>
    </xf>
    <xf numFmtId="0" fontId="0" fillId="44" borderId="0" xfId="0" applyFill="1" applyAlignment="1">
      <alignment horizontal="center"/>
    </xf>
    <xf numFmtId="165" fontId="0" fillId="17" borderId="0" xfId="1" applyNumberFormat="1" applyFont="1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165" fontId="0" fillId="17" borderId="24" xfId="1" applyNumberFormat="1" applyFont="1" applyFill="1" applyBorder="1" applyAlignment="1">
      <alignment horizontal="center"/>
    </xf>
    <xf numFmtId="0" fontId="0" fillId="17" borderId="13" xfId="0" applyFill="1" applyBorder="1" applyAlignment="1">
      <alignment horizontal="left"/>
    </xf>
    <xf numFmtId="0" fontId="7" fillId="21" borderId="13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7" fillId="7" borderId="13" xfId="0" applyFont="1" applyFill="1" applyBorder="1" applyAlignment="1">
      <alignment horizontal="left"/>
    </xf>
    <xf numFmtId="0" fontId="7" fillId="35" borderId="13" xfId="0" applyFont="1" applyFill="1" applyBorder="1" applyAlignment="1">
      <alignment horizontal="left"/>
    </xf>
    <xf numFmtId="0" fontId="0" fillId="35" borderId="13" xfId="0" applyFill="1" applyBorder="1" applyAlignment="1">
      <alignment horizontal="left"/>
    </xf>
    <xf numFmtId="0" fontId="0" fillId="45" borderId="13" xfId="0" applyFill="1" applyBorder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31" borderId="15" xfId="0" applyFill="1" applyBorder="1" applyAlignment="1">
      <alignment horizontal="center"/>
    </xf>
    <xf numFmtId="0" fontId="0" fillId="45" borderId="15" xfId="0" applyFill="1" applyBorder="1" applyAlignment="1">
      <alignment horizontal="center"/>
    </xf>
    <xf numFmtId="0" fontId="7" fillId="14" borderId="13" xfId="0" applyFont="1" applyFill="1" applyBorder="1" applyAlignment="1">
      <alignment horizontal="center"/>
    </xf>
    <xf numFmtId="0" fontId="7" fillId="21" borderId="13" xfId="0" applyFont="1" applyFill="1" applyBorder="1" applyAlignment="1">
      <alignment horizontal="center"/>
    </xf>
    <xf numFmtId="0" fontId="0" fillId="31" borderId="0" xfId="0" applyFill="1" applyAlignment="1">
      <alignment horizontal="center"/>
    </xf>
    <xf numFmtId="0" fontId="7" fillId="31" borderId="13" xfId="0" applyFont="1" applyFill="1" applyBorder="1" applyAlignment="1">
      <alignment horizontal="left"/>
    </xf>
    <xf numFmtId="0" fontId="0" fillId="18" borderId="13" xfId="0" applyFill="1" applyBorder="1" applyAlignment="1">
      <alignment horizontal="left"/>
    </xf>
    <xf numFmtId="0" fontId="0" fillId="15" borderId="14" xfId="0" applyFill="1" applyBorder="1" applyAlignment="1">
      <alignment horizontal="center"/>
    </xf>
    <xf numFmtId="0" fontId="0" fillId="14" borderId="0" xfId="0" applyFill="1"/>
    <xf numFmtId="0" fontId="0" fillId="13" borderId="17" xfId="0" applyFill="1" applyBorder="1" applyAlignment="1">
      <alignment horizontal="center"/>
    </xf>
    <xf numFmtId="14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65" fontId="0" fillId="13" borderId="0" xfId="1" applyNumberFormat="1" applyFont="1" applyFill="1" applyBorder="1"/>
    <xf numFmtId="0" fontId="0" fillId="13" borderId="17" xfId="0" quotePrefix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165" fontId="5" fillId="4" borderId="0" xfId="1" applyNumberFormat="1" applyFont="1" applyFill="1" applyBorder="1"/>
    <xf numFmtId="165" fontId="0" fillId="7" borderId="22" xfId="1" applyNumberFormat="1" applyFont="1" applyFill="1" applyBorder="1" applyAlignment="1">
      <alignment horizontal="center"/>
    </xf>
    <xf numFmtId="165" fontId="0" fillId="7" borderId="0" xfId="1" applyNumberFormat="1" applyFont="1" applyFill="1"/>
    <xf numFmtId="165" fontId="0" fillId="7" borderId="14" xfId="1" applyNumberFormat="1" applyFont="1" applyFill="1" applyBorder="1" applyAlignment="1">
      <alignment horizontal="center"/>
    </xf>
    <xf numFmtId="165" fontId="0" fillId="7" borderId="18" xfId="1" applyNumberFormat="1" applyFont="1" applyFill="1" applyBorder="1" applyAlignment="1">
      <alignment horizontal="center"/>
    </xf>
    <xf numFmtId="0" fontId="0" fillId="26" borderId="15" xfId="0" applyFill="1" applyBorder="1" applyAlignment="1">
      <alignment horizontal="center"/>
    </xf>
    <xf numFmtId="0" fontId="0" fillId="9" borderId="15" xfId="0" applyFill="1" applyBorder="1" applyAlignment="1">
      <alignment horizontal="left"/>
    </xf>
    <xf numFmtId="0" fontId="0" fillId="29" borderId="15" xfId="0" applyFill="1" applyBorder="1" applyAlignment="1">
      <alignment horizontal="center"/>
    </xf>
    <xf numFmtId="0" fontId="13" fillId="0" borderId="0" xfId="0" applyFont="1"/>
    <xf numFmtId="168" fontId="0" fillId="0" borderId="0" xfId="0" applyNumberFormat="1"/>
    <xf numFmtId="1" fontId="0" fillId="0" borderId="0" xfId="0" applyNumberFormat="1"/>
    <xf numFmtId="170" fontId="0" fillId="0" borderId="0" xfId="0" applyNumberFormat="1"/>
    <xf numFmtId="0" fontId="16" fillId="2" borderId="0" xfId="0" applyFont="1" applyFill="1" applyAlignment="1">
      <alignment horizontal="center" vertical="center" wrapText="1"/>
    </xf>
    <xf numFmtId="0" fontId="16" fillId="46" borderId="0" xfId="0" applyFont="1" applyFill="1" applyAlignment="1">
      <alignment horizontal="center" vertical="center" wrapText="1"/>
    </xf>
    <xf numFmtId="0" fontId="16" fillId="47" borderId="0" xfId="0" applyFont="1" applyFill="1" applyAlignment="1">
      <alignment horizontal="center" vertical="center" wrapText="1"/>
    </xf>
    <xf numFmtId="0" fontId="16" fillId="48" borderId="0" xfId="0" applyFont="1" applyFill="1" applyAlignment="1">
      <alignment horizontal="center" vertical="center" wrapText="1"/>
    </xf>
    <xf numFmtId="0" fontId="16" fillId="49" borderId="0" xfId="0" applyFont="1" applyFill="1" applyAlignment="1">
      <alignment horizontal="center" vertical="center" wrapText="1"/>
    </xf>
    <xf numFmtId="0" fontId="16" fillId="50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167" fontId="14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173" fontId="0" fillId="0" borderId="0" xfId="0" applyNumberForma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16" fillId="50" borderId="0" xfId="0" applyFont="1" applyFill="1" applyAlignment="1">
      <alignment horizontal="left"/>
    </xf>
    <xf numFmtId="3" fontId="18" fillId="50" borderId="0" xfId="0" applyNumberFormat="1" applyFont="1" applyFill="1" applyAlignment="1">
      <alignment horizontal="left"/>
    </xf>
    <xf numFmtId="0" fontId="0" fillId="50" borderId="0" xfId="0" applyFill="1"/>
    <xf numFmtId="173" fontId="18" fillId="50" borderId="0" xfId="0" applyNumberFormat="1" applyFont="1" applyFill="1" applyAlignment="1">
      <alignment horizontal="left"/>
    </xf>
    <xf numFmtId="170" fontId="18" fillId="50" borderId="0" xfId="0" applyNumberFormat="1" applyFont="1" applyFill="1" applyAlignment="1">
      <alignment horizontal="left"/>
    </xf>
    <xf numFmtId="0" fontId="18" fillId="50" borderId="0" xfId="0" applyFont="1" applyFill="1" applyAlignment="1">
      <alignment horizontal="left"/>
    </xf>
    <xf numFmtId="172" fontId="18" fillId="50" borderId="0" xfId="0" applyNumberFormat="1" applyFont="1" applyFill="1" applyAlignment="1">
      <alignment horizontal="left"/>
    </xf>
    <xf numFmtId="0" fontId="21" fillId="51" borderId="0" xfId="0" applyFont="1" applyFill="1" applyAlignment="1">
      <alignment horizontal="center" vertical="center" wrapText="1"/>
    </xf>
    <xf numFmtId="168" fontId="15" fillId="0" borderId="0" xfId="0" applyNumberFormat="1" applyFont="1" applyAlignment="1">
      <alignment horizontal="left"/>
    </xf>
    <xf numFmtId="174" fontId="15" fillId="0" borderId="0" xfId="0" applyNumberFormat="1" applyFont="1" applyAlignment="1">
      <alignment horizontal="center"/>
    </xf>
    <xf numFmtId="175" fontId="15" fillId="0" borderId="0" xfId="0" applyNumberFormat="1" applyFont="1" applyAlignment="1">
      <alignment horizontal="center"/>
    </xf>
    <xf numFmtId="168" fontId="15" fillId="50" borderId="0" xfId="0" applyNumberFormat="1" applyFont="1" applyFill="1" applyAlignment="1">
      <alignment horizontal="left"/>
    </xf>
    <xf numFmtId="174" fontId="15" fillId="50" borderId="0" xfId="0" applyNumberFormat="1" applyFont="1" applyFill="1" applyAlignment="1">
      <alignment horizontal="center"/>
    </xf>
    <xf numFmtId="169" fontId="15" fillId="50" borderId="0" xfId="0" applyNumberFormat="1" applyFont="1" applyFill="1" applyAlignment="1">
      <alignment horizontal="center"/>
    </xf>
    <xf numFmtId="175" fontId="15" fillId="50" borderId="0" xfId="0" applyNumberFormat="1" applyFont="1" applyFill="1" applyAlignment="1">
      <alignment horizontal="center"/>
    </xf>
    <xf numFmtId="0" fontId="22" fillId="0" borderId="0" xfId="0" applyFont="1"/>
    <xf numFmtId="0" fontId="5" fillId="53" borderId="0" xfId="0" applyFont="1" applyFill="1"/>
    <xf numFmtId="0" fontId="0" fillId="53" borderId="0" xfId="0" applyFill="1"/>
    <xf numFmtId="178" fontId="23" fillId="53" borderId="0" xfId="0" applyNumberFormat="1" applyFont="1" applyFill="1"/>
    <xf numFmtId="3" fontId="23" fillId="53" borderId="0" xfId="0" applyNumberFormat="1" applyFont="1" applyFill="1"/>
    <xf numFmtId="168" fontId="14" fillId="0" borderId="0" xfId="0" applyNumberFormat="1" applyFont="1" applyAlignment="1">
      <alignment horizontal="center"/>
    </xf>
    <xf numFmtId="176" fontId="14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0" fontId="25" fillId="0" borderId="0" xfId="0" applyFont="1" applyAlignment="1">
      <alignment horizontal="right" vertical="center"/>
    </xf>
    <xf numFmtId="0" fontId="28" fillId="0" borderId="0" xfId="0" applyFont="1"/>
    <xf numFmtId="167" fontId="28" fillId="0" borderId="0" xfId="0" applyNumberFormat="1" applyFont="1"/>
    <xf numFmtId="0" fontId="29" fillId="0" borderId="0" xfId="0" applyFont="1"/>
    <xf numFmtId="0" fontId="30" fillId="0" borderId="0" xfId="0" applyFont="1"/>
    <xf numFmtId="0" fontId="25" fillId="57" borderId="0" xfId="0" applyFont="1" applyFill="1" applyAlignment="1">
      <alignment horizontal="center" vertical="center"/>
    </xf>
    <xf numFmtId="170" fontId="34" fillId="57" borderId="0" xfId="0" applyNumberFormat="1" applyFont="1" applyFill="1" applyAlignment="1">
      <alignment horizontal="center" vertical="center"/>
    </xf>
    <xf numFmtId="0" fontId="32" fillId="57" borderId="0" xfId="0" applyFont="1" applyFill="1" applyAlignment="1">
      <alignment horizontal="center" vertical="center"/>
    </xf>
    <xf numFmtId="49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49" fontId="26" fillId="50" borderId="0" xfId="0" applyNumberFormat="1" applyFont="1" applyFill="1" applyAlignment="1">
      <alignment horizontal="center"/>
    </xf>
    <xf numFmtId="0" fontId="26" fillId="50" borderId="0" xfId="0" applyFont="1" applyFill="1" applyAlignment="1">
      <alignment horizontal="left"/>
    </xf>
    <xf numFmtId="49" fontId="11" fillId="52" borderId="30" xfId="0" applyNumberFormat="1" applyFont="1" applyFill="1" applyBorder="1" applyAlignment="1">
      <alignment horizontal="center"/>
    </xf>
    <xf numFmtId="0" fontId="11" fillId="52" borderId="30" xfId="0" applyFont="1" applyFill="1" applyBorder="1" applyAlignment="1">
      <alignment horizontal="left"/>
    </xf>
    <xf numFmtId="0" fontId="27" fillId="0" borderId="0" xfId="0" applyFont="1"/>
    <xf numFmtId="0" fontId="5" fillId="52" borderId="30" xfId="0" applyFont="1" applyFill="1" applyBorder="1"/>
    <xf numFmtId="3" fontId="5" fillId="52" borderId="30" xfId="0" applyNumberFormat="1" applyFont="1" applyFill="1" applyBorder="1"/>
    <xf numFmtId="169" fontId="5" fillId="52" borderId="30" xfId="0" applyNumberFormat="1" applyFont="1" applyFill="1" applyBorder="1"/>
    <xf numFmtId="170" fontId="5" fillId="52" borderId="30" xfId="0" applyNumberFormat="1" applyFont="1" applyFill="1" applyBorder="1"/>
    <xf numFmtId="1" fontId="5" fillId="0" borderId="0" xfId="0" applyNumberFormat="1" applyFont="1"/>
    <xf numFmtId="0" fontId="29" fillId="0" borderId="0" xfId="0" applyFont="1"/>
    <xf numFmtId="173" fontId="33" fillId="56" borderId="0" xfId="0" applyNumberFormat="1" applyFont="1" applyFill="1" applyAlignment="1">
      <alignment horizontal="center" vertical="center"/>
    </xf>
    <xf numFmtId="0" fontId="32" fillId="56" borderId="0" xfId="0" applyFont="1" applyFill="1" applyAlignment="1">
      <alignment horizontal="center" vertical="center"/>
    </xf>
    <xf numFmtId="0" fontId="25" fillId="57" borderId="0" xfId="0" applyFont="1" applyFill="1" applyAlignment="1">
      <alignment horizontal="center" vertical="center"/>
    </xf>
    <xf numFmtId="170" fontId="34" fillId="57" borderId="0" xfId="0" applyNumberFormat="1" applyFont="1" applyFill="1" applyAlignment="1">
      <alignment horizontal="center" vertical="center"/>
    </xf>
    <xf numFmtId="0" fontId="32" fillId="57" borderId="0" xfId="0" applyFont="1" applyFill="1" applyAlignment="1">
      <alignment horizontal="center" vertical="center"/>
    </xf>
    <xf numFmtId="0" fontId="25" fillId="53" borderId="0" xfId="0" applyFont="1" applyFill="1" applyAlignment="1">
      <alignment horizontal="center" vertical="center"/>
    </xf>
    <xf numFmtId="3" fontId="35" fillId="53" borderId="0" xfId="0" applyNumberFormat="1" applyFont="1" applyFill="1" applyAlignment="1">
      <alignment horizontal="center" vertical="center"/>
    </xf>
    <xf numFmtId="0" fontId="32" fillId="53" borderId="0" xfId="0" applyFont="1" applyFill="1" applyAlignment="1">
      <alignment horizontal="center" vertical="center"/>
    </xf>
    <xf numFmtId="0" fontId="32" fillId="55" borderId="0" xfId="0" applyFont="1" applyFill="1" applyAlignment="1">
      <alignment horizontal="center" vertical="center"/>
    </xf>
    <xf numFmtId="0" fontId="24" fillId="51" borderId="0" xfId="0" applyFont="1" applyFill="1" applyAlignment="1">
      <alignment horizontal="left" vertical="center"/>
    </xf>
    <xf numFmtId="0" fontId="22" fillId="0" borderId="0" xfId="0" applyFont="1" applyAlignment="1">
      <alignment vertical="center"/>
    </xf>
    <xf numFmtId="0" fontId="27" fillId="54" borderId="31" xfId="0" applyFont="1" applyFill="1" applyBorder="1" applyAlignment="1">
      <alignment horizontal="center" vertical="center"/>
    </xf>
    <xf numFmtId="0" fontId="27" fillId="54" borderId="32" xfId="0" applyFont="1" applyFill="1" applyBorder="1" applyAlignment="1">
      <alignment horizontal="center" vertical="center"/>
    </xf>
    <xf numFmtId="0" fontId="25" fillId="55" borderId="0" xfId="0" applyFont="1" applyFill="1" applyAlignment="1">
      <alignment horizontal="center" vertical="center"/>
    </xf>
    <xf numFmtId="173" fontId="31" fillId="55" borderId="0" xfId="0" applyNumberFormat="1" applyFont="1" applyFill="1" applyAlignment="1">
      <alignment horizontal="center" vertical="center"/>
    </xf>
    <xf numFmtId="0" fontId="25" fillId="56" borderId="0" xfId="0" applyFont="1" applyFill="1" applyAlignment="1">
      <alignment horizontal="center" vertical="center"/>
    </xf>
    <xf numFmtId="168" fontId="14" fillId="0" borderId="33" xfId="0" applyNumberFormat="1" applyFont="1" applyBorder="1" applyAlignment="1">
      <alignment horizontal="center"/>
    </xf>
    <xf numFmtId="49" fontId="14" fillId="0" borderId="33" xfId="0" applyNumberFormat="1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176" fontId="14" fillId="0" borderId="33" xfId="0" applyNumberFormat="1" applyFont="1" applyBorder="1" applyAlignment="1">
      <alignment horizontal="center"/>
    </xf>
    <xf numFmtId="176" fontId="15" fillId="0" borderId="33" xfId="0" applyNumberFormat="1" applyFont="1" applyBorder="1" applyAlignment="1">
      <alignment horizontal="center"/>
    </xf>
    <xf numFmtId="170" fontId="15" fillId="0" borderId="33" xfId="0" applyNumberFormat="1" applyFont="1" applyBorder="1" applyAlignment="1">
      <alignment horizontal="center"/>
    </xf>
    <xf numFmtId="177" fontId="15" fillId="0" borderId="33" xfId="0" applyNumberFormat="1" applyFont="1" applyBorder="1" applyAlignment="1">
      <alignment horizontal="center"/>
    </xf>
    <xf numFmtId="0" fontId="0" fillId="0" borderId="33" xfId="0" applyBorder="1"/>
    <xf numFmtId="0" fontId="7" fillId="0" borderId="0" xfId="0" applyFont="1" applyBorder="1" applyAlignment="1">
      <alignment horizontal="center"/>
    </xf>
    <xf numFmtId="170" fontId="5" fillId="25" borderId="0" xfId="1" applyNumberFormat="1" applyFont="1" applyFill="1"/>
    <xf numFmtId="170" fontId="0" fillId="25" borderId="0" xfId="2" applyNumberFormat="1" applyFont="1" applyFill="1"/>
    <xf numFmtId="170" fontId="0" fillId="7" borderId="0" xfId="0" applyNumberFormat="1" applyFill="1"/>
    <xf numFmtId="170" fontId="0" fillId="7" borderId="0" xfId="0" applyNumberFormat="1" applyFill="1" applyBorder="1" applyAlignment="1">
      <alignment horizontal="center"/>
    </xf>
    <xf numFmtId="170" fontId="0" fillId="7" borderId="0" xfId="1" applyNumberFormat="1" applyFont="1" applyFill="1" applyBorder="1" applyAlignment="1">
      <alignment horizontal="center"/>
    </xf>
    <xf numFmtId="170" fontId="0" fillId="7" borderId="0" xfId="1" applyNumberFormat="1" applyFont="1" applyFill="1"/>
    <xf numFmtId="180" fontId="26" fillId="0" borderId="0" xfId="0" applyNumberFormat="1" applyFont="1" applyAlignment="1">
      <alignment horizontal="center"/>
    </xf>
    <xf numFmtId="180" fontId="26" fillId="50" borderId="0" xfId="0" applyNumberFormat="1" applyFont="1" applyFill="1" applyAlignment="1">
      <alignment horizontal="center"/>
    </xf>
    <xf numFmtId="180" fontId="11" fillId="52" borderId="30" xfId="0" applyNumberFormat="1" applyFont="1" applyFill="1" applyBorder="1" applyAlignment="1">
      <alignment horizontal="center"/>
    </xf>
    <xf numFmtId="3" fontId="0" fillId="0" borderId="0" xfId="0" applyNumberFormat="1"/>
    <xf numFmtId="170" fontId="36" fillId="52" borderId="30" xfId="0" applyNumberFormat="1" applyFont="1" applyFill="1" applyBorder="1" applyAlignment="1">
      <alignment horizontal="center"/>
    </xf>
    <xf numFmtId="170" fontId="36" fillId="0" borderId="0" xfId="0" applyNumberFormat="1" applyFont="1" applyAlignment="1">
      <alignment horizontal="center"/>
    </xf>
    <xf numFmtId="170" fontId="36" fillId="50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96">
    <dxf>
      <font>
        <b/>
        <i val="0"/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alignment horizontal="center" vertical="bottom" textRotation="0" wrapText="0" indent="0" justifyLastLine="0" shrinkToFit="0" readingOrder="0"/>
    </dxf>
    <dxf>
      <font>
        <color rgb="FF0000FF"/>
      </font>
      <alignment horizontal="left"/>
    </dxf>
    <dxf>
      <font>
        <color rgb="FF0000FF"/>
      </font>
      <alignment horizontal="center"/>
    </dxf>
    <dxf>
      <font>
        <color rgb="FF000000"/>
      </font>
      <numFmt numFmtId="177" formatCode="\₹#,##0;;&quot;-&quot;"/>
      <alignment horizontal="center"/>
    </dxf>
    <dxf>
      <font>
        <color rgb="FF000000"/>
      </font>
      <numFmt numFmtId="170" formatCode="0.0%"/>
      <alignment horizontal="center"/>
    </dxf>
    <dxf>
      <font>
        <color rgb="FF000000"/>
      </font>
      <numFmt numFmtId="176" formatCode="#,##0;\(#,##0\);&quot;-&quot;"/>
      <alignment horizontal="center"/>
    </dxf>
    <dxf>
      <font>
        <color rgb="FF0000FF"/>
      </font>
      <numFmt numFmtId="176" formatCode="#,##0;\(#,##0\);&quot;-&quot;"/>
      <alignment horizontal="center"/>
    </dxf>
    <dxf>
      <font>
        <color rgb="FF0000FF"/>
      </font>
      <numFmt numFmtId="176" formatCode="#,##0;\(#,##0\);&quot;-&quot;"/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numFmt numFmtId="30" formatCode="@"/>
      <alignment horizontal="center"/>
    </dxf>
    <dxf>
      <font>
        <color rgb="FF0000FF"/>
      </font>
      <numFmt numFmtId="168" formatCode="mmm\-yyyy"/>
      <alignment horizontal="center"/>
    </dxf>
    <dxf>
      <alignment horizontal="center"/>
    </dxf>
    <dxf>
      <font>
        <b/>
        <sz val="9"/>
        <color rgb="FFFFFFFF"/>
      </font>
      <fill>
        <patternFill patternType="solid">
          <fgColor indexed="64"/>
          <bgColor rgb="FF1F3864"/>
        </patternFill>
      </fill>
      <alignment horizontal="center" vertical="center" wrapText="1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00"/>
      </font>
      <numFmt numFmtId="171" formatCode="0;;&quot;-&quot;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00"/>
      </font>
      <numFmt numFmtId="169" formatCode="\₹#,##0;\(\₹#,##0\);&quot;-&quot;"/>
      <alignment horizontal="center"/>
    </dxf>
    <dxf>
      <font>
        <color rgb="FF0000FF"/>
      </font>
      <numFmt numFmtId="169" formatCode="\₹#,##0;\(\₹#,##0\);&quot;-&quot;"/>
      <alignment horizontal="center"/>
    </dxf>
    <dxf>
      <font>
        <color rgb="FF0000FF"/>
      </font>
      <numFmt numFmtId="169" formatCode="\₹#,##0;\(\₹#,##0\);&quot;-&quot;"/>
      <alignment horizontal="center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FF"/>
      </font>
      <alignment horizontal="center"/>
    </dxf>
    <dxf>
      <font>
        <color rgb="FF000000"/>
      </font>
      <numFmt numFmtId="168" formatCode="mmm\-yyyy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00"/>
      </font>
      <alignment horizontal="center"/>
    </dxf>
    <dxf>
      <alignment horizontal="center"/>
    </dxf>
    <dxf>
      <font>
        <b/>
        <sz val="9"/>
      </font>
      <alignment horizontal="center" vertical="center" wrapText="1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00"/>
      </font>
      <numFmt numFmtId="171" formatCode="0;;&quot;-&quot;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00"/>
      </font>
      <numFmt numFmtId="169" formatCode="\₹#,##0;\(\₹#,##0\);&quot;-&quot;"/>
      <alignment horizontal="center"/>
    </dxf>
    <dxf>
      <font>
        <color rgb="FF0000FF"/>
      </font>
      <numFmt numFmtId="169" formatCode="\₹#,##0;\(\₹#,##0\);&quot;-&quot;"/>
      <alignment horizontal="center"/>
    </dxf>
    <dxf>
      <font>
        <color rgb="FF000000"/>
      </font>
      <numFmt numFmtId="170" formatCode="0.0%"/>
      <alignment horizontal="center"/>
    </dxf>
    <dxf>
      <font>
        <color rgb="FF000000"/>
      </font>
      <numFmt numFmtId="169" formatCode="\₹#,##0;\(\₹#,##0\);&quot;-&quot;"/>
      <alignment horizontal="center"/>
    </dxf>
    <dxf>
      <font>
        <color rgb="FF0000FF"/>
      </font>
      <numFmt numFmtId="169" formatCode="\₹#,##0;\(\₹#,##0\);&quot;-&quot;"/>
      <alignment horizontal="center"/>
    </dxf>
    <dxf>
      <font>
        <color rgb="FF0000FF"/>
      </font>
      <numFmt numFmtId="169" formatCode="\₹#,##0;\(\₹#,##0\);&quot;-&quot;"/>
      <alignment horizontal="center"/>
    </dxf>
    <dxf>
      <font>
        <color rgb="FF0000FF"/>
      </font>
      <alignment horizontal="center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FF"/>
      </font>
      <alignment horizontal="left"/>
    </dxf>
    <dxf>
      <font>
        <color rgb="FF0000FF"/>
      </font>
      <numFmt numFmtId="1" formatCode="0"/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00"/>
      </font>
      <numFmt numFmtId="168" formatCode="mmm\-yyyy"/>
      <alignment horizontal="center"/>
    </dxf>
    <dxf>
      <font>
        <color rgb="FF0000FF"/>
      </font>
      <numFmt numFmtId="167" formatCode="dd\-mmm\-yyyy"/>
      <alignment horizontal="center"/>
    </dxf>
    <dxf>
      <font>
        <color rgb="FF000000"/>
      </font>
      <alignment horizontal="center"/>
    </dxf>
    <dxf>
      <alignment horizontal="center"/>
    </dxf>
    <dxf>
      <font>
        <b/>
        <sz val="9"/>
      </font>
      <alignment horizontal="center" vertical="center" wrapText="1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left"/>
    </dxf>
    <dxf>
      <font>
        <u/>
      </font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65" formatCode="_ * #,##0_ ;_ * \-#,##0_ ;_ * &quot;-&quot;??_ ;_ @_ 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B3F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'BN DASH DATA'!$AA$4</c:f>
              <c:strCache>
                <c:ptCount val="1"/>
                <c:pt idx="0">
                  <c:v>AUBURN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'BN DASH DATA'!$Z$5:$Z$16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'BN DASH DATA'!$AA$5:$AA$16</c:f>
              <c:numCache>
                <c:formatCode>#,##0</c:formatCode>
                <c:ptCount val="12"/>
                <c:pt idx="0">
                  <c:v>1975040.0</c:v>
                </c:pt>
                <c:pt idx="1">
                  <c:v>2255700.0</c:v>
                </c:pt>
                <c:pt idx="2">
                  <c:v>1857550.0</c:v>
                </c:pt>
                <c:pt idx="3">
                  <c:v>3115950.0</c:v>
                </c:pt>
                <c:pt idx="4">
                  <c:v>4030660.0</c:v>
                </c:pt>
                <c:pt idx="5">
                  <c:v>4130360.0</c:v>
                </c:pt>
                <c:pt idx="6">
                  <c:v>4152580.0</c:v>
                </c:pt>
                <c:pt idx="7">
                  <c:v>4097290.0</c:v>
                </c:pt>
                <c:pt idx="8">
                  <c:v>775200.0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4E9C-8928-C00E856A6628}"/>
            </c:ext>
          </c:extLst>
        </c:ser>
        <c:ser>
          <c:idx val="1"/>
          <c:order val="1"/>
          <c:tx>
            <c:strRef>
              <c:f>'BN DASH DATA'!$AB$4</c:f>
              <c:strCache>
                <c:ptCount val="1"/>
                <c:pt idx="0">
                  <c:v>MARKET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'BN DASH DATA'!$Z$5:$Z$16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'BN DASH DATA'!$AB$5:$AB$16</c:f>
              <c:numCache>
                <c:formatCode>#,##0</c:formatCode>
                <c:ptCount val="12"/>
                <c:pt idx="0">
                  <c:v>325170.0</c:v>
                </c:pt>
                <c:pt idx="1">
                  <c:v>105600.0</c:v>
                </c:pt>
                <c:pt idx="2">
                  <c:v>364290.0</c:v>
                </c:pt>
                <c:pt idx="3">
                  <c:v>890720.0</c:v>
                </c:pt>
                <c:pt idx="4">
                  <c:v>786660.0</c:v>
                </c:pt>
                <c:pt idx="5">
                  <c:v>844680.0</c:v>
                </c:pt>
                <c:pt idx="6">
                  <c:v>679800.0</c:v>
                </c:pt>
                <c:pt idx="7">
                  <c:v>497880.0</c:v>
                </c:pt>
                <c:pt idx="8">
                  <c:v>27720.0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6-4E9C-8928-C00E856A6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7405711"/>
        <c:axId val="822758895"/>
      </c:barChart>
      <c:catAx>
        <c:axId val="93740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8895"/>
        <c:crosses val="autoZero"/>
        <c:auto val="1"/>
        <c:lblAlgn val="ctr"/>
        <c:lblOffset val="100"/>
        <c:noMultiLvlLbl val="1"/>
      </c:catAx>
      <c:valAx>
        <c:axId val="8227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F7F7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0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'BN DASH DATA'!$AG$4</c:f>
              <c:strCache>
                <c:ptCount val="1"/>
                <c:pt idx="0">
                  <c:v>AUBURN MARGIN %</c:v>
                </c:pt>
              </c:strCache>
            </c:strRef>
          </c:tx>
          <c:spPr>
            <a:ln w="28575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'BN DASH DATA'!$AF$5:$AF$16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'BN DASH DATA'!$AG$5:$AG$16</c:f>
              <c:numCache>
                <c:formatCode>0.0%</c:formatCode>
                <c:ptCount val="12"/>
                <c:pt idx="0">
                  <c:v>0.423505346727155</c:v>
                </c:pt>
                <c:pt idx="1">
                  <c:v>0.460668528616394</c:v>
                </c:pt>
                <c:pt idx="2">
                  <c:v>0.40604021426072</c:v>
                </c:pt>
                <c:pt idx="3">
                  <c:v>0.504311686644523</c:v>
                </c:pt>
                <c:pt idx="4">
                  <c:v>0.496601052929297</c:v>
                </c:pt>
                <c:pt idx="5">
                  <c:v>0.487884833283297</c:v>
                </c:pt>
                <c:pt idx="6">
                  <c:v>0.498408218505122</c:v>
                </c:pt>
                <c:pt idx="7">
                  <c:v>0.494504904461241</c:v>
                </c:pt>
                <c:pt idx="8">
                  <c:v>0.52843137254902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D-4497-8DAE-E757F0C8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589391"/>
        <c:axId val="822777615"/>
      </c:lineChart>
      <c:catAx>
        <c:axId val="931589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77615"/>
        <c:crosses val="autoZero"/>
        <c:auto val="1"/>
        <c:lblAlgn val="ctr"/>
        <c:lblOffset val="100"/>
        <c:noMultiLvlLbl val="1"/>
      </c:catAx>
      <c:valAx>
        <c:axId val="822777615"/>
        <c:scaling>
          <c:orientation val="minMax"/>
          <c:max val="0.7"/>
          <c:min val="0.2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F7F7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'BN DASH DATA'!$V$4</c:f>
              <c:strCache>
                <c:ptCount val="1"/>
                <c:pt idx="0">
                  <c:v>UTILISATION %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'BN DASH DATA'!$U$5:$U$14</c:f>
              <c:strCache>
                <c:ptCount val="10"/>
                <c:pt idx="0">
                  <c:v>2417</c:v>
                </c:pt>
                <c:pt idx="1">
                  <c:v>0526</c:v>
                </c:pt>
                <c:pt idx="2">
                  <c:v>3958</c:v>
                </c:pt>
                <c:pt idx="3">
                  <c:v>6142</c:v>
                </c:pt>
                <c:pt idx="4">
                  <c:v>8803</c:v>
                </c:pt>
                <c:pt idx="5">
                  <c:v>4371</c:v>
                </c:pt>
                <c:pt idx="6">
                  <c:v>1695</c:v>
                </c:pt>
                <c:pt idx="7">
                  <c:v>7230</c:v>
                </c:pt>
                <c:pt idx="8">
                  <c:v>9064</c:v>
                </c:pt>
                <c:pt idx="9">
                  <c:v>5582</c:v>
                </c:pt>
              </c:strCache>
            </c:strRef>
          </c:cat>
          <c:val>
            <c:numRef>
              <c:f>'BN DASH DATA'!$V$5:$V$14</c:f>
              <c:numCache>
                <c:formatCode>0.0%</c:formatCode>
                <c:ptCount val="10"/>
                <c:pt idx="0">
                  <c:v>0.779222222222222</c:v>
                </c:pt>
                <c:pt idx="1">
                  <c:v>0.813888888888889</c:v>
                </c:pt>
                <c:pt idx="2">
                  <c:v>0.813888888888889</c:v>
                </c:pt>
                <c:pt idx="3">
                  <c:v>0.870222222222222</c:v>
                </c:pt>
                <c:pt idx="4">
                  <c:v>0.755555555555556</c:v>
                </c:pt>
                <c:pt idx="5">
                  <c:v>0.635</c:v>
                </c:pt>
                <c:pt idx="6">
                  <c:v>0.678888888888889</c:v>
                </c:pt>
                <c:pt idx="7">
                  <c:v>0.649111111111111</c:v>
                </c:pt>
                <c:pt idx="8">
                  <c:v>0.525555555555556</c:v>
                </c:pt>
                <c:pt idx="9">
                  <c:v>0.483333333333333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4-49E4-AA90-96E8273C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229343"/>
        <c:axId val="822809775"/>
      </c:barChart>
      <c:catAx>
        <c:axId val="93522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09775"/>
        <c:crosses val="autoZero"/>
        <c:auto val="1"/>
        <c:lblAlgn val="ctr"/>
        <c:lblOffset val="100"/>
        <c:noMultiLvlLbl val="0"/>
      </c:catAx>
      <c:valAx>
        <c:axId val="822809775"/>
        <c:scaling>
          <c:orientation val="minMax"/>
          <c:max val="1"/>
          <c:min val="0"/>
        </c:scaling>
        <c:delete val="1"/>
        <c:axPos val="b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93522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95844269466316"/>
          <c:y val="6.9861111111111124E-2"/>
          <c:w val="0.82411745406824144"/>
          <c:h val="0.61498432487605714"/>
        </c:manualLayout>
      </c:layout>
      <c:lineChart>
        <c:grouping val="stacked"/>
        <c:varyColors val="0"/>
        <c:ser>
          <c:idx val="0"/>
          <c:order val="0"/>
          <c:tx>
            <c:strRef>
              <c:f>'Monthly Sale'!$A$1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'Monthly Sale'!$A$2:$A$50</c:f>
              <c:numCache>
                <c:formatCode>General</c:formatCode>
                <c:ptCount val="49"/>
                <c:pt idx="0">
                  <c:v>2024.0</c:v>
                </c:pt>
                <c:pt idx="1">
                  <c:v>2024.0</c:v>
                </c:pt>
                <c:pt idx="2">
                  <c:v>2024.0</c:v>
                </c:pt>
                <c:pt idx="3">
                  <c:v>2024.0</c:v>
                </c:pt>
                <c:pt idx="4">
                  <c:v>2024.0</c:v>
                </c:pt>
                <c:pt idx="5">
                  <c:v>2024.0</c:v>
                </c:pt>
                <c:pt idx="6">
                  <c:v>2024.0</c:v>
                </c:pt>
                <c:pt idx="7">
                  <c:v>2024.0</c:v>
                </c:pt>
                <c:pt idx="8">
                  <c:v>2025.0</c:v>
                </c:pt>
                <c:pt idx="9">
                  <c:v>2025.0</c:v>
                </c:pt>
                <c:pt idx="10">
                  <c:v>2025.0</c:v>
                </c:pt>
                <c:pt idx="11">
                  <c:v>2025.0</c:v>
                </c:pt>
                <c:pt idx="12">
                  <c:v>2025.0</c:v>
                </c:pt>
                <c:pt idx="13">
                  <c:v>2025.0</c:v>
                </c:pt>
                <c:pt idx="14">
                  <c:v>2025.0</c:v>
                </c:pt>
                <c:pt idx="15">
                  <c:v>2025.0</c:v>
                </c:pt>
                <c:pt idx="16">
                  <c:v>2025.0</c:v>
                </c:pt>
                <c:pt idx="17">
                  <c:v>2025.0</c:v>
                </c:pt>
                <c:pt idx="18">
                  <c:v>2025.0</c:v>
                </c:pt>
                <c:pt idx="19">
                  <c:v>2025.0</c:v>
                </c:pt>
                <c:pt idx="20">
                  <c:v>2026.0</c:v>
                </c:pt>
                <c:pt idx="21">
                  <c:v>2026.0</c:v>
                </c:pt>
                <c:pt idx="22">
                  <c:v>2026.0</c:v>
                </c:pt>
                <c:pt idx="23">
                  <c:v>2026.0</c:v>
                </c:pt>
                <c:pt idx="24">
                  <c:v>2026.0</c:v>
                </c:pt>
                <c:pt idx="25">
                  <c:v>2026.0</c:v>
                </c:pt>
                <c:pt idx="26">
                  <c:v>2026.0</c:v>
                </c:pt>
                <c:pt idx="27">
                  <c:v>2026.0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2-4809-BF34-E224E43D60A7}"/>
            </c:ext>
          </c:extLst>
        </c:ser>
        <c:ser>
          <c:idx val="1"/>
          <c:order val="1"/>
          <c:tx>
            <c:strRef>
              <c:f>'Monthly Sale'!$B$1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'Monthly Sale'!$B$2:$B$50</c:f>
              <c:numCache>
                <c:formatCode>General</c:formatCode>
                <c:ptCount val="4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2-4809-BF34-E224E43D60A7}"/>
            </c:ext>
          </c:extLst>
        </c:ser>
        <c:ser>
          <c:idx val="2"/>
          <c:order val="2"/>
          <c:tx>
            <c:strRef>
              <c:f>'Monthly Sale'!$C$1</c:f>
              <c:strCache>
                <c:ptCount val="1"/>
                <c:pt idx="0">
                  <c:v>Auburn Sale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'Monthly Sale'!$C$2:$C$50</c:f>
              <c:numCache>
                <c:formatCode>General</c:formatCode>
                <c:ptCount val="49"/>
                <c:pt idx="0">
                  <c:v>533290.0</c:v>
                </c:pt>
                <c:pt idx="1">
                  <c:v>1108630.0</c:v>
                </c:pt>
                <c:pt idx="2">
                  <c:v>1799760.0</c:v>
                </c:pt>
                <c:pt idx="3">
                  <c:v>2398070.0</c:v>
                </c:pt>
                <c:pt idx="4">
                  <c:v>2439320.0</c:v>
                </c:pt>
                <c:pt idx="5">
                  <c:v>2415418.0</c:v>
                </c:pt>
                <c:pt idx="6">
                  <c:v>2566952.0</c:v>
                </c:pt>
                <c:pt idx="7">
                  <c:v>3341365.0</c:v>
                </c:pt>
                <c:pt idx="8">
                  <c:v>3913110.0</c:v>
                </c:pt>
                <c:pt idx="9">
                  <c:v>3083750.0</c:v>
                </c:pt>
                <c:pt idx="10">
                  <c:v>2744440.0</c:v>
                </c:pt>
                <c:pt idx="11">
                  <c:v>2864610.0</c:v>
                </c:pt>
                <c:pt idx="12">
                  <c:v>2298580.0</c:v>
                </c:pt>
                <c:pt idx="13">
                  <c:v>2801910.0</c:v>
                </c:pt>
                <c:pt idx="14">
                  <c:v>2780820.0</c:v>
                </c:pt>
                <c:pt idx="15">
                  <c:v>2169720.0</c:v>
                </c:pt>
                <c:pt idx="16">
                  <c:v>2798000.0</c:v>
                </c:pt>
                <c:pt idx="17">
                  <c:v>2172550.0</c:v>
                </c:pt>
                <c:pt idx="18">
                  <c:v>2473630.0</c:v>
                </c:pt>
                <c:pt idx="19">
                  <c:v>2612615.0</c:v>
                </c:pt>
                <c:pt idx="20">
                  <c:v>2164039.0</c:v>
                </c:pt>
                <c:pt idx="21">
                  <c:v>2255700.0</c:v>
                </c:pt>
                <c:pt idx="22">
                  <c:v>1857550.0</c:v>
                </c:pt>
                <c:pt idx="23">
                  <c:v>3109650.0</c:v>
                </c:pt>
                <c:pt idx="24">
                  <c:v>4030660.0</c:v>
                </c:pt>
                <c:pt idx="25">
                  <c:v>4130360.0</c:v>
                </c:pt>
                <c:pt idx="26">
                  <c:v>4370242.0</c:v>
                </c:pt>
                <c:pt idx="27">
                  <c:v>4109890.0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2-4809-BF34-E224E43D60A7}"/>
            </c:ext>
          </c:extLst>
        </c:ser>
        <c:ser>
          <c:idx val="3"/>
          <c:order val="3"/>
          <c:tx>
            <c:strRef>
              <c:f>'Monthly Sale'!$D$1</c:f>
              <c:strCache>
                <c:ptCount val="1"/>
                <c:pt idx="0">
                  <c:v>Market Sale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'Monthly Sale'!$D$2:$D$50</c:f>
              <c:numCache>
                <c:formatCode>General</c:formatCode>
                <c:ptCount val="49"/>
                <c:pt idx="11">
                  <c:v>315280.0</c:v>
                </c:pt>
                <c:pt idx="12">
                  <c:v>227040.0</c:v>
                </c:pt>
                <c:pt idx="13">
                  <c:v>141900.0</c:v>
                </c:pt>
                <c:pt idx="14">
                  <c:v>274890.0</c:v>
                </c:pt>
                <c:pt idx="15">
                  <c:v>352110.0</c:v>
                </c:pt>
                <c:pt idx="16">
                  <c:v>274890.0</c:v>
                </c:pt>
                <c:pt idx="17">
                  <c:v>97680.0</c:v>
                </c:pt>
                <c:pt idx="18">
                  <c:v>521780.0</c:v>
                </c:pt>
                <c:pt idx="19">
                  <c:v>52600.0</c:v>
                </c:pt>
                <c:pt idx="20">
                  <c:v>376848.0</c:v>
                </c:pt>
                <c:pt idx="21">
                  <c:v>53922.0</c:v>
                </c:pt>
                <c:pt idx="22">
                  <c:v>364290.0</c:v>
                </c:pt>
                <c:pt idx="23">
                  <c:v>892748.0</c:v>
                </c:pt>
                <c:pt idx="24">
                  <c:v>786660.0</c:v>
                </c:pt>
                <c:pt idx="25">
                  <c:v>845340.0</c:v>
                </c:pt>
                <c:pt idx="26">
                  <c:v>706200.0</c:v>
                </c:pt>
                <c:pt idx="27">
                  <c:v>497880.0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2-4809-BF34-E224E43D60A7}"/>
            </c:ext>
          </c:extLst>
        </c:ser>
        <c:ser>
          <c:idx val="4"/>
          <c:order val="4"/>
          <c:tx>
            <c:strRef>
              <c:f>'Monthly Sale'!$E$1</c:f>
              <c:strCache>
                <c:ptCount val="1"/>
                <c:pt idx="0">
                  <c:v>Total Sale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'Monthly Sale'!$E$2:$E$50</c:f>
              <c:numCache>
                <c:formatCode>General</c:formatCode>
                <c:ptCount val="49"/>
                <c:pt idx="0">
                  <c:v>533290.0</c:v>
                </c:pt>
                <c:pt idx="1">
                  <c:v>1108630.0</c:v>
                </c:pt>
                <c:pt idx="2">
                  <c:v>1799760.0</c:v>
                </c:pt>
                <c:pt idx="3">
                  <c:v>2398070.0</c:v>
                </c:pt>
                <c:pt idx="4">
                  <c:v>2439320.0</c:v>
                </c:pt>
                <c:pt idx="5">
                  <c:v>2415418.0</c:v>
                </c:pt>
                <c:pt idx="6">
                  <c:v>2566952.0</c:v>
                </c:pt>
                <c:pt idx="7">
                  <c:v>3341365.0</c:v>
                </c:pt>
                <c:pt idx="8">
                  <c:v>3913110.0</c:v>
                </c:pt>
                <c:pt idx="9">
                  <c:v>3083750.0</c:v>
                </c:pt>
                <c:pt idx="10">
                  <c:v>2744440.0</c:v>
                </c:pt>
                <c:pt idx="11">
                  <c:v>2611317.0</c:v>
                </c:pt>
                <c:pt idx="12">
                  <c:v>2525620.0</c:v>
                </c:pt>
                <c:pt idx="13">
                  <c:v>2943810.0</c:v>
                </c:pt>
                <c:pt idx="14">
                  <c:v>3055710.0</c:v>
                </c:pt>
                <c:pt idx="15">
                  <c:v>2521830.0</c:v>
                </c:pt>
                <c:pt idx="16">
                  <c:v>3072863.0</c:v>
                </c:pt>
                <c:pt idx="17">
                  <c:v>2270230.0</c:v>
                </c:pt>
                <c:pt idx="18">
                  <c:v>2995410.0</c:v>
                </c:pt>
                <c:pt idx="19">
                  <c:v>2665215.0</c:v>
                </c:pt>
                <c:pt idx="20">
                  <c:v>2540887.0</c:v>
                </c:pt>
                <c:pt idx="21">
                  <c:v>2309622.0</c:v>
                </c:pt>
                <c:pt idx="22">
                  <c:v>2221840.0</c:v>
                </c:pt>
                <c:pt idx="23">
                  <c:v>4002398.0</c:v>
                </c:pt>
                <c:pt idx="24">
                  <c:v>4817320.0</c:v>
                </c:pt>
                <c:pt idx="25">
                  <c:v>4975700.0</c:v>
                </c:pt>
                <c:pt idx="26">
                  <c:v>5076442.0</c:v>
                </c:pt>
                <c:pt idx="27">
                  <c:v>4595108.0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2-4809-BF34-E224E43D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512879"/>
        <c:axId val="910406831"/>
      </c:lineChart>
      <c:catAx>
        <c:axId val="918512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06831"/>
        <c:crosses val="autoZero"/>
        <c:auto val="1"/>
        <c:lblAlgn val="ctr"/>
        <c:lblOffset val="100"/>
        <c:noMultiLvlLbl val="0"/>
      </c:catAx>
      <c:valAx>
        <c:axId val="9104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11</xdr:col>
      <xdr:colOff>628650</xdr:colOff>
      <xdr:row>38</xdr:row>
      <xdr:rowOff>0</xdr:rowOff>
    </xdr:to>
    <xdr:graphicFrame macro="">
      <xdr:nvGraphicFramePr>
        <xdr:cNvPr id="2" name="MonthlyRev">
          <a:extLst>
            <a:ext uri="{FF2B5EF4-FFF2-40B4-BE49-F238E27FC236}">
              <a16:creationId xmlns:a16="http://schemas.microsoft.com/office/drawing/2014/main" id="{8F6944BF-B355-5F15-60C8-A83ED30C5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6</xdr:col>
      <xdr:colOff>1212272</xdr:colOff>
      <xdr:row>55</xdr:row>
      <xdr:rowOff>188925</xdr:rowOff>
    </xdr:to>
    <xdr:graphicFrame macro="">
      <xdr:nvGraphicFramePr>
        <xdr:cNvPr id="3" name="MarginTrend">
          <a:extLst>
            <a:ext uri="{FF2B5EF4-FFF2-40B4-BE49-F238E27FC236}">
              <a16:creationId xmlns:a16="http://schemas.microsoft.com/office/drawing/2014/main" id="{352F6659-B029-F871-65EB-9A37AB722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4" name="UtilByTruck">
          <a:extLst>
            <a:ext uri="{FF2B5EF4-FFF2-40B4-BE49-F238E27FC236}">
              <a16:creationId xmlns:a16="http://schemas.microsoft.com/office/drawing/2014/main" id="{CA9C457C-D711-73B0-3A0C-EBBD2F366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581091</xdr:colOff>
      <xdr:row>8</xdr:row>
      <xdr:rowOff>59946</xdr:rowOff>
    </xdr:from>
    <xdr:to>
      <xdr:col>13</xdr:col>
      <xdr:colOff>130818</xdr:colOff>
      <xdr:row>23</xdr:row>
      <xdr:rowOff>101510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A517F-6708-BF0B-CD49-0A20B7935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may Mandal" refreshedDate="46270.670449652775" createdVersion="8" refreshedVersion="8" minRefreshableVersion="3" recordCount="1265" xr:uid="{5B5D3B7D-9A74-4FA0-81F9-719A74016BCD}">
  <cacheSource type="worksheet">
    <worksheetSource ref="A1:V1048576" sheet="Auburn Load "/>
  </cacheSource>
  <cacheFields count="22">
    <cacheField name="S.NO." numFmtId="0">
      <sharedItems containsBlank="1" containsMixedTypes="1" containsNumber="1" containsInteger="1" minValue="1" maxValue="1012"/>
    </cacheField>
    <cacheField name="Month" numFmtId="0">
      <sharedItems containsDate="1" containsBlank="1" containsMixedTypes="1" minDate="2025-05-01T00:00:00" maxDate="2025-05-02T00:00:00" count="35">
        <s v="May"/>
        <s v="JUNE "/>
        <s v="JULY"/>
        <s v="AUGUST"/>
        <s v="SEPTEMBER"/>
        <s v="OCTOBER"/>
        <s v="NOVEMBER"/>
        <s v="DECEMBER"/>
        <s v="JANUARY"/>
        <s v="FEBRUARY"/>
        <s v="MARCH"/>
        <s v="APRIL"/>
        <d v="2025-05-01T00:00:00"/>
        <s v="JUNE"/>
        <s v="JULY,25"/>
        <s v="AUGUST,25"/>
        <s v="SEPTEMBER,25"/>
        <s v="OCTOBER,25"/>
        <s v="NOVEMBER,25"/>
        <s v="DECEMBER,25"/>
        <s v="JANUARY,26"/>
        <s v="FEBRUARY,26"/>
        <s v="MARCH,26"/>
        <s v="APRIL,26"/>
        <s v="MAY,26"/>
        <s v="JUNE,26"/>
        <s v="JULY,26"/>
        <s v="AUGUST,26"/>
        <s v="SEPTEMBER,26"/>
        <m/>
        <s v="May.25" u="1"/>
        <s v="May,25" u="1"/>
        <s v="May,24" u="1"/>
        <s v="May,2024" u="1"/>
        <s v="APRIEL,26" u="1"/>
      </sharedItems>
    </cacheField>
    <cacheField name="LOADING DATE " numFmtId="0">
      <sharedItems containsDate="1" containsBlank="1" containsMixedTypes="1" minDate="2024-05-18T00:00:00" maxDate="2026-09-06T00:00:00"/>
    </cacheField>
    <cacheField name="Provider" numFmtId="0">
      <sharedItems containsBlank="1" count="9">
        <s v="3rd Party"/>
        <s v="BN "/>
        <s v="3rd Party "/>
        <s v="3rd  party "/>
        <s v="BN"/>
        <s v="3rdParty"/>
        <m/>
        <s v="3rd Partty" u="1"/>
        <s v="Transporter 42" u="1"/>
      </sharedItems>
    </cacheField>
    <cacheField name="LORRY NO." numFmtId="0">
      <sharedItems containsBlank="1"/>
    </cacheField>
    <cacheField name="MOBILE NO." numFmtId="0">
      <sharedItems containsBlank="1" containsMixedTypes="1" containsNumber="1" containsInteger="1"/>
    </cacheField>
    <cacheField name="FROM " numFmtId="0">
      <sharedItems containsBlank="1"/>
    </cacheField>
    <cacheField name="POINT GR NO." numFmtId="0">
      <sharedItems containsBlank="1"/>
    </cacheField>
    <cacheField name="TO GR NO." numFmtId="0">
      <sharedItems containsBlank="1"/>
    </cacheField>
    <cacheField name="LORRY MAKE" numFmtId="0">
      <sharedItems containsBlank="1"/>
    </cacheField>
    <cacheField name=" LORRY RATE " numFmtId="0">
      <sharedItems containsBlank="1" containsMixedTypes="1" containsNumber="1" containsInteger="1"/>
    </cacheField>
    <cacheField name="Billing Rate Charges" numFmtId="0">
      <sharedItems containsBlank="1" containsMixedTypes="1" containsNumber="1"/>
    </cacheField>
    <cacheField name="Net Saving" numFmtId="0">
      <sharedItems containsBlank="1" containsMixedTypes="1" containsNumber="1"/>
    </cacheField>
    <cacheField name="Adance Paid (INR)" numFmtId="0">
      <sharedItems containsBlank="1" containsMixedTypes="1" containsNumber="1" containsInteger="1"/>
    </cacheField>
    <cacheField name="Balance To pay" numFmtId="0">
      <sharedItems containsBlank="1" containsMixedTypes="1" containsNumber="1" containsInteger="1"/>
    </cacheField>
    <cacheField name="BILL STATUS " numFmtId="0">
      <sharedItems containsBlank="1"/>
    </cacheField>
    <cacheField name="Invoice No." numFmtId="0">
      <sharedItems containsBlank="1" containsMixedTypes="1" containsNumber="1" containsInteger="1" minValue="82" maxValue="137"/>
    </cacheField>
    <cacheField name="Payment Status" numFmtId="0">
      <sharedItems containsBlank="1"/>
    </cacheField>
    <cacheField name="REACH UNLOADING POINT " numFmtId="0">
      <sharedItems containsDate="1" containsBlank="1" containsMixedTypes="1" minDate="2024-05-05T00:00:00" maxDate="2024-09-23T00:00:00"/>
    </cacheField>
    <cacheField name="UNLOADING DATE " numFmtId="0">
      <sharedItems containsDate="1" containsBlank="1" containsMixedTypes="1" minDate="2024-05-05T00:00:00" maxDate="2024-09-24T00:00:00"/>
    </cacheField>
    <cacheField name="Current Status" numFmtId="0">
      <sharedItems containsBlank="1" count="7">
        <s v="Closed"/>
        <s v="closed "/>
        <s v="-"/>
        <s v="Running"/>
        <m/>
        <s v="Running " u="1"/>
        <s v="Loading process" u="1"/>
      </sharedItems>
    </cacheField>
    <cacheField name="BROAKER ADRESS" numFmtId="0">
      <sharedItems containsBlank="1" containsMixedTypes="1" containsNumber="1" containsInteger="1" minValue="28" maxValue="28" count="49">
        <s v="Transporter 01 "/>
        <s v="Transporter 02 "/>
        <s v="BN   "/>
        <s v="BN"/>
        <s v="Transporter 03 "/>
        <s v="Transporter 04"/>
        <s v="Transporter 05 "/>
        <s v="Transporter 06"/>
        <s v="Transporter 07 "/>
        <s v="Transporter 08"/>
        <s v="Transporter 09"/>
        <s v="Transporter 10"/>
        <s v="Transporter 11"/>
        <s v="Transporter 12 "/>
        <s v="BY AIR "/>
        <s v="Transporter 13 "/>
        <s v="Transporter 14"/>
        <s v="Transporter 15"/>
        <s v="Transporter 16 "/>
        <s v="Transporter 17"/>
        <s v="Transporter 18 "/>
        <s v="Transporter 02"/>
        <s v="Transporter 19 "/>
        <s v="Transporter 20"/>
        <s v="Transporter 21 "/>
        <s v="Transporter 22 "/>
        <s v="Transporter 23"/>
        <s v="Transporter 24"/>
        <s v="Transporter 25"/>
        <s v="Transporter 26"/>
        <s v="Transporter 27"/>
        <s v="Transporter 28 "/>
        <s v="Transporter 29 "/>
        <s v="3rd Party"/>
        <s v="Transporter 30"/>
        <s v="Transporter 31 "/>
        <s v="Transporter 32"/>
        <s v="Transporter 29"/>
        <s v="Transporter 33"/>
        <s v="Transporter 34"/>
        <s v="Transporter 35"/>
        <s v="Transporter 36 "/>
        <s v="Transporter 37 "/>
        <s v="Transporter 38 "/>
        <s v="Transporter 39 "/>
        <s v="Transporter 40"/>
        <m/>
        <s v="Transporter 41"/>
        <n v="2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">
  <r>
    <n v="1"/>
    <x v="0"/>
    <s v="10.05.2024"/>
    <x v="0"/>
    <s v="TN52TM-7760"/>
    <n v="9686844715"/>
    <s v="RANCHI"/>
    <s v="HASSAN.176610,BOX 04 "/>
    <s v="BOMMANSA.562608,BOX 578 "/>
    <s v="32FEET SXL "/>
    <n v="38590"/>
    <n v="46620"/>
    <n v="8030"/>
    <n v="38590"/>
    <n v="0"/>
    <s v="DONE "/>
    <s v="01"/>
    <s v="RECEIPT"/>
    <s v="SAME DAY "/>
    <s v="15/05/2024./18/05/2024"/>
    <x v="0"/>
    <x v="0"/>
  </r>
  <r>
    <n v="2"/>
    <x v="0"/>
    <s v="15.05.2024"/>
    <x v="0"/>
    <s v="TN52TM-1398"/>
    <n v="9941053951"/>
    <s v="RANCHI"/>
    <s v="HOSKOTE.749378,BOX 983"/>
    <s v="HASSAN,772300,BOX 004"/>
    <s v="32FEET SXL "/>
    <n v="36450"/>
    <n v="46620"/>
    <n v="10170"/>
    <n v="36450"/>
    <n v="0"/>
    <s v="DONE "/>
    <s v="02"/>
    <s v="RECEIPT"/>
    <d v="2024-05-19T00:00:00"/>
    <s v="20/05/2024./22/05/2024"/>
    <x v="0"/>
    <x v="1"/>
  </r>
  <r>
    <n v="3"/>
    <x v="0"/>
    <d v="2024-05-19T00:00:00"/>
    <x v="0"/>
    <s v="KA05TT-6944"/>
    <n v="9295512602"/>
    <s v="RANCHI"/>
    <s v="NARSAPUR.043922.BOX"/>
    <s v="HASSAN,978172.BOX"/>
    <s v="24FEET "/>
    <n v="31930"/>
    <n v="45040"/>
    <n v="13110"/>
    <n v="31930"/>
    <n v="0"/>
    <s v="DONE "/>
    <s v="03"/>
    <s v="RECEIPT"/>
    <d v="2024-05-21T00:00:00"/>
    <s v="21/05/2024./22/05/2024"/>
    <x v="0"/>
    <x v="1"/>
  </r>
  <r>
    <n v="4"/>
    <x v="0"/>
    <d v="2024-05-18T00:00:00"/>
    <x v="0"/>
    <s v="KA02GM-9724"/>
    <n v="9149905009"/>
    <s v="RANCHI"/>
    <s v="N/A"/>
    <s v="HASSAN.909686.BOX 312"/>
    <s v="22FEET "/>
    <n v="28300"/>
    <n v="38740"/>
    <n v="10440"/>
    <n v="28300"/>
    <n v="0"/>
    <s v="DONE "/>
    <s v="04"/>
    <s v="RECEIPT"/>
    <d v="2024-05-21T00:00:00"/>
    <d v="2024-05-21T00:00:00"/>
    <x v="0"/>
    <x v="1"/>
  </r>
  <r>
    <n v="5"/>
    <x v="0"/>
    <d v="2024-05-19T00:00:00"/>
    <x v="0"/>
    <s v="TN12RW-1972"/>
    <n v="9678275995"/>
    <s v="RANCHI"/>
    <s v="N/A"/>
    <s v="HOSKOTE.125550.BOX 729"/>
    <s v="20FEET  "/>
    <n v="27830"/>
    <n v="35600"/>
    <n v="7770"/>
    <n v="27830"/>
    <n v="0"/>
    <s v="DONE "/>
    <s v="05"/>
    <s v="RECEIPT"/>
    <d v="2024-05-21T00:00:00"/>
    <d v="2024-05-21T00:00:00"/>
    <x v="0"/>
    <x v="1"/>
  </r>
  <r>
    <n v="6"/>
    <x v="0"/>
    <d v="2024-05-24T00:00:00"/>
    <x v="0"/>
    <s v="KA51DJ-2589"/>
    <n v="9087547668"/>
    <s v="RANCHI"/>
    <s v="NARSAPUR,803363"/>
    <s v="HOSKOTE,467212"/>
    <s v="20FEET  "/>
    <n v="29850"/>
    <n v="41900"/>
    <n v="12050"/>
    <n v="29850"/>
    <n v="0"/>
    <s v="DONE "/>
    <s v="06"/>
    <s v="RECEIPT"/>
    <d v="2024-05-28T00:00:00"/>
    <d v="2024-05-28T00:00:00"/>
    <x v="0"/>
    <x v="1"/>
  </r>
  <r>
    <n v="7"/>
    <x v="0"/>
    <d v="2024-05-30T00:00:00"/>
    <x v="0"/>
    <s v="PB13MM-3286"/>
    <n v="9757815238"/>
    <s v="RANCHI"/>
    <s v="N/A"/>
    <s v="HOKOTE,579908"/>
    <s v="32FEET SXL "/>
    <n v="32290"/>
    <n v="40320"/>
    <n v="8030"/>
    <n v="32290"/>
    <n v="0"/>
    <s v="DONE "/>
    <s v="07"/>
    <s v="RECEIPT"/>
    <d v="2024-05-05T00:00:00"/>
    <d v="2024-05-05T00:00:00"/>
    <x v="0"/>
    <x v="0"/>
  </r>
  <r>
    <n v="9"/>
    <x v="0"/>
    <d v="2024-05-24T00:00:00"/>
    <x v="1"/>
    <s v="JH01KM-4371"/>
    <n v="9025368773"/>
    <s v="RANCHI"/>
    <s v="N/A"/>
    <s v="HOSKOTE,749252"/>
    <s v="24FEET SXL"/>
    <n v="43990"/>
    <n v="38740"/>
    <n v="-5250"/>
    <m/>
    <m/>
    <s v="DONE "/>
    <s v="08"/>
    <s v="RECEIPT"/>
    <d v="2024-05-27T00:00:00"/>
    <d v="2024-05-28T00:00:00"/>
    <x v="0"/>
    <x v="2"/>
  </r>
  <r>
    <n v="10"/>
    <x v="0"/>
    <d v="2024-05-28T00:00:00"/>
    <x v="1"/>
    <s v="JH01KM-4371"/>
    <n v="9025368773"/>
    <s v="HOSKOTE"/>
    <s v="BOMMANHALLI"/>
    <s v="DODABALLAPUR"/>
    <s v="24FEET SXL "/>
    <m/>
    <n v="6300"/>
    <n v="6300"/>
    <m/>
    <m/>
    <s v="DONE "/>
    <s v="09"/>
    <s v="RECEIPT"/>
    <s v="LOADING "/>
    <m/>
    <x v="0"/>
    <x v="3"/>
  </r>
  <r>
    <n v="11"/>
    <x v="0"/>
    <d v="2024-05-30T00:00:00"/>
    <x v="1"/>
    <s v="JH01KM-4371"/>
    <n v="9025368773"/>
    <s v="DODABALLAPUR"/>
    <s v="N/A"/>
    <s v="RANCHI ,872415/27"/>
    <s v="24FEET SXL "/>
    <n v="48290"/>
    <n v="67410"/>
    <n v="19120"/>
    <m/>
    <m/>
    <s v="DONE "/>
    <s v="09"/>
    <s v="RECEIPT"/>
    <d v="2024-06-02T00:00:00"/>
    <d v="2024-06-03T00:00:00"/>
    <x v="0"/>
    <x v="3"/>
  </r>
  <r>
    <n v="12"/>
    <x v="0"/>
    <d v="2024-05-24T00:00:00"/>
    <x v="1"/>
    <s v="JH01KM-8803"/>
    <n v="9589264337"/>
    <s v="RANCHI"/>
    <s v="N/A"/>
    <s v="HOSKOTE ,140915"/>
    <s v="32FEET SXL "/>
    <n v="44220"/>
    <n v="40320"/>
    <n v="-3900"/>
    <m/>
    <m/>
    <s v="DONE "/>
    <s v="10"/>
    <s v="RECEIPT"/>
    <d v="2024-05-27T00:00:00"/>
    <d v="2024-05-27T00:00:00"/>
    <x v="0"/>
    <x v="3"/>
  </r>
  <r>
    <n v="13"/>
    <x v="0"/>
    <d v="2024-05-27T00:00:00"/>
    <x v="1"/>
    <s v="JH01KM-8803"/>
    <n v="9589264337"/>
    <s v="TIRUPUR"/>
    <s v="N/A"/>
    <s v="RANCHI,407449"/>
    <s v="32FEET SXL "/>
    <n v="51030"/>
    <n v="85680"/>
    <n v="34650"/>
    <m/>
    <m/>
    <s v="DONE "/>
    <s v="011"/>
    <s v="RECEIPT"/>
    <d v="2024-05-31T00:00:00"/>
    <d v="2024-05-31T00:00:00"/>
    <x v="0"/>
    <x v="3"/>
  </r>
  <r>
    <n v="14"/>
    <x v="1"/>
    <d v="2024-06-01T00:00:00"/>
    <x v="2"/>
    <s v="KA02YH-5646"/>
    <n v="9198923795"/>
    <s v="RANCHI "/>
    <s v="N/A"/>
    <s v="HOSKOTE,264810"/>
    <s v="20FEET "/>
    <n v="27290"/>
    <n v="35600"/>
    <n v="8310"/>
    <n v="27290"/>
    <n v="0"/>
    <s v="DONE "/>
    <s v="012"/>
    <s v="RECEIPT"/>
    <d v="2024-06-04T00:00:00"/>
    <d v="2024-06-04T00:00:00"/>
    <x v="0"/>
    <x v="1"/>
  </r>
  <r>
    <n v="15"/>
    <x v="1"/>
    <d v="2024-06-01T00:00:00"/>
    <x v="2"/>
    <s v="KA05RX-6944"/>
    <n v="9295512602"/>
    <s v="RANCHI"/>
    <s v="N/A"/>
    <s v="HASSAN,872860"/>
    <s v="24FEET"/>
    <n v="29110"/>
    <n v="38740"/>
    <n v="9630"/>
    <n v="29110"/>
    <n v="0"/>
    <s v="DONE "/>
    <s v="013"/>
    <s v="RECEIPT"/>
    <d v="2024-06-04T00:00:00"/>
    <d v="2024-06-04T00:00:00"/>
    <x v="0"/>
    <x v="1"/>
  </r>
  <r>
    <n v="16"/>
    <x v="1"/>
    <d v="2024-06-01T00:00:00"/>
    <x v="1"/>
    <s v="JH01KM-8803"/>
    <n v="9589264337"/>
    <s v="RANCHI"/>
    <s v="N/A"/>
    <s v="HASSAN,913653"/>
    <s v="32FEET SXL "/>
    <n v="44220"/>
    <n v="40320"/>
    <n v="-3900"/>
    <m/>
    <m/>
    <s v="DONE "/>
    <s v="014"/>
    <s v="RECEIPT"/>
    <d v="2024-06-05T00:00:00"/>
    <d v="2024-06-05T00:00:00"/>
    <x v="1"/>
    <x v="3"/>
  </r>
  <r>
    <n v="17"/>
    <x v="1"/>
    <d v="2024-06-03T00:00:00"/>
    <x v="1"/>
    <s v="JH01KM-4371"/>
    <n v="9025368773"/>
    <s v="RANCHI"/>
    <s v="NARSAPUR,970325+HOSKOTE,425534"/>
    <s v="BOMMANSANDRA ,890248"/>
    <s v="24 FEET SXL "/>
    <n v="45880"/>
    <n v="51340"/>
    <n v="5460"/>
    <m/>
    <m/>
    <s v="DONE "/>
    <s v="015"/>
    <s v="RECEIPT"/>
    <d v="2024-06-06T00:00:00"/>
    <d v="2024-06-07T00:00:00"/>
    <x v="1"/>
    <x v="3"/>
  </r>
  <r>
    <n v="18"/>
    <x v="1"/>
    <d v="2024-06-06T00:00:00"/>
    <x v="1"/>
    <s v="JH01KM8803"/>
    <n v="9589264337"/>
    <s v="TIRUPUR"/>
    <s v="N/A"/>
    <s v="RANCHI,476477"/>
    <s v="32 FEET SXL "/>
    <n v="51690"/>
    <n v="90090"/>
    <n v="38400"/>
    <m/>
    <m/>
    <s v="DONE"/>
    <s v="016"/>
    <s v="RECEIPT"/>
    <d v="2024-06-09T00:00:00"/>
    <d v="2024-06-10T00:00:00"/>
    <x v="0"/>
    <x v="3"/>
  </r>
  <r>
    <n v="19"/>
    <x v="1"/>
    <d v="2024-06-07T00:00:00"/>
    <x v="2"/>
    <s v="KA02GM-9724"/>
    <n v="9149905009"/>
    <s v="RANCHI"/>
    <s v="BOMMANSANDRA,933942"/>
    <s v="HOSKOTE,387835"/>
    <s v="22FEET "/>
    <n v="27640"/>
    <n v="45040"/>
    <n v="17400"/>
    <n v="27640"/>
    <n v="0"/>
    <s v="DONE"/>
    <s v="017"/>
    <s v="RECEIPT"/>
    <d v="2024-06-11T00:00:00"/>
    <d v="2024-06-11T00:00:00"/>
    <x v="0"/>
    <x v="1"/>
  </r>
  <r>
    <n v="20"/>
    <x v="1"/>
    <d v="2024-06-07T00:00:00"/>
    <x v="1"/>
    <s v="JH01KM-4371"/>
    <n v="9025368773"/>
    <s v="ERODE"/>
    <s v="N/A"/>
    <s v="RANCHI,187030"/>
    <s v="24FEET"/>
    <n v="48290"/>
    <n v="67410"/>
    <n v="19120"/>
    <m/>
    <m/>
    <s v="DONE"/>
    <s v="018"/>
    <s v="RECEIPT"/>
    <d v="2024-06-09T00:00:00"/>
    <d v="2024-06-10T00:00:00"/>
    <x v="1"/>
    <x v="3"/>
  </r>
  <r>
    <n v="21"/>
    <x v="1"/>
    <d v="2024-06-12T00:00:00"/>
    <x v="1"/>
    <s v="JH01KM-4371"/>
    <n v="9025368773"/>
    <s v="RANCHI"/>
    <s v="HOSKOTE,900316"/>
    <s v="BOMMANSA,863494"/>
    <s v="24FEET"/>
    <n v="44930"/>
    <n v="45040"/>
    <n v="110"/>
    <m/>
    <m/>
    <s v="DONE"/>
    <s v="019"/>
    <s v="RECEIPT"/>
    <d v="2024-06-15T00:00:00"/>
    <d v="2024-06-15T00:00:00"/>
    <x v="0"/>
    <x v="2"/>
  </r>
  <r>
    <n v="22"/>
    <x v="1"/>
    <d v="2024-06-13T00:00:00"/>
    <x v="1"/>
    <s v="JH01KM-8803"/>
    <n v="9589264337"/>
    <s v="RANCHI"/>
    <s v="NARSAPUR,763576"/>
    <s v="BOMMANSANDRA,516517"/>
    <s v="32FEET SXL "/>
    <n v="45170"/>
    <n v="46620"/>
    <n v="1450"/>
    <m/>
    <m/>
    <s v="DONE"/>
    <s v="020"/>
    <s v="RECEIPT"/>
    <d v="2024-06-16T00:00:00"/>
    <d v="2024-06-19T00:00:00"/>
    <x v="1"/>
    <x v="3"/>
  </r>
  <r>
    <n v="23"/>
    <x v="1"/>
    <d v="2024-06-14T00:00:00"/>
    <x v="2"/>
    <s v="WB23J-3143"/>
    <n v="9372267009"/>
    <s v="ERODE"/>
    <s v="N/A"/>
    <s v="RANCHI,241257"/>
    <s v="32FEET MXL"/>
    <n v="75570"/>
    <n v="93240"/>
    <n v="17670"/>
    <n v="75570"/>
    <n v="0"/>
    <s v="DONE"/>
    <s v="021"/>
    <s v="RECEIPT"/>
    <s v="19-06-2024"/>
    <s v="19-06-2024"/>
    <x v="0"/>
    <x v="4"/>
  </r>
  <r>
    <n v="24"/>
    <x v="1"/>
    <d v="2024-06-15T00:00:00"/>
    <x v="2"/>
    <s v="KA05TT-6944"/>
    <n v="9295512602"/>
    <s v="RANCHI"/>
    <s v="N/A"/>
    <s v="HASSAN,857821"/>
    <s v="24FEET"/>
    <n v="27770"/>
    <n v="38740"/>
    <n v="10970"/>
    <n v="27770"/>
    <n v="0"/>
    <s v="DONE"/>
    <s v="022"/>
    <s v="RECEIPT"/>
    <s v="19-06-2024"/>
    <s v="19-06-2024"/>
    <x v="0"/>
    <x v="1"/>
  </r>
  <r>
    <n v="25"/>
    <x v="1"/>
    <d v="2024-06-16T00:00:00"/>
    <x v="1"/>
    <s v="JH01KM-4371"/>
    <n v="9025368773"/>
    <s v="ERODE "/>
    <s v="N/A"/>
    <s v="RANCHI,454688"/>
    <s v="24FEET"/>
    <n v="48290"/>
    <n v="67410"/>
    <n v="19120"/>
    <m/>
    <m/>
    <s v="DONE"/>
    <s v="023"/>
    <s v="RECEIPT"/>
    <s v="18-06-2024"/>
    <s v="18-06-2024"/>
    <x v="0"/>
    <x v="3"/>
  </r>
  <r>
    <n v="26"/>
    <x v="1"/>
    <d v="2024-06-17T00:00:00"/>
    <x v="2"/>
    <s v="KA53T-7407"/>
    <n v="9684865656"/>
    <s v="RANCHI"/>
    <s v="NARSAPUR,795057"/>
    <s v="HASSAN,857821"/>
    <s v="20FEET "/>
    <n v="26100"/>
    <n v="41900"/>
    <n v="15800"/>
    <n v="26100"/>
    <n v="0"/>
    <s v="DONE"/>
    <s v="025"/>
    <s v="RECEIPT"/>
    <s v="21-06-2024"/>
    <s v="22-06-2024"/>
    <x v="0"/>
    <x v="1"/>
  </r>
  <r>
    <n v="27"/>
    <x v="1"/>
    <d v="2024-06-19T00:00:00"/>
    <x v="1"/>
    <s v="JH01KM-4371"/>
    <n v="9025368773"/>
    <s v="RANCHI"/>
    <s v="N/A"/>
    <s v="HASSAN,493930"/>
    <s v="24FEET "/>
    <n v="46520"/>
    <n v="55600"/>
    <n v="9080"/>
    <m/>
    <m/>
    <s v="DONE"/>
    <s v="024"/>
    <s v="RECEIPT"/>
    <s v="22-06-2024"/>
    <s v="22-06-2024"/>
    <x v="0"/>
    <x v="3"/>
  </r>
  <r>
    <n v="28"/>
    <x v="1"/>
    <d v="2024-06-20T00:00:00"/>
    <x v="1"/>
    <s v="JH01KM-8803"/>
    <n v="9589264337"/>
    <s v="TIRUPUR,484647"/>
    <s v="ERODE,743866"/>
    <s v="RANCHI"/>
    <s v="32FEET SXL "/>
    <n v="52820"/>
    <n v="97650"/>
    <n v="44830"/>
    <m/>
    <m/>
    <s v="DONE"/>
    <s v="026"/>
    <s v="RECEIPT"/>
    <s v="23-06-2024"/>
    <s v="23-06-2024"/>
    <x v="0"/>
    <x v="3"/>
  </r>
  <r>
    <n v="29"/>
    <x v="1"/>
    <d v="2024-06-21T00:00:00"/>
    <x v="2"/>
    <s v="TN93L-8071"/>
    <n v="9754088991"/>
    <s v="RANCHI"/>
    <s v="NARSAPUR,912069+HOSKOTE,483982"/>
    <s v="BOMMANSANDRA,607558"/>
    <s v="32FEET SXL "/>
    <n v="33110"/>
    <n v="52920"/>
    <n v="19810"/>
    <n v="33110"/>
    <n v="0"/>
    <s v="DONE"/>
    <s v="027"/>
    <s v="RECEIPT"/>
    <s v="25-06-2024"/>
    <s v="26-06-2024"/>
    <x v="1"/>
    <x v="1"/>
  </r>
  <r>
    <n v="30"/>
    <x v="1"/>
    <d v="2024-06-24T00:00:00"/>
    <x v="1"/>
    <s v="JH01KM-8803"/>
    <n v="9589264337"/>
    <s v="RANCHI"/>
    <s v="HOSKOTE,742750"/>
    <s v="HASSAN ,377936"/>
    <s v="32 FEET SXL "/>
    <n v="45170"/>
    <n v="46620"/>
    <n v="1450"/>
    <m/>
    <n v="0"/>
    <s v="DONE"/>
    <s v="028"/>
    <s v="RECEIPT"/>
    <s v="27-06-2024"/>
    <s v="27-06-2024"/>
    <x v="1"/>
    <x v="3"/>
  </r>
  <r>
    <n v="31"/>
    <x v="1"/>
    <d v="2024-06-25T00:00:00"/>
    <x v="1"/>
    <s v="JH01KM-4371"/>
    <n v="9025368773"/>
    <s v="HOSUR"/>
    <s v="N/A"/>
    <s v="RANCHI,261832"/>
    <s v="24FEET "/>
    <n v="48290"/>
    <n v="67410"/>
    <n v="19120"/>
    <m/>
    <n v="0"/>
    <s v="DONE"/>
    <s v="029"/>
    <s v="RECEIPT"/>
    <s v="28-06-2024"/>
    <s v="28-06-2024"/>
    <x v="0"/>
    <x v="3"/>
  </r>
  <r>
    <n v="32"/>
    <x v="1"/>
    <d v="2024-06-26T00:00:00"/>
    <x v="0"/>
    <s v="TN52TM-1398"/>
    <n v="9941053951"/>
    <s v="RANCHI"/>
    <s v="N/A"/>
    <s v="HOSKOTE,491423"/>
    <s v="32FEET SXL "/>
    <n v="33890"/>
    <n v="40320"/>
    <n v="6430"/>
    <n v="33890"/>
    <n v="0"/>
    <s v="DONE"/>
    <s v="030"/>
    <s v="RECEIPT"/>
    <s v="30-06-2024"/>
    <s v="01-07-2024"/>
    <x v="1"/>
    <x v="1"/>
  </r>
  <r>
    <n v="33"/>
    <x v="1"/>
    <d v="2024-06-27T00:00:00"/>
    <x v="0"/>
    <s v="TN18GS-5854"/>
    <n v="9834816284"/>
    <s v="RANCHI"/>
    <s v="N/A"/>
    <s v="NARSAPUR,366358"/>
    <s v="32FEET SXL "/>
    <n v="34840"/>
    <n v="46620"/>
    <n v="11780"/>
    <n v="34840"/>
    <n v="0"/>
    <s v="DONE"/>
    <s v="031"/>
    <s v="RECEIPT"/>
    <s v="03-07-2024"/>
    <s v="03-07-2024"/>
    <x v="0"/>
    <x v="1"/>
  </r>
  <r>
    <n v="34"/>
    <x v="2"/>
    <d v="2024-07-01T00:00:00"/>
    <x v="2"/>
    <s v="GJ27K-9382"/>
    <n v="9660512245"/>
    <s v="AHM."/>
    <s v="N/A"/>
    <s v="RANCHI,862761"/>
    <s v="20FEET"/>
    <n v="44920"/>
    <n v="56700"/>
    <n v="11780"/>
    <n v="41620"/>
    <n v="3300"/>
    <s v="DONE"/>
    <s v="037"/>
    <s v="PENDING"/>
    <s v="05-07-2024"/>
    <s v="05-07-2024"/>
    <x v="0"/>
    <x v="5"/>
  </r>
  <r>
    <n v="35"/>
    <x v="2"/>
    <d v="2024-07-01T00:00:00"/>
    <x v="1"/>
    <s v="JH01KM-4371"/>
    <n v="9025368773"/>
    <s v="RANCHI"/>
    <s v="HOSKOTE,136530"/>
    <s v="HASSAN,323165"/>
    <s v="24FEET"/>
    <n v="45740"/>
    <n v="50400"/>
    <n v="4660"/>
    <m/>
    <n v="0"/>
    <s v="DONE"/>
    <s v="032"/>
    <s v="RECEIPT"/>
    <s v="04-07-2024"/>
    <s v="05-07-2024"/>
    <x v="0"/>
    <x v="3"/>
  </r>
  <r>
    <n v="36"/>
    <x v="2"/>
    <d v="2024-07-01T00:00:00"/>
    <x v="1"/>
    <s v="JH01KM-8803"/>
    <n v="9025368773"/>
    <s v="TIRUPUR,211792/56"/>
    <s v="ERODE,377051"/>
    <s v="RANCHI"/>
    <s v="32FEET"/>
    <n v="53580"/>
    <n v="102690"/>
    <n v="49110"/>
    <m/>
    <n v="0"/>
    <s v="DONE"/>
    <s v="033"/>
    <s v="RECEIPT"/>
    <s v="04-07-2024"/>
    <s v="05-07-2024"/>
    <x v="0"/>
    <x v="3"/>
  </r>
  <r>
    <n v="37"/>
    <x v="2"/>
    <d v="2024-07-02T00:00:00"/>
    <x v="0"/>
    <s v="KA52W-2643"/>
    <n v="9578386887"/>
    <s v="RANCHI"/>
    <s v="HOSKOTE,042648"/>
    <s v="BOMMANSANDRA,693938"/>
    <s v="24FEET"/>
    <n v="29180"/>
    <n v="48200"/>
    <n v="19020"/>
    <n v="29180"/>
    <n v="0"/>
    <s v="DONE"/>
    <s v="034"/>
    <s v="RECEIPT"/>
    <s v="05-07-2024"/>
    <s v="06-07-2024"/>
    <x v="0"/>
    <x v="1"/>
  </r>
  <r>
    <n v="38"/>
    <x v="2"/>
    <d v="2024-07-02T00:00:00"/>
    <x v="0"/>
    <s v="TN12XD-6346"/>
    <n v="9678275995"/>
    <s v="RANCHI"/>
    <s v="N/A"/>
    <s v="NARSAPUR,362044"/>
    <s v="20FEET"/>
    <n v="25150"/>
    <n v="35600"/>
    <n v="10450"/>
    <n v="25150"/>
    <n v="0"/>
    <s v="DONE"/>
    <s v="035"/>
    <s v="RECEIPT"/>
    <s v="09-07-2024"/>
    <s v="09-07-2024"/>
    <x v="0"/>
    <x v="1"/>
  </r>
  <r>
    <n v="39"/>
    <x v="2"/>
    <d v="2024-07-02T00:00:00"/>
    <x v="0"/>
    <s v="TN12XD-6346"/>
    <n v="9678275995"/>
    <s v="RANCHI"/>
    <s v="PART LOAD "/>
    <s v="HOSUR,398331"/>
    <s v="20FEET"/>
    <n v="0"/>
    <n v="11500"/>
    <n v="11500"/>
    <m/>
    <n v="0"/>
    <s v="DONE"/>
    <s v="036"/>
    <s v="RECEIPT"/>
    <s v="09-07-2024"/>
    <s v="09-07-2024"/>
    <x v="0"/>
    <x v="1"/>
  </r>
  <r>
    <n v="40"/>
    <x v="2"/>
    <d v="2024-07-03T00:00:00"/>
    <x v="0"/>
    <s v="NL01N-2927"/>
    <n v="9513184912"/>
    <s v="RANCHI"/>
    <s v="NARSAPUR,199550"/>
    <s v="BOMMANSANDRA, 387363"/>
    <s v="32 FEET SXL "/>
    <n v="35310"/>
    <n v="49770"/>
    <n v="14460"/>
    <n v="35310"/>
    <n v="0"/>
    <s v="DONE"/>
    <s v="038"/>
    <s v="RECEIPT"/>
    <s v="09-07-2024"/>
    <s v="10-07-2024"/>
    <x v="0"/>
    <x v="6"/>
  </r>
  <r>
    <n v="41"/>
    <x v="2"/>
    <d v="2024-07-04T00:00:00"/>
    <x v="0"/>
    <s v="TN88W-4748"/>
    <n v="9593083336"/>
    <s v="RANCHI"/>
    <s v="NARSAPUR,590354"/>
    <s v="HASSAN, 125936"/>
    <s v="32FEET SXL "/>
    <n v="34810"/>
    <n v="53550"/>
    <n v="18740"/>
    <n v="34810"/>
    <n v="0"/>
    <s v="DONE"/>
    <s v="039"/>
    <s v="RECEIPT"/>
    <s v="09-07-2024"/>
    <s v="10-07-2024"/>
    <x v="0"/>
    <x v="1"/>
  </r>
  <r>
    <n v="42"/>
    <x v="2"/>
    <d v="2024-07-05T00:00:00"/>
    <x v="0"/>
    <s v="JH01DH-4340"/>
    <n v="9137963915"/>
    <s v="RANCHI"/>
    <s v="LOCAL"/>
    <s v="RANCHI"/>
    <s v="10FEET"/>
    <n v="1870"/>
    <n v="2840"/>
    <n v="970"/>
    <n v="1870"/>
    <n v="0"/>
    <s v="DONE"/>
    <s v="040"/>
    <s v="RECEIPT"/>
    <s v="05-07-2024"/>
    <s v="05-07-2024"/>
    <x v="0"/>
    <x v="7"/>
  </r>
  <r>
    <n v="43"/>
    <x v="2"/>
    <d v="2024-07-05T00:00:00"/>
    <x v="0"/>
    <s v="KA52K-7153"/>
    <n v="9599281983"/>
    <s v="RANCHI"/>
    <s v="N/A"/>
    <s v="NARSAPUR,602705"/>
    <s v="20FEET"/>
    <n v="25150"/>
    <n v="35600"/>
    <n v="10450"/>
    <n v="25150"/>
    <n v="0"/>
    <s v="DONE"/>
    <s v="041"/>
    <s v="RECEIPT"/>
    <s v="09-07-2024"/>
    <s v="09-07-2024"/>
    <x v="0"/>
    <x v="1"/>
  </r>
  <r>
    <n v="44"/>
    <x v="2"/>
    <d v="2024-07-06T00:00:00"/>
    <x v="1"/>
    <s v="JH01KM-8803"/>
    <n v="9589264337"/>
    <s v="RANCHI"/>
    <s v="HOSKOTE+BMS,185224,176322"/>
    <s v="HASSAN,299082"/>
    <s v="32FEET SXL "/>
    <n v="47150"/>
    <n v="59850"/>
    <n v="12700"/>
    <m/>
    <n v="0"/>
    <s v="DONE"/>
    <s v="042"/>
    <s v="RECEIPT"/>
    <s v="09-07-2024"/>
    <s v="10-07-2024"/>
    <x v="0"/>
    <x v="3"/>
  </r>
  <r>
    <n v="45"/>
    <x v="2"/>
    <d v="2024-07-06T00:00:00"/>
    <x v="0"/>
    <s v="TN18DH-3563"/>
    <n v="9343626927"/>
    <s v="RANCHI"/>
    <s v="NARSAPUR,309027"/>
    <s v="HOSKOTE,234717"/>
    <s v="32FEET SXL "/>
    <n v="33770"/>
    <n v="46620"/>
    <n v="12850"/>
    <n v="33770"/>
    <n v="0"/>
    <s v="DONE"/>
    <s v="043"/>
    <s v="RECEIPT"/>
    <s v="11-07-2024"/>
    <s v="12-07-2024"/>
    <x v="0"/>
    <x v="8"/>
  </r>
  <r>
    <n v="46"/>
    <x v="2"/>
    <d v="2024-07-08T00:00:00"/>
    <x v="1"/>
    <s v="JH01KM-4371"/>
    <n v="9097762415"/>
    <s v="ERODE"/>
    <s v="N/A"/>
    <s v="RANCHI"/>
    <s v="24FEET"/>
    <n v="49140"/>
    <n v="73080"/>
    <n v="23940"/>
    <m/>
    <n v="0"/>
    <s v="DONE"/>
    <s v="044"/>
    <s v="RECEIPT"/>
    <s v="10-07-2024"/>
    <s v="11-07-2024"/>
    <x v="0"/>
    <x v="3"/>
  </r>
  <r>
    <n v="47"/>
    <x v="2"/>
    <d v="2024-07-09T00:00:00"/>
    <x v="0"/>
    <s v="UP21LJ-1159"/>
    <n v="9457796730"/>
    <s v="RANCHI"/>
    <s v="N/A"/>
    <s v="HASSAN,568746"/>
    <s v="32FEET SXL "/>
    <n v="33860"/>
    <n v="47250"/>
    <n v="13390"/>
    <n v="33860"/>
    <n v="0"/>
    <s v="DONE"/>
    <s v="045"/>
    <s v="RECEIPT"/>
    <s v="12-07-2024"/>
    <s v="12-07-2024"/>
    <x v="0"/>
    <x v="1"/>
  </r>
  <r>
    <n v="48"/>
    <x v="2"/>
    <d v="2024-07-10T00:00:00"/>
    <x v="0"/>
    <s v="KA52J-5960"/>
    <n v="9291434058"/>
    <s v="RANCHI"/>
    <s v="NARSAPUR,297445"/>
    <s v="HOSUR,469253"/>
    <s v="24FEET"/>
    <n v="28710"/>
    <n v="45040"/>
    <n v="16330"/>
    <n v="28710"/>
    <n v="0"/>
    <s v="DONE"/>
    <s v="046"/>
    <s v="RECEIPT"/>
    <s v="15-07-2024"/>
    <s v="15-07-2024"/>
    <x v="0"/>
    <x v="1"/>
  </r>
  <r>
    <n v="49"/>
    <x v="2"/>
    <d v="2024-07-11T00:00:00"/>
    <x v="1"/>
    <s v="JH01KM-4371"/>
    <n v="9097762415"/>
    <s v="RANCHI"/>
    <s v="NARSAPUR+HOSKOTE+BMS,862275,600470,484009"/>
    <s v="HASSAN,590477"/>
    <s v="24FEET"/>
    <n v="47630"/>
    <n v="63000"/>
    <n v="15370"/>
    <m/>
    <n v="0"/>
    <s v="DONE"/>
    <s v="047"/>
    <s v="RECEIPT"/>
    <s v="16-07-2024"/>
    <s v="16-07-2024"/>
    <x v="0"/>
    <x v="3"/>
  </r>
  <r>
    <n v="50"/>
    <x v="2"/>
    <d v="2024-07-13T00:00:00"/>
    <x v="1"/>
    <s v="JH01KM8803"/>
    <n v="9589264337"/>
    <s v="TIRUPUR"/>
    <s v="ERODE,090919"/>
    <s v="RANCHI,612989"/>
    <s v="32FEET SXL "/>
    <n v="53580"/>
    <n v="102690"/>
    <n v="49110"/>
    <m/>
    <n v="0"/>
    <s v="DONE"/>
    <s v="048"/>
    <s v="RECEIPT"/>
    <s v="16-07-2024"/>
    <s v="16-07-2024"/>
    <x v="0"/>
    <x v="3"/>
  </r>
  <r>
    <n v="51"/>
    <x v="2"/>
    <d v="2024-07-13T00:00:00"/>
    <x v="0"/>
    <s v="UP21SV-4401"/>
    <n v="9057895037"/>
    <s v="LUDHIANA"/>
    <s v="N/A"/>
    <s v="RANCHI,473378"/>
    <s v="32FEET SXL "/>
    <n v="63160"/>
    <n v="81900"/>
    <n v="18740"/>
    <n v="63160"/>
    <n v="0"/>
    <s v="DONE"/>
    <s v="049"/>
    <s v="RECEIPT"/>
    <s v="19-07-2024"/>
    <s v="19-07-2024"/>
    <x v="0"/>
    <x v="9"/>
  </r>
  <r>
    <n v="52"/>
    <x v="2"/>
    <d v="2024-07-13T00:00:00"/>
    <x v="0"/>
    <s v="TN93L-3191"/>
    <n v="9237773119"/>
    <s v="RANCHI"/>
    <s v="NARSAPUR+BMS,932329,620472"/>
    <s v="HOSUR,412908"/>
    <s v="32FEET SXL "/>
    <n v="33640"/>
    <n v="52920"/>
    <n v="19280"/>
    <n v="33640"/>
    <n v="0"/>
    <s v="DONE"/>
    <s v="050"/>
    <s v="RECEIPT"/>
    <s v="18-07-2024"/>
    <s v="18-07-2024"/>
    <x v="0"/>
    <x v="1"/>
  </r>
  <r>
    <n v="53"/>
    <x v="2"/>
    <d v="2024-07-16T00:00:00"/>
    <x v="1"/>
    <s v="JH01KM-8803"/>
    <n v="9589264337"/>
    <s v="RANCHI"/>
    <s v="NARSAPUR,002622+BMS,068162"/>
    <s v="HOSKOTE,102073"/>
    <s v="32FEET SXL "/>
    <n v="46960"/>
    <n v="58590"/>
    <n v="11630"/>
    <m/>
    <n v="0"/>
    <s v="DONE"/>
    <s v="051"/>
    <s v="RECEIPT"/>
    <s v="20-07-2024"/>
    <s v="20-07-2024"/>
    <x v="0"/>
    <x v="3"/>
  </r>
  <r>
    <n v="54"/>
    <x v="2"/>
    <d v="2024-07-16T00:00:00"/>
    <x v="0"/>
    <s v="NL01YH-1190"/>
    <n v="9124137850"/>
    <s v="RANCHI"/>
    <s v="N/A"/>
    <s v="HASSAN,117872"/>
    <s v="32FEET SXL "/>
    <n v="35740"/>
    <n v="47250"/>
    <n v="11510"/>
    <n v="35740"/>
    <n v="0"/>
    <s v="DONE"/>
    <s v="052"/>
    <s v="RECEIPT"/>
    <s v="20-07-2024"/>
    <s v="20-07-2024"/>
    <x v="0"/>
    <x v="6"/>
  </r>
  <r>
    <n v="55"/>
    <x v="2"/>
    <d v="2024-07-19T00:00:00"/>
    <x v="1"/>
    <s v="JH01KM-4371"/>
    <n v="9097762415"/>
    <s v="ERODE"/>
    <s v="N/A"/>
    <s v="RANCHI,448558"/>
    <s v="24FEET"/>
    <n v="48290"/>
    <n v="67410"/>
    <n v="19120"/>
    <m/>
    <n v="0"/>
    <s v="DONE"/>
    <s v="053"/>
    <s v="RECEIPT"/>
    <s v="21-07-2024"/>
    <s v="22-07-2024"/>
    <x v="0"/>
    <x v="3"/>
  </r>
  <r>
    <n v="56"/>
    <x v="2"/>
    <d v="2024-07-19T00:00:00"/>
    <x v="2"/>
    <s v="TN52NV-3691"/>
    <n v="9045944352"/>
    <s v="RANCHI"/>
    <s v="NARSAPUR,220963"/>
    <s v="HOSKOTE,617581"/>
    <s v="32FEET SXL "/>
    <n v="33230"/>
    <n v="46620"/>
    <n v="13390"/>
    <n v="33230"/>
    <n v="0"/>
    <s v="DONE"/>
    <s v="054"/>
    <s v="RECEIPT"/>
    <s v="25-07-2024"/>
    <s v="25-07-2024"/>
    <x v="0"/>
    <x v="1"/>
  </r>
  <r>
    <n v="57"/>
    <x v="2"/>
    <d v="2024-07-21T00:00:00"/>
    <x v="0"/>
    <s v="TN18DH-3563"/>
    <n v="9343626927"/>
    <s v="RANCHI"/>
    <s v="N/A"/>
    <s v="HASSAN,241354"/>
    <s v="32FEET SXL "/>
    <n v="34930"/>
    <n v="47250"/>
    <n v="12320"/>
    <n v="34930"/>
    <n v="0"/>
    <s v="DONE"/>
    <s v="055"/>
    <s v="RECEIPT"/>
    <s v="25-07-2024"/>
    <s v="25-07-2024"/>
    <x v="0"/>
    <x v="8"/>
  </r>
  <r>
    <n v="58"/>
    <x v="2"/>
    <d v="2024-07-22T00:00:00"/>
    <x v="1"/>
    <s v="JH01KM-4371"/>
    <n v="9097762415"/>
    <s v="RANCHI"/>
    <s v="N/A"/>
    <s v="HOSKOTE,471302"/>
    <s v="24FEET"/>
    <n v="44930"/>
    <n v="45040"/>
    <n v="110"/>
    <m/>
    <n v="0"/>
    <s v="DONE"/>
    <s v="056"/>
    <s v="RECEIPT"/>
    <s v="25-07-2024"/>
    <s v="25-07-2024"/>
    <x v="0"/>
    <x v="3"/>
  </r>
  <r>
    <n v="59"/>
    <x v="2"/>
    <d v="2024-07-23T00:00:00"/>
    <x v="2"/>
    <s v="NL01BJ-0985"/>
    <n v="9062194812"/>
    <s v="RANCHI"/>
    <s v="HOSKOTE,659144"/>
    <s v="HOSUR,535479"/>
    <s v="32FEET SXL "/>
    <n v="31090"/>
    <n v="46620"/>
    <n v="15530"/>
    <n v="31090"/>
    <n v="0"/>
    <s v="DONE"/>
    <s v="057"/>
    <s v="RECEIPT"/>
    <s v="26-07-2024"/>
    <s v="27-07-2024"/>
    <x v="0"/>
    <x v="1"/>
  </r>
  <r>
    <n v="60"/>
    <x v="2"/>
    <d v="2024-07-23T00:00:00"/>
    <x v="1"/>
    <s v="JH01KM-8803"/>
    <n v="9589264337"/>
    <s v="TIRUPUR,700296"/>
    <s v="ERODE,39067"/>
    <s v="RANCHI"/>
    <s v="32FEET SXL "/>
    <n v="53580"/>
    <n v="102690"/>
    <n v="49110"/>
    <m/>
    <n v="0"/>
    <s v="DONE"/>
    <s v="058"/>
    <s v="RECEIPT"/>
    <s v="27-07-2024"/>
    <s v="27-07-2024"/>
    <x v="0"/>
    <x v="3"/>
  </r>
  <r>
    <n v="61"/>
    <x v="2"/>
    <d v="2024-07-24T00:00:00"/>
    <x v="0"/>
    <s v="KA52W-2384"/>
    <n v="9564370374"/>
    <s v="RANCHI"/>
    <s v="NARSAPUR,701529"/>
    <s v="HOSKOTE,550035"/>
    <s v="24FEET "/>
    <n v="28710"/>
    <n v="45040"/>
    <n v="16330"/>
    <n v="28710"/>
    <n v="0"/>
    <s v="DONE"/>
    <s v="059"/>
    <s v="RECEIPT"/>
    <s v="28-07-2024"/>
    <s v="29-07-2024"/>
    <x v="0"/>
    <x v="1"/>
  </r>
  <r>
    <n v="62"/>
    <x v="2"/>
    <d v="2024-07-27T00:00:00"/>
    <x v="0"/>
    <s v="NL01TM-4272"/>
    <n v="9124747909"/>
    <s v="RANCHI"/>
    <s v="NARSAPUR,118909"/>
    <s v="HASSAN,216580"/>
    <s v="32FEET SXL "/>
    <n v="37220"/>
    <n v="53550"/>
    <n v="16330"/>
    <n v="37220"/>
    <n v="0"/>
    <s v="DONE"/>
    <s v="060"/>
    <s v="RECEIPT"/>
    <s v="30-07-2024"/>
    <s v="31-07-2024"/>
    <x v="0"/>
    <x v="6"/>
  </r>
  <r>
    <n v="63"/>
    <x v="2"/>
    <d v="2024-07-28T00:00:00"/>
    <x v="0"/>
    <s v="JH01KM-8803"/>
    <n v="9589264337"/>
    <s v="RANCHI"/>
    <s v="NARSAPUR,362297+HOSKOTE,334147+HOSUR,693307"/>
    <s v="BMS,778726"/>
    <s v="32FEET SXL "/>
    <n v="47910"/>
    <n v="64890"/>
    <n v="16980"/>
    <m/>
    <n v="0"/>
    <s v="DONE"/>
    <s v="061"/>
    <s v="RECEIPT"/>
    <s v="31-07-2024"/>
    <s v="01-08-2024"/>
    <x v="0"/>
    <x v="3"/>
  </r>
  <r>
    <n v="64"/>
    <x v="2"/>
    <d v="2024-07-29T00:00:00"/>
    <x v="0"/>
    <s v="JH01KM-4371"/>
    <n v="9097762415"/>
    <s v="ERODE"/>
    <s v="N/A"/>
    <s v="RANCHI,858226"/>
    <s v="24FEET "/>
    <n v="48290"/>
    <n v="67410"/>
    <n v="19120"/>
    <m/>
    <n v="0"/>
    <s v="DONE"/>
    <s v="062"/>
    <s v="RECEIPT"/>
    <s v="02-08-2024"/>
    <s v="02-08-2024"/>
    <x v="0"/>
    <x v="3"/>
  </r>
  <r>
    <n v="65"/>
    <x v="2"/>
    <d v="2024-07-30T00:00:00"/>
    <x v="2"/>
    <s v="TN05WJ-5569"/>
    <n v="9021782276"/>
    <s v="RANCHI"/>
    <s v="HOSKOTE,150285"/>
    <s v="HASSAN,436347"/>
    <s v="20FEET"/>
    <n v="29110"/>
    <n v="44100"/>
    <n v="14990"/>
    <n v="29110"/>
    <n v="0"/>
    <s v="DONE"/>
    <s v="063"/>
    <s v="RECEIPT"/>
    <s v="08-08-2024"/>
    <s v="08-08-2024"/>
    <x v="0"/>
    <x v="1"/>
  </r>
  <r>
    <n v="66"/>
    <x v="2"/>
    <d v="2024-07-31T00:00:00"/>
    <x v="0"/>
    <s v="KA52K-5945"/>
    <n v="9926313971"/>
    <s v="RANCHI"/>
    <s v="HOSKOTE,328759"/>
    <s v="HASSAN,562566"/>
    <s v="22FEET "/>
    <n v="30180"/>
    <n v="44100"/>
    <n v="13920"/>
    <n v="30180"/>
    <n v="0"/>
    <s v="DONE"/>
    <s v="064"/>
    <s v="RECEIPT"/>
    <s v="05-08-2024"/>
    <s v="06-08-2024"/>
    <x v="0"/>
    <x v="1"/>
  </r>
  <r>
    <n v="67"/>
    <x v="3"/>
    <d v="2024-08-01T00:00:00"/>
    <x v="0"/>
    <s v="WB17-0431"/>
    <n v="9286629206"/>
    <s v="HOSUR"/>
    <s v="N/A"/>
    <s v="RANCHI,128779"/>
    <s v="32FEET MXL"/>
    <n v="82150"/>
    <n v="112140"/>
    <n v="29990"/>
    <n v="82150"/>
    <n v="0"/>
    <s v="DONE"/>
    <s v="065"/>
    <s v="RECEIPT"/>
    <s v="05-08-2024"/>
    <s v="05-08-2024"/>
    <x v="0"/>
    <x v="10"/>
  </r>
  <r>
    <n v="68"/>
    <x v="3"/>
    <d v="2024-08-02T00:00:00"/>
    <x v="1"/>
    <s v="JH01KM-8803"/>
    <n v="9589264337"/>
    <s v="TIRUPUR"/>
    <s v="ERODE,156406"/>
    <s v="RANCHI,505803"/>
    <s v="32FEET SXL "/>
    <n v="53580"/>
    <n v="102690"/>
    <n v="49110"/>
    <m/>
    <n v="0"/>
    <s v="DONE"/>
    <s v="066"/>
    <s v="RECEIPT"/>
    <s v="05-08-2024"/>
    <s v="06-08-2024"/>
    <x v="0"/>
    <x v="3"/>
  </r>
  <r>
    <n v="69"/>
    <x v="3"/>
    <d v="2024-08-03T00:00:00"/>
    <x v="0"/>
    <s v="PB10UW-4147"/>
    <n v="9976081007"/>
    <s v="LUDHIANA"/>
    <s v="N/A"/>
    <s v="RANCHI,093231"/>
    <s v="32FEET SXL "/>
    <n v="64230"/>
    <n v="81900"/>
    <n v="17670"/>
    <n v="64230"/>
    <n v="0"/>
    <s v="DONE"/>
    <s v="067"/>
    <s v="RECEIPT"/>
    <s v="09-08-2024"/>
    <s v="09-08-2024"/>
    <x v="0"/>
    <x v="11"/>
  </r>
  <r>
    <n v="70"/>
    <x v="3"/>
    <d v="2024-08-04T00:00:00"/>
    <x v="1"/>
    <s v="JH01KM-4371"/>
    <n v="9515412075"/>
    <s v="RANCHI"/>
    <s v="HOSUR,044633+BMS,889749+WHITEFIELD,361169"/>
    <s v="HASSAN,149999"/>
    <s v="24FEET SXL "/>
    <n v="47630"/>
    <n v="63000"/>
    <n v="15370"/>
    <m/>
    <n v="0"/>
    <s v="DONE"/>
    <s v="068"/>
    <s v="RECEIPT"/>
    <s v="08-08-2024"/>
    <s v="08-08-2024"/>
    <x v="0"/>
    <x v="3"/>
  </r>
  <r>
    <n v="71"/>
    <x v="3"/>
    <d v="2024-08-06T00:00:00"/>
    <x v="1"/>
    <s v="JH01KM-8803"/>
    <n v="9589264337"/>
    <s v="RANCHI"/>
    <s v="NARSAPUR,090549+HOSKOTE,595919+HOSUR,927"/>
    <s v="HASSAN,596476"/>
    <s v="32FEETSXL"/>
    <n v="48100"/>
    <n v="66150"/>
    <n v="18050"/>
    <m/>
    <n v="0"/>
    <s v="DONE"/>
    <s v="069"/>
    <s v="RECEIPT"/>
    <s v="11-08-2024"/>
    <s v="12-08-2024"/>
    <x v="0"/>
    <x v="3"/>
  </r>
  <r>
    <n v="72"/>
    <x v="3"/>
    <d v="2024-08-06T00:00:00"/>
    <x v="0"/>
    <s v="TN25MM-5315"/>
    <n v="9663777426"/>
    <s v="RANCHI"/>
    <s v="HOSKOTE,613421"/>
    <s v="HOSUR,903559(AMOUNT 76215)"/>
    <s v="22FEET "/>
    <n v="29590"/>
    <n v="54500"/>
    <n v="24910"/>
    <n v="29590"/>
    <n v="0"/>
    <s v="DONE"/>
    <n v="82"/>
    <s v="PENDING"/>
    <s v="11-08-2024"/>
    <s v="12-08-2024"/>
    <x v="0"/>
    <x v="1"/>
  </r>
  <r>
    <n v="73"/>
    <x v="3"/>
    <d v="2024-08-09T00:00:00"/>
    <x v="0"/>
    <s v="HR38K-4865"/>
    <n v="9946150873"/>
    <s v="ERODE"/>
    <s v="N/A"/>
    <s v="RANCHI"/>
    <s v="32FEET SXL "/>
    <n v="69080"/>
    <n v="96390"/>
    <n v="27310"/>
    <n v="69080"/>
    <n v="0"/>
    <s v="DONE"/>
    <n v="83"/>
    <s v="PENDING"/>
    <s v="13-08-2024"/>
    <s v="13-08-2024"/>
    <x v="0"/>
    <x v="12"/>
  </r>
  <r>
    <n v="74"/>
    <x v="3"/>
    <d v="2024-08-09T00:00:00"/>
    <x v="0"/>
    <s v="KA51DJ-7560"/>
    <n v="9493729110"/>
    <s v="RANCHI"/>
    <s v="BMS,415100+HSOKOTE,050034"/>
    <s v="HASSAN,969311"/>
    <s v="22FEET "/>
    <n v="30590"/>
    <n v="50400"/>
    <n v="19810"/>
    <n v="30590"/>
    <n v="0"/>
    <s v="DONE"/>
    <n v="84"/>
    <s v="PENDING"/>
    <s v="14-08-2024"/>
    <s v="14-08-2024"/>
    <x v="0"/>
    <x v="1"/>
  </r>
  <r>
    <n v="75"/>
    <x v="3"/>
    <d v="2024-08-10T00:00:00"/>
    <x v="0"/>
    <s v="TN02ZE-2186"/>
    <n v="9065465756"/>
    <s v="RANCHI"/>
    <s v="NARSAPUR,592+HOSKOTE,189304"/>
    <s v="BMS,864438"/>
    <s v="32FEET SXL "/>
    <n v="32570"/>
    <n v="52920"/>
    <n v="20350"/>
    <n v="32570"/>
    <n v="0"/>
    <s v="DONE"/>
    <n v="85"/>
    <s v="PENDING"/>
    <s v="16-08-2024"/>
    <s v="16-08-2024"/>
    <x v="0"/>
    <x v="13"/>
  </r>
  <r>
    <n v="76"/>
    <x v="3"/>
    <d v="2024-08-11T00:00:00"/>
    <x v="3"/>
    <s v="TN01FG-7374"/>
    <n v="9892288874"/>
    <s v="RANCHI"/>
    <s v="HOSKOTE,987663"/>
    <s v="BMS,789024"/>
    <s v="32FEET SXL "/>
    <n v="31630"/>
    <n v="46620"/>
    <n v="14990"/>
    <n v="31630"/>
    <n v="0"/>
    <s v="DONE"/>
    <n v="86"/>
    <s v="PENDING"/>
    <s v="16-08-2024"/>
    <s v="16-08-2024"/>
    <x v="0"/>
    <x v="13"/>
  </r>
  <r>
    <n v="77"/>
    <x v="3"/>
    <d v="2024-08-11T00:00:00"/>
    <x v="1"/>
    <s v="JH01KM-4371"/>
    <n v="9515412075"/>
    <s v="ERODE"/>
    <s v="N/A"/>
    <s v="RANCHI,068347"/>
    <s v="24FEET "/>
    <n v="49140"/>
    <n v="73080"/>
    <n v="23940"/>
    <m/>
    <n v="0"/>
    <s v="DONE"/>
    <n v="87"/>
    <s v="PENDING"/>
    <s v="16-08-2024"/>
    <s v="16-08-2024"/>
    <x v="0"/>
    <x v="3"/>
  </r>
  <r>
    <n v="78"/>
    <x v="3"/>
    <d v="2024-08-13T00:00:00"/>
    <x v="0"/>
    <s v="KA52K-1206"/>
    <n v="9139770277"/>
    <s v="RANCHI"/>
    <s v="HOSKOTE,781390"/>
    <s v="HASSAN,975201"/>
    <s v="20FEET"/>
    <n v="29520"/>
    <n v="50400"/>
    <n v="20880"/>
    <n v="29520"/>
    <n v="0"/>
    <s v="DONE"/>
    <n v="88"/>
    <s v="PENDING"/>
    <s v="16-08-2024"/>
    <s v="16-08-2024"/>
    <x v="0"/>
    <x v="1"/>
  </r>
  <r>
    <n v="79"/>
    <x v="3"/>
    <d v="2024-08-14T00:00:00"/>
    <x v="1"/>
    <s v="JH01KM-4371"/>
    <n v="9515412075"/>
    <s v="RANCHI"/>
    <s v="BMS,846401"/>
    <s v="HASSAN,928118"/>
    <s v="24FEET"/>
    <n v="46590"/>
    <n v="56070"/>
    <n v="9480"/>
    <n v="46590"/>
    <n v="0"/>
    <s v="DONE"/>
    <n v="89"/>
    <s v="PENDING"/>
    <s v="16-08-2024"/>
    <s v="16-08-2024"/>
    <x v="0"/>
    <x v="3"/>
  </r>
  <r>
    <n v="80"/>
    <x v="3"/>
    <d v="2024-08-14T00:00:00"/>
    <x v="0"/>
    <s v="NL01JS-2253"/>
    <n v="9577978275"/>
    <s v="RANCHI"/>
    <s v="NARSAPUR,542310"/>
    <s v="HOSKOTE,530353"/>
    <s v="32FEET SXL "/>
    <n v="31630"/>
    <n v="46620"/>
    <n v="14990"/>
    <n v="31630"/>
    <n v="0"/>
    <s v="DONE"/>
    <n v="90"/>
    <s v="PENDING"/>
    <s v="19-08-2024"/>
    <s v="19-08-2024"/>
    <x v="0"/>
    <x v="1"/>
  </r>
  <r>
    <n v="81"/>
    <x v="3"/>
    <d v="2024-08-14T00:00:00"/>
    <x v="0"/>
    <s v="KA51YH-4062"/>
    <n v="9573610475"/>
    <s v="RANCHI"/>
    <s v="N/A"/>
    <s v="HASSAN,421295"/>
    <s v="32FEET SXL "/>
    <n v="36540"/>
    <n v="47250"/>
    <n v="10710"/>
    <n v="36540"/>
    <n v="0"/>
    <s v="DONE"/>
    <n v="91"/>
    <s v="PENDING"/>
    <s v="18-08-2024"/>
    <s v="18-08-2024"/>
    <x v="0"/>
    <x v="1"/>
  </r>
  <r>
    <n v="82"/>
    <x v="3"/>
    <d v="2024-08-14T00:00:00"/>
    <x v="0"/>
    <s v="BY AIR "/>
    <m/>
    <s v="RANCHI"/>
    <s v="N/A"/>
    <s v="BMS,334059"/>
    <s v="FLIGHT"/>
    <n v="209420"/>
    <n v="264250"/>
    <n v="54830"/>
    <n v="209420"/>
    <n v="0"/>
    <s v="PENDING "/>
    <m/>
    <s v="PENDING"/>
    <s v="16-08-2024"/>
    <s v="16-08-2024"/>
    <x v="0"/>
    <x v="14"/>
  </r>
  <r>
    <n v="83"/>
    <x v="3"/>
    <d v="2024-08-15T00:00:00"/>
    <x v="1"/>
    <s v="JH01KM-8803"/>
    <n v="9589264337"/>
    <s v="ERODE"/>
    <s v="N/A"/>
    <s v="RANCHI,506848"/>
    <s v="32FEET SXL "/>
    <n v="52630"/>
    <n v="96390"/>
    <n v="43760"/>
    <m/>
    <n v="0"/>
    <s v="DONE"/>
    <n v="92"/>
    <s v="PENDING"/>
    <s v="18-08-2024"/>
    <s v="18-08-2024"/>
    <x v="0"/>
    <x v="3"/>
  </r>
  <r>
    <n v="84"/>
    <x v="3"/>
    <d v="2024-08-16T00:00:00"/>
    <x v="0"/>
    <s v="KL59NV-3787"/>
    <n v="9316665035"/>
    <s v="RANCHI"/>
    <s v="N/A"/>
    <s v="HASSAN,820548"/>
    <s v="25FEET"/>
    <n v="30710"/>
    <n v="44100"/>
    <n v="13390"/>
    <n v="30710"/>
    <n v="0"/>
    <s v="DONE"/>
    <n v="93"/>
    <s v="PENDING"/>
    <s v="20-08-2024"/>
    <s v="20-08-2024"/>
    <x v="0"/>
    <x v="1"/>
  </r>
  <r>
    <n v="85"/>
    <x v="3"/>
    <d v="2024-08-16T00:00:00"/>
    <x v="0"/>
    <s v="KA13T-7124"/>
    <n v="9742039597"/>
    <s v="RANCHI"/>
    <s v="HOSKOTE,090684+HOSUR,678655"/>
    <s v="HASSAN,729295"/>
    <s v="24FEET"/>
    <n v="33140"/>
    <n v="56700"/>
    <n v="23560"/>
    <n v="33140"/>
    <n v="0"/>
    <s v="DONE"/>
    <n v="94"/>
    <s v="PENDING"/>
    <s v="21-08-2024"/>
    <s v="21-08-2024"/>
    <x v="0"/>
    <x v="1"/>
  </r>
  <r>
    <n v="86"/>
    <x v="3"/>
    <d v="2024-08-20T00:00:00"/>
    <x v="1"/>
    <s v="JH01KM-4371"/>
    <n v="9515412075"/>
    <s v="RANCHI"/>
    <s v="N/A"/>
    <s v="HASSAN"/>
    <s v="24FEET"/>
    <n v="51880"/>
    <n v="91350"/>
    <n v="39470"/>
    <m/>
    <n v="0"/>
    <s v="DONE"/>
    <n v="95"/>
    <s v="PENDING"/>
    <s v="23-08-2024"/>
    <s v="24-08-2024"/>
    <x v="0"/>
    <x v="3"/>
  </r>
  <r>
    <n v="87"/>
    <x v="3"/>
    <d v="2024-08-21T00:00:00"/>
    <x v="1"/>
    <s v="JH01KM-8803"/>
    <n v="9589264337"/>
    <s v="RANCHI"/>
    <s v="BOMMANSANDRA,467189"/>
    <s v="HOSUR,630362 (76215)"/>
    <s v="32FEET SXL "/>
    <n v="45170"/>
    <n v="46620"/>
    <n v="1450"/>
    <m/>
    <n v="0"/>
    <s v="DONE"/>
    <n v="96"/>
    <s v="PENDING"/>
    <s v="25-08-2024"/>
    <s v="26-08-2024"/>
    <x v="0"/>
    <x v="3"/>
  </r>
  <r>
    <n v="88"/>
    <x v="3"/>
    <d v="2024-08-24T00:00:00"/>
    <x v="0"/>
    <s v="TN02EV-8853"/>
    <n v="9772336065"/>
    <s v="RANCHI"/>
    <s v="NARSAPUR,219420"/>
    <s v="BOMMANSANDRA,071351"/>
    <s v="32FEET SXL "/>
    <n v="33770"/>
    <n v="46620"/>
    <n v="12850"/>
    <n v="33770"/>
    <n v="0"/>
    <s v="DONE"/>
    <n v="97"/>
    <s v="PENDING"/>
    <s v="28-08-2024"/>
    <s v="28-08-2024"/>
    <x v="0"/>
    <x v="1"/>
  </r>
  <r>
    <n v="89"/>
    <x v="3"/>
    <d v="2024-08-24T00:00:00"/>
    <x v="0"/>
    <s v="MH14CY-6391"/>
    <n v="9788395365"/>
    <s v="ERODE"/>
    <s v="N/A"/>
    <s v="RANCHI"/>
    <s v="32FEET SXL "/>
    <n v="67210"/>
    <n v="96390"/>
    <n v="29180"/>
    <n v="67210"/>
    <n v="0"/>
    <s v="DONE"/>
    <n v="98"/>
    <s v="PENDING"/>
    <s v="29-08-2024"/>
    <s v="29-08-2024"/>
    <x v="0"/>
    <x v="15"/>
  </r>
  <r>
    <n v="90"/>
    <x v="3"/>
    <d v="2024-08-24T00:00:00"/>
    <x v="0"/>
    <s v="TN02ZE-2186"/>
    <n v="9065465756"/>
    <s v="RANCHI"/>
    <s v="N/A"/>
    <s v="HASSAN,452608"/>
    <s v="32FEET SXL "/>
    <n v="40160"/>
    <n v="53550"/>
    <n v="13390"/>
    <n v="40160"/>
    <n v="0"/>
    <s v="DONE"/>
    <n v="99"/>
    <s v="PENDING"/>
    <s v="29-08-2024"/>
    <s v="29-08-2024"/>
    <x v="0"/>
    <x v="13"/>
  </r>
  <r>
    <n v="91"/>
    <x v="3"/>
    <d v="2024-08-24T00:00:00"/>
    <x v="0"/>
    <s v="KA05GM-9110"/>
    <n v="9748894966"/>
    <s v="RANCHI"/>
    <s v="N/A"/>
    <s v="HOSUR,731673(78679)"/>
    <s v="20FEET"/>
    <n v="25690"/>
    <n v="35600"/>
    <n v="9910"/>
    <n v="25690"/>
    <n v="0"/>
    <s v="DONE"/>
    <n v="100"/>
    <s v="PENDING"/>
    <s v="28-08-2024"/>
    <s v="28-08-2024"/>
    <x v="0"/>
    <x v="1"/>
  </r>
  <r>
    <n v="92"/>
    <x v="3"/>
    <d v="2024-08-24T00:00:00"/>
    <x v="0"/>
    <s v="TN93L-8071"/>
    <n v="9950818773"/>
    <s v="RANCHI"/>
    <s v="NARSAPUR,415768 +HOSKOTE,364185"/>
    <s v="BOMMANSANDRA,901796"/>
    <s v="32FEET SXL "/>
    <n v="33640"/>
    <n v="52920"/>
    <n v="19280"/>
    <n v="33640"/>
    <n v="0"/>
    <s v="DONE"/>
    <n v="101"/>
    <s v="PENDING"/>
    <s v="28-08-2024"/>
    <s v="28-08-2024"/>
    <x v="0"/>
    <x v="1"/>
  </r>
  <r>
    <n v="93"/>
    <x v="3"/>
    <d v="2024-08-27T00:00:00"/>
    <x v="0"/>
    <s v="KA52K-7446"/>
    <n v="9923171297"/>
    <s v="RANCHI"/>
    <s v="N/A"/>
    <s v="HOSUR,556621 (89221)"/>
    <s v="22FEET "/>
    <n v="25690"/>
    <n v="35600"/>
    <n v="9910"/>
    <n v="25690"/>
    <n v="0"/>
    <s v="DONE"/>
    <n v="102"/>
    <s v="PENDING"/>
    <s v="30-08-2024"/>
    <s v="30-08-2024"/>
    <x v="0"/>
    <x v="1"/>
  </r>
  <r>
    <n v="94"/>
    <x v="3"/>
    <d v="2024-08-27T00:00:00"/>
    <x v="2"/>
    <s v="TN18DH-3563"/>
    <n v="9358929187"/>
    <s v="RANCHI"/>
    <s v="N/A"/>
    <s v="HOSUR,450806 (86986)"/>
    <s v="32FEET SXL "/>
    <n v="34300"/>
    <n v="46620"/>
    <n v="12320"/>
    <n v="34300"/>
    <n v="0"/>
    <s v="DONE"/>
    <n v="103"/>
    <s v="PENDING"/>
    <s v="31-08-2024"/>
    <s v="31-08-2024"/>
    <x v="0"/>
    <x v="8"/>
  </r>
  <r>
    <n v="95"/>
    <x v="3"/>
    <d v="2024-08-27T00:00:00"/>
    <x v="0"/>
    <s v="KA53NV-5673"/>
    <n v="9165942602"/>
    <s v="RANCHI"/>
    <s v="BMS"/>
    <s v="HASSAN"/>
    <s v="22FEET "/>
    <n v="29550"/>
    <n v="43470"/>
    <n v="13920"/>
    <n v="29550"/>
    <n v="0"/>
    <s v="DONE"/>
    <n v="104"/>
    <s v="PENDING"/>
    <s v="31-08-2024"/>
    <s v="31-08-2024"/>
    <x v="0"/>
    <x v="1"/>
  </r>
  <r>
    <n v="96"/>
    <x v="3"/>
    <d v="2024-08-27T00:00:00"/>
    <x v="1"/>
    <s v="JH01KM-4371"/>
    <n v="9515412075"/>
    <s v="RANCHI"/>
    <s v="HOSKOTE"/>
    <s v="BOMMANSANDRA"/>
    <s v="24FEET"/>
    <n v="44930"/>
    <n v="45040"/>
    <n v="110"/>
    <m/>
    <n v="0"/>
    <s v="DONE"/>
    <n v="105"/>
    <s v="PENDING"/>
    <s v="31-08-2024"/>
    <s v="31-08-2024"/>
    <x v="0"/>
    <x v="3"/>
  </r>
  <r>
    <n v="97"/>
    <x v="3"/>
    <d v="2024-08-29T00:00:00"/>
    <x v="1"/>
    <s v="JH01KM-8803"/>
    <n v="9589264337"/>
    <s v="TIRUPUR"/>
    <s v="ERODE"/>
    <s v="RANCHI"/>
    <s v="32FEET SXL "/>
    <n v="53580"/>
    <n v="102690"/>
    <n v="49110"/>
    <m/>
    <n v="0"/>
    <s v="DONE"/>
    <n v="106"/>
    <s v="PENDING"/>
    <s v="02-09-2024"/>
    <s v="02-09-2024"/>
    <x v="0"/>
    <x v="3"/>
  </r>
  <r>
    <n v="98"/>
    <x v="3"/>
    <d v="2024-08-29T00:00:00"/>
    <x v="0"/>
    <s v="KA52K-0229"/>
    <n v="9654538123"/>
    <s v="RANCHI"/>
    <s v="N/A"/>
    <s v="HOSUR,769145"/>
    <s v="20FEET"/>
    <n v="27610"/>
    <n v="41260"/>
    <n v="13650"/>
    <n v="27610"/>
    <n v="0"/>
    <s v="DONE"/>
    <n v="107"/>
    <s v="PENDING"/>
    <s v="31-08-2024"/>
    <s v="31-08-2024"/>
    <x v="0"/>
    <x v="1"/>
  </r>
  <r>
    <n v="99"/>
    <x v="3"/>
    <d v="2024-08-29T00:00:00"/>
    <x v="0"/>
    <s v="NL01JH-8344"/>
    <n v="9812468058"/>
    <s v="RANCHI"/>
    <s v="HOSKOTE"/>
    <s v="BOMMANSANDRA"/>
    <s v="32FEET SXL "/>
    <n v="34300"/>
    <n v="46620"/>
    <n v="12320"/>
    <n v="34300"/>
    <n v="0"/>
    <s v="DONE"/>
    <n v="108"/>
    <s v="PENDING"/>
    <s v="02-09-2024"/>
    <s v="03-09-2024"/>
    <x v="0"/>
    <x v="6"/>
  </r>
  <r>
    <n v="100"/>
    <x v="3"/>
    <d v="2024-08-29T00:00:00"/>
    <x v="0"/>
    <s v="KA51GM-6709"/>
    <n v="9563961453"/>
    <s v="RANCHI"/>
    <s v="HOSUR,186467"/>
    <s v="HASSAN"/>
    <s v="20FEET"/>
    <n v="30180"/>
    <n v="44100"/>
    <n v="13920"/>
    <n v="30180"/>
    <n v="0"/>
    <s v="DONE"/>
    <n v="109"/>
    <s v="PENDING"/>
    <s v="02-09-2024"/>
    <s v="04-09-2024"/>
    <x v="0"/>
    <x v="16"/>
  </r>
  <r>
    <n v="101"/>
    <x v="3"/>
    <d v="2024-08-30T00:00:00"/>
    <x v="0"/>
    <s v="KA02GM-9724"/>
    <n v="9149905009"/>
    <s v="RANCHI"/>
    <s v="NARSAPUR"/>
    <s v="HOSKOTE"/>
    <s v="20FEET"/>
    <n v="26630"/>
    <n v="41900"/>
    <n v="15270"/>
    <n v="26630"/>
    <n v="0"/>
    <s v="DONE"/>
    <n v="110"/>
    <s v="PENDING"/>
    <s v="03-09-2024"/>
    <s v="03-09-2024"/>
    <x v="0"/>
    <x v="1"/>
  </r>
  <r>
    <n v="102"/>
    <x v="3"/>
    <d v="2024-08-31T00:00:00"/>
    <x v="0"/>
    <s v="MH14CY-6391"/>
    <n v="9788395365"/>
    <s v="RANCHI"/>
    <s v="NARSAPUR+HOSKOTE+BOMMANSANDRA"/>
    <s v="HASSAN"/>
    <s v="32FEET SXL "/>
    <n v="40450"/>
    <n v="66150"/>
    <n v="25700"/>
    <n v="40450"/>
    <n v="0"/>
    <s v="DONE"/>
    <n v="111"/>
    <s v="PENDING"/>
    <s v="07-09-2024"/>
    <s v="09-09-2024"/>
    <x v="0"/>
    <x v="17"/>
  </r>
  <r>
    <n v="103"/>
    <x v="4"/>
    <d v="2024-09-03T00:00:00"/>
    <x v="1"/>
    <s v="JH01KM-4371"/>
    <n v="9515412075"/>
    <s v="TIRUPUR"/>
    <s v="ERODE,004319+VENDOR F,715236"/>
    <s v="RANCHI"/>
    <s v="24FEET "/>
    <n v="53770"/>
    <n v="103950"/>
    <n v="50180"/>
    <m/>
    <n v="0"/>
    <s v="DONE"/>
    <s v="112"/>
    <s v="PENDING"/>
    <s v="07-09-2024"/>
    <s v="07-09-2024"/>
    <x v="0"/>
    <x v="3"/>
  </r>
  <r>
    <n v="104"/>
    <x v="4"/>
    <d v="2024-09-03T00:00:00"/>
    <x v="1"/>
    <s v="JH01KM-8803"/>
    <n v="9589264337"/>
    <s v="RANCHI"/>
    <s v="NARSAPUR,216580+HOSKOTE,827747"/>
    <s v="BOMMANSANDRA,289556"/>
    <s v="32FEET SXL "/>
    <n v="46110"/>
    <n v="52920"/>
    <n v="6810"/>
    <m/>
    <n v="0"/>
    <s v="DONE"/>
    <s v="113"/>
    <s v="PENDING"/>
    <s v="07-09-2024"/>
    <s v="09-09-2024"/>
    <x v="0"/>
    <x v="3"/>
  </r>
  <r>
    <n v="105"/>
    <x v="4"/>
    <d v="2024-09-03T00:00:00"/>
    <x v="0"/>
    <s v="JH01FN-1953"/>
    <n v="9119138448"/>
    <s v="RANCHI"/>
    <s v="N/A"/>
    <s v="RANCHI"/>
    <s v="AUTO"/>
    <n v="1250"/>
    <n v="1890"/>
    <n v="640"/>
    <n v="1250"/>
    <n v="0"/>
    <s v="DONE"/>
    <s v="114"/>
    <s v="PENDING"/>
    <s v="03-09-2024"/>
    <s v="03-09-2024"/>
    <x v="0"/>
    <x v="18"/>
  </r>
  <r>
    <n v="106"/>
    <x v="4"/>
    <d v="2024-09-04T00:00:00"/>
    <x v="0"/>
    <s v="HR38JS-5392"/>
    <n v="9497840280"/>
    <s v="RANCHI"/>
    <s v="N/A"/>
    <s v="HASSAN,362327"/>
    <s v="20FEET"/>
    <n v="28160"/>
    <n v="37800"/>
    <n v="9640"/>
    <n v="28160"/>
    <n v="0"/>
    <s v="DONE"/>
    <s v="115"/>
    <s v="PENDING"/>
    <s v="08-09-2024"/>
    <s v="09-09-2024"/>
    <x v="0"/>
    <x v="1"/>
  </r>
  <r>
    <n v="107"/>
    <x v="4"/>
    <d v="2024-09-05T00:00:00"/>
    <x v="0"/>
    <s v="KA53NV-5673"/>
    <n v="9165942602"/>
    <s v="RANCHI"/>
    <s v="HOSKOTE,613357+NARSAPUR,365872"/>
    <s v="HASSAN,542689"/>
    <s v="22FEET "/>
    <n v="30590"/>
    <n v="50400"/>
    <n v="19810"/>
    <n v="30590"/>
    <n v="0"/>
    <s v="DONE"/>
    <s v="116"/>
    <s v="PENDING"/>
    <s v="08-09-2024"/>
    <s v="10-09-2024"/>
    <x v="0"/>
    <x v="1"/>
  </r>
  <r>
    <n v="108"/>
    <x v="4"/>
    <d v="2024-09-06T00:00:00"/>
    <x v="0"/>
    <s v="KA51BJ-8283"/>
    <n v="9260938100"/>
    <s v="RANCHI"/>
    <s v="NARSAPUR,889749+HOSKOTE,778726"/>
    <s v="BOMMANSANDRA,334147"/>
    <s v="22FEET "/>
    <n v="29720"/>
    <n v="48200"/>
    <n v="18480"/>
    <n v="29720"/>
    <n v="0"/>
    <s v="DONE"/>
    <s v="117"/>
    <s v="PENDING"/>
    <s v="10-09-2024"/>
    <s v="11-09-2024"/>
    <x v="0"/>
    <x v="1"/>
  </r>
  <r>
    <n v="109"/>
    <x v="4"/>
    <d v="2024-09-07T00:00:00"/>
    <x v="0"/>
    <s v="KA52K-5382"/>
    <n v="9031505300"/>
    <s v="RANCHI"/>
    <s v="BOMMANSANDRA,415821"/>
    <s v="HASSAN,436347"/>
    <s v="22FEET "/>
    <n v="29640"/>
    <n v="44100"/>
    <n v="14460"/>
    <n v="29640"/>
    <n v="0"/>
    <s v="DONE"/>
    <s v="118"/>
    <s v="PENDING"/>
    <s v="11-09-2024"/>
    <s v="12-09-2024"/>
    <x v="0"/>
    <x v="1"/>
  </r>
  <r>
    <n v="110"/>
    <x v="4"/>
    <d v="2024-09-07T00:00:00"/>
    <x v="0"/>
    <s v="HR38JS-8954"/>
    <n v="9397183067"/>
    <s v="ERODE"/>
    <s v="N/A"/>
    <s v="RANCHI,595919"/>
    <s v="32FEET SXL "/>
    <n v="66400"/>
    <n v="96390"/>
    <n v="29990"/>
    <n v="66400"/>
    <n v="0"/>
    <s v="DONE"/>
    <s v="119"/>
    <s v="PENDING"/>
    <s v="10-09-2024"/>
    <s v="10-09-2024"/>
    <x v="0"/>
    <x v="19"/>
  </r>
  <r>
    <n v="111"/>
    <x v="4"/>
    <d v="2024-09-07T00:00:00"/>
    <x v="0"/>
    <s v="HR55GM-8540"/>
    <n v="9401215642"/>
    <s v="TIRUPUR"/>
    <s v="ERODE"/>
    <s v="RANCHI,583866"/>
    <s v="32FEET MXL "/>
    <n v="82940"/>
    <n v="110250"/>
    <n v="27310"/>
    <n v="82940"/>
    <n v="0"/>
    <s v="DONE"/>
    <s v="120"/>
    <s v="PENDING"/>
    <s v="11-09-2024"/>
    <s v="11-09-2024"/>
    <x v="0"/>
    <x v="19"/>
  </r>
  <r>
    <n v="112"/>
    <x v="4"/>
    <d v="2024-09-07T00:00:00"/>
    <x v="2"/>
    <s v="JH22W-8840"/>
    <n v="9535996826"/>
    <s v="LUDHIANA"/>
    <s v="N/A"/>
    <s v="RANCHI,415100"/>
    <s v="20FEET"/>
    <n v="53240"/>
    <n v="69300"/>
    <n v="16060"/>
    <n v="49910"/>
    <n v="3330"/>
    <s v="DONE"/>
    <s v="121"/>
    <s v="PENDING"/>
    <s v="12-09-2024"/>
    <s v="13-09-2024"/>
    <x v="0"/>
    <x v="9"/>
  </r>
  <r>
    <n v="113"/>
    <x v="4"/>
    <d v="2024-09-08T00:00:00"/>
    <x v="0"/>
    <s v="KA51BJ-3117"/>
    <n v="9971707172"/>
    <s v="RANCHI"/>
    <s v="NARSAPUR,150285"/>
    <s v="HOSKOTE,693307"/>
    <s v="32FEET SXL "/>
    <n v="29220"/>
    <n v="46620"/>
    <n v="17400"/>
    <n v="29220"/>
    <m/>
    <s v="DONE"/>
    <s v="122"/>
    <s v="PENDING"/>
    <s v="11-09-2024"/>
    <s v="13-09-2024"/>
    <x v="0"/>
    <x v="1"/>
  </r>
  <r>
    <n v="114"/>
    <x v="4"/>
    <d v="2024-09-09T00:00:00"/>
    <x v="0"/>
    <s v="KA02YH-0797"/>
    <n v="9914789431"/>
    <s v="RANCHI"/>
    <s v="NARSAPUR,149999+HOSUR,889749(57485)"/>
    <s v="HOSKOTE,562566"/>
    <s v="32FEET SXL "/>
    <n v="32980"/>
    <n v="69930"/>
    <n v="36950"/>
    <n v="32980"/>
    <n v="0"/>
    <s v="DONE"/>
    <s v="123+124"/>
    <s v="PENDING"/>
    <s v="12-09-2024"/>
    <s v="13-09-2024"/>
    <x v="0"/>
    <x v="1"/>
  </r>
  <r>
    <n v="115"/>
    <x v="4"/>
    <d v="2024-09-09T00:00:00"/>
    <x v="0"/>
    <s v="TN18GS-8699"/>
    <n v="9257903758"/>
    <s v="RANCHI"/>
    <s v="BOMMANSANDRA,328759"/>
    <s v="HASSAN,545738"/>
    <s v="22FEET "/>
    <n v="30490"/>
    <n v="49770"/>
    <n v="19280"/>
    <n v="30490"/>
    <n v="0"/>
    <s v="DONE"/>
    <s v="125"/>
    <s v="PENDING"/>
    <s v="12-09-2024"/>
    <s v="13-09-2024"/>
    <x v="0"/>
    <x v="1"/>
  </r>
  <r>
    <n v="116"/>
    <x v="4"/>
    <d v="2024-09-10T00:00:00"/>
    <x v="0"/>
    <s v="HR38JH-5489"/>
    <n v="9122555268"/>
    <s v="RANCHI"/>
    <s v="HOSKOTE,596476"/>
    <s v="NARSAPUR,128779"/>
    <s v="22FEET "/>
    <n v="27480"/>
    <n v="47560"/>
    <n v="20080"/>
    <n v="27480"/>
    <n v="0"/>
    <s v="DONE"/>
    <s v="126"/>
    <s v="PENDING"/>
    <s v="13-09-2024"/>
    <s v="13-09-2024"/>
    <x v="0"/>
    <x v="1"/>
  </r>
  <r>
    <n v="117"/>
    <x v="4"/>
    <d v="2024-09-10T00:00:00"/>
    <x v="0"/>
    <s v="KA52J-4041"/>
    <n v="9261969286"/>
    <s v="RANCHI"/>
    <s v="HASSAN,361169"/>
    <s v="BOMMANSANDRA,044633"/>
    <s v="32FEET"/>
    <n v="31370"/>
    <n v="59220"/>
    <n v="27850"/>
    <n v="31370"/>
    <n v="0"/>
    <s v="DONE"/>
    <s v="127"/>
    <s v="PENDING"/>
    <s v="13-09-2024"/>
    <s v="14-09-2024"/>
    <x v="0"/>
    <x v="1"/>
  </r>
  <r>
    <n v="118"/>
    <x v="4"/>
    <d v="2024-09-11T00:00:00"/>
    <x v="1"/>
    <s v="JH01KM-8803"/>
    <n v="9589264337"/>
    <s v="TIRUPUR"/>
    <s v="N/A"/>
    <s v="RANCHI,877431"/>
    <s v="32FEET SXL "/>
    <n v="52630"/>
    <n v="96390"/>
    <n v="43760"/>
    <n v="52630"/>
    <n v="0"/>
    <s v="DONE"/>
    <s v="128"/>
    <s v="PENDING"/>
    <s v="15-09-2024"/>
    <s v="16-09-2024"/>
    <x v="0"/>
    <x v="3"/>
  </r>
  <r>
    <n v="119"/>
    <x v="4"/>
    <d v="2024-09-11T00:00:00"/>
    <x v="0"/>
    <s v="BY AIR "/>
    <m/>
    <s v="RANCHI"/>
    <s v="N/A"/>
    <s v="BANGLORE AIRPORT ,583866"/>
    <s v="FLIGHT"/>
    <n v="87430"/>
    <n v="100520"/>
    <n v="13090"/>
    <n v="87430"/>
    <m/>
    <s v="DONE"/>
    <s v="129"/>
    <s v="PENDING"/>
    <s v="12-09-2024"/>
    <s v="13-09-2024"/>
    <x v="0"/>
    <x v="14"/>
  </r>
  <r>
    <n v="120"/>
    <x v="4"/>
    <d v="2024-09-12T00:00:00"/>
    <x v="0"/>
    <s v="KA52K-7446"/>
    <n v="9923171297"/>
    <s v="RANCHI"/>
    <s v="NARSAPUR,969311"/>
    <s v="HASSAN,903559"/>
    <s v="24FEET"/>
    <n v="31660"/>
    <n v="50400"/>
    <n v="18740"/>
    <n v="31660"/>
    <n v="0"/>
    <s v="DONE"/>
    <s v="131"/>
    <s v="PENDING"/>
    <s v="15-09-2024"/>
    <s v="16-09-2024"/>
    <x v="0"/>
    <x v="1"/>
  </r>
  <r>
    <n v="121"/>
    <x v="4"/>
    <d v="2024-09-12T00:00:00"/>
    <x v="0"/>
    <s v="BY AIR "/>
    <m/>
    <s v="RANCHI"/>
    <s v="N/A"/>
    <s v="BANGLORE AIRPORT ,090549"/>
    <s v="FLIGHT"/>
    <n v="17940"/>
    <n v="19840"/>
    <n v="1900"/>
    <n v="17940"/>
    <n v="0"/>
    <s v="DONE"/>
    <s v="130"/>
    <s v="PENDING"/>
    <s v="12-09-2024"/>
    <s v="14-09-2024"/>
    <x v="0"/>
    <x v="14"/>
  </r>
  <r>
    <n v="122"/>
    <x v="4"/>
    <d v="2024-09-13T00:00:00"/>
    <x v="0"/>
    <s v="NL01N-8849"/>
    <n v="9764609779"/>
    <s v="HASSAN"/>
    <s v="N/A"/>
    <s v="RANCHI,050034"/>
    <s v="32FEET SXL "/>
    <n v="66400"/>
    <n v="96390"/>
    <n v="29990"/>
    <n v="66400"/>
    <n v="0"/>
    <s v="DONE"/>
    <n v="133"/>
    <s v="PENDING"/>
    <s v="17-09-2024"/>
    <s v="18-09-2024"/>
    <x v="0"/>
    <x v="20"/>
  </r>
  <r>
    <n v="123"/>
    <x v="4"/>
    <d v="2024-09-17T00:00:00"/>
    <x v="4"/>
    <s v="JH01KM-8803"/>
    <n v="9281983602"/>
    <s v="RANCHI"/>
    <s v="NARSAPUR,424822+HOSKOTE,349799"/>
    <s v="HASSAN,759311"/>
    <s v="32FEET SXL "/>
    <n v="47150"/>
    <n v="59850"/>
    <n v="12700"/>
    <n v="47150"/>
    <m/>
    <s v="DONE"/>
    <s v="134"/>
    <s v="PENDING"/>
    <s v="20-09-2024"/>
    <s v="21-09-2024"/>
    <x v="0"/>
    <x v="3"/>
  </r>
  <r>
    <n v="124"/>
    <x v="4"/>
    <d v="2024-09-17T00:00:00"/>
    <x v="0"/>
    <s v="KA51ES-4486"/>
    <n v="9795864855"/>
    <s v="RANCHI"/>
    <s v="HOSKOTE (VENDOR A)"/>
    <s v="BOMMANSADRA,681447"/>
    <s v="32FEET SXL "/>
    <n v="32180"/>
    <n v="57460"/>
    <n v="25280"/>
    <n v="32180"/>
    <n v="0"/>
    <s v="DONE"/>
    <s v="135"/>
    <s v="PENDING"/>
    <d v="2024-09-21T00:00:00"/>
    <d v="2024-09-23T00:00:00"/>
    <x v="0"/>
    <x v="21"/>
  </r>
  <r>
    <n v="125"/>
    <x v="4"/>
    <d v="2024-09-18T00:00:00"/>
    <x v="0"/>
    <s v="HR55RX-2631"/>
    <n v="9431087100"/>
    <s v="ERODE"/>
    <s v="N/A"/>
    <s v="RANCHI,481737"/>
    <s v="22FEET "/>
    <n v="53360"/>
    <n v="63000"/>
    <n v="9640"/>
    <n v="53360"/>
    <n v="0"/>
    <s v="DONE"/>
    <n v="136"/>
    <s v="PENDING"/>
    <d v="2024-09-22T00:00:00"/>
    <d v="2024-09-22T00:00:00"/>
    <x v="0"/>
    <x v="20"/>
  </r>
  <r>
    <n v="126"/>
    <x v="4"/>
    <d v="2024-09-19T00:00:00"/>
    <x v="0"/>
    <s v="KA52K-9302"/>
    <n v="9790772397"/>
    <s v="RANCHI"/>
    <s v="NARSAPUR,045008"/>
    <s v="BOMMANSADRA,648738"/>
    <s v="22FEET "/>
    <n v="27700"/>
    <n v="41900"/>
    <n v="14200"/>
    <n v="27700"/>
    <n v="0"/>
    <s v="DONE"/>
    <n v="137"/>
    <s v="PENDING"/>
    <s v="23-09-2024"/>
    <s v="24-09-2024"/>
    <x v="0"/>
    <x v="21"/>
  </r>
  <r>
    <n v="127"/>
    <x v="4"/>
    <d v="2024-09-20T00:00:00"/>
    <x v="0"/>
    <s v="KA52K-0229"/>
    <n v="9654538123"/>
    <s v="RANCHI"/>
    <s v="HOSKOTE,234304"/>
    <s v="HASSAN,399374"/>
    <s v="22FEET "/>
    <n v="29640"/>
    <n v="44100"/>
    <n v="14460"/>
    <n v="29640"/>
    <n v="0"/>
    <s v="DONE"/>
    <s v="138"/>
    <s v="PENDING"/>
    <s v="24-09-2024"/>
    <s v="26-09-2024"/>
    <x v="0"/>
    <x v="21"/>
  </r>
  <r>
    <n v="128"/>
    <x v="4"/>
    <d v="2024-09-21T00:00:00"/>
    <x v="4"/>
    <s v="JH01KM-4371"/>
    <n v="9515412075"/>
    <s v="RANCHI"/>
    <s v="NARSAPUR,028909"/>
    <s v="HASSAN,555473"/>
    <s v="24FEET"/>
    <n v="45740"/>
    <n v="50400"/>
    <n v="4660"/>
    <n v="45740"/>
    <n v="0"/>
    <s v="DONE"/>
    <s v="139"/>
    <s v="PENDING"/>
    <s v="25-09-2024"/>
    <s v="26-09-2024"/>
    <x v="0"/>
    <x v="3"/>
  </r>
  <r>
    <n v="129"/>
    <x v="4"/>
    <d v="2024-09-23T00:00:00"/>
    <x v="0"/>
    <s v="KA51GM-6709"/>
    <n v="9563961453"/>
    <s v="RANCHI"/>
    <s v="NARSAPUR,640240"/>
    <s v="HOSKOTE,072369"/>
    <s v="20FEET"/>
    <n v="27170"/>
    <n v="41900"/>
    <n v="14730"/>
    <n v="27170"/>
    <n v="0"/>
    <s v="DONE"/>
    <s v="140"/>
    <s v="PENDING"/>
    <s v="27-09-2024"/>
    <s v="28-09-2024"/>
    <x v="0"/>
    <x v="16"/>
  </r>
  <r>
    <n v="130"/>
    <x v="4"/>
    <d v="2024-09-24T00:00:00"/>
    <x v="0"/>
    <s v="HR55RX-2631"/>
    <n v="9431087100"/>
    <s v="RANCHI"/>
    <s v="NARSAPUR,296792"/>
    <s v="BOMMANSANDRA,652453"/>
    <s v="20FEET"/>
    <n v="26100"/>
    <n v="41900"/>
    <n v="15800"/>
    <n v="26100"/>
    <n v="0"/>
    <s v="DONE"/>
    <s v="141"/>
    <s v="PENDING"/>
    <s v="27-09-2024"/>
    <s v="28-09-2024"/>
    <x v="0"/>
    <x v="20"/>
  </r>
  <r>
    <n v="131"/>
    <x v="4"/>
    <d v="2024-09-24T00:00:00"/>
    <x v="0"/>
    <s v="KA51W-2856"/>
    <n v="9067390032"/>
    <s v="RANCHI"/>
    <s v="NARSAPUR,321121+HOSKOTE,937433"/>
    <s v="BOMMANSANDRA,326633"/>
    <s v="32FEET SXL "/>
    <n v="33640"/>
    <n v="52920"/>
    <n v="19280"/>
    <n v="33640"/>
    <n v="0"/>
    <s v="DONE"/>
    <s v="142"/>
    <s v="PENDING"/>
    <s v="28-09-2024"/>
    <s v="28-09-2024"/>
    <x v="0"/>
    <x v="21"/>
  </r>
  <r>
    <n v="132"/>
    <x v="4"/>
    <d v="2024-09-25T00:00:00"/>
    <x v="0"/>
    <s v="TN88C-5863"/>
    <n v="9527621445"/>
    <s v="RANCHI"/>
    <s v="HOSKOTE,791044"/>
    <s v="BOMMANSANDRA,059374"/>
    <s v="32FEEET"/>
    <n v="31090"/>
    <n v="46620"/>
    <n v="15530"/>
    <n v="31090"/>
    <n v="0"/>
    <s v="DONE"/>
    <s v="143"/>
    <s v="PENDING"/>
    <s v="30-09-2024"/>
    <s v="30-09-2024"/>
    <x v="0"/>
    <x v="21"/>
  </r>
  <r>
    <n v="133"/>
    <x v="4"/>
    <d v="2024-09-25T00:00:00"/>
    <x v="0"/>
    <s v="KA52K-0743"/>
    <n v="9192627814"/>
    <s v="RANCHI"/>
    <s v="N/A"/>
    <s v="NARSAPUR,093231"/>
    <s v="22FEET "/>
    <n v="25690"/>
    <n v="35600"/>
    <n v="9910"/>
    <n v="25690"/>
    <n v="0"/>
    <s v="DONE"/>
    <s v="144"/>
    <s v="PENDING"/>
    <s v="30-09-2024"/>
    <s v="30-09-2024"/>
    <x v="0"/>
    <x v="21"/>
  </r>
  <r>
    <n v="134"/>
    <x v="4"/>
    <d v="2024-09-26T00:00:00"/>
    <x v="0"/>
    <s v="TN93T-4136"/>
    <n v="9534445966"/>
    <s v="RANCHI"/>
    <s v="NARSAPUR,528879"/>
    <s v="BOMMANSANDRA,864438"/>
    <s v="20FEET"/>
    <n v="27440"/>
    <n v="41900"/>
    <n v="14460"/>
    <n v="27440"/>
    <n v="0"/>
    <s v="DONE"/>
    <s v="145"/>
    <s v="PENDING"/>
    <s v="30-09-2024"/>
    <s v="30-09-2024"/>
    <x v="0"/>
    <x v="16"/>
  </r>
  <r>
    <n v="135"/>
    <x v="4"/>
    <d v="2024-09-26T00:00:00"/>
    <x v="4"/>
    <s v="JH01KM-8803"/>
    <n v="9589264337"/>
    <s v="TIRUPUR"/>
    <s v="ERODE,500788"/>
    <s v="RANCHI,713429"/>
    <s v="32FEET SXL "/>
    <n v="53580"/>
    <n v="102690"/>
    <n v="49110"/>
    <n v="53580"/>
    <n v="0"/>
    <s v="DONE"/>
    <s v="146"/>
    <s v="PENDING"/>
    <s v="29-09-2024"/>
    <s v="30-09-2024"/>
    <x v="0"/>
    <x v="3"/>
  </r>
  <r>
    <n v="136"/>
    <x v="4"/>
    <d v="2024-09-26T00:00:00"/>
    <x v="0"/>
    <s v="TN22LJ-1448"/>
    <n v="9802258584"/>
    <s v="RANCHI"/>
    <s v="HOSKOTE,189304"/>
    <s v="HASSAN,789024"/>
    <s v="20FEET"/>
    <n v="29910"/>
    <n v="44100"/>
    <n v="14190"/>
    <n v="29910"/>
    <n v="0"/>
    <s v="DONE"/>
    <s v="147"/>
    <s v="PENDING"/>
    <s v="30-09-2024"/>
    <s v="01-10-2024"/>
    <x v="0"/>
    <x v="16"/>
  </r>
  <r>
    <n v="137"/>
    <x v="4"/>
    <d v="2024-09-27T00:00:00"/>
    <x v="4"/>
    <s v="JH01KM-4371"/>
    <n v="9515412075"/>
    <s v="TIRUPUR"/>
    <s v="N/A"/>
    <s v="RANCHI,103699"/>
    <s v="24FEET "/>
    <n v="51880"/>
    <n v="91350"/>
    <n v="39470"/>
    <n v="51880"/>
    <n v="0"/>
    <s v="DONE"/>
    <s v="148"/>
    <s v="PENDING"/>
    <s v="30-09-2024"/>
    <s v="30-09-2024"/>
    <x v="0"/>
    <x v="3"/>
  </r>
  <r>
    <n v="138"/>
    <x v="4"/>
    <d v="2024-09-27T00:00:00"/>
    <x v="0"/>
    <s v="KA02YH-5713"/>
    <n v="9303752154"/>
    <s v="RANCHI"/>
    <s v="NARSAPUR,987663+HOSKOTE,781390"/>
    <s v="BOMMANSANDRA,975201"/>
    <s v="32FEET SXL "/>
    <n v="34180"/>
    <n v="52920"/>
    <n v="18740"/>
    <n v="34180"/>
    <n v="0"/>
    <s v="DONE"/>
    <s v="150"/>
    <s v="PENDING"/>
    <s v="04-10-2024"/>
    <s v="04-10-2024"/>
    <x v="0"/>
    <x v="21"/>
  </r>
  <r>
    <n v="139"/>
    <x v="4"/>
    <d v="2024-09-28T00:00:00"/>
    <x v="0"/>
    <s v="TN43C-4482"/>
    <n v="9374625770"/>
    <s v="RANCHI"/>
    <s v="VENDOR A"/>
    <s v="HOSKOTE"/>
    <s v="20FEET "/>
    <n v="26660"/>
    <n v="38510"/>
    <n v="11850"/>
    <n v="26660"/>
    <n v="0"/>
    <s v="DONE"/>
    <m/>
    <m/>
    <s v="30-09-2024"/>
    <s v="01-10-2024"/>
    <x v="0"/>
    <x v="21"/>
  </r>
  <r>
    <n v="140"/>
    <x v="4"/>
    <d v="2024-09-29T00:00:00"/>
    <x v="0"/>
    <s v="MH04JE-8324"/>
    <n v="9339844572"/>
    <s v="RANCHI"/>
    <s v="NARSAPUR,055144+HOSKOTE,928118"/>
    <s v="BOMMANSANDRA,846401"/>
    <s v="20FEET"/>
    <n v="28650"/>
    <n v="48200"/>
    <n v="19550"/>
    <n v="28650"/>
    <n v="0"/>
    <s v="DONE"/>
    <s v="151"/>
    <s v="PENDING"/>
    <s v="04-10-2024"/>
    <s v="05-10-2024"/>
    <x v="0"/>
    <x v="21"/>
  </r>
  <r>
    <n v="141"/>
    <x v="4"/>
    <d v="2024-09-29T00:00:00"/>
    <x v="0"/>
    <s v="HR55EU-8747"/>
    <n v="9068055210"/>
    <s v="TIRUPUR"/>
    <s v="ERODE,549115"/>
    <s v="RANCHI,472734"/>
    <s v="32FEET MXL"/>
    <n v="82340"/>
    <n v="102690"/>
    <n v="20350"/>
    <n v="82340"/>
    <n v="0"/>
    <s v="DONE"/>
    <s v="152"/>
    <s v="PENDING"/>
    <s v="03-10-2024"/>
    <s v="03-10-2024"/>
    <x v="0"/>
    <x v="20"/>
  </r>
  <r>
    <n v="142"/>
    <x v="4"/>
    <d v="2024-09-30T00:00:00"/>
    <x v="4"/>
    <s v="JH01KM-8803"/>
    <n v="9589264337"/>
    <s v="RANCHI"/>
    <s v="HOSKOTE,334059"/>
    <s v="BOMMANSANDRA,421295"/>
    <s v="32FEET SXL "/>
    <n v="45170"/>
    <n v="46620"/>
    <n v="1450"/>
    <n v="45170"/>
    <n v="0"/>
    <s v="DONE"/>
    <s v="153"/>
    <s v="PENDING"/>
    <s v="04-10-2024"/>
    <s v="04-10-2024"/>
    <x v="0"/>
    <x v="3"/>
  </r>
  <r>
    <n v="143"/>
    <x v="4"/>
    <d v="2024-09-30T00:00:00"/>
    <x v="0"/>
    <s v="KA02ES-5748"/>
    <n v="9260997958"/>
    <s v="RANCHI"/>
    <s v="N/A"/>
    <s v="NARSAPUR,542310"/>
    <s v="20FEET "/>
    <n v="25150"/>
    <n v="35600"/>
    <n v="10450"/>
    <n v="25150"/>
    <n v="0"/>
    <s v="DONE"/>
    <s v="154"/>
    <s v="PENDING"/>
    <s v="04-10-2024"/>
    <s v="04-10-2024"/>
    <x v="0"/>
    <x v="21"/>
  </r>
  <r>
    <n v="144"/>
    <x v="4"/>
    <d v="2024-09-30T00:00:00"/>
    <x v="0"/>
    <s v="KA05GM-3162"/>
    <n v="9583292343"/>
    <s v="DODABALLAPUR"/>
    <s v="N/A"/>
    <s v="RANCHI,152986"/>
    <s v="20FEET"/>
    <n v="42430"/>
    <n v="47250"/>
    <n v="4820"/>
    <n v="39220"/>
    <n v="3210"/>
    <s v="DONE"/>
    <s v="155"/>
    <s v="PENDING"/>
    <s v="05-10-2024"/>
    <s v="07-10-2024"/>
    <x v="0"/>
    <x v="22"/>
  </r>
  <r>
    <n v="145"/>
    <x v="5"/>
    <d v="2024-10-01T00:00:00"/>
    <x v="0"/>
    <s v="KA52W-4782"/>
    <n v="9670713416"/>
    <s v="RANCHI"/>
    <s v="NARSAPUR,729295+HOSKOTE,090684"/>
    <s v="BOMMANSANDRA,678655"/>
    <s v="22FEET "/>
    <n v="29720"/>
    <n v="48200"/>
    <n v="18480"/>
    <n v="29720"/>
    <n v="0"/>
    <s v="DONE"/>
    <s v="156"/>
    <s v="PENDING"/>
    <s v="04-10-2024"/>
    <s v="05-10-2024"/>
    <x v="0"/>
    <x v="21"/>
  </r>
  <r>
    <n v="146"/>
    <x v="5"/>
    <d v="2024-10-01T00:00:00"/>
    <x v="0"/>
    <s v="RJ14BZ-1986"/>
    <n v="9590191956"/>
    <s v="HASSAN"/>
    <s v="N/A"/>
    <s v="RANCHI,820548"/>
    <s v="32FEET MXL "/>
    <n v="84140"/>
    <n v="103950"/>
    <n v="19810"/>
    <n v="84140"/>
    <n v="0"/>
    <s v="DONE"/>
    <s v="157"/>
    <s v="PENDING"/>
    <s v="07-10-2024"/>
    <s v="07-10-2024"/>
    <x v="0"/>
    <x v="20"/>
  </r>
  <r>
    <n v="147"/>
    <x v="5"/>
    <d v="2024-10-03T00:00:00"/>
    <x v="4"/>
    <s v="JH01KM-4371"/>
    <n v="9515412075"/>
    <s v="RANCHI"/>
    <s v="NARSAPUR,467189"/>
    <s v="HASSAN,071351"/>
    <s v="24FEET"/>
    <n v="45740"/>
    <n v="50400"/>
    <n v="4660"/>
    <n v="45740"/>
    <n v="0"/>
    <s v="DONE"/>
    <s v="158"/>
    <s v="PENDING"/>
    <s v="07-10-2024"/>
    <s v="08-10-2024"/>
    <x v="0"/>
    <x v="3"/>
  </r>
  <r>
    <n v="148"/>
    <x v="5"/>
    <d v="2024-10-04T00:00:00"/>
    <x v="0"/>
    <s v="KA51GM-6709"/>
    <n v="9563961453"/>
    <s v="RANCHI"/>
    <s v="NARSAPUR,219420"/>
    <s v="HOSKOTE,289556"/>
    <s v="22FEET "/>
    <n v="27700"/>
    <n v="41900"/>
    <n v="14200"/>
    <n v="27700"/>
    <n v="0"/>
    <s v="DONE"/>
    <s v="159"/>
    <s v="PENDING"/>
    <s v="07-10-204"/>
    <s v="07-10-2024"/>
    <x v="0"/>
    <x v="16"/>
  </r>
  <r>
    <n v="149"/>
    <x v="5"/>
    <d v="2024-10-04T00:00:00"/>
    <x v="0"/>
    <s v="KA52J-9584"/>
    <n v="9056024121"/>
    <s v="RANCHI"/>
    <s v="NARSAPUR+HOSKOTE,731673"/>
    <s v="BOMMANSANDRA,452608"/>
    <s v="20FEET"/>
    <n v="29180"/>
    <n v="48200"/>
    <n v="19020"/>
    <n v="29180"/>
    <n v="0"/>
    <s v="DONE"/>
    <s v="160"/>
    <s v="PENDING"/>
    <s v="08-10-2024"/>
    <s v="08-10-2024"/>
    <x v="0"/>
    <x v="21"/>
  </r>
  <r>
    <n v="150"/>
    <x v="5"/>
    <d v="2024-10-05T00:00:00"/>
    <x v="0"/>
    <s v="KA01XD-1311"/>
    <n v="9527696652"/>
    <s v="RANCHI"/>
    <s v="N/A"/>
    <s v="HOSKOTE,056372"/>
    <s v="22FEET "/>
    <n v="26220"/>
    <n v="35600"/>
    <n v="9380"/>
    <n v="26220"/>
    <n v="0"/>
    <s v="DONE"/>
    <s v="161"/>
    <s v="PENDING"/>
    <s v="09-10-2024"/>
    <s v="09-10-2024"/>
    <x v="0"/>
    <x v="21"/>
  </r>
  <r>
    <n v="151"/>
    <x v="5"/>
    <d v="2024-10-05T00:00:00"/>
    <x v="0"/>
    <s v="TN93L-3149"/>
    <n v="9674193351"/>
    <s v="RANCHI"/>
    <s v="NARSAPUR,364185"/>
    <s v="BOMMANSANDRA,415768"/>
    <s v="32FEET SXL "/>
    <n v="31090"/>
    <n v="46620"/>
    <n v="15530"/>
    <n v="31090"/>
    <n v="0"/>
    <s v="DONE"/>
    <s v="162"/>
    <s v="PENDING"/>
    <s v="09-10-2024"/>
    <s v="09-10-2024"/>
    <x v="0"/>
    <x v="21"/>
  </r>
  <r>
    <n v="152"/>
    <x v="5"/>
    <d v="2024-10-05T00:00:00"/>
    <x v="4"/>
    <s v="JH01KM-8803"/>
    <n v="9589264337"/>
    <s v="TIRUPUR"/>
    <s v="ERODE,02217"/>
    <s v="RANCHI,43482"/>
    <s v="32FEET SXL "/>
    <n v="53580"/>
    <n v="102690"/>
    <n v="49110"/>
    <n v="53580"/>
    <n v="0"/>
    <s v="DONE"/>
    <s v="163"/>
    <s v="PENDING"/>
    <s v="08-10-2024"/>
    <s v="08-10-2024"/>
    <x v="0"/>
    <x v="3"/>
  </r>
  <r>
    <n v="153"/>
    <x v="5"/>
    <d v="2024-10-05T00:00:00"/>
    <x v="0"/>
    <s v="NL01ES-3350"/>
    <n v="9654204418"/>
    <s v="TIRUPUR"/>
    <s v="ERODE,901796"/>
    <s v="RANCHI"/>
    <s v="32FEET MXL"/>
    <n v="85080"/>
    <n v="110250"/>
    <n v="25170"/>
    <n v="85080"/>
    <n v="0"/>
    <s v="DONE"/>
    <s v="164"/>
    <s v="PENDING"/>
    <s v="10-10-2024"/>
    <s v="11-10-2024"/>
    <x v="0"/>
    <x v="19"/>
  </r>
  <r>
    <n v="154"/>
    <x v="5"/>
    <d v="2024-10-07T00:00:00"/>
    <x v="0"/>
    <s v="KA06TT-0675"/>
    <n v="9625158409"/>
    <s v="RANCHI"/>
    <s v="NARSAPUR,556621+HOSKOTE,925335"/>
    <s v="BOMMANSANDRA,895525"/>
    <s v="20FEET"/>
    <n v="29180"/>
    <n v="48200"/>
    <n v="19020"/>
    <n v="29180"/>
    <n v="0"/>
    <s v="DONE"/>
    <s v="165"/>
    <s v="PENDING"/>
    <s v="10-10-2024"/>
    <s v="14-10-2024"/>
    <x v="0"/>
    <x v="21"/>
  </r>
  <r>
    <n v="155"/>
    <x v="5"/>
    <d v="2024-10-07T00:00:00"/>
    <x v="0"/>
    <s v="BY AIR "/>
    <m/>
    <s v="RANCHI"/>
    <s v="N/A"/>
    <s v="BOMMANSANDRA,059242"/>
    <s v="FLIGHT"/>
    <n v="24290"/>
    <n v="29940"/>
    <n v="5650"/>
    <n v="24290"/>
    <n v="0"/>
    <s v="DONE"/>
    <s v="166"/>
    <s v="PENDING"/>
    <s v="08-10-2024"/>
    <s v="08-10-2024"/>
    <x v="0"/>
    <x v="14"/>
  </r>
  <r>
    <n v="156"/>
    <x v="5"/>
    <d v="2024-10-07T00:00:00"/>
    <x v="0"/>
    <s v="TN70TK-4471"/>
    <n v="9518441522"/>
    <s v="RANCHI"/>
    <s v="NARSAPUR,523109"/>
    <s v="HOSKOTE,450806"/>
    <s v="20FEET"/>
    <n v="27700"/>
    <n v="41900"/>
    <n v="14200"/>
    <n v="27700"/>
    <n v="0"/>
    <s v="DONE"/>
    <s v="167"/>
    <s v="PENDING"/>
    <s v="11-10-2024"/>
    <s v="11-10-2024"/>
    <x v="0"/>
    <x v="16"/>
  </r>
  <r>
    <n v="157"/>
    <x v="5"/>
    <d v="2024-10-08T00:00:00"/>
    <x v="0"/>
    <s v="BY AIR "/>
    <m/>
    <s v="RANCHI"/>
    <s v="N/A"/>
    <s v="BOMMANSANDRA,746430"/>
    <s v="FLIGHT"/>
    <n v="27010"/>
    <n v="33420"/>
    <n v="6410"/>
    <n v="27010"/>
    <n v="0"/>
    <s v="DONE"/>
    <s v="168"/>
    <s v="PENDING"/>
    <s v="09-10-2024"/>
    <s v="09-10-2024"/>
    <x v="0"/>
    <x v="14"/>
  </r>
  <r>
    <n v="158"/>
    <x v="5"/>
    <d v="2024-10-08T00:00:00"/>
    <x v="0"/>
    <s v="TN93T-4136"/>
    <n v="9470447784"/>
    <s v="RANCHI"/>
    <s v="N/A"/>
    <s v="NARSAPUR,769145"/>
    <s v="22FEET"/>
    <n v="26220"/>
    <n v="35600"/>
    <n v="9380"/>
    <n v="26220"/>
    <n v="0"/>
    <s v="DONE"/>
    <s v="169"/>
    <s v="PENDING"/>
    <s v="11-10-2024"/>
    <s v="11-10-2024"/>
    <x v="0"/>
    <x v="16"/>
  </r>
  <r>
    <n v="159"/>
    <x v="5"/>
    <d v="2024-10-09T00:00:00"/>
    <x v="0"/>
    <s v="TN12FG-3913"/>
    <n v="9365060305"/>
    <s v="RANCHI"/>
    <s v="NARSAPUR,574549"/>
    <s v="HOSKOTE,186467"/>
    <s v="20FEET"/>
    <n v="27700"/>
    <n v="41900"/>
    <n v="14200"/>
    <n v="27700"/>
    <n v="0"/>
    <s v="DONE"/>
    <s v="170"/>
    <s v="PENDING"/>
    <s v="13-10-2024"/>
    <s v="14-10-2024"/>
    <x v="0"/>
    <x v="16"/>
  </r>
  <r>
    <n v="160"/>
    <x v="5"/>
    <d v="2024-10-09T00:00:00"/>
    <x v="0"/>
    <s v="HR47J-2736"/>
    <n v="9995112513"/>
    <s v="TIRUPUR"/>
    <s v="N/A"/>
    <s v="RANCHI,994572"/>
    <s v="20FEET"/>
    <n v="50750"/>
    <n v="59850"/>
    <n v="9100"/>
    <n v="50750"/>
    <n v="0"/>
    <s v="DONE"/>
    <s v="171"/>
    <s v="PENDING"/>
    <s v="13-10-2024"/>
    <s v="13-10-2024"/>
    <x v="0"/>
    <x v="19"/>
  </r>
  <r>
    <n v="161"/>
    <x v="5"/>
    <d v="2024-10-10T00:00:00"/>
    <x v="0"/>
    <s v="BY AIR "/>
    <m/>
    <s v="RANCHI"/>
    <s v="N/A"/>
    <s v="BOMMANSANDRA,270400"/>
    <s v="FLIGHT"/>
    <n v="25270"/>
    <n v="31220"/>
    <n v="5950"/>
    <n v="25270"/>
    <n v="0"/>
    <s v="DONE"/>
    <s v="172"/>
    <s v="PENDING"/>
    <s v="11-10-2024"/>
    <s v="11-10-2024"/>
    <x v="0"/>
    <x v="14"/>
  </r>
  <r>
    <n v="162"/>
    <x v="5"/>
    <d v="2024-10-10T00:00:00"/>
    <x v="4"/>
    <s v="JH01KM-4371"/>
    <n v="9515412075"/>
    <s v="TIRUPUR"/>
    <s v="ERODE,35907"/>
    <s v="RANCHI,41357"/>
    <s v="24FEET"/>
    <n v="52820"/>
    <n v="97650"/>
    <n v="44830"/>
    <n v="52820"/>
    <n v="0"/>
    <s v="DONE"/>
    <s v="173"/>
    <s v="PENDING"/>
    <s v="13-10-2024"/>
    <s v="14-10-2024"/>
    <x v="0"/>
    <x v="3"/>
  </r>
  <r>
    <n v="163"/>
    <x v="5"/>
    <d v="2024-10-11T00:00:00"/>
    <x v="0"/>
    <s v="KA52W-2451"/>
    <n v="9753829236"/>
    <s v="RANCHI"/>
    <s v="NARSAPUR,456932"/>
    <s v="HOSKOTE,995982"/>
    <s v="20FEET"/>
    <n v="27700"/>
    <n v="41900"/>
    <n v="14200"/>
    <n v="27700"/>
    <n v="0"/>
    <s v="DONE"/>
    <s v="174"/>
    <s v="PENDING"/>
    <s v="13-10-2024"/>
    <s v="14-10-2024"/>
    <x v="0"/>
    <x v="16"/>
  </r>
  <r>
    <n v="164"/>
    <x v="5"/>
    <d v="2024-10-15T00:00:00"/>
    <x v="4"/>
    <s v="JH01KM-8803"/>
    <n v="9589264337"/>
    <s v="RANCHI"/>
    <s v="NARSAPUR,044078+WHITEFIELF,246827"/>
    <s v="HASSAN,491103"/>
    <s v="32FEET SXL "/>
    <n v="47150"/>
    <n v="59850"/>
    <n v="12700"/>
    <n v="47150"/>
    <n v="0"/>
    <s v="DONE"/>
    <s v="175"/>
    <m/>
    <s v="19-10-2024"/>
    <s v="20-10-2024"/>
    <x v="0"/>
    <x v="3"/>
  </r>
  <r>
    <n v="165"/>
    <x v="5"/>
    <d v="2024-10-15T00:00:00"/>
    <x v="0"/>
    <s v="TN88R-3934"/>
    <n v="9271848168"/>
    <s v="TIRUPUR"/>
    <s v="ERODE,044078"/>
    <s v="RANCHI"/>
    <s v="32FEET MXL"/>
    <n v="81330"/>
    <n v="110250"/>
    <n v="28920"/>
    <n v="73940"/>
    <n v="7390"/>
    <s v="DONE"/>
    <s v="176"/>
    <m/>
    <s v="22-10-2024"/>
    <s v="23-10-2024"/>
    <x v="0"/>
    <x v="23"/>
  </r>
  <r>
    <n v="166"/>
    <x v="5"/>
    <d v="2024-10-16T00:00:00"/>
    <x v="4"/>
    <s v="JH01KM-4371"/>
    <n v="9515412075"/>
    <s v="RANCHI"/>
    <s v="HOSKOTE,152114+BMS,879609"/>
    <s v="HASSAN,169929"/>
    <s v="24FEET "/>
    <n v="46680"/>
    <n v="56700"/>
    <n v="10020"/>
    <n v="46680"/>
    <n v="0"/>
    <s v="DONE"/>
    <s v="177"/>
    <m/>
    <s v="20-10-2024"/>
    <s v="21-10-2024"/>
    <x v="0"/>
    <x v="3"/>
  </r>
  <r>
    <n v="167"/>
    <x v="5"/>
    <d v="2024-10-17T00:00:00"/>
    <x v="0"/>
    <s v="KA51GM-6709"/>
    <n v="9563961453"/>
    <s v="RANCHI"/>
    <s v="NARSAPUR,118157"/>
    <s v="HOSKOTE,201937"/>
    <s v="20FEET"/>
    <n v="27440"/>
    <n v="41900"/>
    <n v="14460"/>
    <n v="27440"/>
    <n v="0"/>
    <s v="DONE"/>
    <s v="178"/>
    <m/>
    <s v="21-10-2024"/>
    <s v="21-10-2024"/>
    <x v="0"/>
    <x v="16"/>
  </r>
  <r>
    <n v="168"/>
    <x v="5"/>
    <d v="2024-10-18T00:00:00"/>
    <x v="0"/>
    <s v="TN93R-5719"/>
    <n v="9754088991"/>
    <s v="RANCHI"/>
    <s v="NARSAPUR,191703+HOSKOTE,171538"/>
    <s v="BOMMANSANDRA,491103"/>
    <s v="32FEET"/>
    <n v="35780"/>
    <n v="52920"/>
    <n v="17140"/>
    <n v="35780"/>
    <n v="0"/>
    <s v="DONE"/>
    <s v="179"/>
    <m/>
    <s v="21-10-2024"/>
    <s v="23-10-2024"/>
    <x v="0"/>
    <x v="21"/>
  </r>
  <r>
    <n v="169"/>
    <x v="5"/>
    <d v="2024-10-18T00:00:00"/>
    <x v="0"/>
    <s v="KA51JH-0937"/>
    <n v="9251441941"/>
    <s v="RANCHI"/>
    <s v="WHITEFIELD,200088"/>
    <s v="HASSAN,843447"/>
    <s v="20FEET"/>
    <n v="29370"/>
    <n v="44100"/>
    <n v="14730"/>
    <n v="29370"/>
    <n v="0"/>
    <s v="DONE"/>
    <s v="180"/>
    <m/>
    <s v="23-10-2024"/>
    <s v="23-10-2024"/>
    <x v="0"/>
    <x v="21"/>
  </r>
  <r>
    <n v="170"/>
    <x v="5"/>
    <d v="2024-10-18T00:00:00"/>
    <x v="0"/>
    <s v="JH01TC-6962"/>
    <n v="9482584161"/>
    <s v="RANCHI"/>
    <s v="N/A"/>
    <s v="RANCHI,040681"/>
    <s v="10FEET"/>
    <n v="1670"/>
    <n v="2200"/>
    <n v="530"/>
    <n v="1670"/>
    <n v="0"/>
    <s v="DONE"/>
    <s v="181"/>
    <m/>
    <s v="18-10-2024"/>
    <s v="18-10-2024"/>
    <x v="0"/>
    <x v="24"/>
  </r>
  <r>
    <n v="171"/>
    <x v="5"/>
    <d v="2024-10-18T00:00:00"/>
    <x v="0"/>
    <s v="MH48JT-3199"/>
    <n v="9486457334"/>
    <s v="MUMBAI"/>
    <s v="N/A"/>
    <s v="RANCHI,075054"/>
    <s v="PART LOAD "/>
    <n v="29300"/>
    <n v="34650"/>
    <n v="5350"/>
    <n v="29300"/>
    <n v="0"/>
    <s v="DONE"/>
    <s v="182"/>
    <m/>
    <s v="21-10-2024"/>
    <s v="21-10-2024"/>
    <x v="0"/>
    <x v="25"/>
  </r>
  <r>
    <n v="172"/>
    <x v="5"/>
    <d v="2024-10-19T00:00:00"/>
    <x v="0"/>
    <s v="KA05YH-0630"/>
    <n v="9723865045"/>
    <s v="RANCHI"/>
    <s v="NARSAPUR,523897"/>
    <s v="BOMMANSANDRA,131276"/>
    <s v="20FEET"/>
    <n v="27440"/>
    <n v="41900"/>
    <n v="14460"/>
    <n v="27440"/>
    <n v="0"/>
    <s v="DONE"/>
    <s v="183"/>
    <m/>
    <s v="23-10-2024"/>
    <s v="24-10-2024"/>
    <x v="0"/>
    <x v="16"/>
  </r>
  <r>
    <n v="173"/>
    <x v="5"/>
    <d v="2024-10-19T00:00:00"/>
    <x v="0"/>
    <s v="TN76AT-2773"/>
    <n v="9709521772"/>
    <s v="RANCHI"/>
    <s v="HOSKOTE,082130"/>
    <s v="HASSAN,064879"/>
    <s v="20FEET"/>
    <n v="29640"/>
    <n v="44100"/>
    <n v="14460"/>
    <n v="29640"/>
    <n v="0"/>
    <s v="DONE"/>
    <s v="184"/>
    <m/>
    <s v="23-10-2024"/>
    <s v="24-10-2024"/>
    <x v="0"/>
    <x v="16"/>
  </r>
  <r>
    <n v="174"/>
    <x v="5"/>
    <d v="2024-10-21T00:00:00"/>
    <x v="0"/>
    <s v="TN29PM-4289"/>
    <n v="9001199747"/>
    <s v="RANCHI"/>
    <s v="NARSAPUR,624531"/>
    <s v="BOMMANSANDRA,638440"/>
    <s v="20FEET"/>
    <n v="27440"/>
    <n v="41900"/>
    <n v="14460"/>
    <n v="27440"/>
    <n v="0"/>
    <s v="DONE"/>
    <s v="185"/>
    <m/>
    <s v="25-10-2024"/>
    <s v="25-10-2024"/>
    <x v="0"/>
    <x v="16"/>
  </r>
  <r>
    <n v="175"/>
    <x v="5"/>
    <d v="2024-10-21T00:00:00"/>
    <x v="0"/>
    <s v="KA51T-2189"/>
    <n v="9023138543"/>
    <s v="RANCHI"/>
    <s v="BOMMANSANDRA"/>
    <s v="HASSAN,260099"/>
    <s v="20FEET"/>
    <n v="29640"/>
    <n v="44100"/>
    <n v="14460"/>
    <n v="29640"/>
    <n v="0"/>
    <s v="DONE"/>
    <s v="187"/>
    <m/>
    <s v="25-10-2024"/>
    <s v="26-10-2024"/>
    <x v="0"/>
    <x v="21"/>
  </r>
  <r>
    <n v="176"/>
    <x v="5"/>
    <d v="2024-10-22T00:00:00"/>
    <x v="0"/>
    <s v="TN48ZD-2445"/>
    <n v="9707438801"/>
    <s v="RANCHI"/>
    <s v="NARSAPUR,931443"/>
    <s v="HASSAN,702344"/>
    <s v="22FEET"/>
    <n v="30180"/>
    <n v="44100"/>
    <n v="13920"/>
    <n v="30180"/>
    <n v="0"/>
    <s v="DONE"/>
    <s v="188"/>
    <m/>
    <s v="26-10-2024"/>
    <s v="26-10-2024"/>
    <x v="0"/>
    <x v="16"/>
  </r>
  <r>
    <n v="177"/>
    <x v="5"/>
    <d v="2024-10-22T00:00:00"/>
    <x v="0"/>
    <s v="KA51T-2189"/>
    <n v="9023138543"/>
    <s v="RANCHI"/>
    <s v="VENDOR A"/>
    <s v="HOSKOTE,865013"/>
    <s v="PART LOAD "/>
    <n v="0"/>
    <n v="20640"/>
    <n v="20640"/>
    <m/>
    <n v="0"/>
    <s v="DONE"/>
    <s v="186"/>
    <m/>
    <s v="25-10-2024"/>
    <s v="26-10-2024"/>
    <x v="0"/>
    <x v="21"/>
  </r>
  <r>
    <n v="178"/>
    <x v="5"/>
    <d v="2024-10-22T00:00:00"/>
    <x v="4"/>
    <s v="JH01KM-4371"/>
    <n v="9515412075"/>
    <s v="DODABALLAPUR"/>
    <s v="RAJARAJESHWARI,575863"/>
    <s v="RANCHI,950920"/>
    <s v="24FEET"/>
    <n v="49230"/>
    <n v="73710"/>
    <n v="24480"/>
    <n v="49230"/>
    <m/>
    <s v="DONE"/>
    <s v="189"/>
    <m/>
    <s v="28-10-2024"/>
    <s v="29-10-2024"/>
    <x v="0"/>
    <x v="3"/>
  </r>
  <r>
    <n v="179"/>
    <x v="5"/>
    <d v="2024-10-23T00:00:00"/>
    <x v="0"/>
    <s v="KA52K-9295"/>
    <n v="9400347476"/>
    <s v="RANCHI"/>
    <s v="HOSKOTE,052069+WHITEFIELD,414038"/>
    <s v="BOMMANSANDRA,060076"/>
    <s v="22FEET"/>
    <n v="28650"/>
    <n v="48200"/>
    <n v="19550"/>
    <n v="28650"/>
    <n v="0"/>
    <s v="DONE"/>
    <s v="190"/>
    <m/>
    <s v="27-10-2024"/>
    <s v="28-10-2024"/>
    <x v="0"/>
    <x v="21"/>
  </r>
  <r>
    <n v="180"/>
    <x v="5"/>
    <d v="2024-10-23T00:00:00"/>
    <x v="4"/>
    <s v="JH01KM-8803"/>
    <n v="9589264337"/>
    <s v="TIRUPUR"/>
    <s v="ERODE,694315/75"/>
    <s v="RANCHI,789398"/>
    <s v="32FEET"/>
    <n v="53580"/>
    <n v="102690"/>
    <n v="49110"/>
    <n v="53580"/>
    <m/>
    <s v="DONE"/>
    <s v="191"/>
    <m/>
    <s v="26-10-2024"/>
    <s v="26-10-2024"/>
    <x v="0"/>
    <x v="3"/>
  </r>
  <r>
    <n v="181"/>
    <x v="5"/>
    <d v="2024-10-24T00:00:00"/>
    <x v="0"/>
    <s v="HR55EU-8747"/>
    <n v="9474958824"/>
    <s v="TIRUPUR"/>
    <s v="N/A"/>
    <s v="RANCHI,575863"/>
    <s v="32FEET MXL "/>
    <n v="87880"/>
    <n v="103950"/>
    <n v="16070"/>
    <n v="87880"/>
    <n v="0"/>
    <s v="DONE"/>
    <s v="192"/>
    <m/>
    <s v="28-10-2024"/>
    <s v="28-10-2024"/>
    <x v="0"/>
    <x v="19"/>
  </r>
  <r>
    <n v="182"/>
    <x v="5"/>
    <d v="2024-10-24T00:00:00"/>
    <x v="0"/>
    <s v="TN12KX-4828"/>
    <n v="9088752472"/>
    <s v="RANCHI"/>
    <s v="HOSKOTE,615426+BOMMANSANDRA,799993"/>
    <s v="HASSAN,310556"/>
    <s v="20FEET"/>
    <n v="31660"/>
    <n v="50400"/>
    <n v="18740"/>
    <n v="31660"/>
    <n v="0"/>
    <s v="DONE"/>
    <s v="193"/>
    <m/>
    <s v="28-10-2024"/>
    <s v="29-10-2024"/>
    <x v="0"/>
    <x v="16"/>
  </r>
  <r>
    <n v="183"/>
    <x v="5"/>
    <d v="2024-10-25T00:00:00"/>
    <x v="0"/>
    <s v="TN16C-6983"/>
    <n v="9397929762"/>
    <s v="RANCHI"/>
    <s v="NARSAPUR,703309"/>
    <s v="BOMMANSANDRA,107823"/>
    <s v="20FEET"/>
    <n v="27440"/>
    <n v="41900"/>
    <n v="14460"/>
    <n v="27440"/>
    <n v="0"/>
    <s v="DONE"/>
    <s v="194"/>
    <m/>
    <s v="29-10-2024"/>
    <s v="29-10-2024"/>
    <x v="0"/>
    <x v="16"/>
  </r>
  <r>
    <n v="184"/>
    <x v="5"/>
    <d v="2024-10-25T00:00:00"/>
    <x v="4"/>
    <s v="JH01KM-4371"/>
    <n v="9515412075"/>
    <s v="RANCHI"/>
    <s v="HSOKOTE,671433"/>
    <s v="HASSAN,507938"/>
    <s v="24FEET"/>
    <n v="45740"/>
    <n v="50400"/>
    <n v="4660"/>
    <n v="45740"/>
    <n v="0"/>
    <s v="DONE"/>
    <s v="195"/>
    <m/>
    <s v="28-10-2024"/>
    <s v="29-10-2024"/>
    <x v="0"/>
    <x v="3"/>
  </r>
  <r>
    <n v="185"/>
    <x v="5"/>
    <d v="2024-10-26T00:00:00"/>
    <x v="4"/>
    <s v="JH01KM-8803"/>
    <n v="9589264337"/>
    <s v="RANCHI"/>
    <s v="NARSAPUR,306224+HOSKOTE,586605+BOMMANSANDRA,512639"/>
    <s v="HASSAN,325127"/>
    <s v="32FEET SXL "/>
    <n v="48100"/>
    <n v="66150"/>
    <n v="18050"/>
    <n v="48100"/>
    <n v="0"/>
    <s v="DONE"/>
    <s v="196"/>
    <m/>
    <s v="30-10-2024"/>
    <s v="30-10-2024"/>
    <x v="0"/>
    <x v="3"/>
  </r>
  <r>
    <n v="186"/>
    <x v="5"/>
    <d v="2024-10-28T00:00:00"/>
    <x v="0"/>
    <s v="TN37NR-0142"/>
    <n v="9722355492"/>
    <s v="RANCHI"/>
    <s v="N/A"/>
    <s v="HOSKOTE,731658"/>
    <s v="20FEET"/>
    <n v="25960"/>
    <n v="35600"/>
    <n v="9640"/>
    <n v="25960"/>
    <n v="0"/>
    <s v="DONE"/>
    <s v="197"/>
    <m/>
    <s v="01-11-2024"/>
    <s v="04-11-2024"/>
    <x v="0"/>
    <x v="16"/>
  </r>
  <r>
    <n v="187"/>
    <x v="5"/>
    <d v="2024-10-28T00:00:00"/>
    <x v="0"/>
    <s v="KA51BJ-7697"/>
    <n v="9535562730"/>
    <s v="RANCHI"/>
    <s v="NARSAPUR,197925"/>
    <s v="BOMMANSANDRA,658257"/>
    <s v="32FEET SXL "/>
    <n v="31630"/>
    <n v="46620"/>
    <n v="14990"/>
    <n v="31630"/>
    <n v="0"/>
    <s v="DONE"/>
    <s v="198"/>
    <m/>
    <s v="01-11-2024"/>
    <s v="04-11-2024"/>
    <x v="0"/>
    <x v="26"/>
  </r>
  <r>
    <n v="188"/>
    <x v="5"/>
    <d v="2024-10-30T00:00:00"/>
    <x v="0"/>
    <s v="KA05XD-8363"/>
    <n v="9146962394"/>
    <s v="RANCHI"/>
    <s v="BOMMANSANDRA,445422"/>
    <s v="HASSAN,950920"/>
    <s v="24FEET"/>
    <n v="31120"/>
    <n v="50400"/>
    <n v="19280"/>
    <n v="31120"/>
    <n v="0"/>
    <s v="DONE"/>
    <s v="199"/>
    <m/>
    <s v="07-11-2024"/>
    <s v="08-11-2024"/>
    <x v="0"/>
    <x v="21"/>
  </r>
  <r>
    <n v="189"/>
    <x v="5"/>
    <d v="2024-10-30T00:00:00"/>
    <x v="0"/>
    <s v="KA51YH-8717"/>
    <n v="9188117880"/>
    <s v="RANCHI"/>
    <s v="HASSAN,249250"/>
    <s v="HOSKOTE,593116+BOMMANSANDRA,455071"/>
    <s v="26FEET"/>
    <n v="35280"/>
    <n v="56700"/>
    <n v="21420"/>
    <n v="35280"/>
    <n v="0"/>
    <s v="DONE"/>
    <s v="200"/>
    <m/>
    <s v="07-11-2024"/>
    <s v="08-11-2024"/>
    <x v="0"/>
    <x v="21"/>
  </r>
  <r>
    <n v="190"/>
    <x v="6"/>
    <d v="2024-10-31T00:00:00"/>
    <x v="4"/>
    <s v="JH01KM-4371"/>
    <n v="9515412075"/>
    <s v="DODABALLAPUR"/>
    <s v="RAJARAJESHWARI,249250"/>
    <s v="RANCHI,445422"/>
    <s v="24FEET"/>
    <n v="49230"/>
    <n v="73710"/>
    <n v="24480"/>
    <n v="49230"/>
    <n v="0"/>
    <s v="DONE"/>
    <s v="201"/>
    <m/>
    <s v="03-11-2024"/>
    <s v="04-11-2024"/>
    <x v="0"/>
    <x v="3"/>
  </r>
  <r>
    <n v="191"/>
    <x v="6"/>
    <d v="2024-11-04T00:00:00"/>
    <x v="4"/>
    <s v="JH01KM-4371"/>
    <n v="9515412075"/>
    <s v="RANCHI"/>
    <s v="BOMMANSANDRA,390707"/>
    <s v="HOSKOTE,917033"/>
    <s v="24FEET"/>
    <n v="45780"/>
    <n v="50720"/>
    <n v="4940"/>
    <n v="45780"/>
    <n v="0"/>
    <s v="DONE"/>
    <s v="202"/>
    <m/>
    <s v="08-11-2024"/>
    <s v="08-11-2024"/>
    <x v="0"/>
    <x v="3"/>
  </r>
  <r>
    <n v="192"/>
    <x v="6"/>
    <d v="2024-11-04T00:00:00"/>
    <x v="0"/>
    <s v="TN29DH-8633"/>
    <n v="9126901473"/>
    <s v="RANCHI"/>
    <s v="NARSAPUR,129848"/>
    <s v="N/A"/>
    <s v="20FEET"/>
    <n v="27070"/>
    <n v="41260"/>
    <n v="14190"/>
    <n v="27070"/>
    <n v="0"/>
    <s v="DONE"/>
    <s v="203"/>
    <m/>
    <s v="07-11-2024"/>
    <s v="08-11-2024"/>
    <x v="0"/>
    <x v="16"/>
  </r>
  <r>
    <n v="193"/>
    <x v="6"/>
    <d v="2024-11-05T00:00:00"/>
    <x v="0"/>
    <s v="KA53NV-5673"/>
    <n v="9165942602"/>
    <s v="RANCHI"/>
    <s v="BOMMANSANDRA,514340"/>
    <s v="HASSAN,043004"/>
    <s v="22FEET"/>
    <n v="31030"/>
    <n v="49770"/>
    <n v="18740"/>
    <n v="31030"/>
    <n v="0"/>
    <s v="DONE"/>
    <s v="204"/>
    <m/>
    <s v="08-11-2024"/>
    <s v="08-11-2024"/>
    <x v="0"/>
    <x v="21"/>
  </r>
  <r>
    <n v="194"/>
    <x v="6"/>
    <d v="2024-11-05T00:00:00"/>
    <x v="0"/>
    <s v="KA05RX-0967"/>
    <n v="9683768334"/>
    <s v="RANCHI"/>
    <s v="N/A"/>
    <s v="HOSKOTE,493034"/>
    <s v="22FEET"/>
    <n v="27070"/>
    <n v="41260"/>
    <n v="14190"/>
    <n v="27070"/>
    <n v="0"/>
    <s v="DONE"/>
    <s v="205"/>
    <m/>
    <s v="08-11-2024"/>
    <s v="08-11-2024"/>
    <x v="0"/>
    <x v="21"/>
  </r>
  <r>
    <n v="195"/>
    <x v="6"/>
    <d v="2024-11-06T00:00:00"/>
    <x v="0"/>
    <s v="MH04UE-7578"/>
    <n v="9665106493"/>
    <s v="TIRUPUR"/>
    <s v="N/A"/>
    <s v="RANCHI,441415"/>
    <s v="32FEET SXL "/>
    <n v="66400"/>
    <n v="96390"/>
    <n v="29990"/>
    <n v="66400"/>
    <n v="0"/>
    <s v="DONE"/>
    <s v="206"/>
    <m/>
    <s v="10-11-2024"/>
    <s v="11-11-2024"/>
    <x v="0"/>
    <x v="15"/>
  </r>
  <r>
    <n v="196"/>
    <x v="6"/>
    <d v="2024-11-06T00:00:00"/>
    <x v="0"/>
    <s v="BY AIR "/>
    <m/>
    <s v="RANCHI"/>
    <s v="N/A"/>
    <s v="BOMMANSANDRA,670855"/>
    <s v="FLIGHT"/>
    <n v="69440"/>
    <n v="79950"/>
    <n v="10510"/>
    <n v="69440"/>
    <n v="0"/>
    <s v="DONE"/>
    <s v="207"/>
    <m/>
    <s v="06-11-2024"/>
    <s v="07-11-2024"/>
    <x v="0"/>
    <x v="14"/>
  </r>
  <r>
    <n v="197"/>
    <x v="6"/>
    <d v="2024-11-06T00:00:00"/>
    <x v="0"/>
    <s v="BY AIR "/>
    <m/>
    <s v="RANCHI"/>
    <s v="N/A"/>
    <s v="NARSAPUR,978625"/>
    <s v="FLIGHT"/>
    <n v="51730"/>
    <n v="57640"/>
    <n v="5910"/>
    <n v="51730"/>
    <n v="0"/>
    <s v="DONE"/>
    <s v="208"/>
    <m/>
    <s v="06-11-2024"/>
    <s v="07-11-2024"/>
    <x v="0"/>
    <x v="14"/>
  </r>
  <r>
    <n v="198"/>
    <x v="6"/>
    <d v="2024-11-07T00:00:00"/>
    <x v="0"/>
    <s v="BY AIR "/>
    <m/>
    <s v="RANCHI"/>
    <s v="N/A"/>
    <s v="BOMMANSANDRA,703309"/>
    <s v="FLIGHT"/>
    <n v="49900"/>
    <n v="54950"/>
    <n v="5050"/>
    <n v="49900"/>
    <n v="0"/>
    <s v="DONE"/>
    <s v="209"/>
    <m/>
    <s v="07-11-2024"/>
    <s v="08-11-2024"/>
    <x v="0"/>
    <x v="14"/>
  </r>
  <r>
    <n v="199"/>
    <x v="6"/>
    <d v="2024-11-07T00:00:00"/>
    <x v="0"/>
    <s v="BY AIR "/>
    <m/>
    <s v="RANCHI"/>
    <s v="N/A"/>
    <s v="NARSAPUR,107823"/>
    <s v="FLIGHT"/>
    <n v="35910"/>
    <n v="38410"/>
    <n v="2500"/>
    <n v="35910"/>
    <n v="0"/>
    <s v="DONE"/>
    <s v="210"/>
    <m/>
    <s v="07-11-2024"/>
    <s v="07-11-2024"/>
    <x v="0"/>
    <x v="14"/>
  </r>
  <r>
    <n v="200"/>
    <x v="6"/>
    <d v="2024-11-07T00:00:00"/>
    <x v="4"/>
    <s v="JH01KM-8803"/>
    <n v="9589264337"/>
    <s v="TIRUPUR"/>
    <s v="ERODE,953793+VENDOR F,507004"/>
    <s v="RANCHI,822975"/>
    <s v="32FEET SXL "/>
    <n v="54520"/>
    <n v="108990"/>
    <n v="54470"/>
    <n v="54520"/>
    <n v="0"/>
    <s v="DONE"/>
    <s v="211"/>
    <m/>
    <s v="10-11-2024"/>
    <s v="11-11-2024"/>
    <x v="0"/>
    <x v="3"/>
  </r>
  <r>
    <n v="201"/>
    <x v="6"/>
    <d v="2024-11-07T00:00:00"/>
    <x v="0"/>
    <s v="TN93T-4136"/>
    <n v="9470447784"/>
    <s v="RANCHI"/>
    <s v="N/A"/>
    <s v="HOSKOTE,507938"/>
    <s v="22FEET"/>
    <n v="26220"/>
    <n v="35600"/>
    <n v="9380"/>
    <n v="26220"/>
    <n v="0"/>
    <s v="DONE"/>
    <s v="212"/>
    <m/>
    <s v="10-11-2024"/>
    <s v="11-11-2024"/>
    <x v="0"/>
    <x v="16"/>
  </r>
  <r>
    <n v="202"/>
    <x v="6"/>
    <d v="2024-11-08T00:00:00"/>
    <x v="0"/>
    <s v="KA52J-4159"/>
    <n v="9817472201"/>
    <s v="RANCHI"/>
    <s v="HOSKOTE,756516"/>
    <s v="BOMMANSANDRA,404585"/>
    <s v="22FEET"/>
    <n v="27170"/>
    <n v="41900"/>
    <n v="14730"/>
    <n v="27170"/>
    <n v="0"/>
    <s v="DONE"/>
    <s v="213"/>
    <m/>
    <s v="12-11-2024"/>
    <s v="12-11-2024"/>
    <x v="0"/>
    <x v="21"/>
  </r>
  <r>
    <n v="203"/>
    <x v="6"/>
    <d v="2024-11-08T00:00:00"/>
    <x v="0"/>
    <s v="TN22YT-2598"/>
    <n v="9853187999"/>
    <s v="RANCHI"/>
    <s v="N/A"/>
    <s v="NARSAPUR,456498"/>
    <s v="20FEET"/>
    <n v="25960"/>
    <n v="35600"/>
    <n v="9640"/>
    <n v="25960"/>
    <n v="0"/>
    <s v="DONE"/>
    <s v="214"/>
    <m/>
    <s v="12-11-2024"/>
    <s v="12-11-2024"/>
    <x v="0"/>
    <x v="16"/>
  </r>
  <r>
    <n v="204"/>
    <x v="6"/>
    <d v="2024-11-09T00:00:00"/>
    <x v="0"/>
    <s v="TN33WA-4513"/>
    <n v="9551078621"/>
    <s v="RANCHI"/>
    <s v="NARSAPUR,583048 +HOSKOTE,160888"/>
    <s v="BOMMANSANDRA,544587"/>
    <s v="22FEET"/>
    <n v="29450"/>
    <n v="48200"/>
    <n v="18750"/>
    <n v="29450"/>
    <n v="0"/>
    <s v="DONE"/>
    <s v="215"/>
    <m/>
    <s v="12-11-2024"/>
    <s v="15-11-2024"/>
    <x v="0"/>
    <x v="16"/>
  </r>
  <r>
    <n v="205"/>
    <x v="6"/>
    <d v="2024-11-09T00:00:00"/>
    <x v="4"/>
    <s v="JH01KM-4371"/>
    <n v="9515412075"/>
    <s v="TIRUPUR"/>
    <s v="ERODE,593116"/>
    <s v="RANCHI,455071"/>
    <s v="24FEET"/>
    <n v="52820"/>
    <n v="97650"/>
    <n v="44830"/>
    <n v="52820"/>
    <n v="0"/>
    <s v="DONE"/>
    <s v="216"/>
    <m/>
    <s v="12-11-2024"/>
    <s v="13-11-2024"/>
    <x v="0"/>
    <x v="3"/>
  </r>
  <r>
    <n v="206"/>
    <x v="6"/>
    <d v="2024-11-12T00:00:00"/>
    <x v="0"/>
    <s v="KA39J-2102"/>
    <n v="9169038336"/>
    <s v="RANCHI"/>
    <s v="NARSAPUR,993525+WHITEFIELD"/>
    <s v="BOMMANSANDRA,118684"/>
    <s v="20FEET"/>
    <n v="29180"/>
    <n v="48200"/>
    <n v="19020"/>
    <n v="29180"/>
    <n v="0"/>
    <s v="DONE"/>
    <s v="217"/>
    <m/>
    <s v="16-11-2024"/>
    <s v="16-11-2024"/>
    <x v="0"/>
    <x v="16"/>
  </r>
  <r>
    <n v="207"/>
    <x v="6"/>
    <d v="2024-11-12T00:00:00"/>
    <x v="4"/>
    <s v="JH01KM-8803"/>
    <n v="9589264337"/>
    <s v="RANCHI"/>
    <s v="HASKOTE,674983"/>
    <s v="HASSAN,523279"/>
    <s v="32FEET SXL "/>
    <n v="46210"/>
    <n v="53550"/>
    <n v="7340"/>
    <n v="46210"/>
    <n v="0"/>
    <s v="DONE"/>
    <s v="218"/>
    <m/>
    <s v="16-11-2024"/>
    <s v="17-11-2024"/>
    <x v="0"/>
    <x v="3"/>
  </r>
  <r>
    <n v="208"/>
    <x v="6"/>
    <d v="2024-11-14T00:00:00"/>
    <x v="4"/>
    <s v="JH01KM-4371"/>
    <n v="9515412075"/>
    <s v="RANCHI"/>
    <s v="NARSAPUR,680958+HOSKOTE,320639"/>
    <s v="BOMMANSANDRA,738150"/>
    <s v="24FEET"/>
    <n v="45880"/>
    <n v="51340"/>
    <n v="5460"/>
    <n v="45880"/>
    <n v="0"/>
    <s v="DONE"/>
    <s v="219"/>
    <m/>
    <s v="17-11-2024"/>
    <s v="18-11-2024"/>
    <x v="0"/>
    <x v="3"/>
  </r>
  <r>
    <n v="209"/>
    <x v="6"/>
    <d v="2024-11-16T00:00:00"/>
    <x v="0"/>
    <s v="TN12C-6158"/>
    <n v="9050410588"/>
    <s v="RANCHI"/>
    <s v="HOSUR,859556"/>
    <s v="TIRUPUR,510032"/>
    <s v="20FEET"/>
    <n v="34810"/>
    <n v="42840"/>
    <n v="8030"/>
    <n v="34810"/>
    <n v="0"/>
    <s v="DONE"/>
    <s v="220"/>
    <m/>
    <s v="21-11-2024"/>
    <s v="22-11-2024"/>
    <x v="0"/>
    <x v="16"/>
  </r>
  <r>
    <n v="210"/>
    <x v="6"/>
    <d v="2024-11-16T00:00:00"/>
    <x v="0"/>
    <s v="KA51GM-6709"/>
    <n v="9563961453"/>
    <s v="RANCHI"/>
    <s v="NARSAPUR,230627"/>
    <s v="BOMMANSANDRA,882957"/>
    <s v="20FEET"/>
    <n v="27440"/>
    <n v="41900"/>
    <n v="14460"/>
    <n v="27440"/>
    <n v="0"/>
    <s v="DONE"/>
    <s v="221"/>
    <m/>
    <s v="21-11-2024"/>
    <s v="21-11-2024"/>
    <x v="0"/>
    <x v="16"/>
  </r>
  <r>
    <n v="211"/>
    <x v="6"/>
    <d v="2024-11-18T00:00:00"/>
    <x v="0"/>
    <s v="TN22LJ-1448"/>
    <n v="9802258584"/>
    <s v="RANCHI"/>
    <s v="HOSKOTE,920609+NARSAPUR,695719"/>
    <s v="BOMMANSANDRA,188712"/>
    <s v="22FEET"/>
    <n v="29180"/>
    <n v="48200"/>
    <n v="19020"/>
    <n v="29180"/>
    <n v="0"/>
    <s v="DONE"/>
    <s v="222"/>
    <m/>
    <s v="23-11-2024"/>
    <s v="25-11-2024"/>
    <x v="0"/>
    <x v="16"/>
  </r>
  <r>
    <n v="212"/>
    <x v="6"/>
    <d v="2024-11-19T00:00:00"/>
    <x v="0"/>
    <s v="WB17-7701"/>
    <n v="9036446308"/>
    <s v="RANCHI"/>
    <s v="HOSKOTE,709097"/>
    <s v="HASSAN,581297"/>
    <s v="32FEET SXL "/>
    <n v="36950"/>
    <n v="53550"/>
    <n v="16600"/>
    <n v="36950"/>
    <n v="0"/>
    <s v="DONE"/>
    <s v="223"/>
    <m/>
    <s v="21-11-2024"/>
    <s v="22-11-2024"/>
    <x v="0"/>
    <x v="27"/>
  </r>
  <r>
    <n v="213"/>
    <x v="6"/>
    <d v="2024-11-19T00:00:00"/>
    <x v="0"/>
    <s v="TN12TK-2083"/>
    <n v="9029731204"/>
    <s v="RANCHI"/>
    <s v="NARSAPUR,113522"/>
    <s v="BOMMANSANDRA,661630"/>
    <s v="20FEET"/>
    <n v="27440"/>
    <n v="41900"/>
    <n v="14460"/>
    <n v="27440"/>
    <n v="0"/>
    <s v="DONE"/>
    <s v="224"/>
    <m/>
    <s v="25-11-2024"/>
    <s v="25-11-2024"/>
    <x v="0"/>
    <x v="16"/>
  </r>
  <r>
    <n v="214"/>
    <x v="6"/>
    <d v="2024-11-19T00:00:00"/>
    <x v="4"/>
    <s v="JH0KM-8803"/>
    <n v="9589264337"/>
    <s v="TIRUPUR"/>
    <s v="ERODE,416128"/>
    <s v="RANCHI,563690"/>
    <s v="32FEET SXL "/>
    <n v="53580"/>
    <n v="102690"/>
    <n v="49110"/>
    <n v="53580"/>
    <n v="0"/>
    <s v="DONE"/>
    <s v="225"/>
    <m/>
    <s v="22-11-2024"/>
    <s v="22-11-2024"/>
    <x v="0"/>
    <x v="3"/>
  </r>
  <r>
    <n v="215"/>
    <x v="6"/>
    <d v="2024-11-21T00:00:00"/>
    <x v="0"/>
    <s v="TN13TM-4305"/>
    <n v="9082312445"/>
    <s v="RANCHI"/>
    <s v="N/A"/>
    <s v="HASSAN,150931"/>
    <s v="22FEET"/>
    <n v="28700"/>
    <n v="37800"/>
    <n v="9100"/>
    <n v="28700"/>
    <n v="0"/>
    <s v="DONE"/>
    <s v="226"/>
    <m/>
    <s v="25-11-2024"/>
    <s v="25-11-2024"/>
    <x v="0"/>
    <x v="16"/>
  </r>
  <r>
    <n v="216"/>
    <x v="6"/>
    <d v="2024-11-21T00:00:00"/>
    <x v="0"/>
    <s v="TN59ZK-4102"/>
    <n v="9758657650"/>
    <s v="RANCHI"/>
    <s v="N/A"/>
    <s v="NARSAPUR,117411"/>
    <s v="20FEET"/>
    <n v="25960"/>
    <n v="35600"/>
    <n v="9640"/>
    <n v="25960"/>
    <n v="0"/>
    <s v="DONE"/>
    <s v="227"/>
    <m/>
    <s v="25-11-2024"/>
    <s v="25-11-2024"/>
    <x v="0"/>
    <x v="16"/>
  </r>
  <r>
    <n v="217"/>
    <x v="6"/>
    <d v="2024-11-21T00:00:00"/>
    <x v="0"/>
    <s v="TN95C-1059"/>
    <n v="9732647052"/>
    <s v="RANCHI"/>
    <s v="HOSKOTE,296497"/>
    <s v="BOMMANSANDRA,198809"/>
    <s v="22FEET"/>
    <n v="27440"/>
    <n v="41900"/>
    <n v="14460"/>
    <n v="27440"/>
    <n v="0"/>
    <s v="DONE"/>
    <s v="228"/>
    <m/>
    <s v="25-11-2024"/>
    <s v="25-11-2024"/>
    <x v="0"/>
    <x v="16"/>
  </r>
  <r>
    <n v="218"/>
    <x v="6"/>
    <d v="2024-11-22T00:00:00"/>
    <x v="0"/>
    <s v="JH01KM-8803"/>
    <n v="9589264337"/>
    <s v="RANCHI"/>
    <s v="BOMMANSANDRA,080877+HOSKOTE,835134+NARSAPUR,273524"/>
    <s v="HASSAN,863371"/>
    <s v="32FEET SXL "/>
    <n v="48100"/>
    <n v="66150"/>
    <n v="18050"/>
    <n v="48100"/>
    <n v="0"/>
    <s v="DONE"/>
    <s v="229"/>
    <m/>
    <s v="26-11-2024"/>
    <s v="27-11-2024"/>
    <x v="0"/>
    <x v="3"/>
  </r>
  <r>
    <n v="219"/>
    <x v="6"/>
    <d v="2024-11-23T00:00:00"/>
    <x v="0"/>
    <s v="TN73GM-2489"/>
    <n v="9026978556"/>
    <s v="RANCHI"/>
    <s v="N/A"/>
    <s v="NARSAPUR,728945"/>
    <s v="22FEET"/>
    <n v="25960"/>
    <n v="35600"/>
    <n v="9640"/>
    <n v="25960"/>
    <n v="0"/>
    <s v="DONE"/>
    <s v="230"/>
    <m/>
    <s v="26-11-2024"/>
    <s v="26-11-2024"/>
    <x v="0"/>
    <x v="16"/>
  </r>
  <r>
    <n v="220"/>
    <x v="6"/>
    <d v="2024-11-23T00:00:00"/>
    <x v="4"/>
    <s v="JH01KM-4371"/>
    <n v="9515412075"/>
    <s v="TIRUPUR"/>
    <s v="ERODE,492177"/>
    <s v="RANCHI,493992"/>
    <s v="24FEET"/>
    <n v="52350"/>
    <n v="94500"/>
    <n v="42150"/>
    <n v="52350"/>
    <n v="0"/>
    <s v="DONE"/>
    <s v="231"/>
    <m/>
    <s v="25-11-2024"/>
    <s v="25-11-2024"/>
    <x v="0"/>
    <x v="3"/>
  </r>
  <r>
    <n v="221"/>
    <x v="6"/>
    <d v="2024-11-25T00:00:00"/>
    <x v="0"/>
    <s v="TN78AP-5952"/>
    <n v="9347327227"/>
    <s v="RANCHI"/>
    <s v="N/A"/>
    <s v="HASSAN,962892"/>
    <s v="20FEET"/>
    <n v="28700"/>
    <n v="37800"/>
    <n v="9100"/>
    <n v="28700"/>
    <n v="0"/>
    <s v="DONE"/>
    <s v="232"/>
    <m/>
    <s v="29-11-2024"/>
    <s v="29-11-2024"/>
    <x v="0"/>
    <x v="16"/>
  </r>
  <r>
    <n v="222"/>
    <x v="6"/>
    <d v="2024-11-25T00:00:00"/>
    <x v="0"/>
    <s v="TN12MB-3670"/>
    <n v="9512143615"/>
    <s v="RANCHI"/>
    <s v="N/A"/>
    <s v="HOSKOTE,490510"/>
    <s v="20FEET"/>
    <n v="25960"/>
    <n v="35600"/>
    <n v="9640"/>
    <n v="25960"/>
    <n v="0"/>
    <s v="DONE"/>
    <s v="233"/>
    <m/>
    <s v="29-11-2024"/>
    <s v="29-11-2024"/>
    <x v="0"/>
    <x v="16"/>
  </r>
  <r>
    <n v="223"/>
    <x v="6"/>
    <d v="2024-11-25T00:00:00"/>
    <x v="0"/>
    <s v="TN39TP-7485"/>
    <n v="9495341173"/>
    <s v="RANCHI"/>
    <s v="NARSAPUR,819764"/>
    <s v="BOMMANSANDRA,716578"/>
    <s v="22FEET"/>
    <n v="27440"/>
    <n v="41900"/>
    <n v="14460"/>
    <n v="27440"/>
    <n v="0"/>
    <s v="DONE"/>
    <s v="234"/>
    <m/>
    <s v="28-11-2024"/>
    <s v="28-11-2024"/>
    <x v="0"/>
    <x v="16"/>
  </r>
  <r>
    <n v="224"/>
    <x v="6"/>
    <d v="2024-11-26T00:00:00"/>
    <x v="0"/>
    <s v="BY AIR "/>
    <m/>
    <s v="RANCHI"/>
    <s v="N/A"/>
    <s v="HOSKOTE,51800"/>
    <s v="FLIGHT"/>
    <n v="84130"/>
    <n v="91240"/>
    <n v="7110"/>
    <n v="84130"/>
    <n v="0"/>
    <s v="DONE"/>
    <s v="235"/>
    <m/>
    <s v="27-11-2024"/>
    <s v="27-11-2024"/>
    <x v="0"/>
    <x v="14"/>
  </r>
  <r>
    <n v="225"/>
    <x v="6"/>
    <d v="2024-11-26T00:00:00"/>
    <x v="0"/>
    <s v="TN36LU-5834"/>
    <n v="9725063707"/>
    <s v="RANCHI"/>
    <s v="NARSAPUR,180827"/>
    <s v="BOMMANSANDRA,350412"/>
    <s v="20FEET"/>
    <n v="27440"/>
    <n v="41900"/>
    <n v="14460"/>
    <n v="27440"/>
    <n v="0"/>
    <s v="DONE"/>
    <s v="236"/>
    <m/>
    <s v="30-11-2024"/>
    <s v="30-11-2024"/>
    <x v="0"/>
    <x v="16"/>
  </r>
  <r>
    <n v="226"/>
    <x v="6"/>
    <d v="2024-11-27T00:00:00"/>
    <x v="4"/>
    <s v="JH01KM-4371"/>
    <n v="9515412075"/>
    <s v="RANCHI"/>
    <s v="NARSAPUR,077849"/>
    <s v="HOSKOTE,151870"/>
    <s v="24FEET"/>
    <n v="45780"/>
    <n v="50720"/>
    <n v="4940"/>
    <n v="45780"/>
    <n v="0"/>
    <s v="DONE"/>
    <s v="237"/>
    <m/>
    <s v="30-11-2024"/>
    <s v="30-11-2024"/>
    <x v="0"/>
    <x v="3"/>
  </r>
  <r>
    <n v="227"/>
    <x v="6"/>
    <d v="2024-11-27T00:00:00"/>
    <x v="0"/>
    <s v="TN40JH-0010"/>
    <n v="9216040168"/>
    <s v="RANCHI"/>
    <s v="BOMMANSANDRA,831213"/>
    <s v="HASSAN,027333"/>
    <s v="22FEET"/>
    <n v="29910"/>
    <n v="44100"/>
    <n v="14190"/>
    <n v="29910"/>
    <n v="0"/>
    <s v="DONE"/>
    <s v="238"/>
    <m/>
    <s v="01-12-2024"/>
    <s v="02-12-2024"/>
    <x v="0"/>
    <x v="16"/>
  </r>
  <r>
    <n v="228"/>
    <x v="6"/>
    <d v="2024-11-28T00:00:00"/>
    <x v="0"/>
    <s v="TN12RX-0936"/>
    <n v="9951385085"/>
    <s v="RANCHI"/>
    <s v="NARSAPUR,591476"/>
    <s v="HOSKOTE,684065"/>
    <s v="20FEET"/>
    <n v="27440"/>
    <n v="41900"/>
    <n v="14460"/>
    <n v="27440"/>
    <n v="0"/>
    <s v="DONE"/>
    <s v="239"/>
    <m/>
    <s v="02-12-2024"/>
    <s v="02-12-2024"/>
    <x v="0"/>
    <x v="16"/>
  </r>
  <r>
    <n v="229"/>
    <x v="6"/>
    <d v="2024-11-28T00:00:00"/>
    <x v="0"/>
    <s v="KA50K-9916"/>
    <n v="9709943303"/>
    <s v="RANCHI"/>
    <s v="BOMMANSANDRA,104011"/>
    <s v="HASSAN,402878"/>
    <s v="22FEET"/>
    <n v="30850"/>
    <n v="50400"/>
    <n v="19550"/>
    <n v="30850"/>
    <n v="0"/>
    <s v="DONE"/>
    <s v="240"/>
    <m/>
    <s v="03-12-2024"/>
    <s v="03-12-2024"/>
    <x v="0"/>
    <x v="16"/>
  </r>
  <r>
    <n v="230"/>
    <x v="6"/>
    <d v="2024-11-29T00:00:00"/>
    <x v="0"/>
    <s v="KA01XD-2221"/>
    <n v="9714368652"/>
    <s v="RANCHI"/>
    <s v="N/A"/>
    <s v="NARSAPUR,779200"/>
    <s v="24FEET"/>
    <n v="28300"/>
    <n v="38740"/>
    <n v="10440"/>
    <n v="28300"/>
    <m/>
    <s v="DONE"/>
    <s v="241"/>
    <m/>
    <s v="03-12-2024"/>
    <s v="03-12-2024"/>
    <x v="0"/>
    <x v="16"/>
  </r>
  <r>
    <n v="231"/>
    <x v="6"/>
    <d v="2024-11-29T00:00:00"/>
    <x v="0"/>
    <s v="JH05ZT-1294"/>
    <n v="9517980736"/>
    <s v="RANCHI"/>
    <s v="BOMMANSANDRA,414315"/>
    <s v="HASSAN,108827"/>
    <s v="32FEET SXL "/>
    <n v="36950"/>
    <n v="53550"/>
    <n v="16600"/>
    <n v="36950"/>
    <n v="0"/>
    <s v="DONE"/>
    <s v="242"/>
    <m/>
    <s v="06-12-2024"/>
    <s v="06-12-2024"/>
    <x v="0"/>
    <x v="21"/>
  </r>
  <r>
    <n v="232"/>
    <x v="6"/>
    <d v="2024-11-29T00:00:00"/>
    <x v="4"/>
    <s v="JH01KM-8803"/>
    <n v="9589264337"/>
    <s v="TIRUPUR"/>
    <s v="ERODE,723638"/>
    <s v="RANCHI,676901"/>
    <s v="32FEET SXL "/>
    <n v="53580"/>
    <n v="102690"/>
    <n v="49110"/>
    <n v="53580"/>
    <n v="0"/>
    <s v="DONE"/>
    <s v="243"/>
    <m/>
    <s v="02-12-2024"/>
    <s v="02-12-2024"/>
    <x v="0"/>
    <x v="3"/>
  </r>
  <r>
    <n v="233"/>
    <x v="6"/>
    <d v="2024-11-30T00:00:00"/>
    <x v="0"/>
    <s v="TN15EF-4424"/>
    <n v="9016721327"/>
    <s v="RANCHI"/>
    <s v="BOMMANSANDRA,532768 +HOSKOTE,784376"/>
    <s v="HASSAN,356247"/>
    <s v="22FEET"/>
    <n v="31660"/>
    <n v="50400"/>
    <n v="18740"/>
    <n v="31660"/>
    <n v="0"/>
    <s v="DONE"/>
    <s v="244"/>
    <m/>
    <s v="04-12-2024"/>
    <s v="04-12-2024"/>
    <x v="0"/>
    <x v="16"/>
  </r>
  <r>
    <n v="234"/>
    <x v="6"/>
    <d v="2024-11-30T00:00:00"/>
    <x v="0"/>
    <s v="TN48ZD-2445"/>
    <n v="9343941401"/>
    <s v="RANCHI"/>
    <s v="N/A"/>
    <s v="NARSAPUR,398933"/>
    <s v="20FEET"/>
    <n v="25960"/>
    <n v="35600"/>
    <n v="9640"/>
    <n v="25960"/>
    <n v="0"/>
    <s v="DONE"/>
    <s v="245"/>
    <m/>
    <s v="04-12-2024"/>
    <s v="04-12-2024"/>
    <x v="0"/>
    <x v="16"/>
  </r>
  <r>
    <n v="235"/>
    <x v="6"/>
    <d v="2024-11-30T00:00:00"/>
    <x v="0"/>
    <s v="UP25LJ-6157"/>
    <n v="9929566403"/>
    <s v="TIRUPUR"/>
    <s v="N/A"/>
    <s v="RANCHI,473632"/>
    <s v="32FEET SXL "/>
    <n v="68950"/>
    <n v="102690"/>
    <n v="33740"/>
    <n v="68950"/>
    <n v="0"/>
    <s v="DONE"/>
    <s v="246"/>
    <m/>
    <s v="03-12-2024"/>
    <s v="03-12-2024"/>
    <x v="0"/>
    <x v="19"/>
  </r>
  <r>
    <n v="236"/>
    <x v="7"/>
    <d v="2024-12-01T00:00:00"/>
    <x v="0"/>
    <s v="KA51GM-6709"/>
    <n v="9563961453"/>
    <s v="RANCHI"/>
    <s v="NARSAPUR,787296"/>
    <s v="HOSKOTE,688125"/>
    <s v="22FEET"/>
    <n v="27440"/>
    <n v="41900"/>
    <n v="14460"/>
    <n v="27440"/>
    <m/>
    <s v="DONE"/>
    <s v="247"/>
    <m/>
    <s v="05-12-2024"/>
    <s v="05-12-2024"/>
    <x v="0"/>
    <x v="16"/>
  </r>
  <r>
    <n v="237"/>
    <x v="7"/>
    <d v="2024-12-02T00:00:00"/>
    <x v="0"/>
    <s v="TN73ES-1287"/>
    <n v="9164062545"/>
    <s v="RANCHI"/>
    <s v="N/A"/>
    <s v="HASSAN,934154"/>
    <s v="20FEET"/>
    <n v="29810"/>
    <n v="43470"/>
    <n v="13660"/>
    <n v="29810"/>
    <n v="0"/>
    <s v="DONE"/>
    <s v="248"/>
    <m/>
    <s v="06-12-2024"/>
    <s v="06-12-2024"/>
    <x v="0"/>
    <x v="16"/>
  </r>
  <r>
    <n v="238"/>
    <x v="7"/>
    <d v="2024-12-02T00:00:00"/>
    <x v="0"/>
    <s v="KA52W-0113"/>
    <n v="9907354664"/>
    <s v="RANCHI"/>
    <s v="NARSAPUR,085015+HOSKOTE,902613"/>
    <s v="BOMMANSANDRA,426479"/>
    <s v="22FEET"/>
    <n v="29770"/>
    <n v="53860"/>
    <n v="24090"/>
    <n v="29770"/>
    <n v="0"/>
    <s v="DONE"/>
    <s v="249"/>
    <m/>
    <s v="06-12-2024"/>
    <s v="06-12-2024"/>
    <x v="0"/>
    <x v="16"/>
  </r>
  <r>
    <n v="239"/>
    <x v="7"/>
    <d v="2024-12-03T00:00:00"/>
    <x v="0"/>
    <s v="KA52K-9918"/>
    <n v="9389071211"/>
    <s v="RANCHI"/>
    <s v="HOSKOE,896057"/>
    <s v="BOMMANSANDRA,095326"/>
    <s v="22FEET"/>
    <n v="29040"/>
    <n v="41900"/>
    <n v="12860"/>
    <n v="29040"/>
    <m/>
    <s v="DONE"/>
    <s v="250"/>
    <m/>
    <s v="06-12-2024"/>
    <s v="06-12-2024"/>
    <x v="0"/>
    <x v="16"/>
  </r>
  <r>
    <n v="240"/>
    <x v="7"/>
    <d v="2024-12-03T00:00:00"/>
    <x v="0"/>
    <s v="JH01KM-8803"/>
    <n v="9281983602"/>
    <s v="RANCHI"/>
    <s v="NARSAPUR,292309"/>
    <s v="HASSAN,027554"/>
    <s v="32FEET SXL "/>
    <n v="46210"/>
    <n v="53550"/>
    <n v="7340"/>
    <n v="46210"/>
    <n v="0"/>
    <s v="DONE"/>
    <s v="251"/>
    <m/>
    <s v="06-12-2024"/>
    <s v="07-12-2024"/>
    <x v="0"/>
    <x v="3"/>
  </r>
  <r>
    <n v="241"/>
    <x v="7"/>
    <d v="2024-12-03T00:00:00"/>
    <x v="0"/>
    <s v="JH01KM-4371"/>
    <n v="9025368773"/>
    <s v="TIRUPUR"/>
    <s v="N/A"/>
    <s v="RANCHI12026"/>
    <s v="24FEET"/>
    <n v="51880"/>
    <n v="91350"/>
    <n v="39470"/>
    <n v="51880"/>
    <m/>
    <s v="DONE"/>
    <s v="252"/>
    <m/>
    <s v="06-12-2024"/>
    <s v="06-12-2024"/>
    <x v="0"/>
    <x v="3"/>
  </r>
  <r>
    <n v="242"/>
    <x v="7"/>
    <d v="2024-12-04T00:00:00"/>
    <x v="0"/>
    <s v="BY AIR "/>
    <m/>
    <s v="RANCHI"/>
    <s v="N/A"/>
    <s v="NARSAPUR,543717"/>
    <s v="FLIGHT"/>
    <n v="115500"/>
    <n v="135880"/>
    <n v="20380"/>
    <n v="115500"/>
    <n v="0"/>
    <s v="DONE"/>
    <s v="253"/>
    <m/>
    <s v="05-12-2024"/>
    <s v="06-12-2024"/>
    <x v="0"/>
    <x v="14"/>
  </r>
  <r>
    <n v="243"/>
    <x v="7"/>
    <d v="2024-12-04T00:00:00"/>
    <x v="0"/>
    <s v="BY AIR "/>
    <m/>
    <s v="RANCHI"/>
    <s v="N/A"/>
    <s v="BOMMANSANDRA,919445"/>
    <s v="FLIGHT"/>
    <n v="65920"/>
    <n v="75250"/>
    <n v="9330"/>
    <n v="65920"/>
    <n v="0"/>
    <s v="DONE"/>
    <s v="254"/>
    <m/>
    <s v="05-12-2024"/>
    <s v="05-12-2025"/>
    <x v="0"/>
    <x v="14"/>
  </r>
  <r>
    <n v="244"/>
    <x v="7"/>
    <d v="2024-12-04T00:00:00"/>
    <x v="0"/>
    <s v="BY AIR "/>
    <m/>
    <s v="RANCHI"/>
    <s v="N/A"/>
    <s v="HOSKOTE,638343"/>
    <s v="FLIGHT"/>
    <n v="85230"/>
    <n v="99820"/>
    <n v="14590"/>
    <n v="85230"/>
    <n v="0"/>
    <s v="DONE"/>
    <s v="255"/>
    <m/>
    <s v="05-12-2024"/>
    <s v="06-12-2024"/>
    <x v="0"/>
    <x v="14"/>
  </r>
  <r>
    <n v="245"/>
    <x v="7"/>
    <d v="2024-12-04T00:00:00"/>
    <x v="0"/>
    <s v="TN93L-8071"/>
    <n v="9950818773"/>
    <s v="RANCHI"/>
    <s v="HOSKOTE,292506"/>
    <s v="HASSAN,621349"/>
    <s v="32FEET SXL "/>
    <n v="38020"/>
    <n v="53550"/>
    <n v="15530"/>
    <n v="38020"/>
    <n v="0"/>
    <s v="DONE"/>
    <s v="256"/>
    <m/>
    <s v="08-12-2024"/>
    <s v="09-12-2024"/>
    <x v="0"/>
    <x v="16"/>
  </r>
  <r>
    <n v="246"/>
    <x v="7"/>
    <d v="2024-12-05T00:00:00"/>
    <x v="0"/>
    <s v="KA51DJ-1486"/>
    <n v="9146962394"/>
    <s v="RANCHI"/>
    <s v="N/A"/>
    <s v="HOSKOTE,131251"/>
    <s v="22FEET"/>
    <n v="26220"/>
    <n v="35600"/>
    <n v="9380"/>
    <n v="26220"/>
    <n v="0"/>
    <s v="DONE"/>
    <s v="257"/>
    <m/>
    <s v="09-12-2024"/>
    <s v="09-12-2024"/>
    <x v="0"/>
    <x v="16"/>
  </r>
  <r>
    <n v="247"/>
    <x v="7"/>
    <d v="2024-12-05T00:00:00"/>
    <x v="0"/>
    <s v="TN93R-5719"/>
    <n v="9754088991"/>
    <s v="TIRUPUR"/>
    <s v="ERODE,779964"/>
    <s v="RANCHI,550191"/>
    <s v="32FEET SXL "/>
    <n v="69240"/>
    <n v="104580"/>
    <n v="35340"/>
    <n v="69240"/>
    <n v="0"/>
    <s v="DONE"/>
    <s v="258"/>
    <m/>
    <s v="14-12-2024"/>
    <s v="14-12-2024"/>
    <x v="0"/>
    <x v="16"/>
  </r>
  <r>
    <n v="248"/>
    <x v="7"/>
    <d v="2024-12-06T00:00:00"/>
    <x v="4"/>
    <s v="JH01KM-4371"/>
    <n v="9515412075"/>
    <s v="RANCHI"/>
    <s v="NARSAPUR,690613 +HOSKOTE,603383"/>
    <s v="BOMMANSANDRA,045715"/>
    <s v="24FEET"/>
    <n v="45880"/>
    <n v="51340"/>
    <n v="5460"/>
    <n v="45880"/>
    <n v="0"/>
    <s v="DONE"/>
    <s v="259"/>
    <m/>
    <s v="11-12-2024"/>
    <s v="11-12-2024"/>
    <x v="0"/>
    <x v="3"/>
  </r>
  <r>
    <n v="249"/>
    <x v="7"/>
    <d v="2024-12-06T00:00:00"/>
    <x v="0"/>
    <s v="BY AIR "/>
    <m/>
    <s v="RANCHI"/>
    <s v="N/A"/>
    <s v="BOMMANSANDRA,645115"/>
    <s v="FLIGHT"/>
    <n v="48410"/>
    <n v="55270"/>
    <n v="6860"/>
    <n v="48410"/>
    <n v="0"/>
    <s v="DONE"/>
    <s v="260"/>
    <m/>
    <s v="07-12-2024"/>
    <s v="08-12-2024"/>
    <x v="0"/>
    <x v="14"/>
  </r>
  <r>
    <n v="250"/>
    <x v="7"/>
    <d v="2024-12-06T00:00:00"/>
    <x v="0"/>
    <s v="BY AIR "/>
    <m/>
    <s v="RANCHI"/>
    <s v="N/A"/>
    <s v="NARSAPUR,249375"/>
    <s v="FLIGHT"/>
    <n v="148380"/>
    <n v="174690"/>
    <n v="26310"/>
    <n v="148380"/>
    <n v="0"/>
    <s v="DONE"/>
    <s v="261"/>
    <m/>
    <s v="07-12-2024"/>
    <s v="08-12-2024"/>
    <x v="0"/>
    <x v="14"/>
  </r>
  <r>
    <n v="251"/>
    <x v="7"/>
    <d v="2024-12-06T00:00:00"/>
    <x v="0"/>
    <s v="TN37NR-2471"/>
    <n v="9336977588"/>
    <s v="DODABALLAPUR"/>
    <s v="N/A"/>
    <s v="RANCHI,262226"/>
    <s v="20FEET"/>
    <n v="46490"/>
    <n v="52920"/>
    <n v="6430"/>
    <n v="46490"/>
    <n v="0"/>
    <s v="DONE"/>
    <s v="261"/>
    <m/>
    <s v="09-12-2024"/>
    <s v="09-12-2024"/>
    <x v="0"/>
    <x v="16"/>
  </r>
  <r>
    <n v="252"/>
    <x v="7"/>
    <d v="2024-12-08T00:00:00"/>
    <x v="0"/>
    <s v="TN12PL-2257"/>
    <n v="9997445803"/>
    <s v="TIRUPUR"/>
    <s v="N/A"/>
    <s v="RANCHI,644744"/>
    <s v="32FEET SXL "/>
    <n v="67470"/>
    <n v="96390"/>
    <n v="28920"/>
    <n v="67470"/>
    <n v="0"/>
    <s v="DONE"/>
    <s v="262"/>
    <m/>
    <s v="16-12-2024"/>
    <s v="16-12-2024"/>
    <x v="0"/>
    <x v="16"/>
  </r>
  <r>
    <n v="253"/>
    <x v="7"/>
    <d v="2024-12-10T00:00:00"/>
    <x v="0"/>
    <s v="KA51YH-4915"/>
    <n v="9747427246"/>
    <s v="RANCHI"/>
    <s v="NARSAPUR,449404"/>
    <s v="HASSAN,199685"/>
    <s v="32FEET SXL "/>
    <n v="37480"/>
    <n v="53550"/>
    <n v="16070"/>
    <n v="37480"/>
    <n v="0"/>
    <s v="DONE"/>
    <s v="263"/>
    <m/>
    <s v="17-12-2024"/>
    <s v="17-12-2024"/>
    <x v="0"/>
    <x v="21"/>
  </r>
  <r>
    <n v="254"/>
    <x v="7"/>
    <d v="2024-12-10T00:00:00"/>
    <x v="0"/>
    <s v="TN37NR-2471"/>
    <n v="9336977588"/>
    <s v="RANCHI"/>
    <s v="HOSKOTE,163225"/>
    <s v="BOMMANSANDRA,953609"/>
    <s v="20FEET"/>
    <n v="27700"/>
    <n v="41900"/>
    <n v="14200"/>
    <n v="27700"/>
    <n v="0"/>
    <s v="DONE"/>
    <s v="264"/>
    <m/>
    <s v="16-12-2024"/>
    <s v="16-12-2024"/>
    <x v="0"/>
    <x v="16"/>
  </r>
  <r>
    <n v="255"/>
    <x v="7"/>
    <d v="2024-12-10T00:00:00"/>
    <x v="0"/>
    <s v="JH05ZT-1294"/>
    <n v="9517980736"/>
    <s v="TIRUPUR"/>
    <s v="N/A"/>
    <s v="RANCHI,416771"/>
    <s v="32FEET SXL "/>
    <n v="66400"/>
    <n v="96390"/>
    <n v="29990"/>
    <n v="66400"/>
    <n v="0"/>
    <s v="DONE"/>
    <s v="265"/>
    <m/>
    <s v="14-12-2024"/>
    <s v="14-12-2024"/>
    <x v="0"/>
    <x v="21"/>
  </r>
  <r>
    <n v="256"/>
    <x v="7"/>
    <d v="2024-12-11T00:00:00"/>
    <x v="0"/>
    <s v="TN93R-5719"/>
    <n v="9754088991"/>
    <s v="RANCHI"/>
    <s v="N/A"/>
    <s v="NARSAPUR,686240"/>
    <s v="32FEET SXL "/>
    <n v="32020"/>
    <n v="40320"/>
    <n v="8300"/>
    <n v="32020"/>
    <n v="0"/>
    <s v="DONE"/>
    <s v="266"/>
    <m/>
    <s v="14-12-2024"/>
    <s v="14-12-2024"/>
    <x v="0"/>
    <x v="16"/>
  </r>
  <r>
    <n v="257"/>
    <x v="7"/>
    <d v="2024-12-11T00:00:00"/>
    <x v="0"/>
    <s v="TN12PL-2257"/>
    <n v="9997445803"/>
    <s v="RANCHI"/>
    <s v="NARSAPUR,776195 +HOSKOTE,109672"/>
    <s v="BOMMANSANDRA,032885"/>
    <s v="32FEET SXL "/>
    <n v="35250"/>
    <n v="52920"/>
    <n v="17670"/>
    <n v="35250"/>
    <n v="0"/>
    <s v="DONE"/>
    <s v="267"/>
    <m/>
    <s v="16-12-2024"/>
    <s v="16-12-2024"/>
    <x v="0"/>
    <x v="16"/>
  </r>
  <r>
    <n v="258"/>
    <x v="7"/>
    <d v="2024-12-12T00:00:00"/>
    <x v="0"/>
    <s v="KA52W-4782"/>
    <n v="9142370650"/>
    <s v="RANCHI"/>
    <s v="NARSAPUR"/>
    <s v="HOSKOTE,605554"/>
    <s v="22FEET"/>
    <n v="27170"/>
    <n v="41900"/>
    <n v="14730"/>
    <n v="27170"/>
    <n v="0"/>
    <s v="DONE"/>
    <s v="268"/>
    <m/>
    <s v="16-12-2024"/>
    <s v="16-12-2024"/>
    <x v="0"/>
    <x v="16"/>
  </r>
  <r>
    <n v="259"/>
    <x v="7"/>
    <d v="2024-12-11T00:00:00"/>
    <x v="4"/>
    <s v="JH01KM-8803"/>
    <n v="9589264337"/>
    <s v="TIRUPUR"/>
    <s v="ERODE,371473"/>
    <s v="RANCHI,829567"/>
    <s v="32FEET SXL "/>
    <n v="53580"/>
    <n v="102690"/>
    <n v="49110"/>
    <n v="53580"/>
    <n v="0"/>
    <s v="DONE"/>
    <s v="269"/>
    <m/>
    <s v="14-12-2024"/>
    <s v="14-12-2024"/>
    <x v="0"/>
    <x v="3"/>
  </r>
  <r>
    <n v="260"/>
    <x v="7"/>
    <d v="2024-12-13T00:00:00"/>
    <x v="0"/>
    <s v="TN24KX-2493"/>
    <n v="9192326126"/>
    <s v="RANCHI"/>
    <s v="NARSAPUR,362945"/>
    <s v="HASSAN,184831"/>
    <s v="22FEET"/>
    <n v="31250"/>
    <n v="44100"/>
    <n v="12850"/>
    <n v="31250"/>
    <n v="0"/>
    <s v="DONE"/>
    <s v="270"/>
    <m/>
    <s v="18-12-2024"/>
    <s v="18-12-2024"/>
    <x v="0"/>
    <x v="21"/>
  </r>
  <r>
    <n v="261"/>
    <x v="7"/>
    <d v="2024-12-13T00:00:00"/>
    <x v="4"/>
    <s v="JH01KM-4371"/>
    <n v="9025368773"/>
    <s v="TIRUPUR"/>
    <s v="ERODE,546095"/>
    <s v="RANCHI,534312"/>
    <s v="24FEET"/>
    <n v="52820"/>
    <n v="97650"/>
    <n v="44830"/>
    <n v="52820"/>
    <n v="0"/>
    <s v="DONE"/>
    <s v="271"/>
    <m/>
    <s v="16-12-2024"/>
    <s v="16-12-2024"/>
    <x v="0"/>
    <x v="3"/>
  </r>
  <r>
    <n v="262"/>
    <x v="7"/>
    <d v="2024-12-14T00:00:00"/>
    <x v="0"/>
    <s v="TN42RX-3596"/>
    <n v="9707438801"/>
    <s v="RANCHI"/>
    <s v="HOSKOTE,869037"/>
    <s v="BOMMANSANDRA,230170"/>
    <s v="22FEET"/>
    <n v="27700"/>
    <n v="41900"/>
    <n v="14200"/>
    <n v="27700"/>
    <n v="0"/>
    <s v="DONE"/>
    <s v="272"/>
    <m/>
    <s v="18-12-2024"/>
    <s v="18-12-2024"/>
    <x v="0"/>
    <x v="16"/>
  </r>
  <r>
    <n v="263"/>
    <x v="7"/>
    <d v="2024-12-14T00:00:00"/>
    <x v="0"/>
    <s v="KA01BJ-1585"/>
    <n v="9618930252"/>
    <s v="TIRUPUR"/>
    <s v="N/A"/>
    <s v="RANCHI,923713"/>
    <s v="32FEET SXL "/>
    <n v="68010"/>
    <n v="96390"/>
    <n v="28380"/>
    <n v="68010"/>
    <n v="0"/>
    <s v="DONE"/>
    <s v="273"/>
    <m/>
    <s v="18-12-2024"/>
    <s v="18-12-2024"/>
    <x v="0"/>
    <x v="16"/>
  </r>
  <r>
    <n v="264"/>
    <x v="7"/>
    <d v="2024-12-14T00:00:00"/>
    <x v="4"/>
    <s v="JH01KM-8803"/>
    <n v="9589264337"/>
    <s v="RANCHI"/>
    <s v="N/A"/>
    <s v="NARSAPUR,167195"/>
    <s v="32FEET SXL "/>
    <n v="45170"/>
    <n v="46620"/>
    <n v="1450"/>
    <n v="45170"/>
    <n v="0"/>
    <s v="DONE"/>
    <s v="274"/>
    <m/>
    <s v="17-12-2024"/>
    <s v="17-12-2024"/>
    <x v="0"/>
    <x v="3"/>
  </r>
  <r>
    <n v="265"/>
    <x v="7"/>
    <d v="2024-12-16T00:00:00"/>
    <x v="0"/>
    <s v="TN73ES-1287"/>
    <n v="9695227535"/>
    <s v="RANCHI"/>
    <s v="NARSAPUR,693361"/>
    <s v="BOMMANSANDRA,280066"/>
    <s v="20FEET"/>
    <n v="27700"/>
    <n v="41900"/>
    <n v="14200"/>
    <n v="27700"/>
    <n v="0"/>
    <s v="DONE"/>
    <s v="275"/>
    <m/>
    <s v="20-12-2024"/>
    <s v="20-12-2024"/>
    <x v="0"/>
    <x v="16"/>
  </r>
  <r>
    <n v="266"/>
    <x v="7"/>
    <d v="2024-12-18T00:00:00"/>
    <x v="4"/>
    <s v="JH01KM-4371"/>
    <n v="9515412075"/>
    <s v="RANCHI"/>
    <s v="BOMMANSANDRA,413100 +HOSKOTE,296549"/>
    <s v="HASSAN,356155"/>
    <s v="24FEET"/>
    <n v="46680"/>
    <n v="56700"/>
    <n v="10020"/>
    <n v="46680"/>
    <n v="0"/>
    <s v="DONE"/>
    <s v="276"/>
    <m/>
    <s v="22-12-2024"/>
    <s v="23-12-2024"/>
    <x v="0"/>
    <x v="3"/>
  </r>
  <r>
    <n v="267"/>
    <x v="7"/>
    <d v="2024-12-18T00:00:00"/>
    <x v="0"/>
    <s v="KA01BJ-1585"/>
    <n v="9618930252"/>
    <s v="RANCHI"/>
    <s v="N/A"/>
    <s v="NARSAPUR,502434"/>
    <s v="32FEET SXL "/>
    <n v="31750"/>
    <n v="40320"/>
    <n v="8570"/>
    <n v="31750"/>
    <n v="0"/>
    <s v="DONE"/>
    <s v="277"/>
    <m/>
    <s v="21-12-2024"/>
    <s v="23-12-2024"/>
    <x v="0"/>
    <x v="16"/>
  </r>
  <r>
    <n v="268"/>
    <x v="7"/>
    <d v="2024-12-19T00:00:00"/>
    <x v="0"/>
    <s v="NL01EU-7349"/>
    <n v="9984938345"/>
    <s v="RANCHI"/>
    <s v="NARSAPUR938593"/>
    <s v="BOMMANSANDRA,744051"/>
    <s v="32FEET SXL "/>
    <n v="32700"/>
    <n v="46620"/>
    <n v="13920"/>
    <n v="32700"/>
    <n v="0"/>
    <s v="DONE"/>
    <s v="278"/>
    <m/>
    <s v="25-12-2024"/>
    <s v="25-12-2024"/>
    <x v="0"/>
    <x v="21"/>
  </r>
  <r>
    <n v="269"/>
    <x v="7"/>
    <d v="2024-12-20T00:00:00"/>
    <x v="0"/>
    <s v="TN40JH-0010"/>
    <n v="9216040168"/>
    <s v="RANCHI"/>
    <s v="NARSAPUR,623178"/>
    <s v="HOSKOTE,997266"/>
    <s v="22FEET"/>
    <n v="27700"/>
    <n v="41900"/>
    <n v="14200"/>
    <n v="27700"/>
    <n v="0"/>
    <s v="DONE"/>
    <s v="279"/>
    <m/>
    <s v="25-12-2024"/>
    <s v="25-12-2024"/>
    <x v="0"/>
    <x v="16"/>
  </r>
  <r>
    <n v="270"/>
    <x v="7"/>
    <d v="2024-12-21T00:00:00"/>
    <x v="0"/>
    <s v="BY AIR "/>
    <m/>
    <s v="RANCHI"/>
    <s v="N/A"/>
    <s v="DELHI,086754"/>
    <s v="FLIGHT"/>
    <n v="2320"/>
    <n v="3150"/>
    <n v="830"/>
    <n v="2320"/>
    <n v="0"/>
    <s v="DONE"/>
    <s v="280"/>
    <m/>
    <s v="21-12-2024"/>
    <s v="23-12-2024"/>
    <x v="0"/>
    <x v="14"/>
  </r>
  <r>
    <n v="271"/>
    <x v="7"/>
    <d v="2024-12-21T00:00:00"/>
    <x v="0"/>
    <s v="NL01JS-2854"/>
    <n v="9152054393"/>
    <s v="RANCHI"/>
    <s v="N/A"/>
    <s v="NARSAPUR,658354"/>
    <s v="32FEET SXL "/>
    <n v="31750"/>
    <n v="40320"/>
    <n v="8570"/>
    <n v="31750"/>
    <n v="0"/>
    <s v="DONE"/>
    <s v="281"/>
    <m/>
    <s v="27-12-2024"/>
    <s v="27-12-2024"/>
    <x v="0"/>
    <x v="21"/>
  </r>
  <r>
    <n v="272"/>
    <x v="7"/>
    <d v="2024-12-21T00:00:00"/>
    <x v="0"/>
    <s v="JH01KM-8803"/>
    <n v="9281983602"/>
    <s v="TIRUPPUR"/>
    <s v="ERODE,824193"/>
    <s v="RANCHI,961661"/>
    <s v="32FEET SXL "/>
    <n v="53580"/>
    <n v="102690"/>
    <n v="49110"/>
    <n v="53580"/>
    <n v="0"/>
    <s v="DONE"/>
    <s v="282"/>
    <m/>
    <s v="25-12-2024"/>
    <s v="25-12-2024"/>
    <x v="0"/>
    <x v="3"/>
  </r>
  <r>
    <n v="273"/>
    <x v="7"/>
    <d v="2024-12-22T00:00:00"/>
    <x v="0"/>
    <s v="BY AIR "/>
    <m/>
    <s v="RANCHI"/>
    <s v="N/A"/>
    <s v="CLIENT H.O.672956"/>
    <s v="FLIGHT"/>
    <n v="3560"/>
    <n v="4410"/>
    <n v="850"/>
    <n v="3560"/>
    <n v="0"/>
    <s v="DONE"/>
    <s v="283"/>
    <m/>
    <s v="22-12-2024"/>
    <s v="23-12-2024"/>
    <x v="0"/>
    <x v="14"/>
  </r>
  <r>
    <n v="274"/>
    <x v="7"/>
    <d v="2024-12-23T00:00:00"/>
    <x v="0"/>
    <s v="BY AIR "/>
    <m/>
    <s v="RANCHI"/>
    <s v="N/A"/>
    <s v="CLIENT H.O.992253"/>
    <s v="FLIGHT"/>
    <n v="4610"/>
    <n v="5420"/>
    <n v="810"/>
    <n v="4610"/>
    <n v="0"/>
    <s v="DONE"/>
    <s v="284"/>
    <m/>
    <s v="23-12-2024"/>
    <s v="24-12-2024"/>
    <x v="0"/>
    <x v="14"/>
  </r>
  <r>
    <n v="275"/>
    <x v="7"/>
    <d v="2024-12-23T00:00:00"/>
    <x v="0"/>
    <s v="TN93R-5719"/>
    <n v="9754088991"/>
    <s v="RANCHI"/>
    <s v="NARSAPUR,279330"/>
    <s v="BOMMANSANDRA,374651"/>
    <s v="32FEET SXL "/>
    <n v="33770"/>
    <n v="46620"/>
    <n v="12850"/>
    <n v="33770"/>
    <n v="0"/>
    <s v="DONE"/>
    <s v="285"/>
    <m/>
    <s v="27-12-2024"/>
    <s v="27-12-2024"/>
    <x v="0"/>
    <x v="16"/>
  </r>
  <r>
    <n v="276"/>
    <x v="7"/>
    <d v="2024-12-24T00:00:00"/>
    <x v="0"/>
    <s v="TN69DD-6351"/>
    <n v="9403897623"/>
    <s v="RANCHI"/>
    <s v="N/A"/>
    <s v="NARSAPUR,899994"/>
    <s v="20FEET SXL"/>
    <n v="25690"/>
    <n v="35600"/>
    <n v="9910"/>
    <n v="25690"/>
    <n v="0"/>
    <s v="DONE"/>
    <s v="286"/>
    <m/>
    <s v="27-12-2024"/>
    <s v="27-12-2024"/>
    <x v="0"/>
    <x v="16"/>
  </r>
  <r>
    <n v="277"/>
    <x v="7"/>
    <d v="2024-12-25T00:00:00"/>
    <x v="4"/>
    <s v="JH01KM-4371"/>
    <n v="9025368773"/>
    <s v="TIRUPPUR"/>
    <s v="ERODE,207247"/>
    <s v="RANCHI,045804"/>
    <s v="24FEET"/>
    <n v="52820"/>
    <n v="97650"/>
    <n v="44830"/>
    <n v="52820"/>
    <n v="0"/>
    <s v="DONE"/>
    <s v="287"/>
    <m/>
    <s v="27-12-2024"/>
    <s v="27-12-2024"/>
    <x v="0"/>
    <x v="3"/>
  </r>
  <r>
    <n v="278"/>
    <x v="7"/>
    <d v="2024-12-25T00:00:00"/>
    <x v="4"/>
    <s v="JH01KM-8803"/>
    <n v="9589264337"/>
    <s v="RANCHI"/>
    <s v="NARSAPUR,446554 +BOMMANSANDRA,086207"/>
    <s v="HASSAN,528358"/>
    <s v="32FEET SXL "/>
    <n v="47150"/>
    <n v="59850"/>
    <n v="12700"/>
    <n v="47150"/>
    <n v="0"/>
    <s v="DONE"/>
    <s v="288"/>
    <m/>
    <s v="30-12-2024"/>
    <s v="30-12-2024"/>
    <x v="0"/>
    <x v="3"/>
  </r>
  <r>
    <n v="279"/>
    <x v="7"/>
    <d v="2024-12-26T00:00:00"/>
    <x v="0"/>
    <s v="WB19S-1156"/>
    <n v="9022147346"/>
    <s v="RANCHI"/>
    <s v="N/A"/>
    <s v="NARSAPUR,996563"/>
    <s v="32FEET SXL "/>
    <n v="31750"/>
    <n v="40320"/>
    <n v="8570"/>
    <n v="31750"/>
    <n v="0"/>
    <s v="DONE"/>
    <s v="289"/>
    <m/>
    <s v="30-12-2024"/>
    <s v="30-12-2024"/>
    <x v="0"/>
    <x v="21"/>
  </r>
  <r>
    <n v="280"/>
    <x v="7"/>
    <s v="26-12-204"/>
    <x v="0"/>
    <s v="TN37VP-4793"/>
    <n v="9599562696"/>
    <s v="RANCHI"/>
    <s v="N/A"/>
    <s v="NARSAPUR,621912"/>
    <s v="20FEET"/>
    <n v="25690"/>
    <n v="35600"/>
    <n v="9910"/>
    <n v="25690"/>
    <n v="0"/>
    <s v="DONE"/>
    <s v="290"/>
    <m/>
    <s v="30-12-2024"/>
    <s v="30-12-2024"/>
    <x v="0"/>
    <x v="16"/>
  </r>
  <r>
    <n v="281"/>
    <x v="7"/>
    <d v="2024-12-26T00:00:00"/>
    <x v="0"/>
    <s v="TN33WA-4513"/>
    <n v="9327858616"/>
    <s v="DODABALLAPUR"/>
    <s v="N/A"/>
    <s v="RANCHI,351567"/>
    <s v="22FEET"/>
    <n v="45770"/>
    <n v="51660"/>
    <n v="5890"/>
    <n v="45770"/>
    <n v="0"/>
    <s v="DONE"/>
    <s v="291"/>
    <m/>
    <s v="30-12-2024"/>
    <s v="30-12-2024"/>
    <x v="0"/>
    <x v="16"/>
  </r>
  <r>
    <n v="282"/>
    <x v="7"/>
    <d v="2024-12-27T00:00:00"/>
    <x v="0"/>
    <s v="TN23PS-7099"/>
    <n v="9858090286"/>
    <s v="RANCHI"/>
    <s v="N/A"/>
    <s v="NARSAPUR,067832"/>
    <s v="32FEET SXL "/>
    <n v="32020"/>
    <n v="40320"/>
    <n v="8300"/>
    <n v="32020"/>
    <n v="0"/>
    <s v="DONE"/>
    <s v="292"/>
    <m/>
    <s v="30-12-2024"/>
    <s v="30-12-2024"/>
    <x v="0"/>
    <x v="16"/>
  </r>
  <r>
    <n v="283"/>
    <x v="7"/>
    <d v="2024-12-27T00:00:00"/>
    <x v="0"/>
    <s v="TN23JM-1648"/>
    <n v="9685078300"/>
    <s v="RANCHI"/>
    <s v="NARSAPUR,485795"/>
    <s v="HOSKOTE,262677"/>
    <s v="22FEET "/>
    <n v="27700"/>
    <n v="41900"/>
    <n v="14200"/>
    <n v="27700"/>
    <n v="0"/>
    <s v="DONE"/>
    <s v="293"/>
    <m/>
    <s v="31-12-2024"/>
    <s v="31-12-2024"/>
    <x v="0"/>
    <x v="16"/>
  </r>
  <r>
    <n v="284"/>
    <x v="7"/>
    <d v="2024-12-28T00:00:00"/>
    <x v="0"/>
    <s v="WB23T-7040"/>
    <n v="9313909358"/>
    <s v="TIRUPPUR"/>
    <s v="N/A"/>
    <s v="RANCHI,954318"/>
    <s v="32FEET SXL "/>
    <n v="70690"/>
    <n v="96390"/>
    <n v="25700"/>
    <n v="70690"/>
    <n v="0"/>
    <s v="DONE"/>
    <s v="294"/>
    <m/>
    <s v="01-01-2025"/>
    <s v="01-01-2025"/>
    <x v="0"/>
    <x v="4"/>
  </r>
  <r>
    <n v="285"/>
    <x v="7"/>
    <d v="2024-12-28T00:00:00"/>
    <x v="0"/>
    <s v="TN12PL-2257"/>
    <n v="9921512989"/>
    <s v="RANCHI"/>
    <s v="N/A"/>
    <s v="NARSAPUR,275537"/>
    <s v="32FEET SXL "/>
    <n v="32020"/>
    <n v="40320"/>
    <n v="8300"/>
    <n v="32020"/>
    <n v="0"/>
    <s v="DONE"/>
    <s v="295"/>
    <m/>
    <s v="31-12-2024"/>
    <s v="31-12-2025"/>
    <x v="0"/>
    <x v="16"/>
  </r>
  <r>
    <n v="286"/>
    <x v="7"/>
    <d v="2024-12-28T00:00:00"/>
    <x v="4"/>
    <s v="JH01KM-4371"/>
    <n v="9515412075"/>
    <s v="RANCHI"/>
    <s v="NARSAPUR,736476 +BOMMANSANDRA,920816 +WHITEFIELD,737211"/>
    <s v="HASSAN,211034"/>
    <s v="24FEET"/>
    <n v="47630"/>
    <n v="63000"/>
    <n v="15370"/>
    <n v="47630"/>
    <n v="0"/>
    <s v="DONE"/>
    <s v="296"/>
    <m/>
    <s v="01-01-2025"/>
    <s v="01-01-2025"/>
    <x v="0"/>
    <x v="3"/>
  </r>
  <r>
    <n v="287"/>
    <x v="7"/>
    <d v="2024-12-28T00:00:00"/>
    <x v="0"/>
    <s v="TN93L-8071"/>
    <n v="9950818773"/>
    <s v="TIRUPPUR"/>
    <s v="N/A"/>
    <s v="RANCHI,564313"/>
    <s v="32FEET SXL "/>
    <n v="68010"/>
    <n v="96390"/>
    <n v="28380"/>
    <n v="68010"/>
    <n v="0"/>
    <s v="DONE"/>
    <s v="297"/>
    <m/>
    <s v="01-01-2025"/>
    <s v="01-01-2025"/>
    <x v="0"/>
    <x v="16"/>
  </r>
  <r>
    <n v="288"/>
    <x v="7"/>
    <d v="2024-12-29T00:00:00"/>
    <x v="0"/>
    <s v="TN23TA-3043"/>
    <n v="9299677001"/>
    <s v="TIRUPPUR"/>
    <s v="ERODE,VENDOR F 974793"/>
    <s v="RANCHI,835393"/>
    <s v="32FEET SXL "/>
    <n v="71630"/>
    <n v="102690"/>
    <n v="31060"/>
    <n v="71630"/>
    <n v="0"/>
    <s v="DONE"/>
    <s v="298"/>
    <m/>
    <s v="02-01-2024"/>
    <s v="02-01-2025"/>
    <x v="0"/>
    <x v="16"/>
  </r>
  <r>
    <n v="289"/>
    <x v="7"/>
    <d v="2024-12-30T00:00:00"/>
    <x v="0"/>
    <s v="KA51YH-2856"/>
    <n v="9686204165"/>
    <s v="RANCHI"/>
    <s v="N/A"/>
    <s v="NARSAPUR,062235"/>
    <s v="32FEET SXL "/>
    <n v="32600"/>
    <n v="45990"/>
    <n v="13390"/>
    <n v="32600"/>
    <n v="0"/>
    <s v="DONE"/>
    <s v="299"/>
    <m/>
    <s v="02-01-2025"/>
    <s v="02-01-2025"/>
    <x v="0"/>
    <x v="21"/>
  </r>
  <r>
    <n v="290"/>
    <x v="7"/>
    <d v="2024-12-30T00:00:00"/>
    <x v="0"/>
    <s v="NL01BJ-2029"/>
    <n v="9021645012"/>
    <s v="RANCHI"/>
    <s v="NARSAPUR,582427"/>
    <s v="HOSKOTE,753671"/>
    <s v="32FEET SXL "/>
    <n v="33140"/>
    <n v="45990"/>
    <n v="12850"/>
    <n v="33140"/>
    <n v="0"/>
    <s v="DONE"/>
    <s v="300"/>
    <m/>
    <s v="02-01-2025"/>
    <s v="03-01-2025"/>
    <x v="0"/>
    <x v="21"/>
  </r>
  <r>
    <n v="291"/>
    <x v="8"/>
    <d v="2025-01-01T00:00:00"/>
    <x v="0"/>
    <s v="TN88C-5780"/>
    <n v="9951474484"/>
    <s v="RANCHI"/>
    <s v="NARSAPUR,119831 +DHL,129397"/>
    <s v="HASSAN,736990"/>
    <s v="32FEET SXL "/>
    <n v="32600"/>
    <n v="45990"/>
    <n v="13390"/>
    <n v="32600"/>
    <n v="0"/>
    <s v="DONE"/>
    <s v="301"/>
    <m/>
    <s v="02-01-2025"/>
    <s v="02-01-2025"/>
    <x v="0"/>
    <x v="21"/>
  </r>
  <r>
    <n v="292"/>
    <x v="8"/>
    <d v="2025-01-02T00:00:00"/>
    <x v="4"/>
    <s v="JH01KM-8803"/>
    <n v="9281983602"/>
    <s v="TIRUPPUR"/>
    <s v="ERODE,436455"/>
    <s v="RANCHI,321493"/>
    <s v="32FEET SXL "/>
    <n v="53580"/>
    <n v="102690"/>
    <n v="49110"/>
    <n v="53580"/>
    <n v="0"/>
    <s v="DONE"/>
    <s v="302"/>
    <m/>
    <s v="05-01-2025"/>
    <s v="05-01-2025"/>
    <x v="0"/>
    <x v="3"/>
  </r>
  <r>
    <n v="293"/>
    <x v="8"/>
    <d v="2025-01-02T00:00:00"/>
    <x v="0"/>
    <s v="HR38JH-8948"/>
    <n v="9273186420"/>
    <s v="TIRUPPUR"/>
    <s v="N/A"/>
    <s v="RANCHI,464081"/>
    <s v="32FEET SXL "/>
    <n v="65870"/>
    <n v="96390"/>
    <n v="30520"/>
    <n v="65870"/>
    <n v="0"/>
    <s v="DONE"/>
    <s v="303"/>
    <m/>
    <s v="06-01-2025"/>
    <s v="06-01-2025"/>
    <x v="0"/>
    <x v="8"/>
  </r>
  <r>
    <n v="294"/>
    <x v="8"/>
    <d v="2025-01-04T00:00:00"/>
    <x v="4"/>
    <s v="JH01KM-4371"/>
    <n v="9515412075"/>
    <s v="TIRUPPUR"/>
    <s v="N/A"/>
    <s v="RANCHI,098907"/>
    <s v="24FEET "/>
    <n v="52630"/>
    <n v="96390"/>
    <n v="43760"/>
    <n v="52630"/>
    <n v="0"/>
    <s v="DONE"/>
    <s v="304"/>
    <m/>
    <s v="07-01-2025"/>
    <s v="07-01-2025"/>
    <x v="0"/>
    <x v="3"/>
  </r>
  <r>
    <n v="295"/>
    <x v="8"/>
    <d v="2025-01-02T00:00:00"/>
    <x v="0"/>
    <s v="BY AIR "/>
    <m/>
    <s v="RANCHI"/>
    <s v="N/A"/>
    <s v="BOMMANSANDRA,276726"/>
    <s v="FLIGHT"/>
    <n v="49630"/>
    <n v="54680"/>
    <n v="5050"/>
    <n v="49630"/>
    <n v="0"/>
    <s v="DONE"/>
    <s v="305"/>
    <m/>
    <s v="03-01-2025"/>
    <s v="04-01-2025"/>
    <x v="0"/>
    <x v="14"/>
  </r>
  <r>
    <n v="296"/>
    <x v="8"/>
    <d v="2025-01-02T00:00:00"/>
    <x v="0"/>
    <s v="BY AIR "/>
    <m/>
    <s v="RANCHI"/>
    <s v="N/A"/>
    <s v="NARSAPUR,752267"/>
    <s v="FLIGHT"/>
    <n v="96230"/>
    <n v="103190"/>
    <n v="6960"/>
    <n v="96230"/>
    <n v="0"/>
    <s v="DONE"/>
    <s v="306"/>
    <m/>
    <s v="03-01-2025"/>
    <s v="04-01-2025"/>
    <x v="0"/>
    <x v="14"/>
  </r>
  <r>
    <n v="297"/>
    <x v="8"/>
    <d v="2025-01-02T00:00:00"/>
    <x v="0"/>
    <s v="BY AIR "/>
    <m/>
    <s v="RANCHI"/>
    <s v="N/A"/>
    <s v="NARSAPUR,260845"/>
    <s v="FLIGHT"/>
    <n v="103110"/>
    <n v="149100"/>
    <n v="45990"/>
    <n v="103110"/>
    <n v="0"/>
    <s v="DONE"/>
    <s v="307"/>
    <m/>
    <s v="03-01-2025"/>
    <s v="04-01-2025"/>
    <x v="0"/>
    <x v="14"/>
  </r>
  <r>
    <n v="298"/>
    <x v="8"/>
    <d v="2025-01-03T00:00:00"/>
    <x v="0"/>
    <s v="BY AIR "/>
    <m/>
    <s v="RANCHI"/>
    <s v="N/A"/>
    <s v="NARSAPUR,368898"/>
    <s v="FLIGHT"/>
    <n v="58590"/>
    <n v="60240"/>
    <n v="1650"/>
    <n v="58590"/>
    <n v="0"/>
    <s v="DONE"/>
    <s v="308"/>
    <m/>
    <s v="04-01-2025"/>
    <s v="04-01-2025"/>
    <x v="0"/>
    <x v="14"/>
  </r>
  <r>
    <n v="299"/>
    <x v="8"/>
    <d v="2025-01-03T00:00:00"/>
    <x v="0"/>
    <s v="BY AIR "/>
    <m/>
    <s v="RANCHI"/>
    <s v="N/A"/>
    <s v="NARSAPUR,368898"/>
    <s v="FLIGHT"/>
    <n v="86710"/>
    <n v="94460"/>
    <n v="7750"/>
    <n v="86710"/>
    <m/>
    <s v="DONE"/>
    <s v="309"/>
    <m/>
    <s v="04-01-2025"/>
    <s v="05-01-2025"/>
    <x v="0"/>
    <x v="14"/>
  </r>
  <r>
    <n v="300"/>
    <x v="8"/>
    <d v="2025-01-07T00:00:00"/>
    <x v="4"/>
    <s v="JH01KM-8803"/>
    <n v="9589264337"/>
    <s v="RANCHI"/>
    <s v="NARSAPUR,675258"/>
    <s v="BOMMANSANDRA,586000"/>
    <s v="32FEET SXL "/>
    <n v="45170"/>
    <n v="46620"/>
    <n v="1450"/>
    <n v="45170"/>
    <n v="0"/>
    <s v="DONE"/>
    <s v="310"/>
    <m/>
    <s v="11-01-2025"/>
    <s v="11-01-2025"/>
    <x v="0"/>
    <x v="3"/>
  </r>
  <r>
    <n v="301"/>
    <x v="8"/>
    <d v="2025-01-08T00:00:00"/>
    <x v="4"/>
    <s v="JH01KM-4371"/>
    <n v="9515412075"/>
    <s v="RANCHI"/>
    <s v="NARSAPUR,434292"/>
    <s v="HOSKOTE,497126"/>
    <s v="24FEET"/>
    <n v="44930"/>
    <n v="45040"/>
    <n v="110"/>
    <n v="44930"/>
    <n v="0"/>
    <s v="DONE"/>
    <s v="311"/>
    <m/>
    <s v="11-01-2025"/>
    <s v="13-01-2025"/>
    <x v="0"/>
    <x v="3"/>
  </r>
  <r>
    <n v="302"/>
    <x v="8"/>
    <d v="2025-01-08T00:00:00"/>
    <x v="0"/>
    <s v="BY AIR "/>
    <m/>
    <s v="RANCHI"/>
    <s v="N/A"/>
    <s v="HASSAN,667138"/>
    <s v="FLIGHT"/>
    <n v="36610"/>
    <n v="40720"/>
    <n v="4110"/>
    <n v="36610"/>
    <n v="0"/>
    <s v="DONE"/>
    <s v="312"/>
    <m/>
    <s v="09-01-2025"/>
    <s v="09-01-2025"/>
    <x v="0"/>
    <x v="14"/>
  </r>
  <r>
    <n v="303"/>
    <x v="8"/>
    <d v="2025-01-08T00:00:00"/>
    <x v="0"/>
    <s v="BY AIR "/>
    <m/>
    <s v="RANCHI"/>
    <s v="N/A"/>
    <s v="HASSAN,771744"/>
    <s v="FLIGHT"/>
    <n v="57870"/>
    <n v="60790"/>
    <n v="2920"/>
    <n v="57870"/>
    <n v="0"/>
    <s v="DONE"/>
    <s v="313"/>
    <m/>
    <s v="09-01-2025"/>
    <s v="10-01-2025"/>
    <x v="0"/>
    <x v="14"/>
  </r>
  <r>
    <n v="304"/>
    <x v="8"/>
    <d v="2025-01-09T00:00:00"/>
    <x v="0"/>
    <s v="TN28GS-8513"/>
    <n v="9229340471"/>
    <s v="TIRUPPUR"/>
    <s v="ERODE,84167"/>
    <s v="RANCHI,618155"/>
    <s v="32FEET MXL "/>
    <n v="86880"/>
    <n v="122220"/>
    <n v="35340"/>
    <n v="86880"/>
    <n v="0"/>
    <s v="DONE"/>
    <s v="314"/>
    <m/>
    <s v="12-01-2025"/>
    <s v="13-01-2025"/>
    <x v="0"/>
    <x v="16"/>
  </r>
  <r>
    <n v="305"/>
    <x v="8"/>
    <d v="2025-01-09T00:00:00"/>
    <x v="5"/>
    <s v="TN23TA-3043"/>
    <n v="9299677001"/>
    <s v="TIRUPPUR"/>
    <s v="N/A"/>
    <s v="RANCHI,972850"/>
    <s v="32FEET SXL "/>
    <n v="68230"/>
    <n v="101430"/>
    <n v="33200"/>
    <n v="68230"/>
    <n v="0"/>
    <s v="DONE"/>
    <s v="315"/>
    <m/>
    <s v="12-01-2025"/>
    <s v="13-01-2025"/>
    <x v="0"/>
    <x v="16"/>
  </r>
  <r>
    <n v="306"/>
    <x v="8"/>
    <d v="2025-01-09T00:00:00"/>
    <x v="0"/>
    <s v="TN12PL-2257"/>
    <n v="9754088991"/>
    <s v="RANCHI"/>
    <s v="N/A"/>
    <s v="NARSAPUR,148541"/>
    <s v="32FEET SXL "/>
    <n v="32020"/>
    <n v="40320"/>
    <n v="8300"/>
    <n v="32020"/>
    <n v="0"/>
    <s v="DONE"/>
    <s v="316"/>
    <m/>
    <s v="13-01-2025"/>
    <s v="13-01-2025"/>
    <x v="0"/>
    <x v="16"/>
  </r>
  <r>
    <n v="307"/>
    <x v="8"/>
    <d v="2025-01-10T00:00:00"/>
    <x v="0"/>
    <s v="TN93R-5719"/>
    <n v="9235279810"/>
    <s v="RANCHI"/>
    <s v="N/A"/>
    <s v="NARSAPUR,099242"/>
    <s v="32FEET SXL "/>
    <n v="32020"/>
    <n v="40320"/>
    <n v="8300"/>
    <n v="32020"/>
    <n v="0"/>
    <s v="DONE"/>
    <s v="317"/>
    <m/>
    <s v="14-01-2025"/>
    <s v="14-01-2025"/>
    <x v="0"/>
    <x v="16"/>
  </r>
  <r>
    <n v="308"/>
    <x v="8"/>
    <d v="2025-01-11T00:00:00"/>
    <x v="0"/>
    <s v="KA51YH-5410"/>
    <n v="9063048601"/>
    <s v="RANCHI"/>
    <s v="HOSKOTE,983738"/>
    <s v="BOMMANSANDRA,749516"/>
    <s v="32FEET SXL "/>
    <n v="32700"/>
    <n v="46620"/>
    <n v="13920"/>
    <n v="32700"/>
    <n v="0"/>
    <s v="DONE"/>
    <s v="318"/>
    <m/>
    <s v="15-01-2025"/>
    <s v="15-01-2025"/>
    <x v="0"/>
    <x v="21"/>
  </r>
  <r>
    <n v="309"/>
    <x v="8"/>
    <d v="2025-01-11T00:00:00"/>
    <x v="0"/>
    <s v="KA01TK-7242"/>
    <n v="9919561036"/>
    <s v="RANCHI"/>
    <s v="N/A"/>
    <s v="NARSAPUR,132098"/>
    <s v="32FEET SXL "/>
    <n v="31750"/>
    <n v="40320"/>
    <n v="8570"/>
    <n v="29100"/>
    <n v="2650"/>
    <s v="DONE"/>
    <s v="319"/>
    <m/>
    <s v="15-01-2025"/>
    <s v="15-01-2025"/>
    <x v="0"/>
    <x v="6"/>
  </r>
  <r>
    <n v="310"/>
    <x v="8"/>
    <d v="2025-01-11T00:00:00"/>
    <x v="4"/>
    <s v="JH01KM-8803"/>
    <n v="9589264337"/>
    <s v="TIRUPPUR"/>
    <s v="N/A"/>
    <s v="RANCHI,391296"/>
    <s v="32FEET SXL "/>
    <n v="52630"/>
    <n v="96390"/>
    <n v="43760"/>
    <n v="52630"/>
    <n v="0"/>
    <s v="DONE"/>
    <s v="320"/>
    <m/>
    <s v="15-01-2025"/>
    <s v="15-01-2025"/>
    <x v="0"/>
    <x v="3"/>
  </r>
  <r>
    <n v="311"/>
    <x v="8"/>
    <d v="2025-01-12T00:00:00"/>
    <x v="0"/>
    <s v="TN88AP-5738"/>
    <n v="9161208496"/>
    <s v="TIRUPPUR"/>
    <s v="ERODE,321411"/>
    <s v="RANCHI,076187"/>
    <s v="32FEET MXL "/>
    <n v="85820"/>
    <n v="113400"/>
    <n v="27580"/>
    <n v="85820"/>
    <n v="0"/>
    <s v="DONE"/>
    <s v="321"/>
    <m/>
    <s v="16-01-2025"/>
    <s v="16-01-2025"/>
    <x v="0"/>
    <x v="16"/>
  </r>
  <r>
    <n v="312"/>
    <x v="8"/>
    <d v="2025-01-13T00:00:00"/>
    <x v="0"/>
    <s v="TN23TA-3043"/>
    <n v="9299677001"/>
    <s v="RANCHI"/>
    <s v="NARSAPUR,133596 +HOSKOTE,543717"/>
    <s v="BOMMANSANDRA,919445"/>
    <s v="32FEET SXL "/>
    <n v="34180"/>
    <n v="52920"/>
    <n v="18740"/>
    <n v="34180"/>
    <n v="0"/>
    <s v="DONE"/>
    <s v="322"/>
    <m/>
    <s v="17-01-2025"/>
    <s v="18-01-2025"/>
    <x v="0"/>
    <x v="16"/>
  </r>
  <r>
    <n v="313"/>
    <x v="8"/>
    <d v="2025-01-13T00:00:00"/>
    <x v="4"/>
    <s v="JH01KM-4371"/>
    <n v="9515412075"/>
    <s v="TIRUPPUR"/>
    <s v="N/A"/>
    <s v="RANCHI,051095"/>
    <s v="24FEET SXL "/>
    <n v="51880"/>
    <n v="91350"/>
    <n v="39470"/>
    <n v="51880"/>
    <n v="0"/>
    <s v="DONE"/>
    <s v="323"/>
    <m/>
    <s v="16-01-2025"/>
    <s v="16-01-2025"/>
    <x v="0"/>
    <x v="3"/>
  </r>
  <r>
    <n v="314"/>
    <x v="8"/>
    <d v="2025-01-15T00:00:00"/>
    <x v="0"/>
    <s v="TN52NV-9757"/>
    <n v="9918478901"/>
    <s v="RANCHI"/>
    <s v="N/A"/>
    <s v="NARSAPUR,382994"/>
    <s v="20FEET"/>
    <n v="25690"/>
    <n v="35600"/>
    <n v="9910"/>
    <n v="25690"/>
    <n v="0"/>
    <s v="DONE"/>
    <s v="324"/>
    <m/>
    <s v="18-01-2025"/>
    <s v="18-01-2025"/>
    <x v="0"/>
    <x v="16"/>
  </r>
  <r>
    <n v="315"/>
    <x v="8"/>
    <d v="2025-01-16T00:00:00"/>
    <x v="4"/>
    <s v="JH01KM-8803"/>
    <n v="9589264337"/>
    <s v="RANCHI"/>
    <s v="NARSAPUR,048049"/>
    <s v="BOMMANSANDRA,733948"/>
    <s v="32FEET SXL "/>
    <n v="45170"/>
    <n v="46620"/>
    <n v="1450"/>
    <n v="45170"/>
    <n v="0"/>
    <s v="DONE"/>
    <s v="325"/>
    <m/>
    <s v="20-01-2025"/>
    <s v="21-01-2025"/>
    <x v="0"/>
    <x v="3"/>
  </r>
  <r>
    <n v="316"/>
    <x v="8"/>
    <d v="2025-01-17T00:00:00"/>
    <x v="4"/>
    <s v="JH01KM-4371"/>
    <n v="9515412075"/>
    <s v="RANCHI"/>
    <s v="NARSAPUR,402678"/>
    <s v="BOMMANSANDRA,289751"/>
    <s v="24FEET"/>
    <n v="44930"/>
    <n v="45040"/>
    <n v="110"/>
    <n v="44930"/>
    <n v="0"/>
    <s v="DONE"/>
    <s v="326"/>
    <m/>
    <s v="21-01-2025"/>
    <s v="21-01-2025"/>
    <x v="0"/>
    <x v="3"/>
  </r>
  <r>
    <n v="317"/>
    <x v="8"/>
    <d v="2025-01-17T00:00:00"/>
    <x v="0"/>
    <s v="TN12XD-6346"/>
    <n v="9355649998"/>
    <s v="RANCHI"/>
    <s v="N/A"/>
    <s v="NARSAPUR,915780"/>
    <s v="20FEET"/>
    <n v="25690"/>
    <n v="35600"/>
    <n v="9910"/>
    <n v="25690"/>
    <n v="0"/>
    <s v="DONE"/>
    <s v="327"/>
    <m/>
    <s v="23-01-2025"/>
    <s v="23-01-2025"/>
    <x v="0"/>
    <x v="21"/>
  </r>
  <r>
    <n v="318"/>
    <x v="8"/>
    <d v="2025-01-18T00:00:00"/>
    <x v="0"/>
    <s v="TN93R-5719"/>
    <n v="9235279810"/>
    <s v="TIRUPPUR"/>
    <s v="N/A"/>
    <s v="RANCHI,970746"/>
    <s v="32FEET SXL "/>
    <n v="66400"/>
    <n v="96390"/>
    <n v="29990"/>
    <n v="66400"/>
    <n v="0"/>
    <s v="DONE"/>
    <s v="328"/>
    <m/>
    <s v="21-01-2025"/>
    <s v="22-01-2025"/>
    <x v="0"/>
    <x v="16"/>
  </r>
  <r>
    <n v="319"/>
    <x v="8"/>
    <d v="2025-01-18T00:00:00"/>
    <x v="0"/>
    <s v="WB17K-6927"/>
    <n v="9416295492"/>
    <s v="RANCHI"/>
    <s v="N/A"/>
    <s v="NARSAPUR,163943"/>
    <s v="32FEET SXL "/>
    <n v="31750"/>
    <n v="40320"/>
    <n v="8570"/>
    <n v="31750"/>
    <n v="0"/>
    <s v="DONE"/>
    <s v="329"/>
    <m/>
    <s v="22-01-2025"/>
    <s v="22-01-2025"/>
    <x v="0"/>
    <x v="21"/>
  </r>
  <r>
    <n v="320"/>
    <x v="8"/>
    <d v="2025-01-21T00:00:00"/>
    <x v="0"/>
    <s v="HR38JH-3535"/>
    <n v="9363306642"/>
    <s v="RANCHI"/>
    <s v="NARSAPUR,981225"/>
    <s v="BOMMANSANDRA,341667"/>
    <s v="22FEET"/>
    <n v="25690"/>
    <n v="35600"/>
    <n v="9910"/>
    <n v="25690"/>
    <n v="0"/>
    <s v="DONE"/>
    <s v="330"/>
    <m/>
    <s v="25-01-2025"/>
    <s v="27-01-2025"/>
    <x v="0"/>
    <x v="21"/>
  </r>
  <r>
    <n v="321"/>
    <x v="8"/>
    <d v="2025-01-22T00:00:00"/>
    <x v="0"/>
    <s v="KA52W-2384"/>
    <n v="9973497171"/>
    <s v="RANCHI"/>
    <s v="N/A"/>
    <s v="NARSAPUR,818826"/>
    <s v="22FEET"/>
    <n v="25690"/>
    <n v="35600"/>
    <n v="9910"/>
    <n v="25690"/>
    <n v="0"/>
    <s v="DONE"/>
    <s v="331"/>
    <m/>
    <s v="25-01-2025"/>
    <s v="25-01-2025"/>
    <x v="0"/>
    <x v="21"/>
  </r>
  <r>
    <n v="322"/>
    <x v="8"/>
    <d v="2025-01-22T00:00:00"/>
    <x v="0"/>
    <s v="KA52W-9693"/>
    <n v="9505432485"/>
    <s v="RANCHI"/>
    <s v="HOSKOTE,288282"/>
    <s v="BOMMANSANDRA,233442"/>
    <s v="22FEET"/>
    <n v="27700"/>
    <n v="41900"/>
    <n v="14200"/>
    <n v="27700"/>
    <n v="0"/>
    <s v="DONE"/>
    <s v="332"/>
    <m/>
    <s v="27-01-2025"/>
    <s v="27-01-2025"/>
    <x v="0"/>
    <x v="21"/>
  </r>
  <r>
    <n v="323"/>
    <x v="8"/>
    <d v="2025-01-22T00:00:00"/>
    <x v="0"/>
    <s v="TN93R-5719"/>
    <n v="9235279810"/>
    <s v="RANCHI"/>
    <s v="NARSAPUR,857862 +HOSKOTE,084746"/>
    <s v="BOMMANSANDRA,301858"/>
    <s v="32FEET SXL "/>
    <n v="34710"/>
    <n v="52920"/>
    <n v="18210"/>
    <n v="34710"/>
    <n v="0"/>
    <s v="DONE"/>
    <s v="333"/>
    <m/>
    <s v="28-01-2025"/>
    <s v="28-01-2025"/>
    <x v="0"/>
    <x v="16"/>
  </r>
  <r>
    <n v="324"/>
    <x v="8"/>
    <d v="2025-01-23T00:00:00"/>
    <x v="4"/>
    <s v="JH01KM-4371"/>
    <n v="9515412075"/>
    <s v="TIRUPPUR"/>
    <s v="N/A"/>
    <s v="RANCHI,622648"/>
    <s v="24FEET "/>
    <n v="51880"/>
    <n v="91350"/>
    <n v="39470"/>
    <n v="51880"/>
    <n v="0"/>
    <s v="DONE"/>
    <s v="334"/>
    <m/>
    <s v="26-01-2025"/>
    <s v="26-01-2025"/>
    <x v="0"/>
    <x v="3"/>
  </r>
  <r>
    <n v="325"/>
    <x v="8"/>
    <d v="2025-01-23T00:00:00"/>
    <x v="0"/>
    <s v="HR38K-6331"/>
    <n v="9575279544"/>
    <s v="RANCHI"/>
    <s v="N/A"/>
    <s v="NARSAPUR,860613"/>
    <s v="32FEET SXL "/>
    <n v="31750"/>
    <n v="40320"/>
    <n v="8570"/>
    <n v="31750"/>
    <n v="0"/>
    <s v="DONE"/>
    <s v="335"/>
    <m/>
    <s v="28-01-2025"/>
    <s v="28-01-2025"/>
    <x v="0"/>
    <x v="21"/>
  </r>
  <r>
    <n v="326"/>
    <x v="8"/>
    <d v="2025-01-23T00:00:00"/>
    <x v="0"/>
    <s v="KA05XD-8363"/>
    <n v="9973550893"/>
    <s v="RANCHI"/>
    <s v="NARSAPUR ,616947 +HOSKOTE,625282"/>
    <s v="BOMMANSANDRA,185472"/>
    <s v="24FEET"/>
    <n v="32330"/>
    <n v="51340"/>
    <n v="19010"/>
    <n v="32330"/>
    <n v="0"/>
    <s v="DONE"/>
    <s v="336"/>
    <m/>
    <s v="28-01-2025"/>
    <s v="28-01-2025"/>
    <x v="0"/>
    <x v="21"/>
  </r>
  <r>
    <n v="327"/>
    <x v="8"/>
    <d v="2025-01-24T00:00:00"/>
    <x v="0"/>
    <s v="WB19C-1091"/>
    <n v="9293127349"/>
    <s v="RANCHI"/>
    <s v="NARSAPUR,549231"/>
    <s v="HOSKOTE,958755"/>
    <s v="32FEET SXL "/>
    <n v="33770"/>
    <n v="46620"/>
    <n v="12850"/>
    <n v="33770"/>
    <n v="0"/>
    <s v="DONE"/>
    <s v="337"/>
    <m/>
    <s v="28-01-2025"/>
    <s v="28-01-2025"/>
    <x v="0"/>
    <x v="21"/>
  </r>
  <r>
    <n v="328"/>
    <x v="8"/>
    <d v="2025-01-25T00:00:00"/>
    <x v="0"/>
    <s v="KA50K-8206"/>
    <n v="9679023587"/>
    <s v="RANCHI"/>
    <s v="N/A"/>
    <s v="NARSAPUR,016752"/>
    <s v="24FEET"/>
    <n v="29910"/>
    <n v="38740"/>
    <n v="8830"/>
    <n v="29910"/>
    <m/>
    <s v="DONE"/>
    <s v="338"/>
    <m/>
    <s v="31-01-2025"/>
    <s v="31-01-2025"/>
    <x v="0"/>
    <x v="21"/>
  </r>
  <r>
    <n v="329"/>
    <x v="8"/>
    <d v="2025-01-25T00:00:00"/>
    <x v="4"/>
    <s v="JH01KM-4371"/>
    <n v="9515412075"/>
    <s v="RANCHI"/>
    <s v="NARSAPUR ,991716 +HOSKOTE,799463"/>
    <s v="BOMMANSANDRA,955323"/>
    <s v="24FEET"/>
    <n v="45880"/>
    <n v="51340"/>
    <n v="5460"/>
    <n v="45880"/>
    <n v="0"/>
    <s v="DONE"/>
    <s v="339"/>
    <m/>
    <s v="29-01-2025"/>
    <s v="29-01-2025"/>
    <x v="0"/>
    <x v="3"/>
  </r>
  <r>
    <n v="330"/>
    <x v="8"/>
    <d v="2025-01-25T00:00:00"/>
    <x v="0"/>
    <s v="TN23TA-3043"/>
    <n v="9299677001"/>
    <s v="TIRUPPUR"/>
    <s v="N/A"/>
    <s v="RANCHI,511408"/>
    <s v="32FEET SXL "/>
    <n v="66870"/>
    <n v="99540"/>
    <n v="32670"/>
    <n v="66870"/>
    <n v="0"/>
    <s v="DONE"/>
    <s v="340"/>
    <m/>
    <s v="29-01-2025"/>
    <s v="29-01-2025"/>
    <x v="0"/>
    <x v="16"/>
  </r>
  <r>
    <n v="331"/>
    <x v="8"/>
    <d v="2025-01-25T00:00:00"/>
    <x v="0"/>
    <s v="WB17K-6927"/>
    <n v="9416295492"/>
    <s v="TIRUPPUR"/>
    <s v="ERODE,296480"/>
    <s v="RANCHI,472876"/>
    <s v="32FEET SXL "/>
    <n v="66280"/>
    <n v="102690"/>
    <n v="36410"/>
    <n v="66280"/>
    <n v="0"/>
    <s v="DONE"/>
    <s v="341"/>
    <m/>
    <s v="29-01-2025"/>
    <s v="29-01-2025"/>
    <x v="0"/>
    <x v="28"/>
  </r>
  <r>
    <n v="332"/>
    <x v="8"/>
    <d v="2025-01-25T00:00:00"/>
    <x v="4"/>
    <s v="JH01KM-8803"/>
    <n v="9515412075"/>
    <s v="HASSAN"/>
    <s v="DODABALLAPUR,746521"/>
    <s v="RANCHI,164614"/>
    <s v="32FEET SXL "/>
    <n v="53580"/>
    <n v="102690"/>
    <n v="49110"/>
    <n v="53580"/>
    <n v="0"/>
    <s v="DONE"/>
    <s v="342"/>
    <m/>
    <s v="29-01-2025"/>
    <s v="29-01-225"/>
    <x v="0"/>
    <x v="3"/>
  </r>
  <r>
    <n v="333"/>
    <x v="8"/>
    <d v="2025-01-27T00:00:00"/>
    <x v="0"/>
    <s v="TN37NR-0142"/>
    <n v="9807770602"/>
    <s v="RANCHI"/>
    <s v="N/A"/>
    <s v="NARSAPUR,785314"/>
    <s v="22FEET"/>
    <n v="25690"/>
    <n v="35600"/>
    <n v="9910"/>
    <n v="25690"/>
    <n v="0"/>
    <s v="DONE"/>
    <s v="343"/>
    <m/>
    <s v="30-01-2025"/>
    <s v="30-01-2025"/>
    <x v="0"/>
    <x v="16"/>
  </r>
  <r>
    <n v="334"/>
    <x v="8"/>
    <d v="2025-01-27T00:00:00"/>
    <x v="0"/>
    <s v="WB11L-6220"/>
    <n v="9980675943"/>
    <s v="RANCHI"/>
    <s v="N/A"/>
    <s v="NARSAPUR,454431"/>
    <s v="32FEET SXL "/>
    <n v="32820"/>
    <n v="40320"/>
    <n v="7500"/>
    <n v="32820"/>
    <n v="0"/>
    <s v="DONE"/>
    <s v="344"/>
    <m/>
    <s v="31-01-2025"/>
    <s v="31-01-2025"/>
    <x v="0"/>
    <x v="21"/>
  </r>
  <r>
    <n v="335"/>
    <x v="8"/>
    <d v="2025-01-27T00:00:00"/>
    <x v="0"/>
    <s v="MP09GC-4181"/>
    <n v="9439276363"/>
    <s v="PATNA"/>
    <s v="N/A"/>
    <s v="RANCHI,172796"/>
    <s v="32FEET MXL"/>
    <n v="19660"/>
    <n v="23940"/>
    <n v="4280"/>
    <n v="19660"/>
    <n v="0"/>
    <s v="DONE"/>
    <s v="345"/>
    <m/>
    <s v="29-01-2025"/>
    <s v="29-01-2025"/>
    <x v="0"/>
    <x v="29"/>
  </r>
  <r>
    <n v="336"/>
    <x v="8"/>
    <d v="2025-01-28T00:00:00"/>
    <x v="0"/>
    <s v="TN21DA-8801"/>
    <n v="9591781788"/>
    <s v="RANCHI"/>
    <s v="HOSKOTE,126081"/>
    <s v="BOMMANSANDRA,093824"/>
    <s v="24FEET"/>
    <n v="32240"/>
    <n v="50720"/>
    <n v="18480"/>
    <n v="32240"/>
    <n v="0"/>
    <s v="DONE"/>
    <s v="346"/>
    <m/>
    <s v="31-01-2025"/>
    <s v="31-01-2025"/>
    <x v="0"/>
    <x v="16"/>
  </r>
  <r>
    <n v="337"/>
    <x v="8"/>
    <d v="2025-01-29T00:00:00"/>
    <x v="0"/>
    <s v="BY AIR "/>
    <m/>
    <s v="RANCHI"/>
    <s v="N/A"/>
    <s v="HOSKOTE,453178"/>
    <s v="FLIGHT"/>
    <n v="49930"/>
    <n v="56570"/>
    <n v="6640"/>
    <n v="49930"/>
    <n v="0"/>
    <s v="DONE"/>
    <s v="347"/>
    <m/>
    <s v="30-01-2025"/>
    <s v="30-01-2025"/>
    <x v="0"/>
    <x v="14"/>
  </r>
  <r>
    <n v="338"/>
    <x v="8"/>
    <d v="2025-01-29T00:00:00"/>
    <x v="0"/>
    <s v="BY AIR "/>
    <m/>
    <s v="RANCHI"/>
    <s v="N/A"/>
    <s v="BOMMANSANDRA,953302"/>
    <s v="FLIGHT"/>
    <n v="33570"/>
    <n v="36380"/>
    <n v="2810"/>
    <n v="33570"/>
    <n v="0"/>
    <s v="DONE"/>
    <s v="348"/>
    <m/>
    <s v="30-01-2025"/>
    <s v="30-01-2025"/>
    <x v="0"/>
    <x v="14"/>
  </r>
  <r>
    <n v="339"/>
    <x v="8"/>
    <d v="2025-01-29T00:00:00"/>
    <x v="0"/>
    <s v="BY AIR "/>
    <m/>
    <s v="RANCHI"/>
    <s v="N/A"/>
    <s v="NARSAPUR,982468"/>
    <s v="FLIGHT"/>
    <n v="62160"/>
    <n v="64520"/>
    <n v="2360"/>
    <n v="62160"/>
    <n v="0"/>
    <s v="DONE"/>
    <s v="349"/>
    <m/>
    <s v="30-01-2025"/>
    <s v="30-01-2025"/>
    <x v="0"/>
    <x v="14"/>
  </r>
  <r>
    <n v="340"/>
    <x v="8"/>
    <d v="2025-01-29T00:00:00"/>
    <x v="0"/>
    <s v="BY AIR "/>
    <m/>
    <s v="RANCHI"/>
    <s v="N/A"/>
    <s v="NARSAPUR,274222"/>
    <s v="FLIGHT"/>
    <n v="80590"/>
    <n v="92780"/>
    <n v="12190"/>
    <n v="80590"/>
    <n v="0"/>
    <s v="DONE"/>
    <s v="350"/>
    <m/>
    <s v="30-01-2025"/>
    <s v="30-01-2025"/>
    <x v="0"/>
    <x v="14"/>
  </r>
  <r>
    <n v="341"/>
    <x v="8"/>
    <d v="2025-01-29T00:00:00"/>
    <x v="0"/>
    <s v="NL01DJ-8442"/>
    <n v="9571913465"/>
    <s v="TIRUPPUR"/>
    <s v="N/A"/>
    <s v="RANCHI,924832"/>
    <s v="32FEET MXL"/>
    <n v="84450"/>
    <n v="109620"/>
    <n v="25170"/>
    <n v="84450"/>
    <n v="0"/>
    <s v="DONE"/>
    <s v="351"/>
    <m/>
    <s v="01-02-2025"/>
    <s v="01-02-2025"/>
    <x v="0"/>
    <x v="30"/>
  </r>
  <r>
    <n v="342"/>
    <x v="8"/>
    <d v="2025-01-29T00:00:00"/>
    <x v="4"/>
    <s v="JH01KM-8803"/>
    <n v="9589264337"/>
    <s v="RANCHI"/>
    <s v="N/A"/>
    <s v="NARSAPUR,961661"/>
    <s v="32FEET SXL "/>
    <n v="45070"/>
    <n v="45990"/>
    <n v="920"/>
    <n v="45070"/>
    <n v="0"/>
    <s v="DONE"/>
    <s v="352"/>
    <m/>
    <s v="31-01-2025"/>
    <s v="31-01-2025"/>
    <x v="0"/>
    <x v="3"/>
  </r>
  <r>
    <n v="343"/>
    <x v="8"/>
    <d v="2025-01-30T00:00:00"/>
    <x v="0"/>
    <s v="BY AIR "/>
    <m/>
    <s v="RANCHI"/>
    <s v="N/A"/>
    <s v="BOMMANSANDRA,481932 +NARSAPUR,712660"/>
    <s v="FLIGHT"/>
    <n v="34640"/>
    <n v="40350"/>
    <n v="5710"/>
    <n v="34640"/>
    <n v="0"/>
    <s v="DONE"/>
    <s v="353"/>
    <m/>
    <s v="31-01-2025"/>
    <s v="01-02-2025"/>
    <x v="0"/>
    <x v="14"/>
  </r>
  <r>
    <n v="344"/>
    <x v="8"/>
    <d v="2025-01-30T00:00:00"/>
    <x v="0"/>
    <s v="BY AIR "/>
    <m/>
    <s v="RANCHI"/>
    <s v="N/A"/>
    <s v="NARSAPUR,547661"/>
    <s v="FLIGHT"/>
    <n v="84510"/>
    <n v="95290"/>
    <n v="10780"/>
    <n v="84510"/>
    <n v="0"/>
    <s v="DONE"/>
    <s v="354"/>
    <m/>
    <s v="31-01-2025"/>
    <s v="01-02-2025"/>
    <x v="0"/>
    <x v="14"/>
  </r>
  <r>
    <n v="345"/>
    <x v="8"/>
    <d v="2025-01-30T00:00:00"/>
    <x v="0"/>
    <s v="WB17-5925"/>
    <n v="9504219544"/>
    <s v="TIRUPPUR"/>
    <s v="VENDOR F ERODE,478450"/>
    <s v="RANCHI,503034"/>
    <s v="32FEET SXL "/>
    <n v="66980"/>
    <n v="102060"/>
    <n v="35080"/>
    <n v="66980"/>
    <n v="0"/>
    <s v="DONE"/>
    <s v="355"/>
    <m/>
    <s v="03-02-2025"/>
    <s v="03-02-2025"/>
    <x v="0"/>
    <x v="30"/>
  </r>
  <r>
    <n v="346"/>
    <x v="8"/>
    <d v="2025-01-31T00:00:00"/>
    <x v="0"/>
    <s v="BY AIR "/>
    <m/>
    <s v="RANCHI"/>
    <s v="N/A"/>
    <s v="NARSAPUR,193884"/>
    <s v="FLIGHT"/>
    <n v="57790"/>
    <n v="68920"/>
    <n v="11130"/>
    <n v="57790"/>
    <n v="0"/>
    <s v="DONE"/>
    <s v="356"/>
    <m/>
    <s v="31-01-2025"/>
    <s v="01-02-2025"/>
    <x v="0"/>
    <x v="14"/>
  </r>
  <r>
    <n v="347"/>
    <x v="8"/>
    <d v="2025-01-31T00:00:00"/>
    <x v="0"/>
    <s v="BY AIR "/>
    <m/>
    <s v="RANCHI"/>
    <s v="N/A"/>
    <s v="NARSAPUR,755974"/>
    <s v="FLIGHT"/>
    <n v="116260"/>
    <n v="139790"/>
    <n v="23530"/>
    <n v="116260"/>
    <n v="0"/>
    <s v="DONE"/>
    <s v="357"/>
    <m/>
    <s v="31-01-2025"/>
    <s v="01-02-2025"/>
    <x v="0"/>
    <x v="14"/>
  </r>
  <r>
    <n v="348"/>
    <x v="8"/>
    <d v="2025-01-31T00:00:00"/>
    <x v="0"/>
    <s v="BY AIR "/>
    <m/>
    <s v="RANCHI"/>
    <s v="N/A"/>
    <s v="NARSAPUR,926217"/>
    <s v="FLIGHT"/>
    <n v="65770"/>
    <n v="78450"/>
    <n v="12680"/>
    <n v="65770"/>
    <n v="0"/>
    <s v="DONE"/>
    <s v="358"/>
    <m/>
    <s v="31-01-2025"/>
    <s v="01-02-2025"/>
    <x v="0"/>
    <x v="14"/>
  </r>
  <r>
    <n v="349"/>
    <x v="9"/>
    <d v="2025-02-01T00:00:00"/>
    <x v="4"/>
    <s v="JH01KM-4371"/>
    <n v="9025368773"/>
    <s v="TIRUPPUR"/>
    <s v="VENDOR V ,253495 +VENDOR U ,960808+DODABALLAPUR,589142"/>
    <s v="RANCHI"/>
    <s v="24FEET "/>
    <n v="52820"/>
    <n v="97650"/>
    <n v="44830"/>
    <n v="52820"/>
    <n v="0"/>
    <s v="DONE"/>
    <s v="359"/>
    <m/>
    <s v="05-02-2025"/>
    <s v="05-02-2025"/>
    <x v="0"/>
    <x v="3"/>
  </r>
  <r>
    <n v="350"/>
    <x v="9"/>
    <d v="2025-02-01T00:00:00"/>
    <x v="0"/>
    <s v="KA52W-4782"/>
    <n v="9142370650"/>
    <s v="RANCHI"/>
    <s v="N/A"/>
    <s v="NARSAPUR,934476"/>
    <s v="22FEET"/>
    <n v="25690"/>
    <n v="35600"/>
    <n v="9910"/>
    <n v="25690"/>
    <n v="0"/>
    <s v="DONE"/>
    <s v="360"/>
    <m/>
    <s v="04-02-2025"/>
    <s v="04-02-2025"/>
    <x v="0"/>
    <x v="16"/>
  </r>
  <r>
    <n v="351"/>
    <x v="9"/>
    <d v="2025-02-03T00:00:00"/>
    <x v="4"/>
    <s v="JH01KM-8803"/>
    <n v="9589264337"/>
    <s v="TIRUPPUR"/>
    <s v="DODABALLAPUR,473499"/>
    <s v="RANCHI,911472"/>
    <s v="32FEET SXL "/>
    <n v="53580"/>
    <n v="102690"/>
    <n v="49110"/>
    <n v="53580"/>
    <n v="0"/>
    <s v="DONE"/>
    <s v="361"/>
    <m/>
    <s v="07-02-2025"/>
    <s v="07-02-2025"/>
    <x v="0"/>
    <x v="3"/>
  </r>
  <r>
    <n v="352"/>
    <x v="9"/>
    <d v="2025-02-04T00:00:00"/>
    <x v="0"/>
    <s v="DL1GB-5370"/>
    <n v="9891092647"/>
    <s v="RANCHI"/>
    <s v="N/A"/>
    <s v="LUDHIANA,457470"/>
    <s v="20FEET"/>
    <n v="18050"/>
    <n v="23940"/>
    <n v="5890"/>
    <n v="18050"/>
    <n v="0"/>
    <s v="DONE"/>
    <s v="362"/>
    <m/>
    <s v="08-02-2025"/>
    <s v="08-02-2025"/>
    <x v="0"/>
    <x v="21"/>
  </r>
  <r>
    <n v="353"/>
    <x v="9"/>
    <d v="2025-02-05T00:00:00"/>
    <x v="0"/>
    <s v="KA05RX-0967"/>
    <n v="9474555859"/>
    <s v="RANCHI"/>
    <s v="NARSAPUR 361215 + HOSKOTE 107716"/>
    <s v="BOMMANSANDRA,195005"/>
    <s v="24FEET"/>
    <n v="31800"/>
    <n v="51340"/>
    <n v="19540"/>
    <n v="31800"/>
    <n v="0"/>
    <s v="DONE"/>
    <s v="363"/>
    <m/>
    <s v="10-02-2025"/>
    <s v="10-02-2025"/>
    <x v="0"/>
    <x v="21"/>
  </r>
  <r>
    <n v="354"/>
    <x v="9"/>
    <d v="2025-02-05T00:00:00"/>
    <x v="0"/>
    <s v="KA52W-0113"/>
    <n v="9393435306"/>
    <s v="RANCHI"/>
    <s v="BOMMANSANDRA"/>
    <s v="NARSAPUR,380938"/>
    <s v="24FEET"/>
    <n v="29370"/>
    <n v="38740"/>
    <n v="9370"/>
    <n v="29370"/>
    <n v="0"/>
    <s v="DONE"/>
    <s v="364"/>
    <m/>
    <s v="08-02-2025"/>
    <s v="08-02-2025"/>
    <x v="0"/>
    <x v="16"/>
  </r>
  <r>
    <n v="355"/>
    <x v="9"/>
    <d v="2025-02-06T00:00:00"/>
    <x v="0"/>
    <s v="TN93R-5719"/>
    <n v="9235279810"/>
    <s v="RANCHI"/>
    <s v="NARSAPUR,353107"/>
    <s v="BOMMANSANDRA,075974"/>
    <s v="32FEET SXL "/>
    <n v="33770"/>
    <n v="46620"/>
    <n v="12850"/>
    <n v="33770"/>
    <n v="0"/>
    <s v="DONE"/>
    <s v="365"/>
    <m/>
    <s v="10-02-2025"/>
    <s v="10-02-2025"/>
    <x v="0"/>
    <x v="16"/>
  </r>
  <r>
    <n v="356"/>
    <x v="9"/>
    <d v="2025-02-06T00:00:00"/>
    <x v="0"/>
    <s v="TN88S-3048"/>
    <n v="9997445160"/>
    <s v="TIRUPPUR"/>
    <s v="N/A"/>
    <s v="RANCHI,514279"/>
    <s v="32FEET MXL "/>
    <n v="83380"/>
    <n v="109620"/>
    <n v="26240"/>
    <n v="83380"/>
    <n v="0"/>
    <s v="DONE"/>
    <s v="366"/>
    <m/>
    <s v="10-02-2025"/>
    <s v="10-02-2025"/>
    <x v="0"/>
    <x v="16"/>
  </r>
  <r>
    <n v="357"/>
    <x v="9"/>
    <d v="2025-02-07T00:00:00"/>
    <x v="4"/>
    <s v="JH01KM-8803"/>
    <n v="9589264337"/>
    <s v="RANCHI"/>
    <s v="NARSAPUR 395791+HOSKOTE 006106 +TIRUPPUR"/>
    <s v="BOMMANSANDRA,481618"/>
    <s v="32FEET SXL "/>
    <n v="47060"/>
    <n v="59220"/>
    <n v="12160"/>
    <n v="47060"/>
    <n v="0"/>
    <s v="DONE"/>
    <s v="367"/>
    <m/>
    <s v="10-02-2025"/>
    <s v="11-02-2025"/>
    <x v="0"/>
    <x v="3"/>
  </r>
  <r>
    <n v="358"/>
    <x v="9"/>
    <d v="2025-02-08T00:00:00"/>
    <x v="4"/>
    <s v="JH01KM-4371"/>
    <n v="9025368773"/>
    <s v="RANCHI"/>
    <s v="N/A"/>
    <s v="NARSAPUR,301824"/>
    <s v="24FEET"/>
    <n v="44930"/>
    <n v="45040"/>
    <n v="110"/>
    <n v="44930"/>
    <n v="0"/>
    <s v="DONE"/>
    <s v="368"/>
    <m/>
    <s v="11-02-2025"/>
    <s v="11-02-2025"/>
    <x v="0"/>
    <x v="3"/>
  </r>
  <r>
    <n v="359"/>
    <x v="9"/>
    <d v="2025-02-08T00:00:00"/>
    <x v="0"/>
    <s v="TN12PL-2365"/>
    <n v="9094784928"/>
    <s v="TIRUPPUR"/>
    <s v="N/A"/>
    <s v="RANCHI,844125"/>
    <s v="32FEET SXL "/>
    <n v="65870"/>
    <n v="96390"/>
    <n v="30520"/>
    <n v="65870"/>
    <n v="0"/>
    <s v="DONE"/>
    <s v="369"/>
    <m/>
    <s v="11-02-2025"/>
    <s v="11-02-2025"/>
    <x v="0"/>
    <x v="16"/>
  </r>
  <r>
    <n v="360"/>
    <x v="9"/>
    <d v="2025-02-08T00:00:00"/>
    <x v="0"/>
    <s v="JK05ES-2703"/>
    <n v="9072725119"/>
    <s v="TIRUPPUR"/>
    <s v="VENDOR F ERODE,093758"/>
    <s v="RANCHI,056906"/>
    <s v="32FEET SXL "/>
    <n v="67350"/>
    <n v="102690"/>
    <n v="35340"/>
    <n v="67350"/>
    <n v="0"/>
    <s v="DONE"/>
    <s v="370"/>
    <m/>
    <s v="12-02-2025"/>
    <s v="12-02-2025"/>
    <x v="0"/>
    <x v="30"/>
  </r>
  <r>
    <n v="361"/>
    <x v="9"/>
    <d v="2025-02-10T00:00:00"/>
    <x v="0"/>
    <s v="TN97L-3202"/>
    <n v="9092630700"/>
    <s v="RANCHI"/>
    <s v="N/A"/>
    <s v="NARSAPUR,279405"/>
    <s v="20FEET"/>
    <n v="25690"/>
    <n v="35600"/>
    <n v="9910"/>
    <n v="25690"/>
    <n v="0"/>
    <s v="DONE"/>
    <s v="371"/>
    <m/>
    <s v="13-02-2025"/>
    <s v="13-02-2025"/>
    <x v="0"/>
    <x v="16"/>
  </r>
  <r>
    <n v="362"/>
    <x v="9"/>
    <d v="2025-02-10T00:00:00"/>
    <x v="0"/>
    <s v="AP39HV-5498"/>
    <n v="9627693845"/>
    <s v="RANCHI"/>
    <s v="HOSKOTE,741244"/>
    <s v="BOMMANSANDRA,042223"/>
    <s v="22FEET"/>
    <n v="27170"/>
    <n v="41900"/>
    <n v="14730"/>
    <n v="27170"/>
    <m/>
    <s v="DONE"/>
    <s v="373"/>
    <m/>
    <s v="14-02-2025"/>
    <s v="14-02-2025"/>
    <x v="0"/>
    <x v="16"/>
  </r>
  <r>
    <n v="363"/>
    <x v="9"/>
    <d v="2025-02-11T00:00:00"/>
    <x v="0"/>
    <s v="TN12PL-2365"/>
    <n v="9094784928"/>
    <s v="RANCHI"/>
    <s v="NARSAPUR,233059"/>
    <s v="BOMMANSANDRA,455460"/>
    <s v="32FEET SXL "/>
    <n v="33770"/>
    <n v="46620"/>
    <n v="12850"/>
    <n v="33770"/>
    <n v="0"/>
    <s v="DONE"/>
    <s v="374"/>
    <m/>
    <s v="15-02-2025"/>
    <s v="15-02-2025"/>
    <x v="0"/>
    <x v="16"/>
  </r>
  <r>
    <n v="364"/>
    <x v="9"/>
    <d v="2025-02-11T00:00:00"/>
    <x v="0"/>
    <s v="KA52W-0583"/>
    <n v="9474555859"/>
    <s v="RANCHI"/>
    <s v="N/A"/>
    <s v="HOSKOTE,419115"/>
    <s v="22FEET"/>
    <n v="25690"/>
    <n v="35600"/>
    <n v="9910"/>
    <n v="25690"/>
    <n v="0"/>
    <s v="DONE"/>
    <s v="375"/>
    <m/>
    <s v="15-02-2025"/>
    <s v="15-02-2025"/>
    <x v="0"/>
    <x v="21"/>
  </r>
  <r>
    <n v="365"/>
    <x v="9"/>
    <d v="2025-02-12T00:00:00"/>
    <x v="4"/>
    <s v="JH01KM-4371"/>
    <n v="9515412075"/>
    <s v="HASSAN"/>
    <s v="DODABALLAPUR 561248"/>
    <s v="RANCHI 949855"/>
    <s v="24FEET"/>
    <n v="53670"/>
    <n v="103320"/>
    <n v="49650"/>
    <n v="53670"/>
    <n v="0"/>
    <s v="DONE"/>
    <s v="376"/>
    <m/>
    <s v="15-02-2025"/>
    <s v="15-02-2025"/>
    <x v="0"/>
    <x v="3"/>
  </r>
  <r>
    <n v="366"/>
    <x v="9"/>
    <d v="2025-02-12T00:00:00"/>
    <x v="0"/>
    <s v="WB19C-4587"/>
    <n v="9316541121"/>
    <s v="RANCHI"/>
    <s v="NARSAPUR 712703 + HOSKOTE 850611"/>
    <s v="BOMMANSANDRA 506553"/>
    <s v="32FEET SXL "/>
    <n v="35780"/>
    <n v="52920"/>
    <n v="17140"/>
    <n v="35780"/>
    <n v="0"/>
    <s v="DONE"/>
    <s v="377"/>
    <m/>
    <s v="16-02-2025"/>
    <s v="16-02-2025"/>
    <x v="0"/>
    <x v="21"/>
  </r>
  <r>
    <n v="367"/>
    <x v="9"/>
    <d v="2025-02-13T00:00:00"/>
    <x v="0"/>
    <s v="KA52W-3558"/>
    <n v="9186669466"/>
    <s v="RANCHI"/>
    <s v="NARSAPUR 966952"/>
    <s v="BOMMANSANDRA 921467"/>
    <s v="22FEET"/>
    <n v="27170"/>
    <n v="41900"/>
    <n v="14730"/>
    <n v="27170"/>
    <n v="0"/>
    <s v="DONE"/>
    <s v="378"/>
    <m/>
    <s v="17-02-2025"/>
    <s v="17-02-2025"/>
    <x v="0"/>
    <x v="16"/>
  </r>
  <r>
    <n v="368"/>
    <x v="9"/>
    <d v="2025-02-14T00:00:00"/>
    <x v="0"/>
    <s v="TN03P-7223"/>
    <n v="9464149815"/>
    <s v="HASSAN"/>
    <s v="N/A"/>
    <s v="RANCHI 466029"/>
    <s v="20FEET"/>
    <n v="47530"/>
    <n v="59850"/>
    <n v="12320"/>
    <n v="47530"/>
    <n v="0"/>
    <s v="DONE"/>
    <s v="379"/>
    <m/>
    <s v="18-02-2025"/>
    <s v="18-02-2025"/>
    <x v="0"/>
    <x v="16"/>
  </r>
  <r>
    <n v="369"/>
    <x v="9"/>
    <d v="2025-02-14T00:00:00"/>
    <x v="0"/>
    <s v="TN02PM-3513"/>
    <n v="9240373331"/>
    <s v="RANCHI"/>
    <s v="HOSKOTE 045547"/>
    <s v="BOMMANSANDRA 472421"/>
    <s v="22FEET"/>
    <n v="27170"/>
    <n v="41900"/>
    <n v="14730"/>
    <n v="27170"/>
    <n v="0"/>
    <s v="DONE"/>
    <s v="380"/>
    <m/>
    <s v="19-02-2025"/>
    <s v="19-02-2025"/>
    <x v="0"/>
    <x v="16"/>
  </r>
  <r>
    <n v="370"/>
    <x v="9"/>
    <d v="2025-02-15T00:00:00"/>
    <x v="0"/>
    <s v="TN87J-9423"/>
    <n v="9543714187"/>
    <s v="RANCHI"/>
    <s v="N/A"/>
    <s v="NARSAPUR 734368"/>
    <s v="20FEET"/>
    <n v="26220"/>
    <n v="35600"/>
    <n v="9380"/>
    <n v="26220"/>
    <n v="0"/>
    <s v="DONE"/>
    <s v="381"/>
    <m/>
    <s v="19-02-2025"/>
    <s v="19-02-2025"/>
    <x v="0"/>
    <x v="16"/>
  </r>
  <r>
    <n v="371"/>
    <x v="9"/>
    <d v="2025-02-15T00:00:00"/>
    <x v="4"/>
    <s v="JH01KM-8803"/>
    <n v="9589264337"/>
    <s v="TIRUPPUR"/>
    <s v="VENDOR F"/>
    <s v="RANCHI 081831"/>
    <s v="32FEET SXL "/>
    <n v="53580"/>
    <n v="102690"/>
    <n v="49110"/>
    <n v="53580"/>
    <n v="0"/>
    <s v="DONE"/>
    <s v="382"/>
    <m/>
    <s v="18-02-2025"/>
    <s v="18-02-2025"/>
    <x v="0"/>
    <x v="3"/>
  </r>
  <r>
    <n v="372"/>
    <x v="9"/>
    <d v="2025-02-16T00:00:00"/>
    <x v="0"/>
    <s v="KA50K-1403"/>
    <n v="9392459879"/>
    <s v="RANCHI"/>
    <s v="NARSAPUR 705075 + HOSKOTE 818532"/>
    <s v="BOMMANSANDRA 117744"/>
    <s v="22FEET"/>
    <n v="28650"/>
    <n v="48200"/>
    <n v="19550"/>
    <n v="28650"/>
    <n v="0"/>
    <s v="DONE"/>
    <s v="383"/>
    <m/>
    <s v="20-02-2025"/>
    <s v="20-02-2025"/>
    <x v="0"/>
    <x v="21"/>
  </r>
  <r>
    <n v="373"/>
    <x v="9"/>
    <d v="2025-02-16T00:00:00"/>
    <x v="0"/>
    <s v="MH46JT-7405"/>
    <n v="9046784191"/>
    <s v="RANCHI"/>
    <s v="NARSAPUR 995352 + HOSKOTE 042065"/>
    <s v="BOMMANSANDRA 938257"/>
    <s v="20FEET"/>
    <n v="29450"/>
    <n v="48200"/>
    <n v="18750"/>
    <n v="29450"/>
    <n v="0"/>
    <s v="DONE"/>
    <s v="384"/>
    <m/>
    <s v="24-02-2025"/>
    <s v="25-02-2025"/>
    <x v="0"/>
    <x v="21"/>
  </r>
  <r>
    <n v="374"/>
    <x v="9"/>
    <d v="2025-02-17T00:00:00"/>
    <x v="0"/>
    <s v="HR61T-4936"/>
    <n v="9333999970"/>
    <s v="RANCHI"/>
    <s v="NARSAPUR 259884"/>
    <s v="HOSKOTE 252530"/>
    <s v="32FEET SXL "/>
    <n v="34840"/>
    <n v="46620"/>
    <n v="11780"/>
    <n v="34840"/>
    <n v="0"/>
    <s v="DONE"/>
    <s v="385"/>
    <m/>
    <s v="22-02-2025"/>
    <s v="22-02-2025"/>
    <x v="0"/>
    <x v="21"/>
  </r>
  <r>
    <n v="375"/>
    <x v="9"/>
    <d v="2025-02-18T00:00:00"/>
    <x v="0"/>
    <s v="KA52K-0229"/>
    <n v="9654538123"/>
    <s v="RANCHI"/>
    <s v="N/A"/>
    <s v="NARSAPUR 133873"/>
    <s v="20FEET"/>
    <n v="25690"/>
    <n v="35600"/>
    <n v="9910"/>
    <n v="25690"/>
    <n v="0"/>
    <s v="DONE"/>
    <s v="386"/>
    <m/>
    <s v="22-02-2025"/>
    <s v="22-02-2025"/>
    <x v="0"/>
    <x v="16"/>
  </r>
  <r>
    <n v="376"/>
    <x v="9"/>
    <d v="2025-02-18T00:00:00"/>
    <x v="4"/>
    <s v="JH01KM-8803"/>
    <n v="9589264337"/>
    <s v="RANCHI"/>
    <s v="NARSAPUR 162634 + HOSKOTE 933950"/>
    <s v="BOMMANSANDRA 681771"/>
    <s v="32FEET SXL "/>
    <n v="46110"/>
    <n v="52920"/>
    <n v="6810"/>
    <n v="46110"/>
    <n v="0"/>
    <s v="DONE"/>
    <s v="387"/>
    <m/>
    <s v="23-02-2025"/>
    <s v="23-02-2025"/>
    <x v="0"/>
    <x v="3"/>
  </r>
  <r>
    <n v="377"/>
    <x v="9"/>
    <d v="2025-02-20T00:00:00"/>
    <x v="0"/>
    <s v="KA27W-8395"/>
    <n v="9198965551"/>
    <s v="RANCHI"/>
    <s v="NARSAPUR 893394 + HOSKOTE 561705"/>
    <s v="BOMMANSANDRA 421762"/>
    <s v="20FEET"/>
    <n v="29720"/>
    <n v="48200"/>
    <n v="18480"/>
    <n v="29720"/>
    <n v="0"/>
    <s v="DONE"/>
    <s v="388"/>
    <m/>
    <s v="24-02-2025"/>
    <s v="24-02-2025"/>
    <x v="0"/>
    <x v="21"/>
  </r>
  <r>
    <n v="378"/>
    <x v="9"/>
    <d v="2025-02-20T00:00:00"/>
    <x v="0"/>
    <s v="TN93R-4644"/>
    <n v="9108592771"/>
    <s v="TIRUPPUR"/>
    <s v="N/A"/>
    <s v="RANCHI 866806"/>
    <s v="32FEET SXL "/>
    <n v="66400"/>
    <n v="96390"/>
    <n v="29990"/>
    <n v="66400"/>
    <n v="0"/>
    <s v="DONE"/>
    <s v="389"/>
    <m/>
    <s v="24-02-2025"/>
    <s v="24-02-2025"/>
    <x v="0"/>
    <x v="16"/>
  </r>
  <r>
    <n v="379"/>
    <x v="9"/>
    <d v="2025-02-20T00:00:00"/>
    <x v="0"/>
    <s v="WB05J-8975"/>
    <n v="9429515554"/>
    <s v="TIRUPPUR"/>
    <s v="ERODE 446506"/>
    <s v="RANCHI 223523"/>
    <s v="32FEET MXL"/>
    <n v="86620"/>
    <n v="102690"/>
    <n v="16070"/>
    <n v="86620"/>
    <n v="0"/>
    <s v="DONE"/>
    <s v="390"/>
    <m/>
    <s v="24-02-2025"/>
    <s v="24-02-2025"/>
    <x v="0"/>
    <x v="30"/>
  </r>
  <r>
    <n v="380"/>
    <x v="9"/>
    <d v="2025-02-21T00:00:00"/>
    <x v="0"/>
    <s v="TN93R-5719"/>
    <n v="9754088991"/>
    <s v="RANCHI"/>
    <s v="NARSAPUR 070726"/>
    <s v="HOSKOTE 04517"/>
    <s v="32FEET"/>
    <n v="33770"/>
    <n v="46620"/>
    <n v="12850"/>
    <n v="33770"/>
    <m/>
    <s v="DONE"/>
    <s v="391"/>
    <m/>
    <s v="25-02-2025"/>
    <s v="25-02-2025"/>
    <x v="0"/>
    <x v="16"/>
  </r>
  <r>
    <n v="381"/>
    <x v="9"/>
    <d v="2025-02-21T00:00:00"/>
    <x v="0"/>
    <s v="TN37VP-9118"/>
    <n v="9888315374"/>
    <s v="RANCHI"/>
    <s v="N/A"/>
    <s v="NARSAPUR 718079"/>
    <s v="20FEET"/>
    <n v="26220"/>
    <n v="35600"/>
    <n v="9380"/>
    <n v="26220"/>
    <n v="0"/>
    <s v="DONE"/>
    <s v="392"/>
    <m/>
    <s v="25-02-2025"/>
    <s v="25-02-2025"/>
    <x v="0"/>
    <x v="16"/>
  </r>
  <r>
    <n v="382"/>
    <x v="9"/>
    <d v="2025-02-22T00:00:00"/>
    <x v="0"/>
    <s v="NL01DJ-0164"/>
    <n v="9648819659"/>
    <s v="RANCHI"/>
    <s v="N/A"/>
    <s v="NARSAPUR 373366"/>
    <s v="32FEET SXL "/>
    <n v="32290"/>
    <n v="40320"/>
    <n v="8030"/>
    <n v="29650"/>
    <n v="2640"/>
    <s v="DONE"/>
    <s v="393"/>
    <m/>
    <s v="27-02-2025"/>
    <s v="27-02-2025"/>
    <x v="0"/>
    <x v="6"/>
  </r>
  <r>
    <n v="383"/>
    <x v="9"/>
    <d v="2025-02-22T00:00:00"/>
    <x v="0"/>
    <s v="TN73ES-1287"/>
    <n v="9695227535"/>
    <s v="RANCHI"/>
    <s v="NARSAPUR 318942"/>
    <s v="HOSKOTE 022464"/>
    <s v="20FEET"/>
    <n v="27700"/>
    <n v="41900"/>
    <n v="14200"/>
    <n v="27700"/>
    <n v="0"/>
    <s v="DONE"/>
    <s v="394"/>
    <m/>
    <s v="26-02-2025"/>
    <s v="26-02-2025"/>
    <x v="0"/>
    <x v="16"/>
  </r>
  <r>
    <n v="384"/>
    <x v="9"/>
    <d v="2025-02-22T00:00:00"/>
    <x v="0"/>
    <s v="TN42BX-2964"/>
    <n v="9899284691"/>
    <s v="TIRUPPUR"/>
    <s v="N/A"/>
    <s v="RANCHI 492257"/>
    <s v="32FEET MXL"/>
    <n v="82530"/>
    <n v="103950"/>
    <n v="21420"/>
    <n v="82530"/>
    <n v="0"/>
    <s v="DONE"/>
    <s v="395"/>
    <m/>
    <s v="27-02-2025"/>
    <s v="27-02-2025"/>
    <x v="0"/>
    <x v="16"/>
  </r>
  <r>
    <n v="385"/>
    <x v="9"/>
    <d v="2025-02-22T00:00:00"/>
    <x v="4"/>
    <s v="JH01KM-8803"/>
    <n v="9589264337"/>
    <s v="TIRUPPUR"/>
    <s v="N/A"/>
    <s v="RANCHI 152212"/>
    <s v="32FEET SXL "/>
    <n v="52630"/>
    <n v="96390"/>
    <n v="43760"/>
    <n v="52630"/>
    <n v="0"/>
    <s v="DONE"/>
    <s v="396"/>
    <m/>
    <s v="28-02-2025"/>
    <s v="28-02-2025"/>
    <x v="0"/>
    <x v="3"/>
  </r>
  <r>
    <n v="386"/>
    <x v="9"/>
    <d v="2025-02-24T00:00:00"/>
    <x v="0"/>
    <s v="KA02GM-9724"/>
    <n v="9149905009"/>
    <s v="RANCHI"/>
    <s v="NARSAPUR 141555"/>
    <s v="BOMMANSANDRA 786716"/>
    <s v="22FEET"/>
    <n v="27700"/>
    <n v="41900"/>
    <n v="14200"/>
    <n v="27700"/>
    <n v="0"/>
    <s v="DONE"/>
    <s v="397"/>
    <m/>
    <s v="27-02-2025"/>
    <s v="27-02-2025"/>
    <x v="0"/>
    <x v="21"/>
  </r>
  <r>
    <n v="387"/>
    <x v="9"/>
    <d v="2025-02-25T00:00:00"/>
    <x v="4"/>
    <s v="JH01KM-4371"/>
    <n v="9515412075"/>
    <s v="RANCHI"/>
    <s v="NARSAPUR ,256719"/>
    <s v="HOSKOTE 515665"/>
    <s v="24FEET"/>
    <n v="45780"/>
    <n v="50720"/>
    <n v="4940"/>
    <n v="45780"/>
    <n v="0"/>
    <s v="DONE"/>
    <s v="398"/>
    <m/>
    <s v="28-02-2025"/>
    <s v="28-02-2025"/>
    <x v="0"/>
    <x v="3"/>
  </r>
  <r>
    <n v="388"/>
    <x v="9"/>
    <d v="2025-02-25T00:00:00"/>
    <x v="0"/>
    <s v="TN93R-4644"/>
    <n v="9108592771"/>
    <s v="RANCHI"/>
    <s v="N/A"/>
    <s v="NARSAPUR 415939"/>
    <s v="32FEET SXL "/>
    <n v="32600"/>
    <n v="45990"/>
    <n v="13390"/>
    <n v="32600"/>
    <n v="0"/>
    <s v="DONE"/>
    <s v="399"/>
    <m/>
    <s v="28-02-2025"/>
    <s v="28-02-2025"/>
    <x v="0"/>
    <x v="16"/>
  </r>
  <r>
    <n v="389"/>
    <x v="9"/>
    <d v="2025-02-26T00:00:00"/>
    <x v="0"/>
    <s v="BY AIR "/>
    <m/>
    <s v="RANCHI"/>
    <s v="N/A"/>
    <s v="NARSAPUR,285737"/>
    <s v="FLIGHT"/>
    <n v="63600"/>
    <n v="74060"/>
    <n v="10460"/>
    <n v="63600"/>
    <n v="0"/>
    <s v="DONE"/>
    <s v="400"/>
    <m/>
    <s v="27-02-2025"/>
    <s v="27-02-2025"/>
    <x v="0"/>
    <x v="14"/>
  </r>
  <r>
    <n v="390"/>
    <x v="9"/>
    <d v="2025-02-26T00:00:00"/>
    <x v="0"/>
    <s v="BY AIR "/>
    <m/>
    <s v="RANCHI"/>
    <s v="N/A"/>
    <s v="NARSAPUR,294025"/>
    <s v="FLIGHT"/>
    <n v="68190"/>
    <n v="76140"/>
    <n v="7950"/>
    <n v="68190"/>
    <n v="0"/>
    <s v="DONE"/>
    <s v="401"/>
    <m/>
    <s v="27-02-2025"/>
    <s v="27-02-2025"/>
    <x v="0"/>
    <x v="14"/>
  </r>
  <r>
    <n v="391"/>
    <x v="9"/>
    <d v="2025-02-26T00:00:00"/>
    <x v="0"/>
    <s v="BY AIR "/>
    <m/>
    <s v="RANCHI"/>
    <s v="N/A"/>
    <s v="NARSAPUR,886719"/>
    <s v="FLIGHT"/>
    <n v="45740"/>
    <n v="49100"/>
    <n v="3360"/>
    <n v="45740"/>
    <n v="0"/>
    <s v="DONE"/>
    <s v="402"/>
    <m/>
    <s v="27-02-2025"/>
    <s v="27-02-2025"/>
    <x v="0"/>
    <x v="14"/>
  </r>
  <r>
    <n v="392"/>
    <x v="9"/>
    <d v="2025-02-26T00:00:00"/>
    <x v="0"/>
    <s v="BY AIR "/>
    <m/>
    <s v="RANCHI"/>
    <s v="N/A"/>
    <s v="HOSKOTE,062937"/>
    <s v="FLIGHT"/>
    <n v="54620"/>
    <n v="64010"/>
    <n v="9390"/>
    <n v="54620"/>
    <n v="0"/>
    <s v="DONE"/>
    <s v="403"/>
    <m/>
    <s v="27-02-2025"/>
    <s v="27-02-2025"/>
    <x v="0"/>
    <x v="14"/>
  </r>
  <r>
    <n v="393"/>
    <x v="9"/>
    <d v="2025-02-27T00:00:00"/>
    <x v="0"/>
    <s v="BY AIR "/>
    <m/>
    <s v="RANCHI"/>
    <s v="N/A"/>
    <s v="NARSAPUR,444052"/>
    <s v="FLIGHT"/>
    <n v="29830"/>
    <n v="32430"/>
    <n v="2600"/>
    <n v="29830"/>
    <n v="0"/>
    <s v="DONE"/>
    <s v="404"/>
    <m/>
    <s v="28-02-2025"/>
    <s v="28-02-2025"/>
    <x v="0"/>
    <x v="14"/>
  </r>
  <r>
    <n v="394"/>
    <x v="9"/>
    <d v="2025-02-27T00:00:00"/>
    <x v="0"/>
    <s v="BY AIR "/>
    <m/>
    <s v="RANCHI"/>
    <s v="N/A"/>
    <s v="BOMMANSANDRA,238666"/>
    <s v="FLIGHT"/>
    <n v="91960"/>
    <n v="99730"/>
    <n v="7770"/>
    <n v="91960"/>
    <n v="0"/>
    <s v="DONE"/>
    <s v="405"/>
    <m/>
    <s v="28-02-2025"/>
    <s v="29-02-2025"/>
    <x v="0"/>
    <x v="14"/>
  </r>
  <r>
    <n v="395"/>
    <x v="9"/>
    <d v="2025-02-18T00:00:00"/>
    <x v="4"/>
    <s v="JH01KM-4371"/>
    <n v="9515412075"/>
    <s v="FACTORY"/>
    <s v="LOCAL "/>
    <s v="TAIMARA RANCHI,424286"/>
    <s v="24FEET"/>
    <n v="2430"/>
    <n v="4410"/>
    <n v="1980"/>
    <n v="2430"/>
    <n v="0"/>
    <s v="DONE"/>
    <s v="406"/>
    <m/>
    <s v="18-02-2025"/>
    <s v="18-02-2025"/>
    <x v="0"/>
    <x v="3"/>
  </r>
  <r>
    <n v="396"/>
    <x v="9"/>
    <d v="2025-02-20T00:00:00"/>
    <x v="4"/>
    <s v="JH01KM-4371"/>
    <n v="9515412075"/>
    <s v="FACTORY"/>
    <s v="LOCAL"/>
    <s v="RAMPUR RANCHI ,543545"/>
    <s v="24FEET"/>
    <n v="2430"/>
    <n v="4410"/>
    <n v="1980"/>
    <n v="2430"/>
    <n v="0"/>
    <s v="DONE"/>
    <s v="407"/>
    <m/>
    <s v="20-03-2025"/>
    <s v="20-03-2025"/>
    <x v="0"/>
    <x v="3"/>
  </r>
  <r>
    <n v="397"/>
    <x v="9"/>
    <d v="2025-02-20T00:00:00"/>
    <x v="4"/>
    <s v="JH01KM-4371"/>
    <n v="9515412075"/>
    <s v="FACTORY"/>
    <s v="LOCAL"/>
    <s v="RAMPUR RANCHI ,020009"/>
    <s v="24FEET"/>
    <n v="2430"/>
    <n v="4410"/>
    <n v="1980"/>
    <n v="2430"/>
    <n v="0"/>
    <s v="DONE"/>
    <s v="408"/>
    <m/>
    <s v="20-03-2025"/>
    <s v="20-03-2025"/>
    <x v="0"/>
    <x v="3"/>
  </r>
  <r>
    <n v="398"/>
    <x v="9"/>
    <d v="2025-02-21T00:00:00"/>
    <x v="4"/>
    <s v="JH0KM-4371"/>
    <n v="9515412075"/>
    <s v="FACTORY"/>
    <s v="LOCAL"/>
    <s v="RAMPUR RANCHI ,245345"/>
    <s v="24FEET"/>
    <n v="2430"/>
    <n v="4410"/>
    <n v="1980"/>
    <n v="2430"/>
    <n v="0"/>
    <s v="DONE"/>
    <s v="409"/>
    <m/>
    <s v="21-03-2025"/>
    <s v="21-03-2025"/>
    <x v="0"/>
    <x v="3"/>
  </r>
  <r>
    <n v="399"/>
    <x v="9"/>
    <d v="2025-02-27T00:00:00"/>
    <x v="0"/>
    <s v="JH01MJ-4160"/>
    <n v="9137963915"/>
    <s v="TETRI RAMPUR"/>
    <s v="LOCAL"/>
    <s v="FACTORY,258593"/>
    <s v="14FEET"/>
    <n v="1540"/>
    <n v="3150"/>
    <n v="1610"/>
    <n v="1540"/>
    <n v="0"/>
    <s v="DONE"/>
    <s v="410"/>
    <m/>
    <s v="27-03-2025"/>
    <s v="27-03-2025"/>
    <x v="0"/>
    <x v="24"/>
  </r>
  <r>
    <n v="395"/>
    <x v="9"/>
    <d v="2025-02-27T00:00:00"/>
    <x v="0"/>
    <s v="KA05TT-6307"/>
    <n v="9412166704"/>
    <s v="RANCHI"/>
    <s v="NARSAPUR"/>
    <s v="HOSKOTE,912051"/>
    <s v="20FEET"/>
    <n v="28780"/>
    <n v="41900"/>
    <n v="13120"/>
    <n v="28780"/>
    <n v="0"/>
    <s v="DONE"/>
    <s v="411"/>
    <m/>
    <s v="03-03-2025"/>
    <s v="04-03-2025"/>
    <x v="0"/>
    <x v="21"/>
  </r>
  <r>
    <n v="396"/>
    <x v="9"/>
    <d v="2025-02-28T00:00:00"/>
    <x v="0"/>
    <s v="KA51K-8128"/>
    <n v="9404651256"/>
    <s v="RANCHI"/>
    <s v="NARSAPUR 372802 + HOSKOTE 300126"/>
    <s v="BOMMANSANDRA 761602"/>
    <s v="20FEET"/>
    <n v="28650"/>
    <n v="48200"/>
    <n v="19550"/>
    <n v="28650"/>
    <n v="0"/>
    <s v="DONE"/>
    <s v="412"/>
    <m/>
    <s v="05-03-2025"/>
    <s v="05-03-2025"/>
    <x v="0"/>
    <x v="16"/>
  </r>
  <r>
    <n v="397"/>
    <x v="9"/>
    <d v="2025-02-28T00:00:00"/>
    <x v="4"/>
    <s v="JH01KM-4371"/>
    <n v="9515412075"/>
    <s v="MYSORE"/>
    <s v="N/A"/>
    <s v="RANCHI ,458639"/>
    <s v="24FEET"/>
    <n v="51880"/>
    <n v="91350"/>
    <n v="39470"/>
    <n v="51880"/>
    <n v="0"/>
    <s v="DONE"/>
    <s v="413"/>
    <m/>
    <s v="03-03-2025"/>
    <s v="04-03-2025"/>
    <x v="0"/>
    <x v="3"/>
  </r>
  <r>
    <n v="398"/>
    <x v="9"/>
    <d v="2025-02-28T00:00:00"/>
    <x v="0"/>
    <s v="TN93L-8071"/>
    <n v="9479119465"/>
    <s v="TIRUPPUR"/>
    <s v="N/A"/>
    <s v="RANCHI 193072.909"/>
    <s v="32FEET SXL "/>
    <n v="66940"/>
    <n v="96390"/>
    <n v="29450"/>
    <n v="66940"/>
    <n v="0"/>
    <s v="DONE"/>
    <s v="414"/>
    <m/>
    <s v="04-03-2025"/>
    <s v="04-03-2025"/>
    <x v="0"/>
    <x v="16"/>
  </r>
  <r>
    <n v="399"/>
    <x v="10"/>
    <s v="01-03-2025"/>
    <x v="4"/>
    <s v="JH01KM-8803"/>
    <n v="9589264337"/>
    <s v="RANCHI"/>
    <s v="NARSAPUR 323264"/>
    <s v="HOSKOTE 809696"/>
    <s v="32FEET SXL "/>
    <n v="45170"/>
    <n v="46620"/>
    <n v="1450"/>
    <n v="45170"/>
    <n v="0"/>
    <s v="DONE"/>
    <s v="415"/>
    <m/>
    <s v="04-03-2025"/>
    <s v="05-03-2025"/>
    <x v="0"/>
    <x v="3"/>
  </r>
  <r>
    <n v="400"/>
    <x v="10"/>
    <d v="2025-03-01T00:00:00"/>
    <x v="0"/>
    <s v="TN88Z-9167"/>
    <n v="9225675104"/>
    <s v="TIRUPPUR"/>
    <s v="N/A"/>
    <s v="RANCHI 971150"/>
    <s v="20FEET"/>
    <n v="50210"/>
    <n v="59850"/>
    <n v="9640"/>
    <n v="50210"/>
    <n v="0"/>
    <s v="DONE"/>
    <s v="416"/>
    <m/>
    <s v="04-03-2025"/>
    <s v="05-03-2025"/>
    <x v="0"/>
    <x v="16"/>
  </r>
  <r>
    <n v="401"/>
    <x v="10"/>
    <d v="2025-03-03T00:00:00"/>
    <x v="0"/>
    <s v="NL01JS-5216"/>
    <n v="9229766792"/>
    <s v="KOLKATA"/>
    <s v="N/A"/>
    <s v="RANCHI 495462"/>
    <s v="32FEET SXL "/>
    <n v="18300"/>
    <n v="22050"/>
    <n v="3750"/>
    <n v="18300"/>
    <n v="0"/>
    <s v="DONE"/>
    <s v="417"/>
    <m/>
    <s v="04-03-2025"/>
    <s v="04-03-2025"/>
    <x v="0"/>
    <x v="31"/>
  </r>
  <r>
    <n v="402"/>
    <x v="10"/>
    <d v="2025-03-03T00:00:00"/>
    <x v="0"/>
    <s v="KA22W-8015"/>
    <n v="9501087125"/>
    <s v="RANCHI"/>
    <s v="NARSAPUR 813020"/>
    <s v="HOSKOTE 846755"/>
    <s v="24FEET"/>
    <n v="30320"/>
    <n v="45040"/>
    <n v="14720"/>
    <n v="30320"/>
    <n v="0"/>
    <s v="DONE"/>
    <s v="418"/>
    <m/>
    <s v="07-03-2025"/>
    <s v="07-03-2025"/>
    <x v="0"/>
    <x v="16"/>
  </r>
  <r>
    <n v="403"/>
    <x v="10"/>
    <d v="2025-03-05T00:00:00"/>
    <x v="0"/>
    <s v="TN93L-8071"/>
    <n v="9479119465"/>
    <s v="RANCHI"/>
    <s v="N/A"/>
    <s v="NARSAPUR 230243"/>
    <s v="32FEET SXL "/>
    <n v="31750"/>
    <n v="40320"/>
    <n v="8570"/>
    <n v="31750"/>
    <n v="0"/>
    <s v="DONE"/>
    <s v="419"/>
    <m/>
    <s v="08-03-2025"/>
    <s v="08-03-2025"/>
    <x v="0"/>
    <x v="16"/>
  </r>
  <r>
    <n v="404"/>
    <x v="10"/>
    <d v="2025-03-05T00:00:00"/>
    <x v="0"/>
    <s v="TN37NR-2471"/>
    <n v="9336977588"/>
    <s v="RANCHI"/>
    <s v="HOSKOTE 122487"/>
    <s v="BOMMANSANDRA 677193"/>
    <s v="20FEET"/>
    <n v="27170"/>
    <n v="41900"/>
    <n v="14730"/>
    <n v="27170"/>
    <n v="0"/>
    <s v="DONE"/>
    <s v="420"/>
    <m/>
    <s v="10-03-2025"/>
    <s v="10-03-2025"/>
    <x v="0"/>
    <x v="16"/>
  </r>
  <r>
    <n v="405"/>
    <x v="10"/>
    <d v="2025-03-05T00:00:00"/>
    <x v="4"/>
    <s v="JH01KM-4371"/>
    <n v="9515412075"/>
    <s v="RANCHI"/>
    <s v="NARSAPUR 180778 + HOSKOTE 888780"/>
    <s v="BOMMANSANDRA 076718"/>
    <s v="24FEET"/>
    <n v="45880"/>
    <n v="51340"/>
    <n v="5460"/>
    <n v="45880"/>
    <n v="0"/>
    <s v="DONE"/>
    <s v="421"/>
    <m/>
    <s v="10-03-2025"/>
    <s v="10-03-2025"/>
    <x v="0"/>
    <x v="3"/>
  </r>
  <r>
    <n v="406"/>
    <x v="10"/>
    <d v="2025-03-05T00:00:00"/>
    <x v="0"/>
    <s v="KA59-4493"/>
    <n v="9651106045"/>
    <s v="TIRUPPUR"/>
    <s v="N/A"/>
    <s v="RANCHI ,132346"/>
    <s v="32FEET SXL "/>
    <n v="70690"/>
    <n v="96390"/>
    <n v="25700"/>
    <n v="70690"/>
    <n v="0"/>
    <s v="DONE"/>
    <s v="422"/>
    <m/>
    <s v="08-03-2025"/>
    <s v="08-03-2025"/>
    <x v="0"/>
    <x v="32"/>
  </r>
  <r>
    <n v="407"/>
    <x v="10"/>
    <d v="2025-03-06T00:00:00"/>
    <x v="0"/>
    <s v="KA05XD-8363"/>
    <n v="9973550893"/>
    <s v="RANCHI"/>
    <s v="NARSAPUR 43610"/>
    <s v="HOSKOTE 351709"/>
    <s v="24FEET"/>
    <n v="29250"/>
    <n v="45040"/>
    <n v="15790"/>
    <n v="29250"/>
    <n v="0"/>
    <s v="DONE"/>
    <s v="423"/>
    <m/>
    <s v="10-03-2025"/>
    <s v="10-03-2025"/>
    <x v="0"/>
    <x v="32"/>
  </r>
  <r>
    <n v="408"/>
    <x v="10"/>
    <d v="2025-03-06T00:00:00"/>
    <x v="0"/>
    <s v="TN88R-3691"/>
    <n v="9717182270"/>
    <s v="RANCHI"/>
    <s v="N/A"/>
    <s v="NARSAPUR 830384"/>
    <s v="32FEET SXL "/>
    <n v="31750"/>
    <n v="40320"/>
    <n v="8570"/>
    <n v="31750"/>
    <n v="0"/>
    <s v="DONE"/>
    <s v="424"/>
    <m/>
    <s v="10-03-2025"/>
    <s v="10-03-2025"/>
    <x v="0"/>
    <x v="21"/>
  </r>
  <r>
    <n v="409"/>
    <x v="10"/>
    <d v="2025-03-06T00:00:00"/>
    <x v="4"/>
    <s v="JH01KM-8803"/>
    <n v="9589264337"/>
    <s v="TIRUPPUR"/>
    <s v="MYSORE ,350412"/>
    <s v="RANCHI ,327710"/>
    <s v="32FEET SXL "/>
    <n v="53580"/>
    <n v="102690"/>
    <n v="49110"/>
    <n v="53580"/>
    <n v="0"/>
    <s v="DONE"/>
    <s v="425"/>
    <m/>
    <s v="11-03-2025"/>
    <s v="11-03-2025"/>
    <x v="0"/>
    <x v="3"/>
  </r>
  <r>
    <n v="410"/>
    <x v="10"/>
    <d v="2025-03-07T00:00:00"/>
    <x v="0"/>
    <s v="TN12PL-2257"/>
    <n v="9235279810"/>
    <s v="RANCHI"/>
    <s v="NARSAPUR 738194 + HOSKOTE 481413"/>
    <s v="BOMMANSANDRA 391356"/>
    <s v="32FEET SXL "/>
    <n v="34710"/>
    <n v="52920"/>
    <n v="18210"/>
    <n v="34710"/>
    <n v="0"/>
    <s v="DONE"/>
    <s v="426"/>
    <m/>
    <s v="11-03-2025"/>
    <s v="11-03-2025"/>
    <x v="0"/>
    <x v="16"/>
  </r>
  <r>
    <n v="411"/>
    <x v="10"/>
    <d v="2025-03-07T00:00:00"/>
    <x v="0"/>
    <s v="TN93T-4136"/>
    <n v="9674193351"/>
    <s v="TIRUPPUR"/>
    <s v="N/A"/>
    <s v="RANCHI,763531"/>
    <s v="20FEET"/>
    <n v="50210"/>
    <n v="59850"/>
    <n v="9640"/>
    <n v="50210"/>
    <n v="0"/>
    <s v="DONE"/>
    <s v="427"/>
    <m/>
    <s v="11-03-2025"/>
    <s v="11-03-2025"/>
    <x v="0"/>
    <x v="16"/>
  </r>
  <r>
    <n v="412"/>
    <x v="10"/>
    <d v="2025-03-08T00:00:00"/>
    <x v="0"/>
    <s v="KA52K-0229"/>
    <n v="9654538123"/>
    <s v="RANCHI"/>
    <s v="DODABALLAPUR,044016"/>
    <s v="NARSAPUR,787241"/>
    <s v="20FEET"/>
    <n v="26630"/>
    <n v="41900"/>
    <n v="15270"/>
    <n v="26630"/>
    <n v="0"/>
    <s v="DONE"/>
    <s v="428"/>
    <m/>
    <s v="12-03-2025"/>
    <s v="12-03-2025"/>
    <x v="0"/>
    <x v="16"/>
  </r>
  <r>
    <n v="413"/>
    <x v="10"/>
    <d v="2025-03-11T00:00:00"/>
    <x v="0"/>
    <s v="WB11U-0361"/>
    <n v="9521881687"/>
    <s v="RANCHI"/>
    <s v="N/A"/>
    <s v="NARSAPUR,915516"/>
    <s v="32FEET SXL "/>
    <n v="32290"/>
    <n v="40320"/>
    <n v="8030"/>
    <n v="32290"/>
    <n v="0"/>
    <s v="DONE"/>
    <s v="429"/>
    <m/>
    <s v="14-03-2025"/>
    <s v="14-03-2025"/>
    <x v="0"/>
    <x v="21"/>
  </r>
  <r>
    <n v="414"/>
    <x v="10"/>
    <d v="2025-03-11T00:00:00"/>
    <x v="0"/>
    <s v="KA50K-9916"/>
    <n v="9709943303"/>
    <s v="RANCHI"/>
    <s v="NARSAPUR 105730 + HOSKOTE 616903"/>
    <s v="BOMMANSANDRA 305971"/>
    <s v="22FEET"/>
    <n v="28110"/>
    <n v="48200"/>
    <n v="20090"/>
    <n v="28110"/>
    <n v="0"/>
    <s v="DONE"/>
    <s v="430"/>
    <m/>
    <s v="14-03-2025"/>
    <s v="14-03-2025"/>
    <x v="0"/>
    <x v="32"/>
  </r>
  <r>
    <n v="415"/>
    <x v="10"/>
    <d v="2025-03-11T00:00:00"/>
    <x v="4"/>
    <s v="JH01KM-8803"/>
    <n v="9589264337"/>
    <s v="RANCHI"/>
    <s v="NARSAPUR 972773"/>
    <s v="BOMMANSANDRA 434231"/>
    <s v="32FEET SXL "/>
    <n v="45170"/>
    <n v="46620"/>
    <n v="1450"/>
    <n v="45170"/>
    <n v="0"/>
    <s v="DONE"/>
    <s v="431"/>
    <m/>
    <s v="15-03-2025"/>
    <s v="15-03-2025"/>
    <x v="0"/>
    <x v="3"/>
  </r>
  <r>
    <n v="416"/>
    <x v="10"/>
    <d v="2025-03-11T00:00:00"/>
    <x v="4"/>
    <s v="JH01KM-4371"/>
    <n v="9515412075"/>
    <s v="ERODE"/>
    <s v="N/A"/>
    <s v="RANCHI 993202"/>
    <s v="24FEET "/>
    <n v="51880"/>
    <n v="91350"/>
    <n v="39470"/>
    <n v="51880"/>
    <n v="0"/>
    <s v="DONE"/>
    <s v="432"/>
    <m/>
    <s v="14-03-2025"/>
    <s v="14-03-2025"/>
    <x v="0"/>
    <x v="3"/>
  </r>
  <r>
    <n v="417"/>
    <x v="10"/>
    <d v="2025-03-12T00:00:00"/>
    <x v="0"/>
    <s v="TN93R-4644"/>
    <n v="9108592771"/>
    <s v="RANCHI"/>
    <s v="NARSAPUR 415551"/>
    <s v="BOMMANSANDRA 670850"/>
    <s v="32FEET SXL "/>
    <n v="33770"/>
    <n v="46620"/>
    <n v="12850"/>
    <n v="33770"/>
    <n v="0"/>
    <s v="DONE"/>
    <s v="433"/>
    <m/>
    <s v="15-03-2025"/>
    <s v="15-03-2025"/>
    <x v="0"/>
    <x v="16"/>
  </r>
  <r>
    <n v="418"/>
    <x v="10"/>
    <d v="2025-03-13T00:00:00"/>
    <x v="4"/>
    <s v="JH01KD-2417"/>
    <n v="9472230553"/>
    <s v="RANCHI"/>
    <s v="NARSAPUR 659292"/>
    <s v="HOSKOTE 007988 + BOMMANSANDRA 206270"/>
    <s v="32FEET SXL "/>
    <n v="46110"/>
    <n v="52920"/>
    <n v="6810"/>
    <n v="46110"/>
    <n v="0"/>
    <s v="DONE"/>
    <s v="434"/>
    <m/>
    <s v="17-03-2025"/>
    <s v="17-03-2025"/>
    <x v="0"/>
    <x v="3"/>
  </r>
  <r>
    <n v="419"/>
    <x v="10"/>
    <d v="2025-03-14T00:00:00"/>
    <x v="0"/>
    <s v="WB17K-1385"/>
    <n v="9909957772"/>
    <s v="TIRUPPUR"/>
    <s v="N/A"/>
    <s v="RANCHI 496906"/>
    <s v="32FEET SXL "/>
    <n v="66940"/>
    <n v="96390"/>
    <n v="29450"/>
    <n v="66940"/>
    <n v="0"/>
    <s v="DONE"/>
    <s v="435"/>
    <m/>
    <s v="18-03-2025"/>
    <s v="18-03-2025"/>
    <x v="0"/>
    <x v="32"/>
  </r>
  <r>
    <n v="420"/>
    <x v="10"/>
    <d v="2025-03-17T00:00:00"/>
    <x v="4"/>
    <s v="JH01KM-8803"/>
    <n v="9589264337"/>
    <s v="TIRUPPUR"/>
    <s v="N/A"/>
    <s v="RANCHI 755257"/>
    <s v="32FEET SXL "/>
    <n v="52630"/>
    <n v="96390"/>
    <n v="43760"/>
    <n v="52630"/>
    <n v="0"/>
    <s v="DONE"/>
    <s v="436"/>
    <m/>
    <s v="20-03-2025"/>
    <s v="20-03-2025"/>
    <x v="0"/>
    <x v="3"/>
  </r>
  <r>
    <n v="421"/>
    <x v="10"/>
    <d v="2025-03-18T00:00:00"/>
    <x v="4"/>
    <s v="JH01KD-2417"/>
    <n v="9472230553"/>
    <s v="TIRUPPUR"/>
    <s v="N/A"/>
    <s v="RANCHI  698017"/>
    <s v="32FEET SXL "/>
    <n v="52630"/>
    <n v="96390"/>
    <n v="43760"/>
    <n v="52630"/>
    <n v="0"/>
    <s v="DONE"/>
    <s v="437"/>
    <m/>
    <s v="21-03-2025"/>
    <s v="21-03-2025"/>
    <x v="0"/>
    <x v="3"/>
  </r>
  <r>
    <n v="422"/>
    <x v="10"/>
    <d v="2025-03-18T00:00:00"/>
    <x v="4"/>
    <s v="JH01KD-6142"/>
    <n v="9025368773"/>
    <s v="RANCHI"/>
    <s v="NARSAPUR 390400"/>
    <s v="HOSKOTE 432234"/>
    <s v="32FEET SXL "/>
    <n v="45170"/>
    <n v="46620"/>
    <n v="1450"/>
    <n v="45170"/>
    <n v="0"/>
    <s v="DONE"/>
    <s v="438"/>
    <m/>
    <s v="21-03-2025"/>
    <s v="21-03-2025"/>
    <x v="0"/>
    <x v="3"/>
  </r>
  <r>
    <n v="423"/>
    <x v="10"/>
    <d v="2025-03-19T00:00:00"/>
    <x v="4"/>
    <s v="JH01KM-4371"/>
    <n v="9515412075"/>
    <s v="RANCHI"/>
    <s v="NARSAPUR 485428"/>
    <s v="HOSKOTE 067649"/>
    <s v="24FEET"/>
    <n v="44930"/>
    <n v="45040"/>
    <n v="110"/>
    <n v="44930"/>
    <n v="0"/>
    <s v="DONE"/>
    <s v="439"/>
    <m/>
    <s v="22-03-2025"/>
    <s v="22-03-2025"/>
    <x v="0"/>
    <x v="3"/>
  </r>
  <r>
    <n v="424"/>
    <x v="10"/>
    <d v="2025-03-19T00:00:00"/>
    <x v="0"/>
    <s v="NL01BJ-8597"/>
    <n v="9715948483"/>
    <s v="RANCHI"/>
    <s v="N/A"/>
    <s v="NARSAPUR 757621"/>
    <s v="32FEET SXL "/>
    <n v="32290"/>
    <n v="40320"/>
    <n v="8030"/>
    <n v="32290"/>
    <n v="0"/>
    <s v="DONE"/>
    <s v="440"/>
    <m/>
    <s v="22-03-2025"/>
    <s v="22-03-2025"/>
    <x v="0"/>
    <x v="21"/>
  </r>
  <r>
    <n v="425"/>
    <x v="10"/>
    <d v="2025-03-20T00:00:00"/>
    <x v="4"/>
    <s v="JH01KM-8803"/>
    <n v="9589264337"/>
    <s v="RANCHI"/>
    <s v="NARSAPUR 694311"/>
    <s v="HOSKOTE 356842 + BOMMANSANDRA 228810"/>
    <s v="32FEET SXL "/>
    <n v="46110"/>
    <n v="52920"/>
    <n v="6810"/>
    <n v="46110"/>
    <n v="0"/>
    <s v="DONE"/>
    <s v="441"/>
    <m/>
    <s v="24-03-2025"/>
    <s v="24-03-2025"/>
    <x v="0"/>
    <x v="3"/>
  </r>
  <r>
    <n v="426"/>
    <x v="10"/>
    <d v="2025-03-21T00:00:00"/>
    <x v="0"/>
    <s v="KA55W-2384"/>
    <n v="9947564191"/>
    <s v="RANCHI"/>
    <s v="NARSAPUR 420868"/>
    <s v="HOSKOTE 526749"/>
    <s v="22FEET"/>
    <n v="28240"/>
    <n v="41900"/>
    <n v="13660"/>
    <n v="28240"/>
    <n v="0"/>
    <s v="DONE"/>
    <s v="442"/>
    <m/>
    <s v="25-03-2025"/>
    <s v="25-03-2025"/>
    <x v="0"/>
    <x v="21"/>
  </r>
  <r>
    <n v="427"/>
    <x v="10"/>
    <d v="2025-03-21T00:00:00"/>
    <x v="0"/>
    <s v="TN52R-5693"/>
    <n v="9420671345"/>
    <s v="RANCHI"/>
    <s v="N/A"/>
    <s v="NARSAPUR 120248"/>
    <s v="24FEET"/>
    <n v="29370"/>
    <n v="38740"/>
    <n v="9370"/>
    <n v="29370"/>
    <n v="0"/>
    <s v="DONE"/>
    <s v="443"/>
    <m/>
    <s v="24-03-2025"/>
    <s v="24-03-2025"/>
    <x v="0"/>
    <x v="21"/>
  </r>
  <r>
    <n v="428"/>
    <x v="10"/>
    <d v="2025-03-22T00:00:00"/>
    <x v="4"/>
    <s v="JH01KD-2417"/>
    <n v="9472230553"/>
    <s v="RANCHI"/>
    <s v="NARSAPUR 810183"/>
    <s v="HOSKOTE 033439 + BOMMANSANDRA 606463"/>
    <s v="32FEET SXL "/>
    <n v="46110"/>
    <n v="52920"/>
    <n v="6810"/>
    <n v="46110"/>
    <n v="0"/>
    <s v="DONE"/>
    <s v="444"/>
    <m/>
    <s v="25-03-2025"/>
    <s v="25-03-2025"/>
    <x v="0"/>
    <x v="3"/>
  </r>
  <r>
    <n v="429"/>
    <x v="10"/>
    <d v="2025-03-22T00:00:00"/>
    <x v="4"/>
    <s v="JH01KD-6142"/>
    <n v="9025368773"/>
    <s v="TIRUPPUR"/>
    <s v="N/A"/>
    <s v="RANCHI  273208"/>
    <s v="32FEET SXL "/>
    <n v="52630"/>
    <n v="96390"/>
    <n v="43760"/>
    <n v="52630"/>
    <n v="0"/>
    <s v="DONE"/>
    <s v="445"/>
    <m/>
    <s v="26-03-2025"/>
    <s v="26-03-2025"/>
    <x v="0"/>
    <x v="3"/>
  </r>
  <r>
    <n v="430"/>
    <x v="10"/>
    <d v="2025-03-24T00:00:00"/>
    <x v="0"/>
    <s v="TN93T-4136"/>
    <n v="9674193351"/>
    <s v="RANCHI"/>
    <s v="N/A"/>
    <s v="NARSAPUR 513235"/>
    <s v="20FEET"/>
    <n v="25690"/>
    <n v="35600"/>
    <n v="9910"/>
    <n v="25690"/>
    <n v="0"/>
    <s v="DONE"/>
    <s v="446"/>
    <m/>
    <s v="27-03-2025"/>
    <s v="27-03-2025"/>
    <x v="0"/>
    <x v="16"/>
  </r>
  <r>
    <n v="431"/>
    <x v="10"/>
    <d v="2025-03-24T00:00:00"/>
    <x v="4"/>
    <s v="JH01KD-3958"/>
    <n v="9281983602"/>
    <s v="RANCHI"/>
    <s v="NARSAPUR 849471"/>
    <s v="BOMMANSANDRA 969915"/>
    <s v="32FEET SXL "/>
    <n v="39120"/>
    <n v="46620"/>
    <n v="7500"/>
    <n v="39120"/>
    <n v="0"/>
    <s v="DONE"/>
    <s v="447"/>
    <m/>
    <s v="27-03-2025"/>
    <s v="27-03-2025"/>
    <x v="0"/>
    <x v="3"/>
  </r>
  <r>
    <n v="432"/>
    <x v="10"/>
    <d v="2025-03-25T00:00:00"/>
    <x v="4"/>
    <s v="JH01KM-4371"/>
    <n v="9515412075"/>
    <s v="TIRUPPUR"/>
    <s v="N/A"/>
    <s v="RANCHI 095046"/>
    <s v="24FEET "/>
    <n v="51880"/>
    <n v="91350"/>
    <n v="39470"/>
    <n v="51880"/>
    <n v="0"/>
    <s v="DONE"/>
    <s v="448"/>
    <m/>
    <s v="27-03-2025"/>
    <s v="27-03-2025"/>
    <x v="0"/>
    <x v="3"/>
  </r>
  <r>
    <n v="433"/>
    <x v="10"/>
    <d v="2025-03-26T00:00:00"/>
    <x v="4"/>
    <s v="JH01KD-6142"/>
    <n v="9025368773"/>
    <s v="RANCHI"/>
    <s v="NARSAPUR 43482"/>
    <s v="HOSKOTE 800601+ BOMMANSANDRA 112143"/>
    <s v="32FEET SXL "/>
    <n v="40070"/>
    <n v="52920"/>
    <n v="12850"/>
    <n v="40070"/>
    <n v="0"/>
    <s v="DONE"/>
    <s v="449"/>
    <m/>
    <s v="29-03-2025"/>
    <s v="29-03-2025"/>
    <x v="0"/>
    <x v="3"/>
  </r>
  <r>
    <n v="434"/>
    <x v="10"/>
    <d v="2025-03-26T00:00:00"/>
    <x v="0"/>
    <s v="KA51BJ-8743"/>
    <n v="9219784442"/>
    <s v="RANCHI"/>
    <s v="N/A"/>
    <s v="NARSAPUR 791092"/>
    <s v="24FEET"/>
    <n v="28840"/>
    <n v="38740"/>
    <n v="9900"/>
    <n v="28840"/>
    <n v="0"/>
    <s v="DONE"/>
    <s v="450"/>
    <m/>
    <s v="29-03-2025"/>
    <s v="29-03-2025"/>
    <x v="0"/>
    <x v="16"/>
  </r>
  <r>
    <n v="435"/>
    <x v="10"/>
    <d v="2025-03-27T00:00:00"/>
    <x v="4"/>
    <s v="JH01KM-4371"/>
    <n v="9515412075"/>
    <s v="RANCHI"/>
    <s v="NARSAPUR 015332"/>
    <s v="BOMMANSANDRA 826317"/>
    <s v="24FEET"/>
    <n v="44930"/>
    <n v="45040"/>
    <n v="110"/>
    <n v="44930"/>
    <n v="0"/>
    <s v="DONE"/>
    <s v="451"/>
    <m/>
    <s v="30-03-2025"/>
    <s v="30-03-2025"/>
    <x v="0"/>
    <x v="3"/>
  </r>
  <r>
    <n v="436"/>
    <x v="10"/>
    <d v="2025-03-27T00:00:00"/>
    <x v="4"/>
    <s v="JH01KM-8803"/>
    <n v="9589264337"/>
    <s v="TIRUPPUR"/>
    <s v="N/A"/>
    <s v="RANCHI 455906"/>
    <s v="32FEET"/>
    <n v="52630"/>
    <n v="96390"/>
    <n v="43760"/>
    <n v="52630"/>
    <n v="0"/>
    <s v="DONE"/>
    <s v="452"/>
    <m/>
    <s v="30-03-2025"/>
    <s v="30-03-2025"/>
    <x v="0"/>
    <x v="3"/>
  </r>
  <r>
    <n v="437"/>
    <x v="10"/>
    <d v="2025-03-27T00:00:00"/>
    <x v="0"/>
    <s v="BY AIR "/>
    <m/>
    <s v="RANCHI"/>
    <s v="N/A"/>
    <s v="NARSAPUR ,026712"/>
    <s v="FLIGHT"/>
    <n v="14480"/>
    <n v="16560"/>
    <n v="2080"/>
    <n v="14480"/>
    <n v="0"/>
    <s v="DONE"/>
    <s v="453"/>
    <m/>
    <s v="27-03-2025"/>
    <s v="27-03-2025"/>
    <x v="0"/>
    <x v="14"/>
  </r>
  <r>
    <n v="438"/>
    <x v="10"/>
    <d v="2025-03-28T00:00:00"/>
    <x v="0"/>
    <s v="KA52K-0229"/>
    <n v="9654538123"/>
    <s v="RANCHI"/>
    <s v="N/A"/>
    <s v="NARSAPUR 092075"/>
    <s v="22FEET"/>
    <n v="26540"/>
    <n v="41260"/>
    <n v="14720"/>
    <n v="26540"/>
    <n v="0"/>
    <s v="DONE"/>
    <s v="454"/>
    <m/>
    <s v="31-03-2025"/>
    <s v="01-04-2025"/>
    <x v="0"/>
    <x v="16"/>
  </r>
  <r>
    <n v="439"/>
    <x v="10"/>
    <d v="2025-03-28T00:00:00"/>
    <x v="0"/>
    <s v="KA41T-9739"/>
    <n v="9725073745"/>
    <s v="RANCHI"/>
    <s v="NARSAPUR 472893"/>
    <s v="HOSKOTE 072241 + BOMMANSANDRA 564582"/>
    <s v="20FEET"/>
    <n v="29500"/>
    <n v="53860"/>
    <n v="24360"/>
    <n v="29500"/>
    <n v="0"/>
    <s v="DONE"/>
    <s v="455"/>
    <m/>
    <s v="30-03-2025"/>
    <s v="30-03-2025"/>
    <x v="0"/>
    <x v="21"/>
  </r>
  <r>
    <n v="440"/>
    <x v="10"/>
    <d v="2025-03-28T00:00:00"/>
    <x v="4"/>
    <s v="JH01KD-3958"/>
    <n v="9281983602"/>
    <s v="HASSAN"/>
    <s v="N/A"/>
    <s v="RANCHI 669233"/>
    <s v="32FEET SXL "/>
    <n v="47440"/>
    <n v="102060"/>
    <n v="54620"/>
    <n v="47440"/>
    <n v="0"/>
    <s v="DONE"/>
    <s v="456"/>
    <m/>
    <s v="31-03-2025"/>
    <s v="31-03-2025"/>
    <x v="0"/>
    <x v="3"/>
  </r>
  <r>
    <n v="441"/>
    <x v="10"/>
    <d v="2025-03-29T00:00:00"/>
    <x v="4"/>
    <s v="JH01KD-0526"/>
    <n v="9902798068"/>
    <s v="RANCHI"/>
    <s v="NARSAPUR 548396"/>
    <s v="BOMMANSANDRA 618110"/>
    <s v="32FEET SXL "/>
    <n v="39970"/>
    <n v="52290"/>
    <n v="12320"/>
    <n v="39970"/>
    <n v="0"/>
    <s v="DONE"/>
    <s v="457"/>
    <m/>
    <s v="31-03-2025"/>
    <s v="01-04-2025"/>
    <x v="0"/>
    <x v="3"/>
  </r>
  <r>
    <n v="442"/>
    <x v="10"/>
    <d v="2025-03-29T00:00:00"/>
    <x v="4"/>
    <s v="JH01KD-2417"/>
    <n v="9472230553"/>
    <s v="TIRUPPUR"/>
    <s v="N/A"/>
    <s v="RANCHI 444052"/>
    <s v="32FEET SXL "/>
    <n v="47440"/>
    <n v="102060"/>
    <n v="54620"/>
    <n v="47440"/>
    <n v="0"/>
    <s v="DONE"/>
    <s v="458"/>
    <m/>
    <s v="31-03-2025"/>
    <s v="31-03-2025"/>
    <x v="0"/>
    <x v="3"/>
  </r>
  <r>
    <n v="443"/>
    <x v="10"/>
    <d v="2025-03-30T00:00:00"/>
    <x v="4"/>
    <s v="JH01KD-6142"/>
    <n v="9025368773"/>
    <s v="TIRUPPUR"/>
    <s v="N/A"/>
    <s v="RANCHI  550430"/>
    <s v="32FEET SXL "/>
    <n v="47440"/>
    <n v="102060"/>
    <n v="54620"/>
    <n v="47440"/>
    <n v="0"/>
    <s v="DONE"/>
    <s v="459"/>
    <m/>
    <s v="02-04-2025"/>
    <s v="02-04-2025"/>
    <x v="0"/>
    <x v="3"/>
  </r>
  <r>
    <n v="444"/>
    <x v="10"/>
    <d v="2025-03-31T00:00:00"/>
    <x v="4"/>
    <s v="JH01KM-4371"/>
    <n v="9515412075"/>
    <s v="HASSAN"/>
    <s v="N/A"/>
    <s v="RANCHI 326352"/>
    <s v="24FEET"/>
    <n v="51880"/>
    <n v="91350"/>
    <n v="39470"/>
    <n v="51880"/>
    <n v="0"/>
    <s v="DONE"/>
    <s v="460"/>
    <m/>
    <s v="03-04-2025"/>
    <s v="03-04-2025"/>
    <x v="0"/>
    <x v="3"/>
  </r>
  <r>
    <n v="445"/>
    <x v="11"/>
    <d v="2025-04-02T00:00:00"/>
    <x v="4"/>
    <s v="JH01KD-2417"/>
    <n v="9472230553"/>
    <s v="RANCHI"/>
    <s v="UP AND DOWN "/>
    <s v="JAMTARA"/>
    <s v="32FEET SXL "/>
    <n v="9830"/>
    <n v="22680"/>
    <n v="12850"/>
    <n v="9830"/>
    <n v="0"/>
    <s v="DONE"/>
    <s v="462"/>
    <m/>
    <s v="03-04-2025"/>
    <s v="03-04-2025"/>
    <x v="0"/>
    <x v="3"/>
  </r>
  <r>
    <n v="446"/>
    <x v="11"/>
    <d v="2025-04-02T00:00:00"/>
    <x v="4"/>
    <s v="JH01KD-3958"/>
    <n v="9281983602"/>
    <s v="RANCHI"/>
    <s v="N/A"/>
    <s v="HASSAN,776429"/>
    <s v="32FEET SXL "/>
    <n v="39220"/>
    <n v="47250"/>
    <n v="8030"/>
    <n v="39220"/>
    <n v="0"/>
    <s v="DONE"/>
    <s v="461"/>
    <m/>
    <s v="05-04-2025"/>
    <s v="05-04-2025"/>
    <x v="0"/>
    <x v="3"/>
  </r>
  <r>
    <n v="447"/>
    <x v="11"/>
    <d v="2025-04-03T00:00:00"/>
    <x v="4"/>
    <s v="JH01KM-8803"/>
    <n v="9220186371"/>
    <s v="RANCHI"/>
    <s v="NARSAPUR 523259 + HOSKOTE 090962"/>
    <s v="BOMMANSANDRA 192700"/>
    <s v="32FEET SXL "/>
    <n v="46110"/>
    <n v="52920"/>
    <n v="6810"/>
    <n v="46110"/>
    <n v="0"/>
    <s v="DONE"/>
    <s v="463"/>
    <m/>
    <s v="07-04-2025"/>
    <s v="08-04-2025"/>
    <x v="0"/>
    <x v="3"/>
  </r>
  <r>
    <n v="448"/>
    <x v="11"/>
    <d v="2025-04-04T00:00:00"/>
    <x v="4"/>
    <s v="JH01KD-2417"/>
    <n v="9472230553"/>
    <s v="RANCHI"/>
    <s v="NARSAPUR 330575 + HOSKOTE 273370"/>
    <s v="BOMMANSANDRA 479151"/>
    <s v="32FEET SXL "/>
    <n v="40070"/>
    <n v="52920"/>
    <n v="12850"/>
    <n v="40070"/>
    <n v="0"/>
    <s v="DONE"/>
    <s v="464"/>
    <m/>
    <s v="07-04-2025"/>
    <s v="07-04-2025"/>
    <x v="0"/>
    <x v="3"/>
  </r>
  <r>
    <n v="449"/>
    <x v="11"/>
    <d v="2025-04-04T00:00:00"/>
    <x v="4"/>
    <s v="JH01KD-0526"/>
    <n v="9902798068"/>
    <s v="HASSAN"/>
    <s v="N/A"/>
    <s v="RANCHI 897132/52"/>
    <s v="32FEET SXL "/>
    <n v="46590"/>
    <n v="96390"/>
    <n v="49800"/>
    <n v="46590"/>
    <n v="0"/>
    <s v="DONE"/>
    <s v="465"/>
    <m/>
    <s v="07-04-2025"/>
    <s v="07-04-2025"/>
    <x v="0"/>
    <x v="3"/>
  </r>
  <r>
    <n v="450"/>
    <x v="11"/>
    <d v="2025-04-05T00:00:00"/>
    <x v="0"/>
    <s v="TN93R-5719"/>
    <n v="9891277624"/>
    <s v="TIRUPPUR"/>
    <s v="N/A"/>
    <s v="RANCHI 871841"/>
    <s v="32FEET SXL "/>
    <n v="66940"/>
    <n v="96390"/>
    <n v="29450"/>
    <n v="66940"/>
    <n v="0"/>
    <s v="DONE"/>
    <s v="466"/>
    <m/>
    <s v="08-04-2025"/>
    <s v="08-04-2025"/>
    <x v="0"/>
    <x v="16"/>
  </r>
  <r>
    <n v="451"/>
    <x v="11"/>
    <d v="2025-04-05T00:00:00"/>
    <x v="4"/>
    <s v="JH01KD-6142"/>
    <n v="9025368773"/>
    <s v="RANCHI"/>
    <s v="N/A"/>
    <s v="NARSAPUR 581302"/>
    <s v="32FEET SXL "/>
    <n v="38180"/>
    <n v="40320"/>
    <n v="2140"/>
    <n v="38180"/>
    <n v="0"/>
    <s v="DONE"/>
    <s v="467"/>
    <m/>
    <s v="08-04-2025"/>
    <s v="08-04-2025"/>
    <x v="0"/>
    <x v="3"/>
  </r>
  <r>
    <n v="452"/>
    <x v="11"/>
    <d v="2025-04-05T00:00:00"/>
    <x v="4"/>
    <s v="JH01KM-4371"/>
    <n v="9515412075"/>
    <s v="RANCHI"/>
    <s v="N/A"/>
    <s v="NARSAPUR 707127"/>
    <s v="32FEET SXL "/>
    <n v="45070"/>
    <n v="45990"/>
    <n v="920"/>
    <n v="45070"/>
    <n v="0"/>
    <s v="DONE"/>
    <s v="468"/>
    <m/>
    <s v="08-04-2025"/>
    <s v="08-04-2025"/>
    <x v="0"/>
    <x v="3"/>
  </r>
  <r>
    <n v="453"/>
    <x v="11"/>
    <d v="2025-04-07T00:00:00"/>
    <x v="4"/>
    <s v="JH01KM-0526"/>
    <n v="9902798068"/>
    <s v="RANCHI"/>
    <s v="NARSAPUR 993583"/>
    <s v="HOSKOTE 670397 + BOMMANSANDRA 212818"/>
    <s v="32FEET SXL "/>
    <n v="40070"/>
    <n v="52920"/>
    <n v="12850"/>
    <n v="40070"/>
    <n v="0"/>
    <s v="DONE"/>
    <s v="469"/>
    <m/>
    <s v="10-04-2025"/>
    <s v="11-04-2025"/>
    <x v="0"/>
    <x v="3"/>
  </r>
  <r>
    <n v="454"/>
    <x v="11"/>
    <d v="2025-04-08T00:00:00"/>
    <x v="4"/>
    <s v="JH01KD-3958"/>
    <n v="9281983602"/>
    <s v="TIRUPPUR"/>
    <s v="N/A"/>
    <s v="RANCHI 772314"/>
    <s v="32FEET SXL "/>
    <n v="46590"/>
    <n v="96390"/>
    <n v="49800"/>
    <n v="46590"/>
    <n v="0"/>
    <s v="DONE"/>
    <s v="470"/>
    <m/>
    <s v="10-04-2025"/>
    <s v="10-04-2025"/>
    <x v="0"/>
    <x v="3"/>
  </r>
  <r>
    <n v="455"/>
    <x v="11"/>
    <d v="2025-04-09T00:00:00"/>
    <x v="4"/>
    <s v="JH01KD-6142"/>
    <n v="9025368773"/>
    <s v="KRISHNAGIRI"/>
    <s v="N/A"/>
    <s v="RANCHI"/>
    <s v="32FEET SXL "/>
    <n v="39930"/>
    <n v="51980"/>
    <n v="12050"/>
    <n v="39930"/>
    <n v="0"/>
    <s v="DONE"/>
    <s v="N/A"/>
    <m/>
    <s v="12-04-2025"/>
    <s v="12-04-2025"/>
    <x v="0"/>
    <x v="3"/>
  </r>
  <r>
    <n v="456"/>
    <x v="11"/>
    <d v="2025-04-09T00:00:00"/>
    <x v="0"/>
    <s v="TN93R-5719"/>
    <n v="9891277624"/>
    <s v="RANCHI"/>
    <s v="NARSAPUR 912458"/>
    <s v="BOMMANSANDRA 098966"/>
    <s v="32FEET SXL "/>
    <n v="33230"/>
    <n v="46620"/>
    <n v="13390"/>
    <n v="33230"/>
    <n v="0"/>
    <s v="DONE"/>
    <s v="471"/>
    <m/>
    <s v="12-04-2025"/>
    <s v="12-04-2025"/>
    <x v="0"/>
    <x v="16"/>
  </r>
  <r>
    <n v="457"/>
    <x v="11"/>
    <d v="2025-04-09T00:00:00"/>
    <x v="4"/>
    <s v="JH01KD-2417"/>
    <n v="9472230553"/>
    <s v="TIRUPPUR"/>
    <s v="VENDOR U 912051+ VENDOR V 238666 "/>
    <s v="RANCHI"/>
    <s v="32FEET SXL "/>
    <n v="47530"/>
    <n v="102690"/>
    <n v="55160"/>
    <n v="47530"/>
    <n v="0"/>
    <s v="DONE"/>
    <s v="472"/>
    <m/>
    <s v="11-04-2025"/>
    <s v="11-04-2025"/>
    <x v="0"/>
    <x v="3"/>
  </r>
  <r>
    <n v="458"/>
    <x v="11"/>
    <d v="2025-04-10T00:00:00"/>
    <x v="4"/>
    <s v="JH01KD-3958"/>
    <n v="9281983602"/>
    <s v="RANCHI"/>
    <s v="NARSAPUR 315951"/>
    <s v="HOSKOTE 050428"/>
    <s v="32FEET SXL "/>
    <n v="39120"/>
    <n v="46620"/>
    <n v="7500"/>
    <n v="39120"/>
    <n v="0"/>
    <s v="DONE"/>
    <s v="473"/>
    <m/>
    <s v="14-04-2025"/>
    <s v="14-04-2025"/>
    <x v="0"/>
    <x v="3"/>
  </r>
  <r>
    <n v="459"/>
    <x v="11"/>
    <d v="2025-04-11T00:00:00"/>
    <x v="4"/>
    <s v="JH01KM-8803"/>
    <n v="9220186371"/>
    <s v="TIRUPPUR"/>
    <s v="VENDOR G 550430 + VENDOR U 273208+VENDOR V "/>
    <s v="RANCHI"/>
    <s v="32FEET SXL "/>
    <n v="48480"/>
    <n v="108990"/>
    <n v="60510"/>
    <n v="48480"/>
    <n v="0"/>
    <s v="DONE"/>
    <s v="474"/>
    <m/>
    <s v="13-04-2025"/>
    <s v="13-04-2025"/>
    <x v="0"/>
    <x v="3"/>
  </r>
  <r>
    <n v="460"/>
    <x v="11"/>
    <d v="2025-04-11T00:00:00"/>
    <x v="4"/>
    <s v="JH01KD-2417"/>
    <n v="9472230553"/>
    <s v="RANCHI"/>
    <s v="N/A"/>
    <s v="NARSAPUR 692273"/>
    <s v="32FEET SXL "/>
    <n v="38180"/>
    <n v="40320"/>
    <n v="2140"/>
    <n v="38180"/>
    <n v="0"/>
    <s v="DONE"/>
    <s v="475"/>
    <m/>
    <s v="14-04-2025"/>
    <s v="14-04-2025"/>
    <x v="0"/>
    <x v="3"/>
  </r>
  <r>
    <n v="461"/>
    <x v="11"/>
    <d v="2025-04-11T00:00:00"/>
    <x v="4"/>
    <s v="JH01KM-4371"/>
    <n v="9515412075"/>
    <s v="MYSORE"/>
    <s v="N/A"/>
    <s v="RANCHI 675839"/>
    <s v="24FEET"/>
    <n v="45830"/>
    <n v="91350"/>
    <n v="45520"/>
    <n v="45830"/>
    <n v="0"/>
    <s v="DONE"/>
    <s v="476"/>
    <m/>
    <s v="14-04-2025"/>
    <s v="14-04-2025"/>
    <x v="0"/>
    <x v="3"/>
  </r>
  <r>
    <n v="462"/>
    <x v="11"/>
    <d v="2025-04-12T00:00:00"/>
    <x v="4"/>
    <s v="JH01KD-6142"/>
    <n v="9950016408"/>
    <s v="RANCHI"/>
    <s v="N/A"/>
    <s v="NARSAPUR 001181"/>
    <s v="32FEET"/>
    <n v="38180"/>
    <n v="40320"/>
    <n v="2140"/>
    <n v="38180"/>
    <n v="0"/>
    <s v="DONE"/>
    <s v="477"/>
    <m/>
    <s v="16-04-2025"/>
    <s v="16-04-2025"/>
    <x v="0"/>
    <x v="3"/>
  </r>
  <r>
    <n v="463"/>
    <x v="11"/>
    <d v="2025-04-13T00:00:00"/>
    <x v="4"/>
    <s v="JH01KM-8803"/>
    <n v="9220186371"/>
    <s v="RANCHI"/>
    <s v="NARSAPUR 040896"/>
    <s v="HOSKOTE 458163"/>
    <s v="32FEET"/>
    <n v="39120"/>
    <n v="46620"/>
    <n v="7500"/>
    <n v="39120"/>
    <n v="0"/>
    <s v="DONE"/>
    <s v="478"/>
    <m/>
    <s v="16-04-2025"/>
    <s v="16-04-2025"/>
    <x v="0"/>
    <x v="3"/>
  </r>
  <r>
    <n v="464"/>
    <x v="11"/>
    <d v="2025-04-13T00:00:00"/>
    <x v="4"/>
    <s v="JH01KD-0526"/>
    <n v="9902798068"/>
    <s v="TIRUPPUR"/>
    <s v="N/A"/>
    <s v="RANCHI 493089"/>
    <s v="32FEET"/>
    <n v="46590"/>
    <n v="96390"/>
    <n v="49800"/>
    <n v="46590"/>
    <n v="0"/>
    <s v="DONE"/>
    <s v="479"/>
    <m/>
    <s v="15-04-2025"/>
    <s v="15-04-2025"/>
    <x v="0"/>
    <x v="3"/>
  </r>
  <r>
    <n v="465"/>
    <x v="11"/>
    <d v="2025-04-14T00:00:00"/>
    <x v="4"/>
    <s v="JH01KM-4371"/>
    <n v="9515412075"/>
    <s v="RANCHI"/>
    <s v="NARSAPUR,355752"/>
    <s v="HOSKOTE,361223"/>
    <s v="24FEET"/>
    <n v="38890"/>
    <n v="45040"/>
    <n v="6150"/>
    <n v="38890"/>
    <n v="0"/>
    <s v="DONE"/>
    <s v="480"/>
    <m/>
    <s v="17-04-2025"/>
    <s v="18-04-2025"/>
    <x v="0"/>
    <x v="3"/>
  </r>
  <r>
    <n v="466"/>
    <x v="11"/>
    <d v="2025-04-14T00:00:00"/>
    <x v="0"/>
    <s v="KA51DJ-8656"/>
    <n v="9501216636"/>
    <s v="RANCHI"/>
    <s v="N/A"/>
    <s v="NARSAPUR,428071"/>
    <s v="32FEET"/>
    <n v="31750"/>
    <n v="40320"/>
    <n v="8570"/>
    <n v="31750"/>
    <n v="0"/>
    <s v="DONE"/>
    <s v="481"/>
    <m/>
    <s v="17-04-2025"/>
    <s v="17-04-2025"/>
    <x v="0"/>
    <x v="21"/>
  </r>
  <r>
    <n v="467"/>
    <x v="11"/>
    <d v="2025-04-15T00:00:00"/>
    <x v="4"/>
    <s v="JH01KD-2417"/>
    <n v="9472230553"/>
    <s v="TIRUPPUR"/>
    <s v="N/A"/>
    <s v="RANCHI,830137"/>
    <s v="32FEET"/>
    <n v="46590"/>
    <n v="96390"/>
    <n v="49800"/>
    <n v="46590"/>
    <n v="0"/>
    <s v="DONE"/>
    <s v="482"/>
    <m/>
    <s v="18-04-2025"/>
    <s v="18-04-2025"/>
    <x v="0"/>
    <x v="3"/>
  </r>
  <r>
    <n v="468"/>
    <x v="11"/>
    <d v="2025-04-16T00:00:00"/>
    <x v="4"/>
    <s v="JH01KD-0526"/>
    <n v="9902798068"/>
    <s v="RANCHI"/>
    <s v="NARSAPUR,547681"/>
    <s v="HOSKOTE,591021"/>
    <s v="32FFET"/>
    <n v="39120"/>
    <n v="46620"/>
    <n v="7500"/>
    <n v="39120"/>
    <n v="0"/>
    <s v="DONE"/>
    <s v="483"/>
    <m/>
    <s v="18-04-2025"/>
    <s v="18-04-2025"/>
    <x v="0"/>
    <x v="3"/>
  </r>
  <r>
    <n v="469"/>
    <x v="11"/>
    <d v="2025-04-16T00:00:00"/>
    <x v="0"/>
    <s v="TN88R-3691"/>
    <n v="9717182270"/>
    <s v="RANCHI"/>
    <s v="NARSAPUR,978859"/>
    <s v="HOSKOTE,799812"/>
    <s v="32FEET"/>
    <n v="33230"/>
    <n v="46620"/>
    <n v="13390"/>
    <n v="33230"/>
    <n v="0"/>
    <s v="DONE"/>
    <s v="484"/>
    <m/>
    <s v="21-04-2025"/>
    <s v="21-04-2025"/>
    <x v="0"/>
    <x v="21"/>
  </r>
  <r>
    <n v="470"/>
    <x v="11"/>
    <d v="2025-04-17T00:00:00"/>
    <x v="4"/>
    <s v="JH01KD-3958"/>
    <n v="9281983602"/>
    <s v="TIRUPPUR"/>
    <s v="N/A"/>
    <s v="RANCHI,256601"/>
    <s v="32FEET"/>
    <n v="46590"/>
    <n v="96390"/>
    <n v="49800"/>
    <n v="46590"/>
    <n v="0"/>
    <s v="DONE"/>
    <s v="485"/>
    <m/>
    <s v="19-04-2025"/>
    <s v="19-04-2025"/>
    <x v="0"/>
    <x v="3"/>
  </r>
  <r>
    <n v="471"/>
    <x v="11"/>
    <d v="2025-04-18T00:00:00"/>
    <x v="4"/>
    <s v="JH01KD-2417"/>
    <n v="9472230553"/>
    <s v="RANCHI"/>
    <s v="NARSAPUR,220778"/>
    <s v="HOSKOTE,309569"/>
    <s v="32FEET"/>
    <n v="39120"/>
    <n v="46620"/>
    <n v="7500"/>
    <n v="39120"/>
    <n v="0"/>
    <s v="DONE"/>
    <s v="486"/>
    <m/>
    <s v="21-04-2025"/>
    <s v="21-04-2025"/>
    <x v="0"/>
    <x v="3"/>
  </r>
  <r>
    <n v="472"/>
    <x v="11"/>
    <d v="2025-04-18T00:00:00"/>
    <x v="0"/>
    <s v="TN15GN-0844"/>
    <n v="9079688527"/>
    <s v="RANCHI"/>
    <s v="N/A"/>
    <s v="NARSAPUR,924978"/>
    <s v="32FEET"/>
    <n v="31750"/>
    <n v="40320"/>
    <n v="8570"/>
    <n v="31750"/>
    <n v="0"/>
    <s v="DONE"/>
    <s v="487"/>
    <m/>
    <s v="21-04-2025"/>
    <s v="21-04-2025"/>
    <x v="0"/>
    <x v="21"/>
  </r>
  <r>
    <n v="473"/>
    <x v="11"/>
    <d v="2025-04-18T00:00:00"/>
    <x v="4"/>
    <s v="JH01KD-6142"/>
    <n v="9950016408"/>
    <s v="TIRUPPUR"/>
    <s v="N/A"/>
    <s v="RANCHI,335475"/>
    <s v="32FEET"/>
    <n v="46590"/>
    <n v="96390"/>
    <n v="49800"/>
    <n v="46590"/>
    <n v="0"/>
    <s v="DONE"/>
    <s v="488"/>
    <m/>
    <s v="21-04-2025"/>
    <s v="21-04-2025"/>
    <x v="0"/>
    <x v="3"/>
  </r>
  <r>
    <n v="474"/>
    <x v="11"/>
    <d v="2025-04-18T00:00:00"/>
    <x v="4"/>
    <s v="JH01KD-0526"/>
    <n v="9902798068"/>
    <s v="NEELMANLGA"/>
    <s v="N/A"/>
    <s v="KOLKATA"/>
    <s v="32FEET"/>
    <n v="39220"/>
    <n v="47250"/>
    <n v="8030"/>
    <n v="39220"/>
    <n v="0"/>
    <s v="DONE"/>
    <s v="N/A"/>
    <m/>
    <s v="21-04-2025"/>
    <s v="21-04-2025"/>
    <x v="0"/>
    <x v="3"/>
  </r>
  <r>
    <n v="475"/>
    <x v="11"/>
    <d v="2025-04-19T00:00:00"/>
    <x v="4"/>
    <s v="JH01KM-4371"/>
    <n v="9515412075"/>
    <s v="TIRUPPUR"/>
    <s v="N/A"/>
    <s v="RANCHI,465907"/>
    <s v="24FEET"/>
    <n v="45830"/>
    <n v="91350"/>
    <n v="45520"/>
    <n v="45830"/>
    <n v="0"/>
    <s v="DONE"/>
    <s v="489"/>
    <m/>
    <s v="22-04-2025"/>
    <s v="22-04-2025"/>
    <x v="0"/>
    <x v="3"/>
  </r>
  <r>
    <n v="476"/>
    <x v="11"/>
    <d v="2025-04-19T00:00:00"/>
    <x v="4"/>
    <s v="JH01KM-8803"/>
    <n v="9220186371"/>
    <s v="TIRUPPUR"/>
    <s v="VENDOR F,ERODE,479880"/>
    <s v="RANCHI,189762"/>
    <s v="32FEET "/>
    <n v="47530"/>
    <n v="102690"/>
    <n v="55160"/>
    <n v="47530"/>
    <n v="0"/>
    <s v="DONE"/>
    <s v="490"/>
    <m/>
    <s v="22-04-2025"/>
    <s v="22-04-2025"/>
    <x v="0"/>
    <x v="3"/>
  </r>
  <r>
    <n v="477"/>
    <x v="11"/>
    <d v="2025-04-20T00:00:00"/>
    <x v="4"/>
    <s v="JH01KD-3958"/>
    <n v="9281983602"/>
    <s v="RANCHI"/>
    <s v="NARSAPUR,377409"/>
    <s v="HOSKOTE,117789"/>
    <s v="32FEET"/>
    <n v="39120"/>
    <n v="46620"/>
    <n v="7500"/>
    <n v="39120"/>
    <n v="0"/>
    <s v="DONE"/>
    <s v="491"/>
    <m/>
    <s v="22-04-2025"/>
    <s v="22-04-2025"/>
    <x v="0"/>
    <x v="3"/>
  </r>
  <r>
    <n v="478"/>
    <x v="11"/>
    <d v="2025-04-21T00:00:00"/>
    <x v="4"/>
    <s v="JH01KD-2417"/>
    <n v="9472230553"/>
    <s v="HOSKOTE"/>
    <s v="N/A"/>
    <s v="BIHAR SHARIF"/>
    <s v="32FEET"/>
    <n v="45170"/>
    <n v="54810"/>
    <n v="9640"/>
    <n v="45170"/>
    <n v="0"/>
    <s v="DONE"/>
    <s v="N/A"/>
    <m/>
    <s v="23-04-2025"/>
    <s v="23-04-2025"/>
    <x v="0"/>
    <x v="3"/>
  </r>
  <r>
    <n v="479"/>
    <x v="11"/>
    <d v="2025-04-21T00:00:00"/>
    <x v="4"/>
    <s v="JH01KD-6142"/>
    <n v="9950016408"/>
    <s v="RANCHI"/>
    <s v="NARSAPUR,775374"/>
    <s v="HOSKOTE,445798"/>
    <s v="32FEET"/>
    <n v="39120"/>
    <n v="46620"/>
    <n v="7500"/>
    <n v="39120"/>
    <n v="0"/>
    <s v="DONE"/>
    <s v="492"/>
    <m/>
    <s v="24-04-2025"/>
    <s v="24-04-2025"/>
    <x v="0"/>
    <x v="3"/>
  </r>
  <r>
    <n v="480"/>
    <x v="11"/>
    <d v="2025-04-22T00:00:00"/>
    <x v="4"/>
    <s v="JH01KD-0526"/>
    <n v="9902798068"/>
    <s v="RANCHI"/>
    <s v="NARSAPUR,191846"/>
    <s v="HOSKOTE,179349"/>
    <s v="32FEET"/>
    <n v="39120"/>
    <n v="46620"/>
    <n v="7500"/>
    <n v="39120"/>
    <n v="0"/>
    <s v="DONE"/>
    <s v="493"/>
    <m/>
    <s v="25-04-2025"/>
    <s v="25-04-2025"/>
    <x v="0"/>
    <x v="3"/>
  </r>
  <r>
    <n v="481"/>
    <x v="11"/>
    <d v="2025-04-22T00:00:00"/>
    <x v="4"/>
    <s v="JH01KM-8803"/>
    <n v="9220186371"/>
    <s v="RANCHI"/>
    <s v="NARSAPUR,680488"/>
    <s v="HOSKOTE,515231"/>
    <s v="32FEET"/>
    <n v="39120"/>
    <n v="46620"/>
    <n v="7500"/>
    <n v="39120"/>
    <n v="0"/>
    <s v="DONE"/>
    <s v="494"/>
    <m/>
    <s v="25-04-2025"/>
    <s v="25-04-2025"/>
    <x v="0"/>
    <x v="3"/>
  </r>
  <r>
    <n v="482"/>
    <x v="11"/>
    <d v="2025-04-23T00:00:00"/>
    <x v="4"/>
    <s v="JH01KM-4371"/>
    <n v="9515412075"/>
    <s v="RANCHI"/>
    <s v="N/A"/>
    <s v="NARSAPUR,137675"/>
    <s v="24FEET"/>
    <n v="37940"/>
    <n v="38740"/>
    <n v="800"/>
    <n v="37940"/>
    <n v="0"/>
    <s v="DONE"/>
    <s v="495"/>
    <m/>
    <s v="25-04-2025"/>
    <s v="25-04-2025"/>
    <x v="0"/>
    <x v="3"/>
  </r>
  <r>
    <n v="483"/>
    <x v="11"/>
    <d v="2025-04-23T00:00:00"/>
    <x v="0"/>
    <s v="KA51GM-8301"/>
    <n v="9247094792"/>
    <s v="RANCHI"/>
    <s v="NARSAPUR,483706"/>
    <s v="HOSKOTE,449101"/>
    <s v="22FEET"/>
    <n v="27170"/>
    <n v="41900"/>
    <n v="14730"/>
    <n v="27170"/>
    <n v="0"/>
    <s v="DONE"/>
    <s v="496"/>
    <m/>
    <s v="26-04-2025"/>
    <s v="26-04-2025"/>
    <x v="0"/>
    <x v="21"/>
  </r>
  <r>
    <n v="484"/>
    <x v="11"/>
    <d v="2025-04-25T00:00:00"/>
    <x v="4"/>
    <s v="JH01KD-2417"/>
    <n v="9472230553"/>
    <s v="RANCHI"/>
    <s v="N/A"/>
    <s v="NARSAPUR,683859"/>
    <s v="32FEET"/>
    <n v="38180"/>
    <n v="40320"/>
    <n v="2140"/>
    <n v="38180"/>
    <n v="0"/>
    <s v="DONE"/>
    <s v="497"/>
    <m/>
    <s v="28-04-2025"/>
    <s v="28-04-2025"/>
    <x v="0"/>
    <x v="3"/>
  </r>
  <r>
    <n v="485"/>
    <x v="11"/>
    <d v="2025-04-25T00:00:00"/>
    <x v="4"/>
    <s v="JH01KD-3958"/>
    <n v="9281983602"/>
    <s v="MYSORE"/>
    <s v="N/A"/>
    <s v="RANCHI,541114"/>
    <s v="32FEET"/>
    <n v="46590"/>
    <n v="96390"/>
    <n v="49800"/>
    <n v="46590"/>
    <n v="0"/>
    <s v="DONE"/>
    <s v="498"/>
    <m/>
    <s v="28-04-2025"/>
    <s v="28-04-2025"/>
    <x v="0"/>
    <x v="3"/>
  </r>
  <r>
    <n v="486"/>
    <x v="11"/>
    <d v="2025-04-26T00:00:00"/>
    <x v="4"/>
    <s v="JH01KM-4371"/>
    <n v="9515412075"/>
    <s v="TIRUPPUR"/>
    <s v="-"/>
    <s v="RANCHI"/>
    <s v="24FEET"/>
    <n v="45830"/>
    <n v="91350"/>
    <n v="45520"/>
    <n v="45830"/>
    <n v="0"/>
    <s v="DONE"/>
    <s v="73"/>
    <m/>
    <s v="29-04-2025"/>
    <s v="29-04-2025"/>
    <x v="0"/>
    <x v="3"/>
  </r>
  <r>
    <n v="487"/>
    <x v="11"/>
    <d v="2025-04-26T00:00:00"/>
    <x v="0"/>
    <s v="TN12P-0811"/>
    <n v="9179185332"/>
    <s v="RANCHI"/>
    <s v="NARSAPUR"/>
    <s v="HOSKOTE"/>
    <s v="32FEET"/>
    <n v="33770"/>
    <n v="46620"/>
    <n v="12850"/>
    <n v="33770"/>
    <n v="0"/>
    <s v="DONE"/>
    <s v="40"/>
    <m/>
    <s v="30-04-2025"/>
    <s v="30-04-2025"/>
    <x v="0"/>
    <x v="21"/>
  </r>
  <r>
    <n v="488"/>
    <x v="11"/>
    <d v="2025-04-29T00:00:00"/>
    <x v="4"/>
    <s v="JH01KD-3958"/>
    <n v="9281983602"/>
    <s v="RANCHI"/>
    <s v="NARSAPUR"/>
    <s v="HOSKOTE"/>
    <s v="32FEET"/>
    <n v="39120"/>
    <n v="46620"/>
    <n v="7500"/>
    <n v="39120"/>
    <n v="0"/>
    <s v="DONE"/>
    <s v="41"/>
    <m/>
    <s v="03-05-2025"/>
    <s v="03-05-2025"/>
    <x v="0"/>
    <x v="3"/>
  </r>
  <r>
    <n v="489"/>
    <x v="11"/>
    <d v="2025-04-29T00:00:00"/>
    <x v="4"/>
    <s v="JH01KD-2417"/>
    <n v="9472230553"/>
    <s v="TIRUPPUR"/>
    <s v="-"/>
    <s v="RANCHI"/>
    <s v="32FEET"/>
    <n v="46590"/>
    <n v="96390"/>
    <n v="49800"/>
    <n v="46590"/>
    <n v="0"/>
    <s v="DONE"/>
    <s v="74"/>
    <m/>
    <s v="02-05-2025"/>
    <s v="02-05-2025"/>
    <x v="0"/>
    <x v="3"/>
  </r>
  <r>
    <n v="490"/>
    <x v="11"/>
    <d v="2025-04-30T00:00:00"/>
    <x v="4"/>
    <s v="JH01KM-8803"/>
    <n v="9220186371"/>
    <s v="RANCHI"/>
    <s v="-"/>
    <s v="NARSAPUR"/>
    <s v="32FEET"/>
    <n v="38180"/>
    <n v="40320"/>
    <n v="2140"/>
    <n v="38180"/>
    <n v="0"/>
    <s v="DONE"/>
    <s v="42"/>
    <m/>
    <s v="03-05-2025"/>
    <s v="03-05-2025"/>
    <x v="0"/>
    <x v="3"/>
  </r>
  <r>
    <n v="491"/>
    <x v="12"/>
    <d v="2025-05-01T00:00:00"/>
    <x v="4"/>
    <s v="JH01KD-6142"/>
    <n v="9950016408"/>
    <s v="RANCHI"/>
    <s v="NARSAPUR"/>
    <s v="HOSKOTE"/>
    <s v="32FEET"/>
    <n v="39120"/>
    <n v="46620"/>
    <n v="7500"/>
    <n v="39120"/>
    <n v="0"/>
    <s v="DONE"/>
    <s v="43"/>
    <m/>
    <s v="04-05-2025"/>
    <s v="05-05-2025"/>
    <x v="0"/>
    <x v="3"/>
  </r>
  <r>
    <n v="492"/>
    <x v="12"/>
    <d v="2025-05-02T00:00:00"/>
    <x v="4"/>
    <s v="JH01KD-0526"/>
    <n v="9902798068"/>
    <s v="RANCHI"/>
    <s v="-"/>
    <s v="NARSAPUR"/>
    <s v="32FEET"/>
    <n v="38180"/>
    <n v="40320"/>
    <n v="2140"/>
    <n v="38180"/>
    <n v="0"/>
    <s v="DONE"/>
    <s v="44'"/>
    <m/>
    <s v="05-05-2025"/>
    <s v="05-05-2025"/>
    <x v="0"/>
    <x v="3"/>
  </r>
  <r>
    <n v="493"/>
    <x v="12"/>
    <d v="2025-05-03T00:00:00"/>
    <x v="4"/>
    <s v="JH01KD-2417"/>
    <n v="9472230553"/>
    <s v="RANCHI"/>
    <s v="NARSAPUR"/>
    <s v="HOSKOTE"/>
    <s v="32FEET"/>
    <n v="39120"/>
    <n v="46620"/>
    <n v="7500"/>
    <n v="39120"/>
    <n v="0"/>
    <s v="DONE"/>
    <s v="45"/>
    <m/>
    <s v="06-05-2025"/>
    <s v="06-05-2025"/>
    <x v="0"/>
    <x v="3"/>
  </r>
  <r>
    <n v="494"/>
    <x v="12"/>
    <d v="2025-05-03T00:00:00"/>
    <x v="4"/>
    <s v="JH01KM-4371"/>
    <n v="9515412075"/>
    <s v="RANCHI"/>
    <s v="-"/>
    <s v="NARSAPUR"/>
    <s v="24FEET"/>
    <n v="37940"/>
    <n v="38740"/>
    <n v="800"/>
    <n v="37940"/>
    <n v="0"/>
    <s v="DONE"/>
    <s v="46"/>
    <m/>
    <s v="06-05-2025"/>
    <s v="06-05-2025"/>
    <x v="0"/>
    <x v="3"/>
  </r>
  <r>
    <n v="495"/>
    <x v="12"/>
    <d v="2025-05-03T00:00:00"/>
    <x v="4"/>
    <s v="JH01KD-3958"/>
    <n v="9281983602"/>
    <s v="TIRUPPUR"/>
    <s v="ERODE"/>
    <s v="RANCHI"/>
    <s v="32FEET"/>
    <n v="47530"/>
    <n v="102690"/>
    <n v="55160"/>
    <n v="47530"/>
    <n v="0"/>
    <s v="DONE"/>
    <s v="47"/>
    <m/>
    <s v="06-05-2025"/>
    <s v="06-05-2025"/>
    <x v="0"/>
    <x v="3"/>
  </r>
  <r>
    <n v="496"/>
    <x v="12"/>
    <d v="2025-05-06T00:00:00"/>
    <x v="4"/>
    <s v="JH01KD-3958"/>
    <n v="9281983602"/>
    <s v="RANCHI"/>
    <s v="-"/>
    <s v="NARSAPUR"/>
    <s v="32FEET"/>
    <n v="38180"/>
    <n v="40320"/>
    <n v="2140"/>
    <n v="38180"/>
    <n v="0"/>
    <s v="DONE"/>
    <s v="48"/>
    <m/>
    <s v="09-05-2025"/>
    <s v="09-05-2025"/>
    <x v="0"/>
    <x v="3"/>
  </r>
  <r>
    <n v="497"/>
    <x v="12"/>
    <d v="2025-05-07T00:00:00"/>
    <x v="0"/>
    <s v="KA52K-1952"/>
    <n v="9764630948"/>
    <s v="RANCHI"/>
    <s v="-"/>
    <s v="NARSAPUR"/>
    <s v="20FEET"/>
    <n v="26400"/>
    <n v="40320"/>
    <n v="13920"/>
    <n v="26400"/>
    <n v="0"/>
    <s v="DONE"/>
    <s v="49"/>
    <m/>
    <s v="12-05-2025"/>
    <s v="12-05-2025"/>
    <x v="0"/>
    <x v="16"/>
  </r>
  <r>
    <n v="498"/>
    <x v="12"/>
    <d v="2025-05-07T00:00:00"/>
    <x v="0"/>
    <s v="TN93R-4644"/>
    <n v="9891277624"/>
    <s v="RANCHI"/>
    <s v="NARSAPUR"/>
    <s v="HOSKOTE"/>
    <s v="32FEET"/>
    <n v="33230"/>
    <n v="46620"/>
    <n v="13390"/>
    <n v="33230"/>
    <n v="0"/>
    <s v="DONE"/>
    <s v="50"/>
    <m/>
    <s v="12-05-2025"/>
    <s v="12-05-2025"/>
    <x v="0"/>
    <x v="16"/>
  </r>
  <r>
    <n v="499"/>
    <x v="12"/>
    <d v="2025-05-07T00:00:00"/>
    <x v="4"/>
    <s v="JH01KM-8803"/>
    <n v="9220186371"/>
    <s v="TIRUPPUR"/>
    <s v="-"/>
    <s v="RANCHI"/>
    <s v="32FEET"/>
    <n v="46590"/>
    <n v="96390"/>
    <n v="49800"/>
    <n v="46590"/>
    <n v="0"/>
    <s v="DONE"/>
    <s v="51"/>
    <m/>
    <s v="10-05-2025"/>
    <s v="10-05-2025"/>
    <x v="0"/>
    <x v="3"/>
  </r>
  <r>
    <n v="500"/>
    <x v="12"/>
    <d v="2025-05-09T00:00:00"/>
    <x v="0"/>
    <s v="HR38K-7197"/>
    <n v="9412244022"/>
    <s v="RANCHI"/>
    <s v="NARSAPUR"/>
    <s v="HOSKOTE"/>
    <s v="32FEET"/>
    <n v="33770"/>
    <n v="46620"/>
    <n v="12850"/>
    <n v="30390"/>
    <n v="3380"/>
    <s v="DONE"/>
    <s v="52"/>
    <m/>
    <s v="13-05-2025"/>
    <s v="13-05-2025"/>
    <x v="0"/>
    <x v="6"/>
  </r>
  <r>
    <n v="501"/>
    <x v="12"/>
    <d v="2025-05-10T00:00:00"/>
    <x v="4"/>
    <s v="JH01KM-8803"/>
    <n v="9220186371"/>
    <s v="RANCHI"/>
    <s v="NARSAPUR"/>
    <s v="HOSKOTE"/>
    <s v="32FEET"/>
    <n v="33770"/>
    <n v="46620"/>
    <n v="12850"/>
    <n v="33770"/>
    <n v="0"/>
    <s v="DONE"/>
    <s v="53"/>
    <m/>
    <s v="13-05-2025"/>
    <s v="13-05-2025"/>
    <x v="0"/>
    <x v="3"/>
  </r>
  <r>
    <n v="502"/>
    <x v="12"/>
    <d v="2025-05-10T00:00:00"/>
    <x v="4"/>
    <s v="JH01KD-3958"/>
    <n v="9281983602"/>
    <s v="TIRUPPUR"/>
    <s v="-"/>
    <s v="RANCHI"/>
    <s v="32FEET"/>
    <n v="41230"/>
    <n v="96390"/>
    <n v="55160"/>
    <n v="41230"/>
    <n v="0"/>
    <s v="DONE"/>
    <s v="54"/>
    <m/>
    <s v="13-05-2025"/>
    <s v="13-05-2025"/>
    <x v="0"/>
    <x v="3"/>
  </r>
  <r>
    <n v="503"/>
    <x v="12"/>
    <d v="2025-05-11T00:00:00"/>
    <x v="4"/>
    <s v="JH01KM-4371"/>
    <n v="9515412075"/>
    <s v="RANCHI"/>
    <s v="NARSAPUR"/>
    <s v="HOSKOTE"/>
    <s v="24FEET"/>
    <n v="33530"/>
    <n v="45040"/>
    <n v="11510"/>
    <n v="33530"/>
    <n v="0"/>
    <s v="DONE"/>
    <s v="55"/>
    <m/>
    <s v="14-05-2025"/>
    <s v="14-05-2025"/>
    <x v="0"/>
    <x v="3"/>
  </r>
  <r>
    <n v="504"/>
    <x v="12"/>
    <d v="2025-05-13T00:00:00"/>
    <x v="4"/>
    <s v="JH01KD-0526"/>
    <n v="9902798068"/>
    <s v="RANCHI"/>
    <s v="NARSAPUR"/>
    <s v="HOSKOTE"/>
    <s v="32FEET"/>
    <n v="33770"/>
    <n v="46620"/>
    <n v="12850"/>
    <n v="33770"/>
    <n v="0"/>
    <s v="DONE"/>
    <s v="56"/>
    <m/>
    <s v="16-05-2025"/>
    <s v="16-05-2025"/>
    <x v="0"/>
    <x v="3"/>
  </r>
  <r>
    <n v="505"/>
    <x v="12"/>
    <d v="2025-05-14T00:00:00"/>
    <x v="4"/>
    <s v="JH01KD-2417"/>
    <n v="9472230553"/>
    <s v="RANCHI"/>
    <s v="-"/>
    <s v="NARSAPUR"/>
    <s v="32FEET"/>
    <n v="32820"/>
    <n v="40320"/>
    <n v="7500"/>
    <n v="32820"/>
    <n v="0"/>
    <s v="DONE"/>
    <s v="57"/>
    <m/>
    <s v="14-05-2025"/>
    <s v="14-05-2025"/>
    <x v="0"/>
    <x v="3"/>
  </r>
  <r>
    <n v="506"/>
    <x v="12"/>
    <d v="2025-05-14T00:00:00"/>
    <x v="4"/>
    <s v="JH01KD-6142"/>
    <n v="9025368773"/>
    <s v="RANCHI"/>
    <s v="NARSAPUR"/>
    <s v="HOSKOTE"/>
    <s v="32FEET"/>
    <n v="33770"/>
    <n v="46620"/>
    <n v="12850"/>
    <n v="33770"/>
    <n v="0"/>
    <s v="DONE"/>
    <s v="58"/>
    <m/>
    <s v="17-05-2025"/>
    <s v="17-05-2025"/>
    <x v="0"/>
    <x v="3"/>
  </r>
  <r>
    <n v="507"/>
    <x v="12"/>
    <d v="2025-05-14T00:00:00"/>
    <x v="4"/>
    <s v="JH01KM-8803"/>
    <n v="9220186371"/>
    <s v="TIRUPPUR"/>
    <s v="-"/>
    <s v="RANCHI"/>
    <s v="32FEET"/>
    <n v="41230"/>
    <n v="96390"/>
    <n v="55160"/>
    <n v="41230"/>
    <n v="0"/>
    <s v="DONE"/>
    <s v="59"/>
    <m/>
    <s v="16-05-2025"/>
    <s v="16-05-2025"/>
    <x v="0"/>
    <x v="3"/>
  </r>
  <r>
    <n v="508"/>
    <x v="12"/>
    <d v="2025-05-15T00:00:00"/>
    <x v="4"/>
    <s v="JH01KD-3958"/>
    <n v="9281983602"/>
    <s v="RANCHI"/>
    <s v="-"/>
    <s v="NARSAPUR"/>
    <s v="32FEET"/>
    <n v="32820"/>
    <n v="40320"/>
    <n v="7500"/>
    <n v="32820"/>
    <n v="0"/>
    <s v="DONE"/>
    <s v="60"/>
    <m/>
    <s v="19-05-2025"/>
    <s v="19-05-2025"/>
    <x v="0"/>
    <x v="3"/>
  </r>
  <r>
    <n v="509"/>
    <x v="12"/>
    <d v="2025-05-17T00:00:00"/>
    <x v="4"/>
    <s v="JH01KM-8803"/>
    <n v="9589264337"/>
    <s v="RANCHI"/>
    <s v="NARSAPUR"/>
    <s v="HOSKOTE"/>
    <s v="32FEET"/>
    <n v="33770"/>
    <n v="46620"/>
    <n v="12850"/>
    <n v="33770"/>
    <n v="0"/>
    <s v="DONE"/>
    <s v="61"/>
    <m/>
    <s v="20-05-2025"/>
    <s v="20-05-2025"/>
    <x v="0"/>
    <x v="3"/>
  </r>
  <r>
    <n v="510"/>
    <x v="12"/>
    <d v="2025-05-17T00:00:00"/>
    <x v="4"/>
    <s v="JH01KM-4371"/>
    <n v="9515412075"/>
    <s v="TIRUPPUR"/>
    <s v="-"/>
    <s v="RANCHI"/>
    <s v="24FEET"/>
    <n v="40480"/>
    <n v="91350"/>
    <n v="50870"/>
    <n v="40480"/>
    <n v="0"/>
    <s v="DONE"/>
    <s v="62"/>
    <m/>
    <s v="20-05-2025"/>
    <s v="20-05-2025"/>
    <x v="0"/>
    <x v="3"/>
  </r>
  <r>
    <n v="511"/>
    <x v="12"/>
    <d v="2025-05-18T00:00:00"/>
    <x v="4"/>
    <s v="JH01KD-0526"/>
    <n v="9902798068"/>
    <s v="TIRUPPUR"/>
    <s v="-"/>
    <s v="RANCHI"/>
    <s v="32FEET"/>
    <n v="41230"/>
    <n v="96390"/>
    <n v="55160"/>
    <n v="41230"/>
    <n v="0"/>
    <s v="DONE"/>
    <s v="63"/>
    <m/>
    <s v="20-05-2025"/>
    <s v="20-05-2025"/>
    <x v="0"/>
    <x v="3"/>
  </r>
  <r>
    <n v="512"/>
    <x v="12"/>
    <d v="2025-05-20T00:00:00"/>
    <x v="4"/>
    <s v="JH01KD-2417"/>
    <n v="9472230553"/>
    <s v="TIRUPPUR"/>
    <m/>
    <s v="RANCHI"/>
    <s v="32FEET"/>
    <n v="41230"/>
    <n v="96390"/>
    <n v="55160"/>
    <n v="41230"/>
    <n v="0"/>
    <s v="DONE"/>
    <s v="64"/>
    <m/>
    <s v="23-05-2025"/>
    <s v="23-05-2025"/>
    <x v="0"/>
    <x v="3"/>
  </r>
  <r>
    <n v="513"/>
    <x v="12"/>
    <d v="2025-05-20T00:00:00"/>
    <x v="0"/>
    <s v="JH01EJ-4551"/>
    <n v="9119138448"/>
    <s v="RANCHI"/>
    <s v="LOCAL AUTO"/>
    <s v="RANCHI"/>
    <s v="AUTO"/>
    <n v="620"/>
    <n v="940"/>
    <n v="320"/>
    <n v="620"/>
    <n v="0"/>
    <s v="DONE"/>
    <s v="75"/>
    <m/>
    <s v="20-05-2025"/>
    <s v="20-05-2025"/>
    <x v="0"/>
    <x v="33"/>
  </r>
  <r>
    <n v="514"/>
    <x v="12"/>
    <d v="2025-05-20T00:00:00"/>
    <x v="0"/>
    <s v="OD07V-0007"/>
    <n v="9991890079"/>
    <s v="RANCHI"/>
    <s v="NARSAPUR"/>
    <s v="HOSKOTE"/>
    <s v="32FEET"/>
    <n v="33770"/>
    <n v="46620"/>
    <n v="12850"/>
    <n v="33770"/>
    <n v="0"/>
    <s v="DONE"/>
    <s v="65"/>
    <m/>
    <s v="24-05-2025"/>
    <s v="24-05-2025"/>
    <x v="0"/>
    <x v="21"/>
  </r>
  <r>
    <n v="515"/>
    <x v="12"/>
    <d v="2025-05-21T00:00:00"/>
    <x v="0"/>
    <s v="PB13MM-3286"/>
    <n v="9091859565"/>
    <s v="RANCHI"/>
    <s v="NARSAPUR"/>
    <s v="HOSKOTE"/>
    <s v="32FEET"/>
    <n v="33770"/>
    <n v="46620"/>
    <n v="12850"/>
    <n v="33770"/>
    <n v="0"/>
    <s v="DONE"/>
    <s v="66"/>
    <m/>
    <s v="23-05-2025"/>
    <s v="24-05-2025"/>
    <x v="0"/>
    <x v="6"/>
  </r>
  <r>
    <n v="516"/>
    <x v="12"/>
    <d v="2025-05-21T00:00:00"/>
    <x v="4"/>
    <s v="JH01KM-4371"/>
    <n v="9515412075"/>
    <s v="RANCHI"/>
    <s v="-"/>
    <s v="HOSKOTE"/>
    <s v="24FEET"/>
    <n v="32590"/>
    <n v="38740"/>
    <n v="6150"/>
    <n v="32590"/>
    <n v="0"/>
    <s v="DONE"/>
    <s v="67"/>
    <m/>
    <s v="23-05-2025"/>
    <s v="24-05-2025"/>
    <x v="0"/>
    <x v="3"/>
  </r>
  <r>
    <n v="517"/>
    <x v="12"/>
    <d v="2025-05-21T00:00:00"/>
    <x v="4"/>
    <s v="JH01KD-0526"/>
    <n v="9220186371"/>
    <s v="RANCHI"/>
    <s v="-"/>
    <s v="NARSAPUR"/>
    <s v="32FEET"/>
    <n v="32820"/>
    <n v="40320"/>
    <n v="7500"/>
    <n v="32820"/>
    <n v="0"/>
    <s v="DONE"/>
    <s v="68"/>
    <m/>
    <s v="23-05-2025"/>
    <s v="24-05-2025"/>
    <x v="0"/>
    <x v="3"/>
  </r>
  <r>
    <n v="518"/>
    <x v="12"/>
    <d v="2025-05-21T00:00:00"/>
    <x v="4"/>
    <s v="JH01KD-3958"/>
    <n v="9281983602"/>
    <s v="TIRUPPUR"/>
    <s v="02POINT VENDOR V+VENDOR U"/>
    <s v="RANCHI"/>
    <s v="32FEET"/>
    <n v="42180"/>
    <n v="102690"/>
    <n v="60510"/>
    <n v="42180"/>
    <n v="0"/>
    <s v="DONE"/>
    <s v="69"/>
    <m/>
    <s v="23-05-2025"/>
    <s v="23-05-2025"/>
    <x v="0"/>
    <x v="3"/>
  </r>
  <r>
    <n v="519"/>
    <x v="12"/>
    <d v="2025-05-22T00:00:00"/>
    <x v="0"/>
    <s v="BY AIR "/>
    <m/>
    <s v="RANCHI"/>
    <s v="HOSKOTE,011529"/>
    <s v="NARSAPUR,864894"/>
    <s v="FLIGHT"/>
    <n v="41380"/>
    <n v="49810"/>
    <n v="8430"/>
    <n v="41380"/>
    <n v="0"/>
    <s v="DONE"/>
    <s v="76"/>
    <m/>
    <s v="23-05-2025"/>
    <s v="23-05-2025"/>
    <x v="0"/>
    <x v="14"/>
  </r>
  <r>
    <n v="520"/>
    <x v="12"/>
    <d v="2025-05-22T00:00:00"/>
    <x v="0"/>
    <s v="BY AIR "/>
    <m/>
    <s v="RANCHI"/>
    <m/>
    <s v="NARSAPUR,588066"/>
    <s v="FLIGHT"/>
    <n v="34110"/>
    <n v="35920"/>
    <n v="1810"/>
    <n v="34110"/>
    <n v="0"/>
    <s v="DONE"/>
    <s v="77"/>
    <m/>
    <s v="23-05-2025"/>
    <s v="23-05-2025"/>
    <x v="0"/>
    <x v="14"/>
  </r>
  <r>
    <n v="521"/>
    <x v="12"/>
    <d v="2025-05-23T00:00:00"/>
    <x v="4"/>
    <s v="JH01KM-8803"/>
    <n v="9589264337"/>
    <s v="TIRUPPUR"/>
    <s v="-"/>
    <s v="RANCHI"/>
    <s v="32FEET"/>
    <n v="41230"/>
    <n v="96390"/>
    <n v="55160"/>
    <n v="41230"/>
    <n v="0"/>
    <s v="DONE"/>
    <s v="70"/>
    <m/>
    <s v="26-05-2025"/>
    <s v="26-05-2025"/>
    <x v="0"/>
    <x v="3"/>
  </r>
  <r>
    <n v="522"/>
    <x v="12"/>
    <d v="2025-05-24T00:00:00"/>
    <x v="4"/>
    <s v="JH01KM-0526"/>
    <n v="9220186371"/>
    <s v="TIRUPPUR"/>
    <s v="02POINT VENDOR V+VENDOR U"/>
    <s v="RANCHI"/>
    <s v="32FEET"/>
    <n v="42180"/>
    <n v="102690"/>
    <n v="60510"/>
    <n v="42180"/>
    <n v="0"/>
    <s v="DONE"/>
    <s v="71"/>
    <m/>
    <s v="27-05-2025"/>
    <s v="27-05-2025"/>
    <x v="0"/>
    <x v="3"/>
  </r>
  <r>
    <n v="523"/>
    <x v="12"/>
    <d v="2025-05-24T00:00:00"/>
    <x v="4"/>
    <s v="JH01KD-3958"/>
    <n v="9281983602"/>
    <s v="RANCHI"/>
    <s v="NARSAPUR"/>
    <s v="HOSKOTE"/>
    <s v="32FEET"/>
    <n v="33770"/>
    <n v="46620"/>
    <n v="12850"/>
    <n v="33770"/>
    <n v="0"/>
    <s v="DONE"/>
    <s v="72"/>
    <m/>
    <s v="27-05-2025"/>
    <s v="27-05-2025"/>
    <x v="0"/>
    <x v="3"/>
  </r>
  <r>
    <n v="524"/>
    <x v="12"/>
    <d v="2025-05-26T00:00:00"/>
    <x v="4"/>
    <s v="JH01KD-2417"/>
    <n v="9950016408"/>
    <s v="RANCHI"/>
    <s v="-"/>
    <s v="NARSAPUR,6367"/>
    <s v="32FEET"/>
    <n v="32820"/>
    <n v="40320"/>
    <n v="7500"/>
    <n v="32820"/>
    <n v="0"/>
    <s v="DONE"/>
    <s v="78"/>
    <m/>
    <s v="29-05-2025"/>
    <s v="29-05-2025"/>
    <x v="0"/>
    <x v="3"/>
  </r>
  <r>
    <n v="525"/>
    <x v="12"/>
    <d v="2025-05-27T00:00:00"/>
    <x v="4"/>
    <s v="JH01KD-6142"/>
    <n v="9025368773"/>
    <s v="RANCHI"/>
    <s v="NARSAPUR,1249"/>
    <s v="HOSKOTE,1487"/>
    <s v="32FEET"/>
    <n v="33770"/>
    <n v="46620"/>
    <n v="12850"/>
    <n v="33770"/>
    <n v="0"/>
    <s v="DONE"/>
    <s v="79"/>
    <m/>
    <s v="30-05-2025"/>
    <s v="30-05-2025"/>
    <x v="0"/>
    <x v="3"/>
  </r>
  <r>
    <n v="526"/>
    <x v="12"/>
    <d v="2025-05-27T00:00:00"/>
    <x v="4"/>
    <s v="JH01KM-4371"/>
    <n v="9515412075"/>
    <s v="TIRUPPUR"/>
    <s v="-"/>
    <s v="RANCHI,7536"/>
    <s v="24FEET"/>
    <n v="40480"/>
    <n v="91350"/>
    <n v="50870"/>
    <n v="40480"/>
    <n v="0"/>
    <s v="DONE"/>
    <s v="80"/>
    <m/>
    <s v="29-05-2025"/>
    <s v="29-05-2025"/>
    <x v="0"/>
    <x v="3"/>
  </r>
  <r>
    <n v="527"/>
    <x v="12"/>
    <d v="2025-05-28T00:00:00"/>
    <x v="4"/>
    <s v="JH01KD-0526"/>
    <n v="9220186371"/>
    <s v="RANCHI"/>
    <s v="NARSAPUR,8123"/>
    <s v="HOSKOTE,5178"/>
    <s v="32FEET"/>
    <n v="33770"/>
    <n v="46620"/>
    <n v="12850"/>
    <n v="33770"/>
    <n v="0"/>
    <s v="DONE"/>
    <s v="81"/>
    <m/>
    <s v="30-05-2025"/>
    <s v="30-05-2025"/>
    <x v="0"/>
    <x v="3"/>
  </r>
  <r>
    <n v="528"/>
    <x v="12"/>
    <d v="2025-05-29T00:00:00"/>
    <x v="4"/>
    <s v="JH01KM-8803"/>
    <n v="9589264337"/>
    <s v="RANCHI"/>
    <s v="-"/>
    <s v="NARSAPUR,3362"/>
    <s v="32FEET"/>
    <n v="32820"/>
    <n v="40320"/>
    <n v="7500"/>
    <n v="32820"/>
    <n v="0"/>
    <s v="DONE"/>
    <s v="82"/>
    <m/>
    <s v="02-06-2025"/>
    <s v="02-06-2025"/>
    <x v="0"/>
    <x v="3"/>
  </r>
  <r>
    <n v="529"/>
    <x v="12"/>
    <d v="2025-05-30T00:00:00"/>
    <x v="4"/>
    <s v="JH01KM-4371"/>
    <n v="9515412075"/>
    <s v="RANCHI"/>
    <s v="NARSAPUR,8791"/>
    <s v="HOSKOTE,6674"/>
    <s v="24FEET"/>
    <n v="33530"/>
    <n v="45040"/>
    <n v="11510"/>
    <n v="33530"/>
    <n v="0"/>
    <s v="DONE"/>
    <s v="83"/>
    <m/>
    <s v="02-06-2025"/>
    <s v="02-06-2025"/>
    <x v="0"/>
    <x v="3"/>
  </r>
  <r>
    <n v="530"/>
    <x v="12"/>
    <d v="2025-05-31T00:00:00"/>
    <x v="4"/>
    <s v="JH01KD-3958"/>
    <n v="9281983602"/>
    <s v="RANCHI"/>
    <s v="NARSAPUR,3610"/>
    <s v="HOSKOTE,7188"/>
    <s v="332FEET"/>
    <n v="33770"/>
    <n v="46620"/>
    <n v="12850"/>
    <n v="33770"/>
    <n v="0"/>
    <s v="DONE"/>
    <s v="84"/>
    <m/>
    <s v="03-06-2025"/>
    <s v="03-06-2025"/>
    <x v="0"/>
    <x v="3"/>
  </r>
  <r>
    <n v="531"/>
    <x v="13"/>
    <d v="2025-06-01T00:00:00"/>
    <x v="4"/>
    <s v="JH01KD-2417"/>
    <n v="9472230553"/>
    <s v="TIRUPPUR"/>
    <s v="VENDOR M TIRUPPUR ,1864 +VENDOR U ,4857"/>
    <s v="RANCHI"/>
    <s v="32FEET"/>
    <n v="42180"/>
    <n v="102690"/>
    <n v="60510"/>
    <n v="42180"/>
    <n v="0"/>
    <s v="DONE"/>
    <s v="85"/>
    <m/>
    <s v="04-06-2025"/>
    <s v="04-06-2025"/>
    <x v="0"/>
    <x v="3"/>
  </r>
  <r>
    <n v="532"/>
    <x v="13"/>
    <d v="2025-06-02T00:00:00"/>
    <x v="0"/>
    <s v="TN93R-4644"/>
    <n v="9108592771"/>
    <s v="RANCHI"/>
    <s v="-"/>
    <s v="NARSAPUR,9362"/>
    <s v="32FEET "/>
    <n v="31220"/>
    <n v="40320"/>
    <n v="9100"/>
    <n v="31220"/>
    <n v="0"/>
    <s v="DONE"/>
    <s v="86"/>
    <m/>
    <s v="05-06-2025"/>
    <s v="05-06-2025"/>
    <x v="0"/>
    <x v="16"/>
  </r>
  <r>
    <n v="533"/>
    <x v="13"/>
    <d v="2025-06-03T00:00:00"/>
    <x v="0"/>
    <s v="PB13MM-3286"/>
    <n v="9091859565"/>
    <s v="RANCHI"/>
    <s v="-"/>
    <s v="NARSAPUR,3369"/>
    <s v="32FEET"/>
    <n v="32290"/>
    <n v="40320"/>
    <n v="8030"/>
    <n v="32290"/>
    <n v="0"/>
    <s v="DONE"/>
    <s v="87"/>
    <m/>
    <s v="07-06-2025"/>
    <s v="07-06-2025"/>
    <x v="0"/>
    <x v="6"/>
  </r>
  <r>
    <n v="534"/>
    <x v="13"/>
    <d v="2025-06-03T00:00:00"/>
    <x v="4"/>
    <s v="JH01KM-8803"/>
    <n v="9589264337"/>
    <s v="TIRUPPUR"/>
    <s v="VENDOR U+VENDOR V,198621"/>
    <s v="RANCHI,642951"/>
    <s v="32FEET"/>
    <n v="42180"/>
    <n v="102690"/>
    <n v="60510"/>
    <n v="42180"/>
    <n v="0"/>
    <s v="DONE"/>
    <s v="88"/>
    <m/>
    <s v="06-06-2025"/>
    <s v="06-06-2025"/>
    <x v="0"/>
    <x v="3"/>
  </r>
  <r>
    <n v="535"/>
    <x v="13"/>
    <d v="2025-06-04T00:00:00"/>
    <x v="4"/>
    <s v="JH01KD-2417"/>
    <n v="9472230553"/>
    <s v="RANCHI"/>
    <s v="NARSAPUR,6950"/>
    <s v="HOSKOTE,7568"/>
    <s v="32FEET"/>
    <n v="33770"/>
    <n v="46620"/>
    <n v="12850"/>
    <n v="33770"/>
    <n v="0"/>
    <s v="DONE"/>
    <s v="89"/>
    <m/>
    <s v="05-06-2025"/>
    <s v="05-06-2025"/>
    <x v="0"/>
    <x v="3"/>
  </r>
  <r>
    <n v="536"/>
    <x v="13"/>
    <d v="2025-06-05T00:00:00"/>
    <x v="0"/>
    <s v="KA52K-0009"/>
    <n v="9426261943"/>
    <s v="RANCHI"/>
    <s v="NARSAPUR,1571"/>
    <s v="HOSKOTE,3373"/>
    <s v="32FEET"/>
    <n v="33230"/>
    <n v="46620"/>
    <n v="13390"/>
    <n v="33230"/>
    <n v="0"/>
    <s v="DONE"/>
    <s v="90"/>
    <m/>
    <s v="09-06-2025"/>
    <s v="10-06-2025"/>
    <x v="0"/>
    <x v="16"/>
  </r>
  <r>
    <n v="537"/>
    <x v="13"/>
    <d v="2025-06-05T00:00:00"/>
    <x v="4"/>
    <s v="JH01KM-4371"/>
    <n v="9515412075"/>
    <s v="TIRUPPUR"/>
    <s v="-"/>
    <s v="RANCHI,4610"/>
    <s v="24FEET"/>
    <n v="40480"/>
    <n v="91350"/>
    <n v="50870"/>
    <n v="40480"/>
    <n v="0"/>
    <s v="DONE"/>
    <s v="91"/>
    <m/>
    <s v="08-06-2025"/>
    <s v="08-06-2025"/>
    <x v="0"/>
    <x v="3"/>
  </r>
  <r>
    <n v="538"/>
    <x v="13"/>
    <d v="2025-06-06T00:00:00"/>
    <x v="0"/>
    <s v="BY AIR "/>
    <m/>
    <s v="RANCHI"/>
    <s v="-"/>
    <s v="NARSAPUR,8022"/>
    <s v="FLIGHT"/>
    <n v="31580"/>
    <n v="36450"/>
    <n v="4870"/>
    <n v="31580"/>
    <n v="0"/>
    <s v="DONE"/>
    <s v="92"/>
    <m/>
    <s v="07-06-2025"/>
    <s v="07-06-2025"/>
    <x v="0"/>
    <x v="14"/>
  </r>
  <r>
    <n v="539"/>
    <x v="13"/>
    <d v="2025-06-07T00:00:00"/>
    <x v="4"/>
    <s v="JH01KM-8803"/>
    <n v="9589264337"/>
    <s v="RANCHI"/>
    <s v="NARSAPUR,3293"/>
    <s v="HOSKOTE,2169"/>
    <s v="32FEET"/>
    <n v="33770"/>
    <n v="46620"/>
    <n v="12850"/>
    <n v="33770"/>
    <n v="0"/>
    <s v="DONE"/>
    <s v="93"/>
    <m/>
    <s v="10-06-2025"/>
    <s v="11-06-2025"/>
    <x v="0"/>
    <x v="3"/>
  </r>
  <r>
    <n v="540"/>
    <x v="13"/>
    <d v="2025-06-07T00:00:00"/>
    <x v="4"/>
    <s v="JH01KD-3958"/>
    <n v="9281983602"/>
    <s v="MYSORE"/>
    <s v="CLIENT BOMMANSANDRA,596986"/>
    <s v="RANCHI,558427"/>
    <s v="32FEET"/>
    <n v="42180"/>
    <n v="102690"/>
    <n v="60510"/>
    <n v="42180"/>
    <n v="0"/>
    <s v="DONE"/>
    <s v="94"/>
    <m/>
    <s v="09-06-2025"/>
    <s v="09-06-2025"/>
    <x v="0"/>
    <x v="3"/>
  </r>
  <r>
    <n v="541"/>
    <x v="13"/>
    <d v="2025-06-07T00:00:00"/>
    <x v="0"/>
    <s v="PB13HW-0604"/>
    <n v="9376566432"/>
    <s v="RANCHI"/>
    <s v="NARSAPUR,0750"/>
    <s v="HOSKOTE,5908"/>
    <s v="32FEET"/>
    <n v="33770"/>
    <n v="46620"/>
    <n v="12850"/>
    <n v="33770"/>
    <n v="0"/>
    <s v="DONE"/>
    <s v="95"/>
    <m/>
    <s v="11-06-2025"/>
    <s v="12-06-2025"/>
    <x v="0"/>
    <x v="6"/>
  </r>
  <r>
    <n v="542"/>
    <x v="13"/>
    <d v="2025-06-09T00:00:00"/>
    <x v="4"/>
    <s v="JH01KD-3958"/>
    <n v="9281983602"/>
    <s v="RANCHI"/>
    <s v="NARSAPUR,9768"/>
    <s v="HOSKOTE,0936"/>
    <s v="32FEET"/>
    <n v="33770"/>
    <n v="46620"/>
    <n v="12850"/>
    <n v="33770"/>
    <n v="0"/>
    <s v="DONE"/>
    <s v="96"/>
    <m/>
    <s v="12-06-2025"/>
    <s v="13-06-2025"/>
    <x v="0"/>
    <x v="3"/>
  </r>
  <r>
    <n v="543"/>
    <x v="13"/>
    <d v="2025-06-09T00:00:00"/>
    <x v="4"/>
    <s v="JH01KD-0526"/>
    <n v="9220186371"/>
    <s v="TIRUPPUR"/>
    <s v="VENDOR F,ERODE,442683"/>
    <s v="RANCHI,666661"/>
    <s v="32FEET"/>
    <n v="42180"/>
    <n v="102690"/>
    <n v="60510"/>
    <n v="42180"/>
    <n v="0"/>
    <s v="DONE"/>
    <s v="97"/>
    <m/>
    <s v="12-06-2025"/>
    <s v="12-06-2025"/>
    <x v="0"/>
    <x v="3"/>
  </r>
  <r>
    <n v="544"/>
    <x v="13"/>
    <d v="2025-06-10T00:00:00"/>
    <x v="4"/>
    <s v="JH01KD-6142"/>
    <n v="9025368773"/>
    <s v="RANCHI"/>
    <s v="NARSAPUR,3527"/>
    <s v="HOSKOTE,0897"/>
    <s v="32FEET"/>
    <n v="33770"/>
    <n v="46620"/>
    <n v="12850"/>
    <n v="33770"/>
    <n v="0"/>
    <s v="DONE"/>
    <s v="98"/>
    <m/>
    <s v="13-06-2025"/>
    <s v="14-06-2025"/>
    <x v="0"/>
    <x v="3"/>
  </r>
  <r>
    <n v="545"/>
    <x v="13"/>
    <d v="2025-06-11T00:00:00"/>
    <x v="4"/>
    <s v="JH01KM-4371"/>
    <n v="9515412075"/>
    <s v="RANCHI"/>
    <s v="NARSAPUR,0268"/>
    <s v="-"/>
    <s v="24FEET"/>
    <n v="32590"/>
    <n v="38740"/>
    <n v="6150"/>
    <n v="32590"/>
    <n v="0"/>
    <s v="DONE"/>
    <s v="99"/>
    <m/>
    <s v="14-06-2025"/>
    <s v="16-06-2025"/>
    <x v="0"/>
    <x v="3"/>
  </r>
  <r>
    <n v="546"/>
    <x v="13"/>
    <d v="2025-06-11T00:00:00"/>
    <x v="4"/>
    <s v="JH01KD-2417"/>
    <n v="9472230553"/>
    <s v="TIRUPPUR"/>
    <s v="VENDOR U+VENDOR V,6287"/>
    <s v="RANCHI,9954"/>
    <s v="32FEET"/>
    <n v="42180"/>
    <n v="102690"/>
    <n v="60510"/>
    <n v="42180"/>
    <n v="0"/>
    <s v="DONE"/>
    <s v="100"/>
    <m/>
    <s v="14-06-2025"/>
    <s v="14-06-2025"/>
    <x v="0"/>
    <x v="3"/>
  </r>
  <r>
    <n v="547"/>
    <x v="13"/>
    <d v="2025-06-12T00:00:00"/>
    <x v="4"/>
    <s v="JH01KD-0526"/>
    <n v="9220186371"/>
    <s v="RANCHI"/>
    <s v="NARSAPUR,7209"/>
    <s v="HOSKOTE,4817"/>
    <s v="32FEET"/>
    <n v="33770"/>
    <n v="46620"/>
    <n v="12850"/>
    <n v="33770"/>
    <n v="0"/>
    <s v="DONE"/>
    <s v="101"/>
    <m/>
    <s v="14-06-2025"/>
    <s v="14-06-2025"/>
    <x v="0"/>
    <x v="3"/>
  </r>
  <r>
    <n v="548"/>
    <x v="13"/>
    <d v="2025-06-13T00:00:00"/>
    <x v="0"/>
    <s v="NL01JH-7264"/>
    <n v="9055062589"/>
    <s v="RANCHI"/>
    <s v="-"/>
    <s v="NARSAPUR,3292"/>
    <s v="32FEET"/>
    <n v="32290"/>
    <n v="40320"/>
    <n v="8030"/>
    <n v="29650"/>
    <n v="2640"/>
    <s v="DONE"/>
    <s v="102"/>
    <m/>
    <s v="17-06-2025"/>
    <s v="17-06-2025"/>
    <x v="0"/>
    <x v="6"/>
  </r>
  <r>
    <n v="549"/>
    <x v="13"/>
    <d v="2025-06-14T00:00:00"/>
    <x v="4"/>
    <s v="JH01KM-8803"/>
    <n v="9589264337"/>
    <s v="TIRUPPUR"/>
    <s v="-"/>
    <s v="RANCHI,295884"/>
    <s v="32FEET"/>
    <n v="41230"/>
    <n v="96390"/>
    <n v="55160"/>
    <n v="41230"/>
    <n v="0"/>
    <s v="DONE"/>
    <s v="103"/>
    <m/>
    <s v="17-06-2025"/>
    <s v="17-06-2025"/>
    <x v="0"/>
    <x v="3"/>
  </r>
  <r>
    <n v="550"/>
    <x v="13"/>
    <d v="2025-06-14T00:00:00"/>
    <x v="4"/>
    <s v="JH01KD-2417"/>
    <n v="9950016408"/>
    <s v="RANCHI"/>
    <s v="NARSAPUR,7797"/>
    <s v="HOSKOTE,4438"/>
    <s v="32FEET"/>
    <n v="33770"/>
    <n v="46620"/>
    <n v="12850"/>
    <n v="33770"/>
    <n v="0"/>
    <s v="DONE"/>
    <s v="104"/>
    <m/>
    <s v="19-06-2025"/>
    <s v="19-06-2025"/>
    <x v="0"/>
    <x v="3"/>
  </r>
  <r>
    <n v="551"/>
    <x v="13"/>
    <d v="2025-06-15T00:00:00"/>
    <x v="4"/>
    <s v="JH01KD-3958"/>
    <n v="9281983602"/>
    <s v="TIRUPPUR"/>
    <s v="NARSAPUR,0558"/>
    <s v="RANCHI,9409"/>
    <s v="32FEET"/>
    <n v="42180"/>
    <n v="102690"/>
    <n v="60510"/>
    <n v="42180"/>
    <n v="0"/>
    <s v="DONE"/>
    <s v="105"/>
    <m/>
    <s v="18-06-2025"/>
    <s v="18-06-2025"/>
    <x v="0"/>
    <x v="3"/>
  </r>
  <r>
    <n v="552"/>
    <x v="13"/>
    <d v="2025-06-15T00:00:00"/>
    <x v="0"/>
    <s v="TN55GS-6058"/>
    <n v="9954558236"/>
    <s v="RANCHI"/>
    <s v="NARSAPUR,2523"/>
    <s v="HOSKOTE,1052"/>
    <s v="20FEET"/>
    <n v="27700"/>
    <n v="41900"/>
    <n v="14200"/>
    <n v="26320"/>
    <n v="1380"/>
    <s v="DONE"/>
    <s v="106"/>
    <m/>
    <s v="19-06-2025"/>
    <s v="19-06-2025"/>
    <x v="0"/>
    <x v="34"/>
  </r>
  <r>
    <n v="553"/>
    <x v="13"/>
    <d v="2025-06-16T00:00:00"/>
    <x v="0"/>
    <s v="TN93R-4644"/>
    <n v="9108592771"/>
    <s v="RANCHI"/>
    <s v="-"/>
    <s v="NARSAPUR,1854"/>
    <s v="32FEET"/>
    <n v="31750"/>
    <n v="40320"/>
    <n v="8570"/>
    <n v="31750"/>
    <n v="0"/>
    <s v="DONE"/>
    <s v="107"/>
    <m/>
    <s v="19-06-2025"/>
    <s v="19-06-2025"/>
    <x v="0"/>
    <x v="16"/>
  </r>
  <r>
    <n v="554"/>
    <x v="13"/>
    <d v="2025-06-17T00:00:00"/>
    <x v="0"/>
    <s v="TN57DD-1436"/>
    <n v="9639798777"/>
    <s v="RANCHI"/>
    <s v="-"/>
    <s v="HOSKOTE1404"/>
    <s v="20FEET"/>
    <n v="26220"/>
    <n v="35600"/>
    <n v="9380"/>
    <n v="26220"/>
    <n v="0"/>
    <s v="DONE"/>
    <s v="108"/>
    <m/>
    <s v="20-06-2025"/>
    <s v="20-06-2025"/>
    <x v="0"/>
    <x v="16"/>
  </r>
  <r>
    <n v="555"/>
    <x v="13"/>
    <d v="2025-06-18T00:00:00"/>
    <x v="4"/>
    <s v="JH01KM-8803"/>
    <n v="9589264337"/>
    <s v="RANCHI"/>
    <s v="NARSAPUR,0178"/>
    <s v="HOSKOTE,7776"/>
    <s v="32FEET"/>
    <n v="33770"/>
    <n v="46620"/>
    <n v="12850"/>
    <n v="33770"/>
    <n v="0"/>
    <s v="DONE"/>
    <s v="109"/>
    <m/>
    <s v="20-06-2025"/>
    <s v="20-06-2025"/>
    <x v="0"/>
    <x v="3"/>
  </r>
  <r>
    <n v="556"/>
    <x v="13"/>
    <d v="2025-06-18T00:00:00"/>
    <x v="4"/>
    <s v="JH01KD-3958"/>
    <n v="9935813519"/>
    <s v="RANCHI"/>
    <s v="NARSAPUR,3767"/>
    <s v="HOSKOTE,8334"/>
    <s v="32FEET"/>
    <n v="33770"/>
    <n v="46620"/>
    <n v="12850"/>
    <n v="33770"/>
    <n v="0"/>
    <s v="DONE"/>
    <s v="110"/>
    <m/>
    <s v="20-06-2025"/>
    <s v="20-06-2025"/>
    <x v="0"/>
    <x v="3"/>
  </r>
  <r>
    <n v="557"/>
    <x v="13"/>
    <d v="2025-06-18T00:00:00"/>
    <x v="4"/>
    <s v="JH01KD-6142"/>
    <n v="9025368773"/>
    <s v="TIRUPPUR"/>
    <s v="-"/>
    <s v="RANCHI,78313"/>
    <s v="32FEET"/>
    <n v="41230"/>
    <n v="96390"/>
    <n v="55160"/>
    <n v="41230"/>
    <n v="0"/>
    <s v="DONE"/>
    <s v="111"/>
    <m/>
    <s v="20-06-2025"/>
    <s v="20-06-2025"/>
    <x v="0"/>
    <x v="3"/>
  </r>
  <r>
    <n v="558"/>
    <x v="13"/>
    <d v="2025-06-18T00:00:00"/>
    <x v="4"/>
    <s v="JH01KM-4371"/>
    <n v="9515412075"/>
    <s v="TIRUPPUR"/>
    <s v="-"/>
    <s v="RANCHI,6643"/>
    <s v="24FEET"/>
    <n v="40480"/>
    <n v="91350"/>
    <n v="50870"/>
    <n v="40480"/>
    <n v="0"/>
    <s v="DONE"/>
    <s v="112"/>
    <m/>
    <s v="21-06-2025"/>
    <s v="21-06-2025"/>
    <x v="0"/>
    <x v="3"/>
  </r>
  <r>
    <n v="559"/>
    <x v="13"/>
    <d v="2025-06-19T00:00:00"/>
    <x v="0"/>
    <s v="BY AIR "/>
    <m/>
    <s v="RANCHI"/>
    <s v="-"/>
    <s v="NARSAPUR,7294.66.67"/>
    <s v="FLIGHT"/>
    <n v="123840"/>
    <n v="161030"/>
    <n v="37190"/>
    <n v="66520"/>
    <n v="57320"/>
    <s v="DONE"/>
    <s v="113"/>
    <m/>
    <s v="20-06-2025"/>
    <s v="20-06-2025"/>
    <x v="0"/>
    <x v="14"/>
  </r>
  <r>
    <n v="560"/>
    <x v="13"/>
    <d v="2025-06-20T00:00:00"/>
    <x v="4"/>
    <s v="JH01KD-0526"/>
    <n v="9220186371"/>
    <s v="TIRUPPUR"/>
    <s v="-"/>
    <s v="RANCHI,292311"/>
    <s v="32FEET"/>
    <n v="41230"/>
    <n v="96390"/>
    <n v="55160"/>
    <n v="41230"/>
    <n v="0"/>
    <s v="DONE"/>
    <s v="114"/>
    <m/>
    <s v="23-06-2025"/>
    <s v="23-06-2025"/>
    <x v="0"/>
    <x v="3"/>
  </r>
  <r>
    <n v="561"/>
    <x v="13"/>
    <d v="2025-06-21T00:00:00"/>
    <x v="4"/>
    <s v="JH01KM-8803"/>
    <n v="9589264337"/>
    <s v="TIRUPPUR"/>
    <s v="VENDOR G ERODE,827438"/>
    <s v="RANCHI,617845"/>
    <s v="32FEET"/>
    <n v="42180"/>
    <n v="102690"/>
    <n v="60510"/>
    <n v="42180"/>
    <n v="0"/>
    <s v="DONE"/>
    <s v="115"/>
    <m/>
    <s v="25-06-2025"/>
    <s v="26-06-2025"/>
    <x v="0"/>
    <x v="3"/>
  </r>
  <r>
    <n v="562"/>
    <x v="13"/>
    <d v="2025-06-21T00:00:00"/>
    <x v="4"/>
    <s v="JH01KD-6142"/>
    <n v="9025368773"/>
    <s v="RANCHI"/>
    <s v="NARSAPUR,0125"/>
    <s v="HOSKOTE,0350"/>
    <s v="32FEET"/>
    <n v="33770"/>
    <n v="46620"/>
    <n v="12850"/>
    <n v="33770"/>
    <n v="0"/>
    <s v="DONE"/>
    <s v="116"/>
    <m/>
    <s v="24-06-2025"/>
    <s v="25-06-2025"/>
    <x v="0"/>
    <x v="3"/>
  </r>
  <r>
    <n v="563"/>
    <x v="13"/>
    <d v="2025-06-23T00:00:00"/>
    <x v="4"/>
    <s v="JH01KM-4371"/>
    <n v="9515412075"/>
    <s v="RANCHI"/>
    <s v="-"/>
    <s v="NARSAPUR,6250"/>
    <s v="24FEET"/>
    <n v="32540"/>
    <n v="38430"/>
    <n v="5890"/>
    <n v="32540"/>
    <n v="0"/>
    <s v="DONE"/>
    <s v="117"/>
    <m/>
    <s v="26-06-2025"/>
    <s v="26-06-2025"/>
    <x v="0"/>
    <x v="3"/>
  </r>
  <r>
    <n v="564"/>
    <x v="13"/>
    <d v="2025-06-25T00:00:00"/>
    <x v="4"/>
    <s v="JH01KD-0526"/>
    <n v="9220186371"/>
    <s v="RANCHI"/>
    <s v="NARSAPUR,0620"/>
    <s v="HOSKOTE,7874"/>
    <s v="32FEET"/>
    <n v="33770"/>
    <n v="46620"/>
    <n v="12850"/>
    <n v="33770"/>
    <n v="0"/>
    <s v="DONE"/>
    <s v="118"/>
    <m/>
    <s v="28-06-2025"/>
    <s v="28-06-2025"/>
    <x v="0"/>
    <x v="3"/>
  </r>
  <r>
    <n v="565"/>
    <x v="13"/>
    <d v="2025-06-25T00:00:00"/>
    <x v="0"/>
    <s v="KA51BX-8000"/>
    <n v="9308251477"/>
    <s v="RANCHI"/>
    <s v="NARSAPUR,4122"/>
    <s v="HOSKOTE,0211"/>
    <s v="32FEET"/>
    <n v="33770"/>
    <n v="46620"/>
    <n v="12850"/>
    <n v="33770"/>
    <n v="0"/>
    <s v="DONE"/>
    <s v="119"/>
    <m/>
    <s v="30-06-2025"/>
    <s v="30-06-2025"/>
    <x v="0"/>
    <x v="6"/>
  </r>
  <r>
    <n v="566"/>
    <x v="13"/>
    <d v="2025-06-25T00:00:00"/>
    <x v="4"/>
    <s v="JH01KD-6142"/>
    <n v="9025368773"/>
    <s v="TIRUPPUR"/>
    <s v="-"/>
    <s v="RANCHI,715081"/>
    <s v="32FEET"/>
    <n v="41230"/>
    <n v="96390"/>
    <n v="55160"/>
    <n v="41230"/>
    <n v="0"/>
    <s v="DONE"/>
    <s v="120"/>
    <m/>
    <s v="29-06-2025"/>
    <s v="29-06-2025"/>
    <x v="0"/>
    <x v="3"/>
  </r>
  <r>
    <n v="567"/>
    <x v="13"/>
    <d v="2025-06-26T00:00:00"/>
    <x v="4"/>
    <s v="JH01KM-8803"/>
    <n v="9589264337"/>
    <s v="RANCHI"/>
    <s v="NARSAPUR,0308"/>
    <s v="HASSAN,6735"/>
    <s v="32FEET"/>
    <n v="33770"/>
    <n v="46620"/>
    <n v="12850"/>
    <n v="33770"/>
    <n v="0"/>
    <s v="DONE"/>
    <s v="121"/>
    <m/>
    <s v="30-06-2025"/>
    <s v="01-07-2025"/>
    <x v="0"/>
    <x v="3"/>
  </r>
  <r>
    <n v="568"/>
    <x v="13"/>
    <d v="2025-06-27T00:00:00"/>
    <x v="4"/>
    <s v="JH01KD-3958"/>
    <n v="9935813519"/>
    <s v="RANCHI"/>
    <s v="NARSAPUR,9144"/>
    <s v="HOSKOTE,9962"/>
    <s v="32FEET"/>
    <n v="33770"/>
    <n v="46620"/>
    <n v="12850"/>
    <n v="33770"/>
    <n v="0"/>
    <s v="DONE"/>
    <s v="122"/>
    <m/>
    <s v="30-06-2025"/>
    <s v="01-07-2025"/>
    <x v="0"/>
    <x v="3"/>
  </r>
  <r>
    <n v="569"/>
    <x v="13"/>
    <d v="2025-06-27T00:00:00"/>
    <x v="0"/>
    <s v="TN24RW-4847"/>
    <n v="9570896331"/>
    <s v="RANCHI"/>
    <s v="-"/>
    <s v="NARSAPUR,9409"/>
    <s v="20FEET"/>
    <n v="25690"/>
    <n v="35600"/>
    <n v="9910"/>
    <n v="25690"/>
    <n v="0"/>
    <s v="DONE"/>
    <s v="123"/>
    <m/>
    <s v="30-06-2025"/>
    <s v="30-06-2025"/>
    <x v="0"/>
    <x v="16"/>
  </r>
  <r>
    <n v="570"/>
    <x v="13"/>
    <d v="2025-06-28T00:00:00"/>
    <x v="4"/>
    <s v="JH01KD-2417"/>
    <n v="9472230553"/>
    <s v="TIRUPPUR"/>
    <m/>
    <s v="RANCHI,5185"/>
    <s v="32FEET"/>
    <n v="41230"/>
    <n v="96390"/>
    <n v="55160"/>
    <n v="41230"/>
    <n v="0"/>
    <s v="DONE"/>
    <s v="125"/>
    <m/>
    <s v="30-06-2025"/>
    <s v="01-07-2025"/>
    <x v="0"/>
    <x v="3"/>
  </r>
  <r>
    <n v="571"/>
    <x v="13"/>
    <d v="2025-06-28T00:00:00"/>
    <x v="0"/>
    <s v="TN52TM-2163"/>
    <n v="9139752126"/>
    <s v="RANCHI"/>
    <s v="-"/>
    <s v="NARSAPUR,9226"/>
    <s v="32FEET"/>
    <n v="31750"/>
    <n v="40320"/>
    <n v="8570"/>
    <n v="31750"/>
    <n v="0"/>
    <s v="DONE"/>
    <s v="126"/>
    <m/>
    <s v="02-07-2025"/>
    <s v="02-07-2025"/>
    <x v="0"/>
    <x v="34"/>
  </r>
  <r>
    <n v="572"/>
    <x v="13"/>
    <d v="2025-06-28T00:00:00"/>
    <x v="0"/>
    <s v="DN09Z-8454"/>
    <n v="9431329162"/>
    <s v="AHMEDABAD"/>
    <s v="-"/>
    <s v="RANCHI,8375"/>
    <s v="32FEET"/>
    <n v="65490"/>
    <n v="83160"/>
    <n v="17670"/>
    <n v="65490"/>
    <n v="0"/>
    <s v="DONE"/>
    <s v="127"/>
    <m/>
    <s v="02-07-2025"/>
    <s v="03-07-2025"/>
    <x v="0"/>
    <x v="35"/>
  </r>
  <r>
    <n v="573"/>
    <x v="13"/>
    <d v="2025-06-30T00:00:00"/>
    <x v="4"/>
    <s v="JH01KD-6142"/>
    <n v="9025368773"/>
    <s v="RANCHI"/>
    <s v="NARSAPUR,4886"/>
    <s v="HOSKOTE,8571"/>
    <s v="32FEET"/>
    <n v="33770"/>
    <n v="46620"/>
    <n v="12850"/>
    <n v="33770"/>
    <n v="0"/>
    <s v="DONE"/>
    <s v="128"/>
    <m/>
    <s v="03-07-2025"/>
    <s v="04-07-2025"/>
    <x v="0"/>
    <x v="3"/>
  </r>
  <r>
    <n v="574"/>
    <x v="14"/>
    <d v="2025-07-01T00:00:00"/>
    <x v="4"/>
    <s v="JH01KD-2417"/>
    <n v="9472230553"/>
    <s v="RANCHI"/>
    <s v="NARSAPUR,6036"/>
    <s v="HOSKOTE,6173"/>
    <s v="32FEET"/>
    <n v="33770"/>
    <n v="46620"/>
    <n v="12850"/>
    <n v="33770"/>
    <n v="0"/>
    <s v="DONE"/>
    <s v="129"/>
    <m/>
    <s v="05-07-2025"/>
    <s v="05-07-2025"/>
    <x v="0"/>
    <x v="3"/>
  </r>
  <r>
    <n v="575"/>
    <x v="14"/>
    <d v="2025-07-02T00:00:00"/>
    <x v="0"/>
    <s v="TN12ZD-1448"/>
    <n v="9224948161"/>
    <s v="RANCHI"/>
    <s v="-"/>
    <s v="NARSAPUR,6952"/>
    <s v="20FEET"/>
    <n v="25690"/>
    <n v="35600"/>
    <n v="9910"/>
    <n v="25690"/>
    <n v="0"/>
    <s v="DONE"/>
    <s v="130"/>
    <m/>
    <s v="06-07-2025"/>
    <s v="06-07-2025"/>
    <x v="0"/>
    <x v="16"/>
  </r>
  <r>
    <n v="576"/>
    <x v="14"/>
    <d v="2025-07-03T00:00:00"/>
    <x v="0"/>
    <s v="JH02DD-9758"/>
    <n v="9042138450"/>
    <s v="RANCHI"/>
    <s v="-"/>
    <s v="MUMBAI,6613"/>
    <s v="20FEET"/>
    <n v="22460"/>
    <n v="28350"/>
    <n v="5890"/>
    <n v="22460"/>
    <n v="0"/>
    <s v="DONE"/>
    <s v="131"/>
    <m/>
    <s v="07-07-2025"/>
    <s v="07-07-2025"/>
    <x v="0"/>
    <x v="21"/>
  </r>
  <r>
    <n v="577"/>
    <x v="14"/>
    <d v="2025-07-03T00:00:00"/>
    <x v="4"/>
    <s v="JH01KD-0526"/>
    <n v="9220186371"/>
    <s v="RANCHI"/>
    <s v="NARSAPUR,7904"/>
    <s v="HOSKOTE,5658"/>
    <s v="32FEET"/>
    <n v="33770"/>
    <n v="46620"/>
    <n v="12850"/>
    <n v="33770"/>
    <n v="0"/>
    <s v="DONE"/>
    <s v="132"/>
    <m/>
    <s v="07-07-2025"/>
    <s v="07-07-2025"/>
    <x v="0"/>
    <x v="3"/>
  </r>
  <r>
    <n v="578"/>
    <x v="14"/>
    <d v="2025-07-04T00:00:00"/>
    <x v="4"/>
    <s v="JH01KM-4371"/>
    <n v="9515412075"/>
    <s v="TIRUPPUR"/>
    <s v="VENDOR U+VENDOR F,ERODE,4612"/>
    <s v="RANCHI,8117"/>
    <s v="24FEET"/>
    <n v="40480"/>
    <n v="91350"/>
    <n v="50870"/>
    <n v="40480"/>
    <n v="0"/>
    <s v="DONE"/>
    <s v="133"/>
    <m/>
    <s v="07-07-2025"/>
    <s v="07-07-2025"/>
    <x v="0"/>
    <x v="3"/>
  </r>
  <r>
    <n v="579"/>
    <x v="14"/>
    <d v="2025-07-04T00:00:00"/>
    <x v="0"/>
    <s v="TN93L-8099"/>
    <n v="9947636074"/>
    <s v="RANCHI"/>
    <s v="NARSAPUR4994"/>
    <s v="HOSKOTE,5547"/>
    <s v="32FEET"/>
    <n v="33230"/>
    <n v="46620"/>
    <n v="13390"/>
    <n v="33230"/>
    <n v="0"/>
    <s v="DONE"/>
    <s v="134"/>
    <m/>
    <s v="08-07-2025"/>
    <s v="08-07-2025"/>
    <x v="0"/>
    <x v="16"/>
  </r>
  <r>
    <n v="580"/>
    <x v="14"/>
    <d v="2025-07-06T00:00:00"/>
    <x v="4"/>
    <s v="JH01KD-2417"/>
    <n v="9472230553"/>
    <s v="TIRUPPUR"/>
    <s v="-"/>
    <s v="RANCHI,7406"/>
    <s v="32FEET"/>
    <n v="41230"/>
    <n v="96390"/>
    <n v="55160"/>
    <n v="41230"/>
    <n v="0"/>
    <s v="DONE"/>
    <s v="135"/>
    <m/>
    <s v="08-07-2025"/>
    <s v="08-07-2025"/>
    <x v="0"/>
    <x v="3"/>
  </r>
  <r>
    <n v="581"/>
    <x v="14"/>
    <d v="2025-07-06T00:00:00"/>
    <x v="4"/>
    <s v="JH01KM-4371"/>
    <n v="9515412075"/>
    <s v="RANCHI"/>
    <s v="NARSAPUR,2872"/>
    <s v="HOSKOTE,2092"/>
    <s v="24FEET"/>
    <n v="33770"/>
    <n v="46620"/>
    <n v="12850"/>
    <n v="33770"/>
    <n v="0"/>
    <s v="DONE"/>
    <s v="136"/>
    <m/>
    <s v="10-07-2025"/>
    <s v="10-07-2025"/>
    <x v="0"/>
    <x v="3"/>
  </r>
  <r>
    <n v="582"/>
    <x v="14"/>
    <d v="2025-07-07T00:00:00"/>
    <x v="4"/>
    <s v="JH01KM-8803"/>
    <n v="9220186371"/>
    <s v="RANCHI"/>
    <s v="-"/>
    <s v="NARSAPUR,5473"/>
    <s v="32FEET"/>
    <n v="32820"/>
    <n v="40320"/>
    <n v="7500"/>
    <n v="32820"/>
    <n v="0"/>
    <s v="DONE"/>
    <s v="137"/>
    <m/>
    <s v="10-07-2025"/>
    <s v="10-07-2025"/>
    <x v="0"/>
    <x v="3"/>
  </r>
  <r>
    <n v="583"/>
    <x v="14"/>
    <d v="2025-07-07T00:00:00"/>
    <x v="4"/>
    <s v="JH01KD-6142"/>
    <n v="9025368773"/>
    <s v="RANCHI"/>
    <s v="NARSAPUR3912"/>
    <s v="HOSKOTE,3846"/>
    <s v="32FEET"/>
    <n v="33770"/>
    <n v="46620"/>
    <n v="12850"/>
    <n v="33770"/>
    <n v="0"/>
    <s v="DONE"/>
    <s v="138"/>
    <m/>
    <s v="11-07-2025"/>
    <s v="12-07-2025"/>
    <x v="0"/>
    <x v="3"/>
  </r>
  <r>
    <n v="584"/>
    <x v="14"/>
    <d v="2025-07-08T00:00:00"/>
    <x v="4"/>
    <s v="JH01KD-2417"/>
    <n v="9472230553"/>
    <s v="RANCHI"/>
    <s v="NARSAPUR,1486"/>
    <s v="HOSKOTE,8837"/>
    <s v="32FEET"/>
    <n v="33770"/>
    <n v="46620"/>
    <n v="12850"/>
    <n v="33770"/>
    <n v="0"/>
    <s v="DONE"/>
    <s v="142"/>
    <m/>
    <s v="10-07-2025"/>
    <s v="12-07-2025"/>
    <x v="0"/>
    <x v="3"/>
  </r>
  <r>
    <n v="585"/>
    <x v="14"/>
    <d v="2025-07-08T00:00:00"/>
    <x v="4"/>
    <s v="JH01KD-0526"/>
    <n v="9902798068"/>
    <s v="TIRUPPUR"/>
    <s v="HOSKOTE RETURNS MATERIAL"/>
    <s v="RANCHI,894998"/>
    <s v="32FEET"/>
    <n v="41230"/>
    <n v="96390"/>
    <n v="55160"/>
    <n v="41230"/>
    <n v="0"/>
    <s v="DONE"/>
    <s v="139"/>
    <m/>
    <s v="11-07-2025"/>
    <s v="11-07-2025"/>
    <x v="0"/>
    <x v="3"/>
  </r>
  <r>
    <n v="586"/>
    <x v="14"/>
    <d v="2025-07-10T00:00:00"/>
    <x v="4"/>
    <s v="JH01KD-3958"/>
    <n v="9281983602"/>
    <s v="RANCHI"/>
    <s v="NARSAPUR,2578"/>
    <s v="HOSKOTE,2243"/>
    <s v="32FEET"/>
    <n v="33770"/>
    <n v="46620"/>
    <n v="12850"/>
    <n v="33770"/>
    <n v="0"/>
    <s v="DONE"/>
    <s v="140"/>
    <m/>
    <s v="13-07-2025"/>
    <s v="14-07-2025"/>
    <x v="0"/>
    <x v="3"/>
  </r>
  <r>
    <n v="587"/>
    <x v="14"/>
    <d v="2025-07-11T00:00:00"/>
    <x v="4"/>
    <s v="JH01KD-0526"/>
    <n v="9220186371"/>
    <s v="RANCHI"/>
    <s v="NARSAPUR,8792"/>
    <s v="HOSKOTE,4420"/>
    <s v="32FEET"/>
    <n v="33770"/>
    <n v="46620"/>
    <n v="12850"/>
    <n v="33770"/>
    <n v="0"/>
    <s v="DONE"/>
    <s v="141"/>
    <m/>
    <s v="14-07-2025"/>
    <s v="14-07-2025"/>
    <x v="0"/>
    <x v="3"/>
  </r>
  <r>
    <n v="588"/>
    <x v="14"/>
    <d v="2025-07-11T00:00:00"/>
    <x v="4"/>
    <s v="JH01KM-4371"/>
    <n v="9515412075"/>
    <s v="ERODE"/>
    <s v="VENDOR F+VENDOR G,3452"/>
    <s v="RANCHI,9821"/>
    <s v="24FEET"/>
    <n v="40480"/>
    <n v="91350"/>
    <n v="50870"/>
    <n v="40480"/>
    <n v="0"/>
    <s v="DONE"/>
    <s v="143"/>
    <m/>
    <s v="13-07-2025"/>
    <s v="13-07-2025"/>
    <x v="0"/>
    <x v="3"/>
  </r>
  <r>
    <n v="589"/>
    <x v="14"/>
    <d v="2025-07-12T00:00:00"/>
    <x v="4"/>
    <s v="JH01KM-8803"/>
    <n v="9220186371"/>
    <s v="TIRUPPUR"/>
    <s v="VENDOR C BANGLORE ,128986"/>
    <s v="RANCHI,568164"/>
    <s v="32FEET"/>
    <n v="42180"/>
    <n v="102690"/>
    <n v="60510"/>
    <n v="42180"/>
    <n v="0"/>
    <s v="DONE"/>
    <s v="144"/>
    <m/>
    <s v="14-07-2025"/>
    <s v="14-07-2025"/>
    <x v="0"/>
    <x v="3"/>
  </r>
  <r>
    <n v="590"/>
    <x v="14"/>
    <d v="2025-07-12T00:00:00"/>
    <x v="0"/>
    <s v="TN23TA-3043"/>
    <n v="9299677001"/>
    <s v="RANCHI"/>
    <s v="NARSAPUR,1250"/>
    <s v="HOSKOTE,9764"/>
    <s v="32FEET"/>
    <n v="33230"/>
    <n v="46620"/>
    <n v="13390"/>
    <n v="33230"/>
    <n v="0"/>
    <s v="DONE"/>
    <s v="145"/>
    <m/>
    <s v="16-07-2025"/>
    <s v="16-07-2025"/>
    <x v="0"/>
    <x v="21"/>
  </r>
  <r>
    <n v="591"/>
    <x v="14"/>
    <d v="2025-07-13T00:00:00"/>
    <x v="4"/>
    <s v="JH01KD-6142"/>
    <n v="9025368773"/>
    <s v="TIRUPPUR"/>
    <s v="-"/>
    <s v="RANCHI,312288"/>
    <s v="32FEET"/>
    <n v="41230"/>
    <n v="96390"/>
    <n v="55160"/>
    <n v="41230"/>
    <n v="0"/>
    <s v="DONE"/>
    <s v="146"/>
    <m/>
    <s v="15-07-2025"/>
    <s v="15-07-2025"/>
    <x v="0"/>
    <x v="3"/>
  </r>
  <r>
    <n v="592"/>
    <x v="14"/>
    <d v="2025-07-14T00:00:00"/>
    <x v="4"/>
    <s v="JH01KM-4371"/>
    <n v="9515412075"/>
    <s v="RANCHI"/>
    <s v="NARSAPUR,5410"/>
    <s v="HOSKOTE,5596"/>
    <s v="24FEET"/>
    <n v="33530"/>
    <n v="45040"/>
    <n v="11510"/>
    <n v="33530"/>
    <n v="0"/>
    <s v="DONE"/>
    <s v="147"/>
    <m/>
    <s v="17-07-2025"/>
    <s v="18-07-2025"/>
    <x v="0"/>
    <x v="3"/>
  </r>
  <r>
    <n v="593"/>
    <x v="14"/>
    <d v="2025-07-15T00:00:00"/>
    <x v="4"/>
    <s v="JH01KM-8803"/>
    <n v="9220186371"/>
    <s v="RANCHI"/>
    <s v="NARSAPUR,7382"/>
    <s v="HOSKOTE,9281"/>
    <s v="32FEET"/>
    <n v="33770"/>
    <n v="46620"/>
    <n v="12850"/>
    <n v="33770"/>
    <n v="0"/>
    <s v="DONE"/>
    <s v="149"/>
    <m/>
    <s v="18-07-2025"/>
    <s v="18-07-2025"/>
    <x v="0"/>
    <x v="3"/>
  </r>
  <r>
    <n v="594"/>
    <x v="14"/>
    <d v="2025-07-16T00:00:00"/>
    <x v="4"/>
    <s v="JH01KD-6142"/>
    <n v="9025368773"/>
    <s v="RANCHI"/>
    <s v="-"/>
    <s v="NARSAPUR,3925"/>
    <s v="32FEET"/>
    <n v="32820"/>
    <n v="40320"/>
    <n v="7500"/>
    <n v="32820"/>
    <n v="0"/>
    <s v="DONE"/>
    <s v="150"/>
    <m/>
    <s v="18-07-2025"/>
    <s v="18-07-2025"/>
    <x v="0"/>
    <x v="3"/>
  </r>
  <r>
    <n v="595"/>
    <x v="14"/>
    <d v="2025-07-16T00:00:00"/>
    <x v="4"/>
    <s v="JH01KD-2417"/>
    <n v="9472230553"/>
    <s v="RANCHI"/>
    <s v="NARSAPUR,0028"/>
    <s v="HOSKOTE,9170"/>
    <s v="32FEET"/>
    <n v="33770"/>
    <n v="46620"/>
    <n v="12850"/>
    <n v="33770"/>
    <n v="0"/>
    <s v="DONE"/>
    <s v="151"/>
    <m/>
    <s v="18-07-2025"/>
    <s v="18-07-2025"/>
    <x v="0"/>
    <x v="3"/>
  </r>
  <r>
    <n v="596"/>
    <x v="14"/>
    <d v="2025-07-16T00:00:00"/>
    <x v="4"/>
    <s v="JH01KD-0526"/>
    <n v="9902798068"/>
    <s v="TIRUPPUR"/>
    <s v="DODABALLAPUR,VENDOR D,641327+VENDOR U"/>
    <s v="RANCHI,133582"/>
    <s v="32FEET"/>
    <n v="42180"/>
    <n v="102690"/>
    <n v="60510"/>
    <n v="42180"/>
    <n v="0"/>
    <s v="DONE"/>
    <s v="152"/>
    <m/>
    <s v="18-07-2025"/>
    <s v="18-07-2025"/>
    <x v="0"/>
    <x v="3"/>
  </r>
  <r>
    <n v="597"/>
    <x v="14"/>
    <d v="2025-07-17T00:00:00"/>
    <x v="4"/>
    <s v="JH01KD-3958"/>
    <n v="9281983602"/>
    <s v="TIRUPPUR"/>
    <s v="VENDOR U+VENDOR V,9169"/>
    <s v="RANCHI,0234"/>
    <s v="32FEET"/>
    <n v="42180"/>
    <n v="102690"/>
    <n v="60510"/>
    <n v="42180"/>
    <n v="0"/>
    <s v="DONE"/>
    <s v="153"/>
    <m/>
    <s v="19-07-2025"/>
    <s v="19-07-2025"/>
    <x v="0"/>
    <x v="3"/>
  </r>
  <r>
    <n v="598"/>
    <x v="14"/>
    <d v="2025-07-18T00:00:00"/>
    <x v="4"/>
    <s v="JH01KD-0526"/>
    <n v="9220186371"/>
    <s v="RANCHI"/>
    <s v="NARAPUR,8156"/>
    <s v="HOSKOTE,4789"/>
    <s v="32FEET"/>
    <n v="33770"/>
    <n v="46620"/>
    <n v="12850"/>
    <n v="33770"/>
    <n v="0"/>
    <s v="DONE"/>
    <s v="154"/>
    <m/>
    <s v="21-07-2025"/>
    <s v="21-07-2025"/>
    <x v="0"/>
    <x v="3"/>
  </r>
  <r>
    <n v="599"/>
    <x v="14"/>
    <d v="2025-07-19T00:00:00"/>
    <x v="4"/>
    <s v="JH01KD-6142"/>
    <n v="9025368773"/>
    <s v="ERODE"/>
    <s v="-"/>
    <s v="RANCHI,142969"/>
    <s v="32FEET"/>
    <n v="41230"/>
    <n v="96390"/>
    <n v="55160"/>
    <n v="41230"/>
    <n v="0"/>
    <s v="DONE"/>
    <s v="155"/>
    <m/>
    <s v="20-07-2025"/>
    <s v="21-07-2025"/>
    <x v="0"/>
    <x v="3"/>
  </r>
  <r>
    <n v="600"/>
    <x v="14"/>
    <d v="2025-07-19T00:00:00"/>
    <x v="4"/>
    <s v="JH01KM-4371"/>
    <n v="9515412075"/>
    <s v="TIRUPPUR"/>
    <s v="-"/>
    <s v="RANCHI,8208"/>
    <s v="24FEET"/>
    <n v="40480"/>
    <n v="91350"/>
    <n v="50870"/>
    <n v="40480"/>
    <n v="0"/>
    <s v="DONE"/>
    <s v="156"/>
    <m/>
    <s v="22-07-2025"/>
    <s v="22-07-2025"/>
    <x v="0"/>
    <x v="3"/>
  </r>
  <r>
    <n v="601"/>
    <x v="14"/>
    <d v="2025-07-21T00:00:00"/>
    <x v="4"/>
    <s v="JH01KD-3958"/>
    <n v="9281983602"/>
    <s v="RANCHI"/>
    <s v="-"/>
    <s v="NARSAPUR,7385"/>
    <s v="32FEET"/>
    <n v="32820"/>
    <n v="40320"/>
    <n v="7500"/>
    <n v="32820"/>
    <n v="0"/>
    <s v="DONE"/>
    <s v="157"/>
    <m/>
    <s v="28-07-2025"/>
    <s v="28-07-2025"/>
    <x v="0"/>
    <x v="3"/>
  </r>
  <r>
    <n v="602"/>
    <x v="14"/>
    <d v="2025-07-21T00:00:00"/>
    <x v="4"/>
    <s v="JH01KD-6142"/>
    <n v="9025368773"/>
    <s v="RANCHI"/>
    <s v="NARSAPUR,9151"/>
    <s v="HOSKOTE,2189"/>
    <s v="32FEET"/>
    <n v="33770"/>
    <n v="46620"/>
    <n v="12850"/>
    <n v="33770"/>
    <n v="0"/>
    <s v="DONE"/>
    <s v="158"/>
    <m/>
    <s v="25-07-2025"/>
    <s v="25-07-2025"/>
    <x v="0"/>
    <x v="3"/>
  </r>
  <r>
    <n v="603"/>
    <x v="14"/>
    <d v="2025-07-22T00:00:00"/>
    <x v="0"/>
    <s v="TN93R-5719"/>
    <n v="9103584346"/>
    <s v="RANCHI"/>
    <s v="NARSAPUR,7044"/>
    <s v="HOSKOTE,5131"/>
    <s v="32FEET"/>
    <n v="33230"/>
    <n v="46620"/>
    <n v="13390"/>
    <n v="33230"/>
    <n v="0"/>
    <s v="DONE"/>
    <s v="159"/>
    <m/>
    <s v="26-07-2025"/>
    <s v="26-07-2025"/>
    <x v="0"/>
    <x v="16"/>
  </r>
  <r>
    <n v="604"/>
    <x v="14"/>
    <d v="2025-07-24T00:00:00"/>
    <x v="4"/>
    <s v="JH01KM-4371"/>
    <n v="9515412075"/>
    <s v="RANCHI"/>
    <s v="NARSAPUR,6540 +HOSKOTE,2828"/>
    <s v="HASSAN,8571"/>
    <s v="24FEET"/>
    <n v="35280"/>
    <n v="56700"/>
    <n v="21420"/>
    <n v="35280"/>
    <n v="0"/>
    <s v="DONE"/>
    <s v="160"/>
    <m/>
    <s v="29-07-2025"/>
    <s v="29-07-2025"/>
    <x v="0"/>
    <x v="3"/>
  </r>
  <r>
    <n v="605"/>
    <x v="14"/>
    <d v="2025-07-24T00:00:00"/>
    <x v="4"/>
    <s v="JH01KD-0526"/>
    <n v="9902798068"/>
    <s v="TIRUPPUR"/>
    <s v="VENDOR V+VENDOR U,214791"/>
    <s v="RANCHI,876287"/>
    <s v="32FEET"/>
    <n v="42180"/>
    <n v="102690"/>
    <n v="60510"/>
    <n v="42180"/>
    <n v="0"/>
    <s v="DONE"/>
    <s v="161"/>
    <m/>
    <s v="27-07-2025"/>
    <s v="27-07-2025"/>
    <x v="0"/>
    <x v="3"/>
  </r>
  <r>
    <n v="606"/>
    <x v="14"/>
    <d v="2025-07-24T00:00:00"/>
    <x v="4"/>
    <s v="JH01KM-8803"/>
    <n v="9220186371"/>
    <s v="BANGLORE"/>
    <s v="VENDOR N,792335+VENDOR D ,277059"/>
    <s v="RANCHI"/>
    <s v="32FEET"/>
    <n v="40570"/>
    <n v="91980"/>
    <n v="51410"/>
    <n v="40570"/>
    <n v="0"/>
    <s v="DONE"/>
    <s v="162"/>
    <m/>
    <s v="27-07-2025"/>
    <s v="28-07-2025"/>
    <x v="0"/>
    <x v="3"/>
  </r>
  <r>
    <n v="607"/>
    <x v="14"/>
    <d v="2025-07-26T00:00:00"/>
    <x v="4"/>
    <s v="JH01KD-3958"/>
    <n v="9281983602"/>
    <s v="TIRUPPUR"/>
    <s v="VENDOR F+VENDOR U,4197"/>
    <s v="RANCHI,4044"/>
    <s v="32FEET"/>
    <n v="42180"/>
    <n v="102690"/>
    <n v="60510"/>
    <n v="42180"/>
    <n v="0"/>
    <s v="DONE"/>
    <s v="163"/>
    <m/>
    <s v="28-07-2025"/>
    <s v="28-07-2025"/>
    <x v="0"/>
    <x v="3"/>
  </r>
  <r>
    <n v="608"/>
    <x v="14"/>
    <d v="2025-07-26T00:00:00"/>
    <x v="0"/>
    <s v="TN93R-4644"/>
    <n v="9108592771"/>
    <s v="RANCHI"/>
    <s v="-"/>
    <s v="NARSAPUR,9125"/>
    <s v="32FEET"/>
    <n v="31750"/>
    <n v="40320"/>
    <n v="8570"/>
    <n v="31750"/>
    <n v="0"/>
    <s v="DONE"/>
    <s v="164"/>
    <m/>
    <s v="29-07-2025"/>
    <s v="29-07-2025"/>
    <x v="0"/>
    <x v="21"/>
  </r>
  <r>
    <n v="609"/>
    <x v="14"/>
    <d v="2025-07-26T00:00:00"/>
    <x v="4"/>
    <s v="JH01KD-2417"/>
    <n v="9472230553"/>
    <s v="RANCHI"/>
    <s v="NARSAPUR,5318"/>
    <s v="HOSKOTE,7769"/>
    <s v="32FEET"/>
    <n v="33770"/>
    <n v="46620"/>
    <n v="12850"/>
    <n v="33770"/>
    <n v="0"/>
    <s v="DONE"/>
    <s v="165"/>
    <m/>
    <s v="29-07-2025"/>
    <s v="29-07-2025"/>
    <x v="0"/>
    <x v="3"/>
  </r>
  <r>
    <n v="610"/>
    <x v="14"/>
    <d v="2025-07-27T00:00:00"/>
    <x v="4"/>
    <s v="JH01KD-6142"/>
    <n v="9025368773"/>
    <s v="TIRUPPUR"/>
    <s v="VENDOR U,845740+VENDOR V,815944+VENDOR D,529805"/>
    <s v="RANCHI"/>
    <s v="32FEET"/>
    <n v="42180"/>
    <n v="102690"/>
    <n v="60510"/>
    <n v="42180"/>
    <n v="0"/>
    <s v="DONE"/>
    <s v="166"/>
    <m/>
    <s v="29-07-2025"/>
    <s v="29-07-2025"/>
    <x v="0"/>
    <x v="3"/>
  </r>
  <r>
    <n v="611"/>
    <x v="14"/>
    <d v="2025-07-29T00:00:00"/>
    <x v="4"/>
    <s v="JH01KD-0526"/>
    <n v="9220186371"/>
    <s v="RANCHI"/>
    <s v="NARSAPUR,1436"/>
    <s v="HOSKOTE,0221"/>
    <s v="32FEET"/>
    <n v="33770"/>
    <n v="46620"/>
    <n v="12850"/>
    <n v="33770"/>
    <n v="0"/>
    <s v="DONE"/>
    <s v="167"/>
    <m/>
    <s v="31-07-2025"/>
    <s v="31-07-2025"/>
    <x v="0"/>
    <x v="3"/>
  </r>
  <r>
    <n v="612"/>
    <x v="14"/>
    <d v="2025-07-29T00:00:00"/>
    <x v="4"/>
    <s v="JH01KM-8803"/>
    <n v="9589264337"/>
    <s v="RANCHI"/>
    <s v="NARSAPUR,5537"/>
    <s v="HOSKOTE,9110"/>
    <s v="32FEET"/>
    <n v="33770"/>
    <n v="46620"/>
    <n v="12850"/>
    <n v="33770"/>
    <n v="0"/>
    <s v="DONE"/>
    <s v="168"/>
    <m/>
    <s v="01-08-2025"/>
    <s v="02-08-2025"/>
    <x v="0"/>
    <x v="3"/>
  </r>
  <r>
    <n v="613"/>
    <x v="14"/>
    <d v="2025-07-30T00:00:00"/>
    <x v="4"/>
    <s v="JH01KD-3958"/>
    <n v="9281983602"/>
    <s v="RANCHI"/>
    <s v="NARSAPUR,9881+HOSKOTE,5356"/>
    <s v="HASSAN,6629"/>
    <s v="32FEET"/>
    <n v="34710"/>
    <n v="52920"/>
    <n v="18210"/>
    <n v="34710"/>
    <n v="0"/>
    <s v="DONE"/>
    <s v="169"/>
    <m/>
    <s v="02-08-2025"/>
    <s v="03-08-2025"/>
    <x v="0"/>
    <x v="3"/>
  </r>
  <r>
    <n v="614"/>
    <x v="14"/>
    <d v="2025-07-30T00:00:00"/>
    <x v="4"/>
    <s v="JH01KM-4371"/>
    <n v="9515412075"/>
    <s v="TIRUPPUR"/>
    <s v="-"/>
    <s v="RANCHI,4552"/>
    <s v="24FEET"/>
    <n v="40480"/>
    <n v="91350"/>
    <n v="50870"/>
    <n v="40480"/>
    <n v="0"/>
    <s v="DONE"/>
    <s v="170"/>
    <m/>
    <s v="02-08-2025"/>
    <s v="02-08-2025"/>
    <x v="0"/>
    <x v="3"/>
  </r>
  <r>
    <n v="615"/>
    <x v="14"/>
    <d v="2025-07-31T00:00:00"/>
    <x v="4"/>
    <s v="JH01KD-2417"/>
    <n v="9472230553"/>
    <s v="TIRUPPUR"/>
    <s v="VENDOR U,1018+VENDOR G,2485"/>
    <s v="RANCHI"/>
    <s v="32FEET"/>
    <n v="42180"/>
    <n v="102690"/>
    <n v="60510"/>
    <n v="42180"/>
    <n v="0"/>
    <s v="DONE"/>
    <s v="171"/>
    <m/>
    <s v="03-08-2025"/>
    <s v="03-08-2025"/>
    <x v="0"/>
    <x v="3"/>
  </r>
  <r>
    <n v="616"/>
    <x v="14"/>
    <d v="2025-07-31T00:00:00"/>
    <x v="4"/>
    <s v="JH01KD-6142"/>
    <n v="9025368773"/>
    <s v="RANCHI"/>
    <s v="NARSAPUR,0871"/>
    <s v="HOSKOTE,0194"/>
    <s v="32FEET"/>
    <n v="33770"/>
    <n v="46620"/>
    <n v="12850"/>
    <n v="33770"/>
    <n v="0"/>
    <s v="DONE"/>
    <s v="172"/>
    <m/>
    <s v="03-08-2025"/>
    <s v="04-08-2025"/>
    <x v="0"/>
    <x v="3"/>
  </r>
  <r>
    <n v="617"/>
    <x v="15"/>
    <d v="2025-08-01T00:00:00"/>
    <x v="4"/>
    <s v="JH01KD-0526"/>
    <n v="9902798068"/>
    <s v="TIRUPPUR"/>
    <s v="VENDOR U,748541"/>
    <s v="RANCHI"/>
    <s v="32FEET"/>
    <n v="41230"/>
    <n v="96390"/>
    <n v="55160"/>
    <n v="41230"/>
    <n v="0"/>
    <s v="DONE"/>
    <s v="173"/>
    <m/>
    <s v="03-08-2025"/>
    <s v="03-08-2025"/>
    <x v="0"/>
    <x v="3"/>
  </r>
  <r>
    <n v="618"/>
    <x v="15"/>
    <d v="2025-08-02T00:00:00"/>
    <x v="4"/>
    <s v="JH01KM-4371"/>
    <n v="9515412075"/>
    <s v="RANCHI"/>
    <s v="NARSAPUR,0194"/>
    <s v="HOSKOTE,4000"/>
    <s v="24FEET"/>
    <n v="33530"/>
    <n v="45040"/>
    <n v="11510"/>
    <n v="33530"/>
    <n v="0"/>
    <s v="DONE"/>
    <s v="174"/>
    <m/>
    <s v="05-08-2025"/>
    <s v="06-08-2025"/>
    <x v="0"/>
    <x v="3"/>
  </r>
  <r>
    <n v="619"/>
    <x v="15"/>
    <d v="2025-08-02T00:00:00"/>
    <x v="0"/>
    <s v="KA02BX-7653"/>
    <n v="9915991042"/>
    <s v="RANCHI"/>
    <s v="-"/>
    <s v="NARSAPUR,3597"/>
    <s v="32FEET"/>
    <n v="27470"/>
    <n v="40320"/>
    <n v="12850"/>
    <n v="27470"/>
    <n v="0"/>
    <s v="DONE"/>
    <s v="175"/>
    <m/>
    <s v="05-08-2025"/>
    <s v="05-08-2025"/>
    <x v="0"/>
    <x v="21"/>
  </r>
  <r>
    <n v="620"/>
    <x v="15"/>
    <d v="2025-08-04T00:00:00"/>
    <x v="4"/>
    <s v="JH01KD-2417"/>
    <n v="9472230553"/>
    <s v="RANCHI"/>
    <s v="NARSAPUR,2091"/>
    <s v="HOSKOTE,7790"/>
    <s v="32FEET"/>
    <n v="33770"/>
    <n v="46620"/>
    <n v="12850"/>
    <n v="33770"/>
    <n v="0"/>
    <s v="DONE"/>
    <s v="176"/>
    <m/>
    <s v="07-08-2025"/>
    <s v="07-08-2025"/>
    <x v="0"/>
    <x v="3"/>
  </r>
  <r>
    <n v="621"/>
    <x v="15"/>
    <d v="2025-08-05T00:00:00"/>
    <x v="4"/>
    <s v="JH01KD-0526"/>
    <n v="9220186371"/>
    <s v="RANCHI"/>
    <s v="NARSAPUR,5665"/>
    <s v="HOSKOTE,3050 +TIRUPUR,2213"/>
    <s v="32FEET"/>
    <n v="34710"/>
    <n v="52920"/>
    <n v="18210"/>
    <n v="34710"/>
    <n v="0"/>
    <s v="DONE"/>
    <s v="177"/>
    <m/>
    <s v="08-08-2025"/>
    <s v="08-08-2025"/>
    <x v="0"/>
    <x v="3"/>
  </r>
  <r>
    <n v="622"/>
    <x v="15"/>
    <d v="2025-08-05T00:00:00"/>
    <x v="4"/>
    <s v="JH01KM-8803"/>
    <n v="9220186371"/>
    <s v="TIRUPPUR"/>
    <s v="VENDOR U,327710"/>
    <s v="RANCHI"/>
    <s v="32FEET"/>
    <n v="41230"/>
    <n v="96390"/>
    <n v="55160"/>
    <n v="41230"/>
    <n v="0"/>
    <s v="DONE"/>
    <s v="178"/>
    <m/>
    <s v="08-08-2025"/>
    <s v="08-08-2025"/>
    <x v="0"/>
    <x v="3"/>
  </r>
  <r>
    <n v="623"/>
    <x v="15"/>
    <d v="2025-08-06T00:00:00"/>
    <x v="0"/>
    <s v="OD07V-4354"/>
    <n v="9756273044"/>
    <s v="RANCHI"/>
    <s v="-"/>
    <s v="NARSAPUR,6897"/>
    <s v="32FEET"/>
    <n v="31750"/>
    <n v="40320"/>
    <n v="8570"/>
    <n v="31750"/>
    <n v="0"/>
    <s v="DONE"/>
    <s v="179"/>
    <m/>
    <s v="09-08-2025"/>
    <s v="09-08-2025"/>
    <x v="0"/>
    <x v="21"/>
  </r>
  <r>
    <n v="624"/>
    <x v="15"/>
    <d v="2025-08-06T00:00:00"/>
    <x v="0"/>
    <s v="KA51YH-3126"/>
    <n v="9364639011"/>
    <s v="RANCHI"/>
    <s v="NARSAPUR,3081"/>
    <s v="HOSKOTE,5077"/>
    <s v="32FEET"/>
    <n v="32700"/>
    <n v="46620"/>
    <n v="13920"/>
    <n v="32700"/>
    <n v="0"/>
    <s v="DONE"/>
    <s v="180"/>
    <m/>
    <s v="09-08-2025"/>
    <s v="09-08-2025"/>
    <x v="0"/>
    <x v="21"/>
  </r>
  <r>
    <n v="625"/>
    <x v="15"/>
    <d v="2025-08-07T00:00:00"/>
    <x v="4"/>
    <s v="JH01KD-3958"/>
    <n v="9281983602"/>
    <s v="TIRUPPUR"/>
    <s v="VENDOR V,5954 +VENDOR U,8676"/>
    <s v="RANCHI"/>
    <s v="32FEET"/>
    <n v="42180"/>
    <n v="102690"/>
    <n v="60510"/>
    <n v="42180"/>
    <n v="0"/>
    <s v="DONE"/>
    <s v="181"/>
    <m/>
    <s v="09-08-2025"/>
    <s v="09-08-2025"/>
    <x v="0"/>
    <x v="3"/>
  </r>
  <r>
    <n v="626"/>
    <x v="15"/>
    <d v="2025-08-08T00:00:00"/>
    <x v="4"/>
    <s v="JH01KM-8803"/>
    <n v="9589264337"/>
    <s v="RANCHI"/>
    <s v="NARSAPUR,8557"/>
    <s v="HOSKOTE,3806"/>
    <s v="32FEET"/>
    <n v="33770"/>
    <n v="46620"/>
    <n v="12850"/>
    <n v="33770"/>
    <n v="0"/>
    <s v="DONE"/>
    <s v="182"/>
    <m/>
    <s v="11-08-2025"/>
    <s v="11-08-2025"/>
    <x v="0"/>
    <x v="3"/>
  </r>
  <r>
    <n v="627"/>
    <x v="15"/>
    <d v="2025-08-09T00:00:00"/>
    <x v="4"/>
    <s v="JH01KD-3958"/>
    <n v="9281983602"/>
    <s v="RANCHI"/>
    <s v="NARSAPUR,2461"/>
    <s v="HOSKOTE,6213"/>
    <s v="32FEET"/>
    <n v="33770"/>
    <n v="46620"/>
    <n v="12850"/>
    <n v="33770"/>
    <n v="0"/>
    <s v="DONE"/>
    <s v="183"/>
    <m/>
    <s v="11-08-2025"/>
    <s v="12-08-2025"/>
    <x v="0"/>
    <x v="3"/>
  </r>
  <r>
    <n v="628"/>
    <x v="15"/>
    <d v="2025-08-09T00:00:00"/>
    <x v="4"/>
    <s v="JH01KM-4371"/>
    <n v="9515412075"/>
    <s v="TIRUPPUR"/>
    <s v="VENDOR U,9729"/>
    <s v="RANCHI"/>
    <s v="24FEET"/>
    <n v="40480"/>
    <n v="91350"/>
    <n v="50870"/>
    <n v="40480"/>
    <n v="0"/>
    <s v="DONE"/>
    <s v="184"/>
    <m/>
    <s v="12-08-2025"/>
    <s v="12-08-2025"/>
    <x v="0"/>
    <x v="3"/>
  </r>
  <r>
    <n v="629"/>
    <x v="15"/>
    <d v="2025-08-12T00:00:00"/>
    <x v="4"/>
    <s v="JH01KM-4371"/>
    <n v="9515412075"/>
    <s v="RANCHI"/>
    <s v="NARSAPUR,6360"/>
    <s v="HOSKOTE,3154"/>
    <s v="24FEET"/>
    <n v="33530"/>
    <n v="45040"/>
    <n v="11510"/>
    <n v="33530"/>
    <n v="0"/>
    <s v="DONE"/>
    <s v="185"/>
    <m/>
    <s v="12-08-2025"/>
    <s v="13-08-2025"/>
    <x v="0"/>
    <x v="3"/>
  </r>
  <r>
    <n v="630"/>
    <x v="15"/>
    <d v="2025-08-12T00:00:00"/>
    <x v="4"/>
    <s v="JH01KD-6142"/>
    <n v="9025368773"/>
    <s v="RANCHI"/>
    <s v="NARSAPUR,7924"/>
    <s v="HOSKOTE,8316"/>
    <s v="32FEET"/>
    <n v="33770"/>
    <n v="46620"/>
    <n v="12850"/>
    <n v="33770"/>
    <n v="0"/>
    <s v="DONE"/>
    <s v="186"/>
    <m/>
    <s v="12-08-2025"/>
    <s v="13-08-2025"/>
    <x v="0"/>
    <x v="3"/>
  </r>
  <r>
    <n v="631"/>
    <x v="15"/>
    <d v="2025-08-13T00:00:00"/>
    <x v="0"/>
    <s v="TN23TA-3043"/>
    <n v="9299677001"/>
    <s v="RANCHI"/>
    <s v="-"/>
    <s v="NARSAPUR,7938"/>
    <s v="32FEET"/>
    <n v="32290"/>
    <n v="40320"/>
    <n v="8030"/>
    <n v="32290"/>
    <n v="0"/>
    <s v="DONE"/>
    <s v="187"/>
    <m/>
    <s v="17-08-2025"/>
    <s v="18-08-2025"/>
    <x v="0"/>
    <x v="21"/>
  </r>
  <r>
    <n v="632"/>
    <x v="15"/>
    <d v="2025-08-14T00:00:00"/>
    <x v="0"/>
    <s v="TN83YU-9613"/>
    <n v="9569183341"/>
    <s v="RANCHI"/>
    <s v="-"/>
    <s v="NARSAPUR,0132"/>
    <s v="22FEET"/>
    <n v="25690"/>
    <n v="35600"/>
    <n v="9910"/>
    <n v="25690"/>
    <n v="0"/>
    <s v="DONE"/>
    <s v="188"/>
    <m/>
    <s v="18-08-2025"/>
    <s v="18-08-2025"/>
    <x v="0"/>
    <x v="16"/>
  </r>
  <r>
    <n v="633"/>
    <x v="15"/>
    <d v="2025-08-14T00:00:00"/>
    <x v="4"/>
    <s v="JH01KD-0526"/>
    <n v="9902798068"/>
    <s v="TIRUPPUR"/>
    <s v="-"/>
    <s v="RANCHI,554775"/>
    <s v="32FEET"/>
    <n v="41230"/>
    <n v="96390"/>
    <n v="55160"/>
    <n v="41230"/>
    <n v="0"/>
    <s v="DONE"/>
    <s v="190"/>
    <m/>
    <s v="16-08-2025"/>
    <s v="16-08-2025"/>
    <x v="0"/>
    <x v="3"/>
  </r>
  <r>
    <n v="634"/>
    <x v="15"/>
    <d v="2025-08-16T00:00:00"/>
    <x v="4"/>
    <s v="JH01KD-2417"/>
    <n v="9472230553"/>
    <s v="TIRUPPUR"/>
    <s v="VENDOR V+VENDOR H, 0262"/>
    <s v="RANCHI,6322"/>
    <s v="32FEET"/>
    <n v="42180"/>
    <n v="102690"/>
    <n v="60510"/>
    <n v="42180"/>
    <n v="0"/>
    <s v="DONE"/>
    <s v="191"/>
    <m/>
    <s v="19-08-2025"/>
    <s v="19-08-2025"/>
    <x v="0"/>
    <x v="3"/>
  </r>
  <r>
    <n v="635"/>
    <x v="15"/>
    <d v="2025-08-16T00:00:00"/>
    <x v="0"/>
    <s v="JH01FX-0874"/>
    <n v="9371069421"/>
    <s v="KOLKATA"/>
    <s v="-"/>
    <s v="RANCHI,0670"/>
    <s v="20FEET"/>
    <n v="13190"/>
    <n v="16380"/>
    <n v="3190"/>
    <n v="13190"/>
    <n v="0"/>
    <s v="DONE"/>
    <s v="192"/>
    <m/>
    <s v="17-08-2025"/>
    <s v="17-08-2025"/>
    <x v="0"/>
    <x v="31"/>
  </r>
  <r>
    <n v="636"/>
    <x v="15"/>
    <d v="2025-08-18T00:00:00"/>
    <x v="4"/>
    <s v="JH01KD-0526"/>
    <n v="9220186371"/>
    <s v="RANCHI"/>
    <s v="NARSAPUR,5578"/>
    <s v="HOSKOTE,8337"/>
    <s v="32FEET"/>
    <n v="33770"/>
    <n v="46620"/>
    <n v="12850"/>
    <n v="33770"/>
    <n v="0"/>
    <s v="DONE"/>
    <s v="193"/>
    <m/>
    <s v="21-08-2025"/>
    <s v="21-08-2025"/>
    <x v="0"/>
    <x v="3"/>
  </r>
  <r>
    <n v="637"/>
    <x v="15"/>
    <d v="2025-08-18T00:00:00"/>
    <x v="0"/>
    <s v="TN37NR-0142"/>
    <n v="9030586663"/>
    <s v="RANCHI"/>
    <s v="-"/>
    <s v="NARSAPUR,6284"/>
    <s v="22FEET"/>
    <n v="25690"/>
    <n v="35600"/>
    <n v="9910"/>
    <n v="25690"/>
    <n v="0"/>
    <s v="DONE"/>
    <s v="194"/>
    <m/>
    <s v="21-08-2025"/>
    <s v="21-08-2025"/>
    <x v="0"/>
    <x v="16"/>
  </r>
  <r>
    <n v="638"/>
    <x v="15"/>
    <d v="2025-08-19T00:00:00"/>
    <x v="4"/>
    <s v="JH01KD-2417"/>
    <n v="9472230553"/>
    <s v="RANCHI"/>
    <s v="NARSAPUR,0434"/>
    <s v="HOSKOTE,4758"/>
    <s v="32FEET"/>
    <n v="33770"/>
    <n v="46620"/>
    <n v="12850"/>
    <n v="33770"/>
    <n v="0"/>
    <s v="DONE"/>
    <s v="195"/>
    <m/>
    <s v="22-08-2025"/>
    <s v="22-08-2025"/>
    <x v="0"/>
    <x v="3"/>
  </r>
  <r>
    <n v="639"/>
    <x v="15"/>
    <d v="2025-08-21T00:00:00"/>
    <x v="4"/>
    <s v="JH01KM-8803"/>
    <n v="9589264337"/>
    <s v="RANCHI"/>
    <s v="NARSAPUR,0624"/>
    <s v="HOSKOTE,6892"/>
    <s v="32FEET"/>
    <n v="33770"/>
    <n v="46620"/>
    <n v="12850"/>
    <n v="33770"/>
    <n v="0"/>
    <s v="DONE"/>
    <s v="196"/>
    <m/>
    <s v="24-08-2025"/>
    <s v="25-08-2025"/>
    <x v="0"/>
    <x v="3"/>
  </r>
  <r>
    <n v="640"/>
    <x v="15"/>
    <d v="2025-08-22T00:00:00"/>
    <x v="4"/>
    <s v="JH01KD-3958"/>
    <n v="9281983602"/>
    <s v="RANCHI"/>
    <s v="NARSAPUR,6863"/>
    <s v="HOSKOTE,9041"/>
    <s v="32FEET"/>
    <n v="33770"/>
    <n v="46620"/>
    <n v="12850"/>
    <n v="33770"/>
    <n v="0"/>
    <s v="DONE"/>
    <s v="197"/>
    <m/>
    <s v="24-08-2025"/>
    <s v="25-08-2025"/>
    <x v="0"/>
    <x v="3"/>
  </r>
  <r>
    <n v="641"/>
    <x v="15"/>
    <d v="2025-08-22T00:00:00"/>
    <x v="0"/>
    <s v="TN84AP-4891"/>
    <n v="9112622468"/>
    <s v="RANCHI"/>
    <s v="NARSAPUR,5455"/>
    <s v="HOSKOTE,4692"/>
    <s v="22FEET"/>
    <n v="27700"/>
    <n v="41900"/>
    <n v="14200"/>
    <n v="27700"/>
    <n v="0"/>
    <s v="DONE"/>
    <s v="198"/>
    <m/>
    <s v="29-08-2025"/>
    <s v="29-08-2025"/>
    <x v="0"/>
    <x v="21"/>
  </r>
  <r>
    <n v="642"/>
    <x v="15"/>
    <d v="2025-08-23T00:00:00"/>
    <x v="4"/>
    <s v="JH01KD-6142"/>
    <n v="9025368773"/>
    <s v="RANCHI"/>
    <s v="NARSAPUR,6796"/>
    <s v="HOSKOTE,3482"/>
    <s v="32FEET"/>
    <n v="33770"/>
    <n v="46620"/>
    <n v="12850"/>
    <n v="33770"/>
    <n v="0"/>
    <s v="DONE"/>
    <s v="199"/>
    <m/>
    <s v="26-08-2025"/>
    <s v="26-08-2025"/>
    <x v="0"/>
    <x v="3"/>
  </r>
  <r>
    <n v="643"/>
    <x v="15"/>
    <d v="2025-08-23T00:00:00"/>
    <x v="0"/>
    <s v="NL01GM-1095"/>
    <n v="9988659797"/>
    <s v="RANCHI"/>
    <s v="-"/>
    <s v="NARSAPUR,8848"/>
    <s v="32FEET"/>
    <n v="32290"/>
    <n v="40320"/>
    <n v="8030"/>
    <n v="32290"/>
    <n v="0"/>
    <s v="DONE"/>
    <s v="200"/>
    <m/>
    <s v="27-08-2025"/>
    <s v="28-08-2025"/>
    <x v="0"/>
    <x v="6"/>
  </r>
  <r>
    <n v="644"/>
    <x v="15"/>
    <d v="2025-08-24T00:00:00"/>
    <x v="4"/>
    <s v="JH01KM-4371"/>
    <n v="9515412075"/>
    <s v="TIRUPPUR"/>
    <s v="VENDOR U,6694+VENDOR H,7167+VENDOR F,5339"/>
    <s v="RANCHI"/>
    <s v="24FEET"/>
    <n v="42370"/>
    <n v="103950"/>
    <n v="61580"/>
    <n v="42370"/>
    <n v="0"/>
    <s v="DONE"/>
    <s v="201"/>
    <m/>
    <s v="26-08-2025"/>
    <s v="26-08-2025"/>
    <x v="0"/>
    <x v="3"/>
  </r>
  <r>
    <n v="645"/>
    <x v="15"/>
    <d v="2025-08-25T00:00:00"/>
    <x v="0"/>
    <s v="TN52NV-1351"/>
    <n v="9671832523"/>
    <s v="RANCHI"/>
    <s v="NARSAPUR,6035"/>
    <s v="HOSKOTE,0849"/>
    <s v="32FEET"/>
    <n v="33770"/>
    <n v="46620"/>
    <n v="12850"/>
    <n v="33770"/>
    <n v="0"/>
    <s v="DONE"/>
    <s v="202"/>
    <m/>
    <s v="28-08-2025"/>
    <s v="29-08-2025"/>
    <x v="0"/>
    <x v="21"/>
  </r>
  <r>
    <n v="646"/>
    <x v="15"/>
    <d v="2025-08-26T00:00:00"/>
    <x v="4"/>
    <s v="JH01KD0526"/>
    <n v="9220186371"/>
    <s v="RANCHI"/>
    <s v="NARSAPUR,4483"/>
    <s v="HOSKOTE,1514"/>
    <s v="32FEET"/>
    <n v="33770"/>
    <n v="46620"/>
    <n v="12850"/>
    <n v="33770"/>
    <n v="0"/>
    <s v="DONE"/>
    <s v="203"/>
    <m/>
    <s v="30-08-2025"/>
    <s v="30-08-2025"/>
    <x v="0"/>
    <x v="3"/>
  </r>
  <r>
    <n v="647"/>
    <x v="15"/>
    <d v="2025-08-27T00:00:00"/>
    <x v="4"/>
    <s v="JH01KD-3958"/>
    <n v="9281983602"/>
    <s v="TIRUPPUR"/>
    <s v="VENDOR V,2068"/>
    <s v="RANCHI"/>
    <s v="32FEET"/>
    <n v="41230"/>
    <n v="96390"/>
    <n v="55160"/>
    <n v="41230"/>
    <n v="0"/>
    <s v="DONE"/>
    <s v="204"/>
    <m/>
    <s v="29-08-2025"/>
    <s v="29-08-2025"/>
    <x v="0"/>
    <x v="3"/>
  </r>
  <r>
    <n v="648"/>
    <x v="15"/>
    <d v="2025-08-27T00:00:00"/>
    <x v="4"/>
    <s v="JH01KD-2417"/>
    <n v="9472230553"/>
    <s v="RANCHI"/>
    <s v="NARSAPUR,3448"/>
    <s v="HOSKOTE,3882"/>
    <s v="32FEET"/>
    <n v="33770"/>
    <n v="46620"/>
    <n v="12850"/>
    <n v="33770"/>
    <n v="0"/>
    <s v="DONE"/>
    <s v="205"/>
    <m/>
    <s v="30-08-2025"/>
    <s v="30-08-2025"/>
    <x v="0"/>
    <x v="3"/>
  </r>
  <r>
    <n v="649"/>
    <x v="15"/>
    <d v="2025-08-28T00:00:00"/>
    <x v="4"/>
    <s v="JH01KM-8803"/>
    <n v="9589264337"/>
    <s v="TIRUPPUR"/>
    <s v="VENDOR D,1312 +VENDOR G,5407"/>
    <s v="RANCHI"/>
    <s v="32FEET"/>
    <n v="42180"/>
    <n v="102690"/>
    <n v="60510"/>
    <n v="42180"/>
    <n v="0"/>
    <s v="DONE"/>
    <s v="206"/>
    <m/>
    <s v="31-08-2025"/>
    <s v="31-08-2025"/>
    <x v="0"/>
    <x v="3"/>
  </r>
  <r>
    <n v="650"/>
    <x v="15"/>
    <d v="2025-08-28T00:00:00"/>
    <x v="4"/>
    <s v="JH01KM-4371"/>
    <n v="9025368773"/>
    <s v="RANCHI"/>
    <s v="NARSAPUR,3302"/>
    <s v="HOSKOTE,0864"/>
    <s v="24FEET"/>
    <n v="33530"/>
    <n v="45040"/>
    <n v="11510"/>
    <n v="33530"/>
    <n v="0"/>
    <s v="DONE"/>
    <s v="207"/>
    <m/>
    <s v="31-08-2025"/>
    <s v="31-08-2025"/>
    <x v="0"/>
    <x v="3"/>
  </r>
  <r>
    <n v="651"/>
    <x v="15"/>
    <d v="2025-08-29T00:00:00"/>
    <x v="4"/>
    <s v="JH01KD-3958"/>
    <n v="9281983602"/>
    <s v="RANCHI"/>
    <s v="NARSAPUR,9618"/>
    <s v="HOSKOTE,1548"/>
    <s v="32FEET"/>
    <n v="33770"/>
    <n v="46620"/>
    <n v="12850"/>
    <n v="33770"/>
    <n v="0"/>
    <s v="DONE"/>
    <s v="208"/>
    <m/>
    <s v="02-09-2025"/>
    <s v="03-09-2025"/>
    <x v="0"/>
    <x v="3"/>
  </r>
  <r>
    <n v="652"/>
    <x v="15"/>
    <d v="2025-08-30T00:00:00"/>
    <x v="4"/>
    <s v="JH01KD-6142"/>
    <n v="9842431449"/>
    <s v="TIRUPPUR"/>
    <s v="VENDOR H,142960+VENDOR U,987587"/>
    <s v="RANCHI"/>
    <s v="32FEET"/>
    <n v="42180"/>
    <n v="102690"/>
    <n v="60510"/>
    <n v="42180"/>
    <n v="0"/>
    <s v="DONE"/>
    <s v="209"/>
    <m/>
    <s v="01-09-2025"/>
    <s v="02-09-2025"/>
    <x v="0"/>
    <x v="3"/>
  </r>
  <r>
    <n v="653"/>
    <x v="15"/>
    <d v="2025-08-31T00:00:00"/>
    <x v="4"/>
    <s v="JH01KM-8803"/>
    <n v="9589264337"/>
    <s v="RANCHI"/>
    <s v="NARSAPUR,5777"/>
    <s v="HOSKOTE,6705"/>
    <s v="32FEET"/>
    <n v="33770"/>
    <n v="46620"/>
    <n v="12850"/>
    <n v="33770"/>
    <n v="0"/>
    <s v="DONE"/>
    <s v="210"/>
    <m/>
    <s v="03-09-2025"/>
    <s v="03-09-2025"/>
    <x v="0"/>
    <x v="3"/>
  </r>
  <r>
    <n v="654"/>
    <x v="16"/>
    <d v="2025-09-01T00:00:00"/>
    <x v="0"/>
    <s v="KA01TK-9546"/>
    <n v="9701859674"/>
    <s v="RANCHI"/>
    <s v="NARSAPUR,0758"/>
    <s v="HOSKOTE,7542"/>
    <s v="24/32 FEET"/>
    <n v="30850"/>
    <n v="45040"/>
    <n v="14190"/>
    <n v="30850"/>
    <n v="0"/>
    <s v="DONE"/>
    <s v="211"/>
    <m/>
    <s v="05-09-2025"/>
    <s v="05-09-2025"/>
    <x v="0"/>
    <x v="21"/>
  </r>
  <r>
    <n v="655"/>
    <x v="16"/>
    <d v="2025-09-02T00:00:00"/>
    <x v="4"/>
    <s v="JH01KD-2417"/>
    <n v="9472230553"/>
    <s v="TIRUPPUR"/>
    <s v="VENDOR U,1097+VENDOR F,ERODE,5165"/>
    <s v="RANCHI"/>
    <s v="32FEET"/>
    <n v="42180"/>
    <n v="102690"/>
    <n v="60510"/>
    <n v="42180"/>
    <n v="0"/>
    <s v="DONE"/>
    <s v="212"/>
    <m/>
    <s v="04-09-2025"/>
    <s v="04-09-2025"/>
    <x v="0"/>
    <x v="3"/>
  </r>
  <r>
    <n v="656"/>
    <x v="16"/>
    <d v="2025-09-02T00:00:00"/>
    <x v="4"/>
    <s v="JH01KD-6142"/>
    <n v="9515412075"/>
    <s v="RANCHI"/>
    <s v="NARSAPUR,3921"/>
    <s v="HOSKOTE,3973"/>
    <s v="32FEET"/>
    <n v="33770"/>
    <n v="46620"/>
    <n v="12850"/>
    <n v="33770"/>
    <n v="0"/>
    <s v="DONE"/>
    <s v="213"/>
    <m/>
    <s v="04-09-2025"/>
    <s v="04-09-2025"/>
    <x v="0"/>
    <x v="3"/>
  </r>
  <r>
    <n v="657"/>
    <x v="16"/>
    <d v="2025-09-02T00:00:00"/>
    <x v="4"/>
    <s v="JH01KD-0526"/>
    <n v="9902798068"/>
    <s v="TIRUPPUR"/>
    <s v="-"/>
    <s v="RANCHI,2858"/>
    <s v="32FEET"/>
    <n v="41230"/>
    <n v="96390"/>
    <n v="55160"/>
    <n v="41230"/>
    <n v="0"/>
    <s v="DONE"/>
    <s v="214"/>
    <m/>
    <s v="06-09-2025"/>
    <s v="06-09-2025"/>
    <x v="0"/>
    <x v="3"/>
  </r>
  <r>
    <n v="658"/>
    <x v="16"/>
    <d v="2025-09-04T00:00:00"/>
    <x v="4"/>
    <s v="JH01KM-4371"/>
    <n v="9842431449"/>
    <s v="TIRUPPUR"/>
    <s v="-"/>
    <s v="RANCHI,3486"/>
    <s v="24FEET"/>
    <n v="40480"/>
    <n v="91350"/>
    <n v="50870"/>
    <n v="40480"/>
    <n v="0"/>
    <s v="DONE"/>
    <s v="215"/>
    <m/>
    <s v="07-09-2025"/>
    <s v="07-09-2025"/>
    <x v="0"/>
    <x v="3"/>
  </r>
  <r>
    <n v="659"/>
    <x v="16"/>
    <d v="2025-09-05T00:00:00"/>
    <x v="4"/>
    <s v="JH01KD-2417"/>
    <n v="9472230553"/>
    <s v="RANCHI"/>
    <s v="NARSAPUR"/>
    <s v="HOSKOTE"/>
    <s v="32FEET"/>
    <n v="33770"/>
    <n v="46620"/>
    <n v="12850"/>
    <n v="33770"/>
    <n v="0"/>
    <s v="DONE"/>
    <s v="216"/>
    <m/>
    <s v="08-09-2025"/>
    <s v="08-09-2025"/>
    <x v="0"/>
    <x v="3"/>
  </r>
  <r>
    <n v="660"/>
    <x v="16"/>
    <d v="2025-09-05T00:00:00"/>
    <x v="4"/>
    <s v="JH01KM-8803"/>
    <n v="9589264337"/>
    <s v="TIRUPPUR"/>
    <s v="VENDOR U,0793+VENDOR V,9758+VENDOR F,0991"/>
    <s v="RANCHI"/>
    <s v="32FEET"/>
    <n v="43120"/>
    <n v="108990"/>
    <n v="65870"/>
    <n v="43120"/>
    <n v="0"/>
    <s v="DONE"/>
    <s v="217"/>
    <m/>
    <s v="08-09-2025"/>
    <s v="08-09-2025"/>
    <x v="0"/>
    <x v="3"/>
  </r>
  <r>
    <n v="661"/>
    <x v="16"/>
    <d v="2025-09-06T00:00:00"/>
    <x v="4"/>
    <s v="JH01KD-0526"/>
    <n v="9220186371"/>
    <s v="RANCHI"/>
    <s v="NARSAPUR"/>
    <s v="HOSKOTE"/>
    <s v="32FEET"/>
    <n v="33770"/>
    <n v="46620"/>
    <n v="12850"/>
    <n v="33770"/>
    <n v="0"/>
    <s v="DONE"/>
    <s v="218"/>
    <m/>
    <s v="09-09-2025"/>
    <s v="09-09-2025"/>
    <x v="0"/>
    <x v="3"/>
  </r>
  <r>
    <n v="662"/>
    <x v="16"/>
    <d v="2025-09-07T00:00:00"/>
    <x v="4"/>
    <s v="JH01KD-6142"/>
    <n v="9842431449"/>
    <s v="TIRUPPUR"/>
    <s v="VENDOR U"/>
    <s v="RANCHI,250718"/>
    <s v="32FEET"/>
    <n v="41230"/>
    <n v="96390"/>
    <n v="55160"/>
    <n v="41230"/>
    <n v="0"/>
    <s v="DONE"/>
    <s v="219"/>
    <m/>
    <s v="09-09-2025"/>
    <s v="09-09-2025"/>
    <x v="0"/>
    <x v="3"/>
  </r>
  <r>
    <n v="663"/>
    <x v="16"/>
    <d v="2025-09-08T00:00:00"/>
    <x v="4"/>
    <s v="JH01KM-8803"/>
    <n v="9589264337"/>
    <s v="RANCHI"/>
    <s v="NARSAPUR"/>
    <s v="HOSKOTE"/>
    <s v="32FEET"/>
    <n v="33770"/>
    <n v="46620"/>
    <n v="12850"/>
    <n v="33770"/>
    <n v="0"/>
    <s v="DONE"/>
    <s v="220"/>
    <m/>
    <s v="12-09-2025"/>
    <s v="12-09-2025"/>
    <x v="0"/>
    <x v="3"/>
  </r>
  <r>
    <n v="664"/>
    <x v="16"/>
    <d v="2025-09-08T00:00:00"/>
    <x v="0"/>
    <s v="TN93R-5719"/>
    <n v="9103584346"/>
    <s v="RANCHI"/>
    <s v="-"/>
    <s v="NARSAPUR,0161"/>
    <s v="32FEET"/>
    <n v="31750"/>
    <n v="40320"/>
    <n v="8570"/>
    <n v="31750"/>
    <n v="0"/>
    <s v="DONE"/>
    <s v="225"/>
    <m/>
    <s v="12-09-2025"/>
    <s v="12-09-2025"/>
    <x v="0"/>
    <x v="16"/>
  </r>
  <r>
    <n v="665"/>
    <x v="16"/>
    <d v="2025-09-09T00:00:00"/>
    <x v="4"/>
    <s v="JH01KM-4371"/>
    <n v="9515412075"/>
    <s v="RANCHI"/>
    <s v="NARSAPUR"/>
    <s v="HOSKOTE,6089"/>
    <s v="24FEET"/>
    <n v="33530"/>
    <n v="45040"/>
    <n v="11510"/>
    <n v="33530"/>
    <n v="0"/>
    <s v="DONE"/>
    <s v="226"/>
    <m/>
    <s v="12-09-2025"/>
    <s v="12-09-2025"/>
    <x v="0"/>
    <x v="3"/>
  </r>
  <r>
    <n v="666"/>
    <x v="16"/>
    <d v="2025-09-10T00:00:00"/>
    <x v="4"/>
    <s v="JH01KD-2417"/>
    <n v="9472230553"/>
    <s v="TIRUPPUR"/>
    <s v="-"/>
    <s v="RANCHI,3911"/>
    <s v="32FEET"/>
    <n v="41230"/>
    <n v="96390"/>
    <n v="55160"/>
    <n v="41230"/>
    <n v="0"/>
    <s v="DONE"/>
    <s v="223"/>
    <m/>
    <s v="12-09-2025"/>
    <s v="12-09-2025"/>
    <x v="0"/>
    <x v="3"/>
  </r>
  <r>
    <n v="667"/>
    <x v="16"/>
    <d v="2025-09-10T00:00:00"/>
    <x v="4"/>
    <s v="JH01KD-6142"/>
    <n v="9842431449"/>
    <s v="RANCHI"/>
    <s v="NARSAPUR"/>
    <s v="HOSKOTE,0268"/>
    <s v="32FEET"/>
    <n v="33770"/>
    <n v="46620"/>
    <n v="12850"/>
    <n v="33770"/>
    <n v="0"/>
    <s v="DONE"/>
    <s v="227"/>
    <m/>
    <s v="12-09-2025"/>
    <s v="12-09-2025"/>
    <x v="0"/>
    <x v="3"/>
  </r>
  <r>
    <n v="668"/>
    <x v="16"/>
    <d v="2025-09-11T00:00:00"/>
    <x v="0"/>
    <s v="BY AIR"/>
    <s v="-"/>
    <s v="RANCHI"/>
    <s v="-"/>
    <s v="HOSKOTE,2732"/>
    <s v="FLIGHT"/>
    <n v="60920"/>
    <n v="80500"/>
    <n v="19580"/>
    <n v="60920"/>
    <n v="0"/>
    <s v="DONE"/>
    <s v="251"/>
    <m/>
    <s v="12-09-2025"/>
    <s v="12-09-2025"/>
    <x v="0"/>
    <x v="14"/>
  </r>
  <r>
    <n v="669"/>
    <x v="16"/>
    <d v="2025-09-12T00:00:00"/>
    <x v="0"/>
    <s v="BR24XY-8129"/>
    <n v="9220186371"/>
    <s v="RANCHI"/>
    <s v="NARSAPUR,2389"/>
    <s v="HOSKOTE,3331"/>
    <s v="32FEET"/>
    <n v="40570"/>
    <n v="46620"/>
    <n v="6050"/>
    <n v="40570"/>
    <n v="0"/>
    <s v="DONE"/>
    <s v="252"/>
    <m/>
    <s v="18-09-2025"/>
    <s v="18-09-2025"/>
    <x v="0"/>
    <x v="36"/>
  </r>
  <r>
    <n v="670"/>
    <x v="16"/>
    <d v="2025-09-13T00:00:00"/>
    <x v="4"/>
    <s v="JH01KD-3958"/>
    <n v="9220186371"/>
    <s v="RANCHI"/>
    <s v="NARSAPUR,4199"/>
    <s v="HOSKOTE,8748"/>
    <s v="32FEET"/>
    <n v="33770"/>
    <n v="46620"/>
    <n v="12850"/>
    <n v="33770"/>
    <n v="0"/>
    <s v="DONE"/>
    <s v="254"/>
    <m/>
    <s v="16-09-2025"/>
    <s v="16-09-2025"/>
    <x v="0"/>
    <x v="3"/>
  </r>
  <r>
    <n v="671"/>
    <x v="16"/>
    <d v="2025-09-14T00:00:00"/>
    <x v="0"/>
    <s v="TN46NV-0141"/>
    <n v="9421848031"/>
    <s v="RANCHI"/>
    <s v="NARSAPUR,1765"/>
    <s v="-"/>
    <s v="20FEET"/>
    <n v="25690"/>
    <n v="35600"/>
    <n v="9910"/>
    <n v="25690"/>
    <n v="0"/>
    <s v="DONE"/>
    <s v="255"/>
    <m/>
    <s v="18-09-2025"/>
    <s v="18-09-2025"/>
    <x v="0"/>
    <x v="16"/>
  </r>
  <r>
    <n v="672"/>
    <x v="16"/>
    <d v="2025-09-14T00:00:00"/>
    <x v="4"/>
    <s v="JH01KM-4371"/>
    <n v="9842431449"/>
    <s v="ERODE"/>
    <s v="VENDOR G'''''5027"/>
    <s v="RANCHI"/>
    <s v="24FEET"/>
    <n v="40480"/>
    <n v="91350"/>
    <n v="50870"/>
    <n v="40480"/>
    <n v="0"/>
    <s v="DONE"/>
    <s v="253"/>
    <m/>
    <s v="16-09-2025"/>
    <s v="17-09-2025"/>
    <x v="0"/>
    <x v="3"/>
  </r>
  <r>
    <n v="673"/>
    <x v="16"/>
    <d v="2025-09-16T00:00:00"/>
    <x v="4"/>
    <s v="JH01KD-2417"/>
    <n v="9472230553"/>
    <s v="RANCHI"/>
    <s v="-"/>
    <s v="NARSAPUR,2206"/>
    <s v="32FEET"/>
    <n v="32820"/>
    <n v="40320"/>
    <n v="7500"/>
    <n v="32820"/>
    <n v="0"/>
    <s v="DONE"/>
    <s v="256"/>
    <m/>
    <s v="19-09-2025"/>
    <s v="19-09-2025"/>
    <x v="0"/>
    <x v="3"/>
  </r>
  <r>
    <n v="674"/>
    <x v="16"/>
    <d v="2025-09-16T00:00:00"/>
    <x v="4"/>
    <s v="JH01KM-8803"/>
    <n v="9589264337"/>
    <s v="TIRUPPUR"/>
    <s v="VENDOR V,8086+VENDOR U,6346"/>
    <s v="RANCHI"/>
    <s v="32FEET"/>
    <n v="41230"/>
    <n v="96390"/>
    <n v="55160"/>
    <n v="41230"/>
    <n v="0"/>
    <s v="DONE"/>
    <s v="257"/>
    <m/>
    <s v="20-09-2025"/>
    <s v="20-09-2025"/>
    <x v="0"/>
    <x v="3"/>
  </r>
  <r>
    <n v="675"/>
    <x v="16"/>
    <d v="2025-09-17T00:00:00"/>
    <x v="4"/>
    <s v="JH01KM-4371"/>
    <n v="9515412075"/>
    <s v="RANCHI"/>
    <s v="-"/>
    <s v="HOSKOTE,8650"/>
    <s v="24FEET"/>
    <n v="32590"/>
    <n v="38740"/>
    <n v="6150"/>
    <n v="32590"/>
    <n v="0"/>
    <s v="DONE"/>
    <s v="258"/>
    <m/>
    <s v="22-09-2025"/>
    <s v="22-09-2025"/>
    <x v="0"/>
    <x v="3"/>
  </r>
  <r>
    <n v="676"/>
    <x v="16"/>
    <d v="2025-09-17T00:00:00"/>
    <x v="4"/>
    <s v="JH01KD-0526"/>
    <n v="9062508646"/>
    <s v="RANCHI"/>
    <s v="-"/>
    <s v="NARSAPUR,9623"/>
    <s v="32FEET"/>
    <n v="32820"/>
    <n v="40320"/>
    <n v="7500"/>
    <n v="32820"/>
    <n v="0"/>
    <s v="DONE"/>
    <s v="259"/>
    <m/>
    <s v="22-09-2025"/>
    <s v="22-09-2025"/>
    <x v="0"/>
    <x v="3"/>
  </r>
  <r>
    <n v="677"/>
    <x v="16"/>
    <d v="2025-09-20T00:00:00"/>
    <x v="4"/>
    <s v="NL01N-3470"/>
    <n v="9543444535"/>
    <s v="RANCHI"/>
    <s v="NARSAPUR"/>
    <s v="HOSKOTE,5284"/>
    <s v="32FEET"/>
    <n v="33230"/>
    <n v="46620"/>
    <n v="13390"/>
    <n v="33230"/>
    <n v="0"/>
    <s v="DONE"/>
    <s v="261"/>
    <m/>
    <s v="24-09-2025"/>
    <s v="24-09-2025"/>
    <x v="0"/>
    <x v="21"/>
  </r>
  <r>
    <n v="678"/>
    <x v="16"/>
    <d v="2025-09-20T00:00:00"/>
    <x v="0"/>
    <s v="TN93R-4644"/>
    <n v="9947982595"/>
    <s v="RANCHI"/>
    <s v="NARSAPUR"/>
    <s v="HOSKOTE,5987"/>
    <s v="32FEET"/>
    <n v="35940"/>
    <n v="50400"/>
    <n v="14460"/>
    <n v="35940"/>
    <n v="0"/>
    <s v="DONE"/>
    <s v="262"/>
    <m/>
    <s v="24-09-2025"/>
    <s v="24-09-2025"/>
    <x v="0"/>
    <x v="21"/>
  </r>
  <r>
    <n v="679"/>
    <x v="16"/>
    <d v="2025-09-20T00:00:00"/>
    <x v="4"/>
    <s v="JH01KD-2417"/>
    <n v="9472230553"/>
    <s v="ERODE"/>
    <s v="VENDOR G,,9403"/>
    <s v="RANCHI"/>
    <s v="32FEET"/>
    <n v="41230"/>
    <n v="96390"/>
    <n v="55160"/>
    <n v="41230"/>
    <n v="0"/>
    <s v="DONE"/>
    <s v="263"/>
    <m/>
    <s v="22-09-2025"/>
    <s v="22-09-2025"/>
    <x v="0"/>
    <x v="3"/>
  </r>
  <r>
    <n v="680"/>
    <x v="16"/>
    <d v="2025-09-22T00:00:00"/>
    <x v="4"/>
    <s v="JH01KD-6142"/>
    <n v="9842431449"/>
    <s v="RANCHI"/>
    <s v="NARSAPUR"/>
    <s v="HOSKOTE,2588"/>
    <s v="32FEET"/>
    <n v="33770"/>
    <n v="46620"/>
    <n v="12850"/>
    <n v="33770"/>
    <n v="0"/>
    <s v="DONE"/>
    <s v="264"/>
    <m/>
    <s v="25-09-2025"/>
    <s v="25-09-2025"/>
    <x v="0"/>
    <x v="3"/>
  </r>
  <r>
    <n v="681"/>
    <x v="16"/>
    <d v="2025-09-23T00:00:00"/>
    <x v="4"/>
    <s v="JH01KM-8803"/>
    <n v="9589264337"/>
    <s v="RANCHI"/>
    <s v="NARSAPUR"/>
    <s v="HOSKOTE,2286"/>
    <s v="32FEET"/>
    <n v="33770"/>
    <n v="46620"/>
    <n v="12850"/>
    <n v="33770"/>
    <n v="0"/>
    <s v="DONE"/>
    <s v="265"/>
    <m/>
    <s v="26-09-2025"/>
    <s v="26-09-2025"/>
    <x v="0"/>
    <x v="3"/>
  </r>
  <r>
    <n v="682"/>
    <x v="16"/>
    <d v="2025-09-23T00:00:00"/>
    <x v="4"/>
    <s v="JH01KD-0526"/>
    <n v="9062508646"/>
    <s v="TIRUPPUR"/>
    <s v="VENDOR V'4380"/>
    <s v="RANCHI"/>
    <s v="32FEET"/>
    <n v="41230"/>
    <n v="96390"/>
    <n v="55160"/>
    <n v="41230"/>
    <n v="0"/>
    <s v="DONE"/>
    <s v="266"/>
    <m/>
    <s v="26-09-2025"/>
    <s v="26-09-2025"/>
    <x v="0"/>
    <x v="3"/>
  </r>
  <r>
    <n v="683"/>
    <x v="16"/>
    <d v="2025-09-24T00:00:00"/>
    <x v="4"/>
    <s v="JH01KD-2417"/>
    <n v="9472230553"/>
    <s v="RANCHI"/>
    <s v="NARSAPUR+HOSKOTE"/>
    <s v="HASSAN,2345"/>
    <s v="32FEET"/>
    <n v="34710"/>
    <n v="52920"/>
    <n v="18210"/>
    <n v="34710"/>
    <n v="0"/>
    <s v="DONE"/>
    <s v="267"/>
    <m/>
    <s v="27-09-2025"/>
    <s v="27-09-2025"/>
    <x v="0"/>
    <x v="3"/>
  </r>
  <r>
    <n v="684"/>
    <x v="16"/>
    <d v="2025-09-24T00:00:00"/>
    <x v="0"/>
    <s v="KA05TK-1907"/>
    <n v="9142370650"/>
    <s v="TIRUPPUR"/>
    <s v="VENDOR U,2918"/>
    <s v="RANCHI"/>
    <s v="22FEET"/>
    <n v="49680"/>
    <n v="59850"/>
    <n v="10170"/>
    <n v="48370"/>
    <n v="1310"/>
    <s v="DONE"/>
    <s v="268"/>
    <m/>
    <s v="27-09-2025"/>
    <s v="27-09-2025"/>
    <x v="0"/>
    <x v="37"/>
  </r>
  <r>
    <n v="685"/>
    <x v="16"/>
    <d v="2025-09-24T00:00:00"/>
    <x v="4"/>
    <s v="JH001KM-4371"/>
    <n v="9793531306"/>
    <s v="ERODE"/>
    <s v="VENDOR G,1280+VENDOR P,5689"/>
    <s v="RANCHI"/>
    <s v="24FEET"/>
    <n v="41420"/>
    <n v="97650"/>
    <n v="56230"/>
    <n v="41420"/>
    <n v="0"/>
    <s v="DONE"/>
    <s v="269"/>
    <m/>
    <s v="27-09-2025"/>
    <s v="27-09-2025"/>
    <x v="0"/>
    <x v="3"/>
  </r>
  <r>
    <n v="686"/>
    <x v="16"/>
    <d v="2025-09-25T00:00:00"/>
    <x v="4"/>
    <s v="JH01KD-3958"/>
    <n v="9281983602"/>
    <s v="RANCHI"/>
    <s v="NARSAPUR"/>
    <s v="HOSKOTE,7796"/>
    <s v="32FEET"/>
    <n v="33770"/>
    <n v="46620"/>
    <n v="12850"/>
    <n v="33770"/>
    <n v="0"/>
    <s v="DONE"/>
    <s v="270"/>
    <m/>
    <s v="28-09-2025"/>
    <s v="29-09-2025"/>
    <x v="0"/>
    <x v="3"/>
  </r>
  <r>
    <n v="687"/>
    <x v="16"/>
    <d v="2025-09-26T00:00:00"/>
    <x v="0"/>
    <s v="BR24XY-8129"/>
    <n v="9220186371"/>
    <s v="DHULAGARH"/>
    <s v="-"/>
    <s v="RANCHI,4105"/>
    <s v="32FEET"/>
    <n v="8550"/>
    <n v="15750"/>
    <n v="7200"/>
    <n v="8550"/>
    <n v="0"/>
    <s v="DONE"/>
    <s v="271"/>
    <m/>
    <s v="27-09-2025"/>
    <s v="27-09-2025"/>
    <x v="0"/>
    <x v="36"/>
  </r>
  <r>
    <n v="688"/>
    <x v="16"/>
    <d v="2025-09-26T00:00:00"/>
    <x v="0"/>
    <s v="KA02YH-9767"/>
    <n v="9249035301"/>
    <s v="DODABALLAPUR"/>
    <s v="-"/>
    <s v="RANCHI,2383"/>
    <s v="20FEET"/>
    <n v="43630"/>
    <n v="51660"/>
    <n v="8030"/>
    <n v="43630"/>
    <n v="0"/>
    <s v="DONE"/>
    <s v="272"/>
    <m/>
    <s v="29-09-2025"/>
    <s v="30-09-2025"/>
    <x v="0"/>
    <x v="21"/>
  </r>
  <r>
    <n v="689"/>
    <x v="16"/>
    <d v="2025-09-27T00:00:00"/>
    <x v="4"/>
    <s v="JH01KD-6142"/>
    <n v="9842431449"/>
    <s v="TIRUPPUR"/>
    <s v="-"/>
    <s v="RANCHI,086345"/>
    <s v="32FEET"/>
    <n v="41230"/>
    <n v="96390"/>
    <n v="55160"/>
    <n v="41230"/>
    <n v="0"/>
    <s v="DONE"/>
    <s v="273"/>
    <m/>
    <s v="29-09-2025"/>
    <s v="29-09-2025"/>
    <x v="0"/>
    <x v="3"/>
  </r>
  <r>
    <n v="690"/>
    <x v="16"/>
    <d v="2025-09-27T00:00:00"/>
    <x v="4"/>
    <s v="JH01KD-0526"/>
    <n v="9062508646"/>
    <s v="RANCHI"/>
    <s v="NARSAPUR"/>
    <s v="HOSKOTE,9933"/>
    <s v="32FEET"/>
    <n v="33770"/>
    <n v="46620"/>
    <n v="12850"/>
    <n v="33770"/>
    <n v="0"/>
    <s v="DONE"/>
    <s v="274"/>
    <m/>
    <s v="30-09-2025"/>
    <s v="30-09-2025"/>
    <x v="0"/>
    <x v="3"/>
  </r>
  <r>
    <n v="691"/>
    <x v="16"/>
    <d v="2025-09-27T00:00:00"/>
    <x v="4"/>
    <s v="JH01KM-4371"/>
    <n v="9793531306"/>
    <s v="RANCHI"/>
    <s v="NARSAPUR"/>
    <s v="HOSKOTE,4309"/>
    <s v="24FEET"/>
    <n v="33480"/>
    <n v="44730"/>
    <n v="11250"/>
    <n v="33480"/>
    <n v="0"/>
    <s v="DONE"/>
    <s v="275"/>
    <m/>
    <s v="30-09-2025"/>
    <s v="30-09-2025"/>
    <x v="0"/>
    <x v="3"/>
  </r>
  <r>
    <n v="692"/>
    <x v="16"/>
    <d v="2025-09-27T00:00:00"/>
    <x v="4"/>
    <s v="JH01KM-8803"/>
    <n v="9589264337"/>
    <s v="TIRUPPUR"/>
    <s v="VENDOR U,7010+VENDOR F,0868"/>
    <s v="RANCHI"/>
    <s v="32FEET"/>
    <n v="42180"/>
    <n v="102690"/>
    <n v="60510"/>
    <n v="42180"/>
    <n v="0"/>
    <s v="DONE"/>
    <s v="276"/>
    <m/>
    <s v="30-09-2025"/>
    <s v="03-10-2025"/>
    <x v="0"/>
    <x v="3"/>
  </r>
  <r>
    <n v="693"/>
    <x v="16"/>
    <d v="2025-09-29T00:00:00"/>
    <x v="4"/>
    <s v="JH01KD-6142"/>
    <n v="9515412075"/>
    <s v="RANCHI"/>
    <s v="NARSAPUR,2383"/>
    <s v="HOSKOTE,7964"/>
    <s v="32FEET"/>
    <n v="33770"/>
    <n v="46620"/>
    <n v="12850"/>
    <n v="33770"/>
    <n v="0"/>
    <s v="DONE"/>
    <s v="278"/>
    <m/>
    <s v="03-10-2025"/>
    <s v="03-10-2025"/>
    <x v="0"/>
    <x v="3"/>
  </r>
  <r>
    <n v="694"/>
    <x v="16"/>
    <d v="2025-09-29T00:00:00"/>
    <x v="4"/>
    <s v="JH01KD-2417"/>
    <n v="9472230553"/>
    <s v="TIRUPPUR"/>
    <s v="VENDOR U,48587+VENDOR H+VENDOR G,37925"/>
    <s v="RANCHI"/>
    <s v="32FEET"/>
    <n v="42180"/>
    <n v="102690"/>
    <n v="60510"/>
    <n v="42180"/>
    <n v="0"/>
    <s v="DONE"/>
    <s v="279"/>
    <m/>
    <s v="04-10-2025"/>
    <s v="04-10-2025"/>
    <x v="0"/>
    <x v="3"/>
  </r>
  <r>
    <n v="695"/>
    <x v="16"/>
    <d v="2025-09-30T00:00:00"/>
    <x v="4"/>
    <s v="JH01KD-3958"/>
    <n v="9281983602"/>
    <s v="TIRUPPUR"/>
    <s v="VENDOR U,2523"/>
    <s v="RANCHI"/>
    <s v="32FEET"/>
    <n v="41230"/>
    <n v="96390"/>
    <n v="55160"/>
    <n v="41230"/>
    <n v="0"/>
    <s v="DONE"/>
    <s v="280"/>
    <m/>
    <s v="03-10-2025"/>
    <s v="04-10-2025"/>
    <x v="0"/>
    <x v="3"/>
  </r>
  <r>
    <n v="696"/>
    <x v="16"/>
    <d v="2025-09-30T00:00:00"/>
    <x v="0"/>
    <s v="TN86C-4840"/>
    <n v="9797226233"/>
    <s v="RANCHI"/>
    <s v="NARSAPUR,4153"/>
    <s v="HOSKOTE,4328"/>
    <s v="32FEET"/>
    <n v="33770"/>
    <n v="46620"/>
    <n v="12850"/>
    <n v="33770"/>
    <n v="0"/>
    <s v="DONE"/>
    <s v="281"/>
    <m/>
    <s v="03-10-2025"/>
    <s v="04-10-2025"/>
    <x v="0"/>
    <x v="21"/>
  </r>
  <r>
    <n v="697"/>
    <x v="16"/>
    <d v="2025-09-30T00:00:00"/>
    <x v="0"/>
    <s v="KA41T-9739"/>
    <n v="9915991042"/>
    <s v="RANCHI"/>
    <s v="-"/>
    <s v="NARSAPUR,2686"/>
    <s v="22FEET"/>
    <n v="25690"/>
    <n v="35600"/>
    <n v="9910"/>
    <n v="25690"/>
    <n v="0"/>
    <s v="DONE"/>
    <s v="282"/>
    <m/>
    <s v="03-10-2025"/>
    <s v="03-10-2025"/>
    <x v="0"/>
    <x v="21"/>
  </r>
  <r>
    <n v="698"/>
    <x v="17"/>
    <d v="2025-10-04T00:00:00"/>
    <x v="4"/>
    <s v="JH01KM-8803"/>
    <n v="9589264337"/>
    <s v="RANCHI"/>
    <s v="NARSAPUR,6099"/>
    <s v="HOSKOTE,9733"/>
    <s v="32FEET"/>
    <n v="33770"/>
    <n v="46620"/>
    <n v="12850"/>
    <n v="33770"/>
    <n v="0"/>
    <s v="DONE"/>
    <s v="283"/>
    <m/>
    <s v="07-10-2025"/>
    <s v="07-10-2025"/>
    <x v="0"/>
    <x v="3"/>
  </r>
  <r>
    <n v="699"/>
    <x v="17"/>
    <d v="2025-10-05T00:00:00"/>
    <x v="4"/>
    <s v="JH01KD-0526"/>
    <n v="9062508646"/>
    <s v="TIRUPPUR"/>
    <s v="VENDOR U,6168+VENDOR P ,7928"/>
    <s v="RANCHI"/>
    <s v="32FEET"/>
    <n v="42180"/>
    <n v="102690"/>
    <n v="60510"/>
    <n v="42180"/>
    <n v="0"/>
    <s v="DONE"/>
    <s v="284"/>
    <m/>
    <s v="08-10-2025"/>
    <s v="08-10-2025"/>
    <x v="0"/>
    <x v="3"/>
  </r>
  <r>
    <n v="700"/>
    <x v="17"/>
    <d v="2025-10-05T00:00:00"/>
    <x v="4"/>
    <s v="JH01KD-6142"/>
    <n v="9515412075"/>
    <s v="ERODE"/>
    <s v="VENDOR G,315944"/>
    <s v="RANCHI"/>
    <s v="32FEET"/>
    <n v="41230"/>
    <n v="96390"/>
    <n v="55160"/>
    <n v="41230"/>
    <n v="0"/>
    <s v="DONE"/>
    <s v="285"/>
    <m/>
    <s v="08-10-2025"/>
    <s v="08-10-2025"/>
    <x v="0"/>
    <x v="3"/>
  </r>
  <r>
    <n v="701"/>
    <x v="17"/>
    <d v="2025-10-06T00:00:00"/>
    <x v="4"/>
    <s v="JH01KM-4371"/>
    <n v="9793531306"/>
    <s v="TIRUPPUR"/>
    <s v="VENDOR F,3470"/>
    <s v="RANCHI"/>
    <s v="24FEET"/>
    <n v="40480"/>
    <n v="91350"/>
    <n v="50870"/>
    <n v="40480"/>
    <n v="0"/>
    <s v="DONE"/>
    <s v="286"/>
    <m/>
    <s v="09-10-2025"/>
    <s v="09-10-2025"/>
    <x v="0"/>
    <x v="3"/>
  </r>
  <r>
    <n v="702"/>
    <x v="17"/>
    <d v="2025-10-06T00:00:00"/>
    <x v="4"/>
    <s v="JH01KD-2417"/>
    <n v="9220186371"/>
    <s v="RANCHI"/>
    <s v="-"/>
    <s v="NARSAPUR,6429"/>
    <s v="32FEET"/>
    <n v="32820"/>
    <n v="40320"/>
    <n v="7500"/>
    <n v="32820"/>
    <n v="0"/>
    <s v="DONE"/>
    <s v="287"/>
    <m/>
    <s v="09-10-2025"/>
    <s v="09-10-2025"/>
    <x v="0"/>
    <x v="3"/>
  </r>
  <r>
    <n v="703"/>
    <x v="17"/>
    <d v="2025-10-06T00:00:00"/>
    <x v="4"/>
    <s v="JH01KD-3958"/>
    <n v="9281983602"/>
    <s v="RANCHI"/>
    <s v="NARSAPUR,0609"/>
    <s v="HOSKOTE,9031"/>
    <s v="32FEET"/>
    <n v="33770"/>
    <n v="46620"/>
    <n v="12850"/>
    <n v="33770"/>
    <n v="0"/>
    <s v="DONE"/>
    <s v="288"/>
    <m/>
    <s v="09-10-2025"/>
    <s v="09-10-2025"/>
    <x v="0"/>
    <x v="3"/>
  </r>
  <r>
    <n v="704"/>
    <x v="17"/>
    <d v="2025-10-08T00:00:00"/>
    <x v="4"/>
    <s v="JH01KD-0526"/>
    <n v="9902798068"/>
    <s v="RANCHI"/>
    <s v="NARSAPUR,4183"/>
    <s v="HOSKOTE,2955"/>
    <s v="32FEET"/>
    <n v="33770"/>
    <n v="46620"/>
    <n v="12850"/>
    <n v="33770"/>
    <n v="0"/>
    <s v="DONE"/>
    <s v="289"/>
    <m/>
    <s v="10-10-2025"/>
    <s v="11-10-2025"/>
    <x v="0"/>
    <x v="3"/>
  </r>
  <r>
    <n v="705"/>
    <x v="17"/>
    <d v="2025-10-08T00:00:00"/>
    <x v="4"/>
    <s v="JH01KD-6142"/>
    <n v="9515412075"/>
    <s v="RANCHI"/>
    <s v="NARSAPUR,5753"/>
    <s v="HOSKOTE,3308"/>
    <s v="32FEET"/>
    <n v="33770"/>
    <n v="46620"/>
    <n v="12850"/>
    <n v="33770"/>
    <n v="0"/>
    <s v="DONE"/>
    <s v="289"/>
    <m/>
    <s v="10-10-2025"/>
    <s v="11-10-2025"/>
    <x v="0"/>
    <x v="3"/>
  </r>
  <r>
    <n v="706"/>
    <x v="17"/>
    <d v="2025-10-10T00:00:00"/>
    <x v="4"/>
    <s v="JH01KM-4371"/>
    <n v="9589264337"/>
    <s v="RANCHI"/>
    <s v="NARSAPUR,9641"/>
    <s v="HOSKOTE,6854"/>
    <s v="24FEET"/>
    <n v="33530"/>
    <n v="45040"/>
    <n v="11510"/>
    <n v="33530"/>
    <n v="0"/>
    <s v="DONE"/>
    <s v="290"/>
    <m/>
    <s v="14-10-2025"/>
    <s v="14-10-2025"/>
    <x v="0"/>
    <x v="3"/>
  </r>
  <r>
    <n v="707"/>
    <x v="17"/>
    <d v="2025-10-10T00:00:00"/>
    <x v="0"/>
    <s v="TN79T-8586"/>
    <n v="9914761444"/>
    <s v="RANCHI"/>
    <s v="NARSAPUR"/>
    <s v="HOSKOTE,3311"/>
    <s v="24FEET"/>
    <n v="30850"/>
    <n v="45040"/>
    <n v="14190"/>
    <n v="30850"/>
    <n v="0"/>
    <s v="DONE"/>
    <s v="291"/>
    <m/>
    <s v="14-10-2025"/>
    <s v="14-10-2025"/>
    <x v="0"/>
    <x v="21"/>
  </r>
  <r>
    <n v="708"/>
    <x v="17"/>
    <d v="2025-10-10T00:00:00"/>
    <x v="4"/>
    <s v="JH01KM-8803"/>
    <n v="9793531306"/>
    <s v="TIRUPPUR"/>
    <s v="VENDOR F,5882+VENDOR G,3613"/>
    <s v="RANCHI"/>
    <s v="32FEET"/>
    <n v="42180"/>
    <n v="102690"/>
    <n v="60510"/>
    <n v="42180"/>
    <n v="0"/>
    <s v="DONE"/>
    <s v="292"/>
    <m/>
    <s v="12-10-2025"/>
    <s v="13-10-2025"/>
    <x v="0"/>
    <x v="3"/>
  </r>
  <r>
    <n v="709"/>
    <x v="17"/>
    <d v="2025-10-10T00:00:00"/>
    <x v="4"/>
    <s v="JH01KD-2417"/>
    <n v="9220186371"/>
    <s v="ERODE"/>
    <s v="VENDOR G,68514"/>
    <s v="RANCHI"/>
    <s v="32FEET"/>
    <n v="41230"/>
    <n v="96390"/>
    <n v="55160"/>
    <n v="41230"/>
    <n v="0"/>
    <s v="DONE"/>
    <s v="293"/>
    <m/>
    <s v="13-10-2025"/>
    <s v="14-10-2025"/>
    <x v="0"/>
    <x v="3"/>
  </r>
  <r>
    <n v="710"/>
    <x v="17"/>
    <d v="2025-10-10T00:00:00"/>
    <x v="4"/>
    <s v="JH01KD-3958"/>
    <n v="9281983602"/>
    <s v="TIRUPPUR"/>
    <s v="VENDOR V,9356"/>
    <s v="RANCHI"/>
    <s v="32FEET"/>
    <n v="41230"/>
    <n v="96390"/>
    <n v="55160"/>
    <n v="41230"/>
    <n v="0"/>
    <s v="DONE"/>
    <s v="294"/>
    <m/>
    <s v="13-10-2025"/>
    <s v="14-10-2025"/>
    <x v="0"/>
    <x v="3"/>
  </r>
  <r>
    <s v="S"/>
    <x v="17"/>
    <d v="2025-10-11T00:00:00"/>
    <x v="0"/>
    <s v="KA02BX-9788"/>
    <n v="9902172063"/>
    <s v="RANCHI"/>
    <s v="NARSAPUR,1414"/>
    <s v="HOSKOTE,6913"/>
    <s v="22FEET"/>
    <n v="27700"/>
    <n v="41900"/>
    <n v="14200"/>
    <n v="27700"/>
    <n v="0"/>
    <s v="DONE"/>
    <s v="295"/>
    <m/>
    <s v="15-10-2025"/>
    <s v="16-10-2025"/>
    <x v="0"/>
    <x v="21"/>
  </r>
  <r>
    <n v="712"/>
    <x v="17"/>
    <d v="2025-10-12T00:00:00"/>
    <x v="4"/>
    <s v="JH01KD-6142"/>
    <n v="9842431449"/>
    <s v="TIRUPPUR"/>
    <s v="VENDOR U,425495"/>
    <s v="RANCHI"/>
    <s v="32FEET"/>
    <n v="41230"/>
    <n v="96390"/>
    <n v="55160"/>
    <n v="41230"/>
    <n v="0"/>
    <s v="DONE"/>
    <s v="296"/>
    <m/>
    <s v="15-10-2025"/>
    <s v="15-10-2025"/>
    <x v="0"/>
    <x v="3"/>
  </r>
  <r>
    <n v="713"/>
    <x v="17"/>
    <d v="2025-10-13T00:00:00"/>
    <x v="4"/>
    <s v="JH01KM-8803"/>
    <n v="9589264337"/>
    <s v="RANCHI"/>
    <s v="NARSAPUR,9854"/>
    <s v="HOSKOTE,7176"/>
    <s v="32FEET"/>
    <n v="33770"/>
    <n v="46620"/>
    <n v="12850"/>
    <n v="33770"/>
    <n v="0"/>
    <s v="DONE"/>
    <s v="297"/>
    <m/>
    <s v="16-10-2025"/>
    <s v="17-10-2025"/>
    <x v="0"/>
    <x v="3"/>
  </r>
  <r>
    <n v="714"/>
    <x v="17"/>
    <d v="2025-10-14T00:00:00"/>
    <x v="4"/>
    <s v="JH01KD-0526"/>
    <n v="9902798068"/>
    <s v="TIRUPPUR"/>
    <s v="VENDOR D,1992+VENDOR U,2838"/>
    <s v="RANCHI"/>
    <s v="32FEET"/>
    <n v="42180"/>
    <n v="102690"/>
    <n v="60510"/>
    <n v="42180"/>
    <n v="0"/>
    <s v="DONE"/>
    <s v="298"/>
    <m/>
    <s v="16-10-2025"/>
    <s v="17-10-2025"/>
    <x v="0"/>
    <x v="3"/>
  </r>
  <r>
    <n v="715"/>
    <x v="17"/>
    <d v="2025-10-14T00:00:00"/>
    <x v="4"/>
    <s v="JH01KD-3958"/>
    <n v="9281983602"/>
    <s v="RANCHI"/>
    <s v="NARSAPUR,0133"/>
    <s v="HOSKOTE,0873"/>
    <s v="32FEET"/>
    <n v="33770"/>
    <n v="46620"/>
    <n v="12850"/>
    <n v="33770"/>
    <n v="0"/>
    <s v="DONE"/>
    <s v="299"/>
    <m/>
    <s v="17-10-2025"/>
    <s v="17-10-2025"/>
    <x v="0"/>
    <x v="3"/>
  </r>
  <r>
    <n v="716"/>
    <x v="17"/>
    <d v="2025-10-15T00:00:00"/>
    <x v="4"/>
    <s v="JH01KD-2417"/>
    <n v="9220186371"/>
    <s v="RANCHI"/>
    <s v="NARSAPUR,4199"/>
    <s v="HOSKOTE,8748"/>
    <s v="32FEET"/>
    <n v="33770"/>
    <n v="46620"/>
    <n v="12850"/>
    <n v="33770"/>
    <n v="0"/>
    <s v="DONE"/>
    <s v="300"/>
    <m/>
    <s v="18-10-2025"/>
    <s v="18-10-2025"/>
    <x v="0"/>
    <x v="3"/>
  </r>
  <r>
    <n v="717"/>
    <x v="17"/>
    <d v="2025-10-16T00:00:00"/>
    <x v="4"/>
    <s v="JH01KD-6142"/>
    <n v="9515412075"/>
    <s v="RANCHI"/>
    <s v="-"/>
    <s v="NARSAPUR,8748"/>
    <s v="32FEET"/>
    <n v="32820"/>
    <n v="40320"/>
    <n v="7500"/>
    <n v="32820"/>
    <n v="0"/>
    <s v="DONE"/>
    <s v="301"/>
    <m/>
    <s v="19-10-2025"/>
    <s v="19-10-2025"/>
    <x v="0"/>
    <x v="3"/>
  </r>
  <r>
    <n v="718"/>
    <x v="17"/>
    <d v="2025-10-17T00:00:00"/>
    <x v="4"/>
    <s v="JH01KM-4371"/>
    <n v="9793531306"/>
    <s v="TIRUPPUR"/>
    <s v="VENDOR U,2109"/>
    <s v="RANCHI"/>
    <s v="24FEET"/>
    <n v="40480"/>
    <n v="91350"/>
    <n v="50870"/>
    <n v="40480"/>
    <n v="0"/>
    <s v="DONE"/>
    <s v="303"/>
    <m/>
    <s v="20-10-205"/>
    <s v="21-10-2025"/>
    <x v="0"/>
    <x v="3"/>
  </r>
  <r>
    <n v="719"/>
    <x v="17"/>
    <d v="2025-10-18T00:00:00"/>
    <x v="4"/>
    <s v="JH01KM-8803"/>
    <n v="9793531306"/>
    <s v="TIRUPPUR"/>
    <s v="VENDOR U,8636"/>
    <s v="RANCHI"/>
    <s v="32FEET"/>
    <n v="41230"/>
    <n v="96390"/>
    <n v="55160"/>
    <n v="41230"/>
    <n v="0"/>
    <s v="DONE"/>
    <s v="304"/>
    <m/>
    <s v="21-10-2025"/>
    <s v="21-10-2025"/>
    <x v="0"/>
    <x v="3"/>
  </r>
  <r>
    <n v="720"/>
    <x v="17"/>
    <d v="2025-10-18T00:00:00"/>
    <x v="4"/>
    <s v="JH01KD-3958"/>
    <n v="9281983602"/>
    <s v="TIRUPPUR"/>
    <s v="VENDOR U,0801"/>
    <s v="RANCHI"/>
    <s v="32FEET"/>
    <n v="41230"/>
    <n v="96390"/>
    <n v="55160"/>
    <n v="41230"/>
    <n v="0"/>
    <s v="DONE"/>
    <s v="305"/>
    <m/>
    <s v="21-10-2025"/>
    <s v="21-10-2025"/>
    <x v="0"/>
    <x v="3"/>
  </r>
  <r>
    <n v="721"/>
    <x v="17"/>
    <d v="2025-10-18T00:00:00"/>
    <x v="4"/>
    <s v="JH01KD-0526"/>
    <n v="9902798068"/>
    <s v="RANCHI"/>
    <s v="NARSAPUR,8718"/>
    <s v="HOSKOTE,3577"/>
    <s v="32FEET"/>
    <n v="33770"/>
    <n v="46620"/>
    <n v="12850"/>
    <n v="33770"/>
    <n v="0"/>
    <s v="DONE"/>
    <s v="306"/>
    <m/>
    <s v="21-10-2025"/>
    <s v="21-10-2025"/>
    <x v="0"/>
    <x v="3"/>
  </r>
  <r>
    <n v="722"/>
    <x v="17"/>
    <d v="2025-10-18T00:00:00"/>
    <x v="0"/>
    <s v="NL01DJ-2612"/>
    <n v="9431270294"/>
    <s v="RANCHI"/>
    <s v="NARSAPUR,6095"/>
    <s v="HOSKOTE,1539"/>
    <s v="32FEET"/>
    <n v="33770"/>
    <n v="46620"/>
    <n v="12850"/>
    <n v="33770"/>
    <n v="0"/>
    <s v="DONE"/>
    <s v="307"/>
    <m/>
    <s v="22-10-2025"/>
    <s v="24-10-2025"/>
    <x v="0"/>
    <x v="6"/>
  </r>
  <r>
    <n v="723"/>
    <x v="17"/>
    <d v="2025-10-23T00:00:00"/>
    <x v="4"/>
    <s v="JH01KM-4371"/>
    <n v="9515412075"/>
    <s v="RANCHI"/>
    <s v="NARSAPUR,3559"/>
    <s v="HOSKOTE,0803"/>
    <s v="24FEET"/>
    <n v="33530"/>
    <n v="45040"/>
    <n v="11510"/>
    <n v="33530"/>
    <n v="0"/>
    <s v="DONE"/>
    <s v="308"/>
    <m/>
    <s v="27-10-2025"/>
    <s v="30-10-2025"/>
    <x v="0"/>
    <x v="3"/>
  </r>
  <r>
    <n v="724"/>
    <x v="17"/>
    <d v="2025-10-24T00:00:00"/>
    <x v="4"/>
    <s v="JH01KD-3958"/>
    <n v="9281983602"/>
    <s v="RANCHI"/>
    <s v="NARSAPUR,2217"/>
    <s v="HOSKOTE,2121"/>
    <s v="32FEET"/>
    <n v="33770"/>
    <n v="46620"/>
    <n v="12850"/>
    <n v="33770"/>
    <n v="0"/>
    <s v="DONE"/>
    <s v="309"/>
    <m/>
    <s v="27-10-2025"/>
    <s v="30-10-2025"/>
    <x v="0"/>
    <x v="3"/>
  </r>
  <r>
    <n v="725"/>
    <x v="17"/>
    <d v="2025-10-25T00:00:00"/>
    <x v="4"/>
    <s v="JH01KM-8803"/>
    <n v="9793531306"/>
    <s v="RANCHI"/>
    <s v="NARSAPUR,3641"/>
    <s v="HOSKOTE,6089"/>
    <s v="32FEET"/>
    <n v="33770"/>
    <n v="46620"/>
    <n v="12850"/>
    <n v="33770"/>
    <n v="0"/>
    <s v="DONE"/>
    <s v="310"/>
    <m/>
    <s v="29-10-2025"/>
    <s v="30-10-2025"/>
    <x v="0"/>
    <x v="3"/>
  </r>
  <r>
    <n v="726"/>
    <x v="17"/>
    <d v="2025-10-25T00:00:00"/>
    <x v="0"/>
    <s v="KA41T-9739"/>
    <n v="9915991042"/>
    <s v="RANCHI"/>
    <s v="-"/>
    <s v="NARSAPUR,1922"/>
    <s v="20FEET"/>
    <n v="25690"/>
    <n v="35600"/>
    <n v="9910"/>
    <n v="25690"/>
    <n v="0"/>
    <s v="DONE"/>
    <s v="311"/>
    <m/>
    <s v="28-10-2025"/>
    <s v="28-10-2025"/>
    <x v="0"/>
    <x v="21"/>
  </r>
  <r>
    <n v="727"/>
    <x v="17"/>
    <d v="2025-10-25T00:00:00"/>
    <x v="4"/>
    <s v="JH01KD-2417"/>
    <n v="9220186371"/>
    <s v="TIRUPPUR"/>
    <s v="VENDOR V,583+VENDOR G,506"/>
    <s v="RANCHI"/>
    <s v="32FEET"/>
    <n v="42180"/>
    <n v="102690"/>
    <n v="60510"/>
    <n v="42180"/>
    <n v="0"/>
    <s v="DONE"/>
    <s v="312"/>
    <m/>
    <s v="28-10-2025"/>
    <s v="28-10-2025"/>
    <x v="0"/>
    <x v="3"/>
  </r>
  <r>
    <n v="728"/>
    <x v="17"/>
    <d v="2025-10-28T00:00:00"/>
    <x v="4"/>
    <s v="JH01KD-6142"/>
    <n v="9842431449"/>
    <s v="JAMSHEDPUR"/>
    <s v="-"/>
    <s v="RANCHI,404196"/>
    <s v="32FEET"/>
    <n v="3430"/>
    <n v="5040"/>
    <n v="1610"/>
    <n v="3430"/>
    <n v="0"/>
    <s v="DONE"/>
    <s v="313"/>
    <m/>
    <s v="28-10-2025"/>
    <s v="29-10-2025"/>
    <x v="0"/>
    <x v="3"/>
  </r>
  <r>
    <n v="729"/>
    <x v="17"/>
    <d v="2025-10-29T00:00:00"/>
    <x v="4"/>
    <s v="JH01KD-6142"/>
    <n v="9842431449"/>
    <s v="RANCHI"/>
    <s v="NARSAPUR,9718"/>
    <s v="HOSKOTE,7188"/>
    <s v="32FEET"/>
    <n v="33770"/>
    <n v="46620"/>
    <n v="12850"/>
    <n v="33770"/>
    <n v="0"/>
    <s v="DONE"/>
    <s v="314"/>
    <m/>
    <s v="02-11-2025"/>
    <s v="03-11-2025"/>
    <x v="0"/>
    <x v="3"/>
  </r>
  <r>
    <n v="730"/>
    <x v="17"/>
    <d v="2025-10-30T00:00:00"/>
    <x v="4"/>
    <s v="JH01KD-2417"/>
    <n v="9472230553"/>
    <s v="RANCHI"/>
    <s v="-"/>
    <s v="NARSAPUR,7428"/>
    <s v="32FEET"/>
    <n v="32820"/>
    <n v="40320"/>
    <n v="7500"/>
    <n v="32820"/>
    <n v="0"/>
    <s v="DONE"/>
    <s v="315"/>
    <m/>
    <s v="02-11-2025"/>
    <s v="02-11-2025"/>
    <x v="0"/>
    <x v="3"/>
  </r>
  <r>
    <n v="731"/>
    <x v="17"/>
    <d v="2025-10-30T00:00:00"/>
    <x v="4"/>
    <s v="JH01KD-3958"/>
    <n v="9281983602"/>
    <s v="TIRUPPUR"/>
    <s v="VENDOR H,5751+VENDOR U,0970"/>
    <s v="RANCHI"/>
    <s v="32FEET"/>
    <n v="42180"/>
    <n v="102690"/>
    <n v="60510"/>
    <n v="42180"/>
    <n v="0"/>
    <s v="DONE"/>
    <s v="316"/>
    <m/>
    <s v="02-11-2025"/>
    <s v="02-11-2025"/>
    <x v="0"/>
    <x v="3"/>
  </r>
  <r>
    <n v="732"/>
    <x v="18"/>
    <d v="2025-11-01T00:00:00"/>
    <x v="4"/>
    <s v="JH01KD-0526"/>
    <n v="9902798068"/>
    <s v="RANCHI"/>
    <s v="NARSAPUR,0936"/>
    <s v="HOSKOTE,9413"/>
    <s v="32FEET"/>
    <n v="33770"/>
    <n v="46620"/>
    <n v="12850"/>
    <n v="33770"/>
    <n v="0"/>
    <s v="DONE"/>
    <s v="317"/>
    <m/>
    <s v="04-11-2025"/>
    <s v="05-11-2025"/>
    <x v="0"/>
    <x v="3"/>
  </r>
  <r>
    <n v="733"/>
    <x v="18"/>
    <d v="2025-11-01T00:00:00"/>
    <x v="4"/>
    <s v="JH01KM-8803"/>
    <n v="9793531306"/>
    <s v="TIRUPPUR"/>
    <s v="VENDOR V,5174"/>
    <s v="RANCHI"/>
    <s v="32FEET"/>
    <n v="41230"/>
    <n v="96390"/>
    <n v="55160"/>
    <n v="41230"/>
    <n v="0"/>
    <s v="DONE"/>
    <s v="318"/>
    <m/>
    <s v="04-11-2025"/>
    <s v="04-11-2025"/>
    <x v="0"/>
    <x v="3"/>
  </r>
  <r>
    <n v="734"/>
    <x v="18"/>
    <d v="2025-11-01T00:00:00"/>
    <x v="4"/>
    <s v="JH01KM-4371"/>
    <n v="9793531306"/>
    <s v="ERODE"/>
    <s v="VENDOR G,0148+VENDOR D,1503+VENDOR F,2008"/>
    <s v="RANCHI"/>
    <s v="24FEET"/>
    <n v="42370"/>
    <n v="103950"/>
    <n v="61580"/>
    <n v="42370"/>
    <n v="0"/>
    <s v="DONE"/>
    <s v="319"/>
    <m/>
    <s v="04-11-2025"/>
    <s v="04-11-2025"/>
    <x v="0"/>
    <x v="3"/>
  </r>
  <r>
    <n v="735"/>
    <x v="18"/>
    <d v="2025-11-01T00:00:00"/>
    <x v="0"/>
    <s v="KA52K-5585"/>
    <n v="9124547485"/>
    <s v="RANCHI"/>
    <s v="-"/>
    <s v="NARSAPUR,6570"/>
    <s v="20FEET"/>
    <n v="25690"/>
    <n v="35600"/>
    <n v="9910"/>
    <n v="25690"/>
    <n v="0"/>
    <s v="DONE"/>
    <s v="320"/>
    <m/>
    <s v="06-11-2025"/>
    <s v="07-11-2025"/>
    <x v="0"/>
    <x v="21"/>
  </r>
  <r>
    <n v="736"/>
    <x v="18"/>
    <d v="2025-11-02T00:00:00"/>
    <x v="0"/>
    <s v="JH02LU-5213"/>
    <n v="9370036731"/>
    <s v="RANCHI"/>
    <s v="NARSAPUR,1845"/>
    <s v="HOSKOTE,6831"/>
    <s v="32FEET"/>
    <n v="33770"/>
    <n v="46620"/>
    <n v="12850"/>
    <n v="33770"/>
    <n v="0"/>
    <s v="DONE"/>
    <s v="321"/>
    <m/>
    <s v="06-11-2025"/>
    <s v="07-11-2025"/>
    <x v="0"/>
    <x v="21"/>
  </r>
  <r>
    <n v="737"/>
    <x v="18"/>
    <d v="2025-11-03T00:00:00"/>
    <x v="4"/>
    <s v="JH01KD-3958"/>
    <n v="9281983602"/>
    <s v="RANCHI"/>
    <s v="-"/>
    <s v="NARSAPUR,2952"/>
    <s v="32FEET"/>
    <n v="32820"/>
    <n v="40320"/>
    <n v="7500"/>
    <n v="32820"/>
    <n v="0"/>
    <s v="DONE"/>
    <s v="322"/>
    <m/>
    <s v="06-11-2025"/>
    <s v="07-11-2025"/>
    <x v="0"/>
    <x v="3"/>
  </r>
  <r>
    <n v="738"/>
    <x v="18"/>
    <d v="2025-11-04T00:00:00"/>
    <x v="4"/>
    <s v="JH01KM-4371"/>
    <n v="9515412075"/>
    <s v="RANCHI"/>
    <s v="NARSAPUR,2104"/>
    <s v="HOSKOTE,7828"/>
    <s v="24FEET"/>
    <n v="33530"/>
    <n v="45040"/>
    <n v="11510"/>
    <n v="33530"/>
    <n v="0"/>
    <s v="DONE"/>
    <s v="323"/>
    <m/>
    <s v="07-11-2025"/>
    <s v="07-11-2025"/>
    <x v="0"/>
    <x v="3"/>
  </r>
  <r>
    <n v="739"/>
    <x v="18"/>
    <d v="2025-11-05T00:00:00"/>
    <x v="4"/>
    <s v="JH01KM-8803"/>
    <n v="9589264337"/>
    <s v="RANCHI"/>
    <s v="-"/>
    <s v="NARSAPUR,3235"/>
    <s v="32FEET"/>
    <n v="32820"/>
    <n v="40320"/>
    <n v="7500"/>
    <n v="32820"/>
    <n v="0"/>
    <s v="DONE"/>
    <s v="324"/>
    <m/>
    <s v="07-11-2025"/>
    <s v="08-11-2025"/>
    <x v="0"/>
    <x v="3"/>
  </r>
  <r>
    <n v="740"/>
    <x v="18"/>
    <d v="2025-11-06T00:00:00"/>
    <x v="0"/>
    <s v="BY AIR"/>
    <s v="-"/>
    <s v="RANCHI"/>
    <s v="-"/>
    <s v="HOSKOTE,1386"/>
    <s v="FLIGHT"/>
    <n v="69550"/>
    <n v="79620"/>
    <n v="10070"/>
    <n v="69550"/>
    <n v="0"/>
    <s v="DONE"/>
    <s v="325"/>
    <m/>
    <s v="07-11-2025"/>
    <s v="07-11-2025"/>
    <x v="0"/>
    <x v="14"/>
  </r>
  <r>
    <n v="741"/>
    <x v="18"/>
    <d v="2025-11-06T00:00:00"/>
    <x v="0"/>
    <s v="TN37WS-8942"/>
    <n v="9680828733"/>
    <s v="RANCHI"/>
    <s v="-"/>
    <s v="HOSKOTE,3409"/>
    <s v="22FEET"/>
    <n v="25690"/>
    <n v="35600"/>
    <n v="9910"/>
    <n v="25690"/>
    <n v="0"/>
    <s v="DONE"/>
    <s v="326"/>
    <m/>
    <s v="10-11-2025"/>
    <s v="10-11-2025"/>
    <x v="0"/>
    <x v="16"/>
  </r>
  <r>
    <n v="742"/>
    <x v="18"/>
    <d v="2025-11-06T00:00:00"/>
    <x v="0"/>
    <s v="TN97K-1347"/>
    <n v="9812853439"/>
    <s v="RANCHI"/>
    <s v="-"/>
    <s v="NARSAPUR,9337"/>
    <s v="32FEET"/>
    <n v="31750"/>
    <n v="40320"/>
    <n v="8570"/>
    <n v="31750"/>
    <n v="0"/>
    <s v="DONE"/>
    <s v="327"/>
    <m/>
    <s v="10-11-2025"/>
    <s v="10-11-205"/>
    <x v="0"/>
    <x v="16"/>
  </r>
  <r>
    <n v="743"/>
    <x v="18"/>
    <d v="2025-11-07T00:00:00"/>
    <x v="4"/>
    <s v="JH01KD-2417"/>
    <n v="9472230553"/>
    <s v="RANCHI"/>
    <s v="NARSAPUR,6257"/>
    <s v="HOSKOTE,0293"/>
    <s v="32FEET"/>
    <n v="33770"/>
    <n v="46620"/>
    <n v="12850"/>
    <n v="33770"/>
    <n v="0"/>
    <s v="DONE"/>
    <s v="330"/>
    <m/>
    <s v="10-11-2025"/>
    <s v="10-11-2025"/>
    <x v="0"/>
    <x v="3"/>
  </r>
  <r>
    <n v="744"/>
    <x v="18"/>
    <d v="2025-11-08T00:00:00"/>
    <x v="4"/>
    <s v="JH01KD-6142"/>
    <n v="9025368773"/>
    <s v="RANCHI"/>
    <s v="NARSAPUR,4834 + HOSKOTE,8832"/>
    <s v="HASSAN,7623"/>
    <s v="32FEET"/>
    <n v="35750"/>
    <n v="59850"/>
    <n v="24100"/>
    <n v="35750"/>
    <n v="0"/>
    <s v="DONE"/>
    <s v="331"/>
    <m/>
    <s v="11-11-2025"/>
    <s v="11-11-2025"/>
    <x v="0"/>
    <x v="3"/>
  </r>
  <r>
    <n v="745"/>
    <x v="18"/>
    <d v="2025-11-08T00:00:00"/>
    <x v="0"/>
    <s v="TN23NB-9461"/>
    <n v="9501906989"/>
    <s v="RANCHI"/>
    <s v="-"/>
    <s v="NARSAPUR,5332"/>
    <s v="20FEET"/>
    <n v="25690"/>
    <n v="35600"/>
    <n v="9910"/>
    <n v="25690"/>
    <n v="0"/>
    <s v="DONE"/>
    <s v="332"/>
    <m/>
    <s v="13-11-2025"/>
    <s v="13-11-2025"/>
    <x v="0"/>
    <x v="16"/>
  </r>
  <r>
    <n v="746"/>
    <x v="18"/>
    <d v="2025-11-08T00:00:00"/>
    <x v="4"/>
    <s v="JH01KM-4371"/>
    <n v="9793531306"/>
    <s v="TIRUPPUR"/>
    <s v="VENDOR V,9179"/>
    <s v="RANCHI"/>
    <s v="24FEET"/>
    <n v="40480"/>
    <n v="91350"/>
    <n v="50870"/>
    <n v="40480"/>
    <n v="0"/>
    <s v="DONE"/>
    <s v="333"/>
    <m/>
    <s v="11-11-2025"/>
    <s v="12-11-2025"/>
    <x v="0"/>
    <x v="3"/>
  </r>
  <r>
    <n v="747"/>
    <x v="18"/>
    <d v="2025-11-09T00:00:00"/>
    <x v="4"/>
    <s v="JH01KM-8803"/>
    <n v="9589264337"/>
    <s v="TIRUPPUR"/>
    <s v="VENDOR U,5343"/>
    <s v="RANCHI"/>
    <s v="32FEET"/>
    <n v="41230"/>
    <n v="96390"/>
    <n v="55160"/>
    <n v="41230"/>
    <n v="0"/>
    <s v="DONE"/>
    <s v="334"/>
    <m/>
    <s v="12-11-2025"/>
    <s v="12-11-2025"/>
    <x v="0"/>
    <x v="3"/>
  </r>
  <r>
    <n v="748"/>
    <x v="18"/>
    <d v="2025-11-11T00:00:00"/>
    <x v="4"/>
    <s v="JH01KD-0526"/>
    <n v="9793531306"/>
    <s v="RANCHI"/>
    <s v="-"/>
    <s v="NARSAPUR,7223"/>
    <s v="32FEET"/>
    <n v="32820"/>
    <n v="40320"/>
    <n v="7500"/>
    <n v="32820"/>
    <n v="0"/>
    <s v="DONE"/>
    <s v="335"/>
    <m/>
    <s v="13-11-2025"/>
    <s v="13-11-2025"/>
    <x v="0"/>
    <x v="3"/>
  </r>
  <r>
    <n v="749"/>
    <x v="18"/>
    <d v="2025-11-11T00:00:00"/>
    <x v="4"/>
    <s v="JH01KD-3958"/>
    <n v="9281983602"/>
    <s v="RANCHI"/>
    <s v="NARSAPUR,5479"/>
    <s v="HOSKOTE,5426"/>
    <s v="32FEET"/>
    <n v="33770"/>
    <n v="46620"/>
    <n v="12850"/>
    <n v="33770"/>
    <n v="0"/>
    <s v="DONE"/>
    <s v="336"/>
    <m/>
    <s v="14-11-2025"/>
    <s v="14-11-2025"/>
    <x v="0"/>
    <x v="3"/>
  </r>
  <r>
    <n v="750"/>
    <x v="18"/>
    <d v="2025-11-13T00:00:00"/>
    <x v="4"/>
    <s v="JH01KM-4371"/>
    <n v="9515412075"/>
    <s v="RANCHI"/>
    <s v="NARSAPUR,9700"/>
    <s v="HOSKOTE,8542"/>
    <s v="24FEET"/>
    <n v="33530"/>
    <n v="45040"/>
    <n v="11510"/>
    <n v="33530"/>
    <n v="0"/>
    <s v="DONE"/>
    <s v="337"/>
    <m/>
    <s v="16-11-2025"/>
    <s v="17-11-2025"/>
    <x v="0"/>
    <x v="3"/>
  </r>
  <r>
    <n v="751"/>
    <x v="18"/>
    <d v="2025-11-13T00:00:00"/>
    <x v="4"/>
    <s v="JH01KM-8803"/>
    <n v="9589264337"/>
    <s v="RANCHI"/>
    <s v="NARSAPUR,5300"/>
    <s v="HOSKOTE,2610"/>
    <s v="32FEET"/>
    <n v="33770"/>
    <n v="46620"/>
    <n v="12850"/>
    <n v="33770"/>
    <n v="0"/>
    <s v="DONE"/>
    <s v="338"/>
    <m/>
    <s v="16-11-2025"/>
    <s v="17-11-2025"/>
    <x v="0"/>
    <x v="3"/>
  </r>
  <r>
    <n v="752"/>
    <x v="18"/>
    <d v="2025-11-14T00:00:00"/>
    <x v="0"/>
    <s v="KA04JH-0459"/>
    <n v="9922196714"/>
    <s v="RANCHI"/>
    <s v="-"/>
    <s v="NARSAPUR,9040"/>
    <s v="24FEET"/>
    <n v="29910"/>
    <n v="38740"/>
    <n v="8830"/>
    <n v="29910"/>
    <n v="0"/>
    <s v="DONE"/>
    <s v="339"/>
    <m/>
    <s v="18-11-2025"/>
    <s v="18-11-2025"/>
    <x v="0"/>
    <x v="21"/>
  </r>
  <r>
    <n v="753"/>
    <x v="18"/>
    <d v="2025-11-15T00:00:00"/>
    <x v="0"/>
    <s v="KA41T-9739"/>
    <n v="9915991042"/>
    <s v="RANCHI"/>
    <s v="NARSAPUR,2678"/>
    <s v="HOSKOTE,2665"/>
    <s v="20FEET"/>
    <n v="27170"/>
    <n v="41900"/>
    <n v="14730"/>
    <n v="27170"/>
    <n v="0"/>
    <s v="DONE"/>
    <s v="340"/>
    <m/>
    <s v="18-11-2025"/>
    <s v="18-11-2025"/>
    <x v="0"/>
    <x v="38"/>
  </r>
  <r>
    <n v="754"/>
    <x v="18"/>
    <d v="2025-11-15T00:00:00"/>
    <x v="0"/>
    <s v="TN12PL-2257"/>
    <n v="9235279810"/>
    <s v="RANCHI"/>
    <s v="-"/>
    <s v="NARSAPUR,3875"/>
    <s v="32FEET"/>
    <n v="31750"/>
    <n v="40320"/>
    <n v="8570"/>
    <n v="31750"/>
    <n v="0"/>
    <s v="DONE"/>
    <s v="341"/>
    <m/>
    <s v="20-11-2025"/>
    <s v="20-11-2025"/>
    <x v="0"/>
    <x v="16"/>
  </r>
  <r>
    <n v="755"/>
    <x v="18"/>
    <d v="2025-11-16T00:00:00"/>
    <x v="4"/>
    <s v="JH01KD-6142"/>
    <n v="9842431449"/>
    <s v="TIRUPPUR"/>
    <s v="VENDOR F,5845 + VENDOR V,8419"/>
    <s v="RANCHI"/>
    <s v="32FEET"/>
    <n v="42180"/>
    <n v="102690"/>
    <n v="60510"/>
    <n v="42180"/>
    <n v="0"/>
    <s v="DONE"/>
    <s v="342"/>
    <m/>
    <s v="18-11-2025"/>
    <s v="18-11-2025"/>
    <x v="0"/>
    <x v="3"/>
  </r>
  <r>
    <n v="756"/>
    <x v="18"/>
    <d v="2025-11-18T00:00:00"/>
    <x v="4"/>
    <s v="JH01KD-2417"/>
    <n v="9472230553"/>
    <s v="RANCHI"/>
    <s v="NARSAPUR,8356"/>
    <s v="HOSKOTE,5947"/>
    <s v="32FEET"/>
    <n v="33770"/>
    <n v="46620"/>
    <n v="12850"/>
    <n v="33770"/>
    <n v="0"/>
    <s v="DONE"/>
    <s v="343"/>
    <m/>
    <s v="21-11-2025"/>
    <s v="21-11-2025"/>
    <x v="0"/>
    <x v="3"/>
  </r>
  <r>
    <n v="757"/>
    <x v="18"/>
    <d v="2025-11-19T00:00:00"/>
    <x v="4"/>
    <s v="JH01KD-6142"/>
    <n v="9842431449"/>
    <s v="RANCHI"/>
    <s v="NARSAPUR,5846"/>
    <s v="HOSKOTE,2216"/>
    <s v="32FEET"/>
    <n v="33770"/>
    <n v="46620"/>
    <n v="12850"/>
    <n v="33770"/>
    <n v="0"/>
    <s v="DONE"/>
    <s v="344"/>
    <m/>
    <s v="21-11-2025"/>
    <s v="24-11-2025"/>
    <x v="0"/>
    <x v="3"/>
  </r>
  <r>
    <n v="758"/>
    <x v="18"/>
    <d v="2025-11-21T00:00:00"/>
    <x v="4"/>
    <s v="JH01KM-4371"/>
    <n v="9793531306"/>
    <s v="TIRUPPUR"/>
    <s v="VENDOR U,2025"/>
    <s v="RANCHI"/>
    <s v="32FEET"/>
    <n v="40480"/>
    <n v="91350"/>
    <n v="50870"/>
    <n v="40480"/>
    <n v="0"/>
    <s v="DONE"/>
    <s v="345"/>
    <m/>
    <s v="23-11-2025"/>
    <s v="23-11-2025"/>
    <x v="0"/>
    <x v="3"/>
  </r>
  <r>
    <n v="759"/>
    <x v="18"/>
    <d v="2025-11-21T00:00:00"/>
    <x v="4"/>
    <s v="JH01KD-3958"/>
    <n v="9281983602"/>
    <s v="RANCHI"/>
    <s v="-"/>
    <s v="NARSAPUR,6399"/>
    <s v="32FEET"/>
    <n v="32820"/>
    <n v="40320"/>
    <n v="7500"/>
    <n v="32820"/>
    <n v="0"/>
    <s v="DONE"/>
    <s v="346"/>
    <m/>
    <s v="24-11-2025"/>
    <s v="24-11-2025"/>
    <x v="0"/>
    <x v="3"/>
  </r>
  <r>
    <n v="760"/>
    <x v="18"/>
    <d v="2025-11-21T00:00:00"/>
    <x v="4"/>
    <s v="JH01KM-8803"/>
    <n v="9589264337"/>
    <s v="RANCHI"/>
    <s v="NARSAPUR,8854"/>
    <s v="HOSKOTE,5302"/>
    <s v="32FEET"/>
    <n v="33770"/>
    <n v="46620"/>
    <n v="12850"/>
    <n v="33770"/>
    <n v="0"/>
    <s v="DONE"/>
    <s v="347"/>
    <m/>
    <s v="24-11-2025"/>
    <s v="24-11-2025"/>
    <x v="0"/>
    <x v="3"/>
  </r>
  <r>
    <n v="761"/>
    <x v="18"/>
    <d v="2025-11-22T00:00:00"/>
    <x v="4"/>
    <s v="JH01KD-0526"/>
    <n v="9793531306"/>
    <s v="RANCHI"/>
    <s v="NARSAPUR,1039"/>
    <s v="HOSKOTE,0525"/>
    <s v="32FEET"/>
    <n v="33770"/>
    <n v="46620"/>
    <n v="12850"/>
    <n v="33770"/>
    <n v="0"/>
    <s v="DONE"/>
    <s v="348"/>
    <m/>
    <s v="25-11-2025"/>
    <s v="25-11-2025"/>
    <x v="0"/>
    <x v="3"/>
  </r>
  <r>
    <n v="762"/>
    <x v="18"/>
    <d v="2025-11-22T00:00:00"/>
    <x v="4"/>
    <s v="JH01KD-2417"/>
    <n v="9220186371"/>
    <s v="TIRUPPUR"/>
    <s v="VENDOR U,8290"/>
    <s v="RANCHI"/>
    <s v="32FEET"/>
    <n v="41230"/>
    <n v="96390"/>
    <n v="55160"/>
    <n v="41230"/>
    <n v="0"/>
    <s v="DONE"/>
    <s v="349"/>
    <m/>
    <s v="25-11-2025"/>
    <s v="25-11-2025"/>
    <x v="0"/>
    <x v="3"/>
  </r>
  <r>
    <n v="763"/>
    <x v="18"/>
    <d v="2025-11-22T00:00:00"/>
    <x v="0"/>
    <s v="TN30MN-9649"/>
    <n v="9277489142"/>
    <s v="ERODE"/>
    <s v="VENDOR F,0003"/>
    <s v="RANCHI"/>
    <s v="20FEET"/>
    <n v="49680"/>
    <n v="59850"/>
    <n v="10170"/>
    <n v="49680"/>
    <n v="0"/>
    <s v="DONE"/>
    <s v="350"/>
    <m/>
    <s v="26-11-2025"/>
    <s v="26-11-2025"/>
    <x v="0"/>
    <x v="16"/>
  </r>
  <r>
    <n v="764"/>
    <x v="18"/>
    <d v="2025-11-23T00:00:00"/>
    <x v="4"/>
    <s v="JH01KM-4371"/>
    <n v="9515412075"/>
    <s v="RANCHI"/>
    <s v="-"/>
    <s v="NARSAPUR,1704"/>
    <s v="24FEET"/>
    <n v="32590"/>
    <n v="38740"/>
    <n v="6150"/>
    <n v="32590"/>
    <n v="0"/>
    <s v="DONE"/>
    <s v="351"/>
    <m/>
    <s v="25-11-2025"/>
    <s v="25-11-2025"/>
    <x v="0"/>
    <x v="3"/>
  </r>
  <r>
    <n v="765"/>
    <x v="18"/>
    <d v="2025-11-24T00:00:00"/>
    <x v="0"/>
    <s v="NL01TM-8875"/>
    <n v="9384667498"/>
    <s v="TIRUPPUR"/>
    <s v="VENDOR U,8441 + VENDOR V,7789"/>
    <s v="RANCHI"/>
    <s v="32FEET MXL"/>
    <n v="85620"/>
    <n v="110250"/>
    <n v="24630"/>
    <n v="78980"/>
    <n v="6640"/>
    <s v="DONE"/>
    <s v="352"/>
    <m/>
    <s v="28-11-2025"/>
    <s v="29-11-2025"/>
    <x v="0"/>
    <x v="39"/>
  </r>
  <r>
    <n v="766"/>
    <x v="18"/>
    <d v="2025-11-25T00:00:00"/>
    <x v="4"/>
    <s v="JH01KD-6142"/>
    <n v="9842431449"/>
    <s v="TIRUPPUR"/>
    <s v="VENDOR U,1525"/>
    <s v="RANCHI"/>
    <s v="32FEET"/>
    <n v="41230"/>
    <n v="96390"/>
    <n v="55160"/>
    <n v="41230"/>
    <n v="0"/>
    <s v="DONE"/>
    <s v="353"/>
    <m/>
    <s v="27-11-2025"/>
    <s v="27-11-2025"/>
    <x v="0"/>
    <x v="3"/>
  </r>
  <r>
    <n v="767"/>
    <x v="18"/>
    <d v="2025-11-25T00:00:00"/>
    <x v="0"/>
    <s v="TN58PA-8900"/>
    <n v="9311247901"/>
    <s v="RANCHI"/>
    <s v="-"/>
    <s v="NARSAPUR,0115"/>
    <s v="32FEET"/>
    <n v="31750"/>
    <n v="40320"/>
    <n v="8570"/>
    <n v="31750"/>
    <n v="0"/>
    <s v="DONE"/>
    <s v="354"/>
    <m/>
    <s v="28-11-2025"/>
    <s v="28-11-2025"/>
    <x v="0"/>
    <x v="16"/>
  </r>
  <r>
    <n v="768"/>
    <x v="18"/>
    <d v="2025-11-25T00:00:00"/>
    <x v="4"/>
    <s v="JH01KD-2417"/>
    <n v="9472230553"/>
    <s v="RANCHI"/>
    <s v="NARSAPUR,1641"/>
    <s v="HOSKOTE,0914"/>
    <s v="32FEET"/>
    <n v="33770"/>
    <n v="46620"/>
    <n v="12850"/>
    <n v="33770"/>
    <n v="0"/>
    <s v="DONE"/>
    <s v="355"/>
    <m/>
    <s v="28-11-2025"/>
    <s v="28-11-205"/>
    <x v="0"/>
    <x v="3"/>
  </r>
  <r>
    <n v="769"/>
    <x v="18"/>
    <d v="2025-11-27T00:00:00"/>
    <x v="4"/>
    <s v="JH01KM-8803"/>
    <n v="9589264337"/>
    <s v="TIRUPPUR"/>
    <s v="VENDOR U,6579"/>
    <s v="RANCHI"/>
    <s v="32FEET"/>
    <n v="41230"/>
    <n v="96390"/>
    <n v="55160"/>
    <n v="41230"/>
    <n v="0"/>
    <s v="DONE"/>
    <s v="356"/>
    <m/>
    <s v="29-11-2025"/>
    <s v="01-12-2025"/>
    <x v="0"/>
    <x v="3"/>
  </r>
  <r>
    <n v="770"/>
    <x v="18"/>
    <d v="2025-11-27T00:00:00"/>
    <x v="4"/>
    <s v="JH01KD-6142"/>
    <n v="9842431449"/>
    <s v="RANCHI"/>
    <s v="NARSAPUR,0241"/>
    <s v="HOSKOTE,2281"/>
    <s v="32FEET"/>
    <n v="33770"/>
    <n v="46620"/>
    <n v="12850"/>
    <n v="33770"/>
    <n v="0"/>
    <s v="DONE"/>
    <s v="357"/>
    <m/>
    <s v="30-11-2025"/>
    <s v="01-12-2025"/>
    <x v="0"/>
    <x v="3"/>
  </r>
  <r>
    <n v="771"/>
    <x v="18"/>
    <d v="2025-11-27T00:00:00"/>
    <x v="0"/>
    <s v="TN30MN-9649"/>
    <n v="9277489142"/>
    <s v="RANCHI"/>
    <s v="-"/>
    <s v="NARSAPUR,9011"/>
    <s v="20FEET"/>
    <n v="25690"/>
    <n v="35600"/>
    <n v="9910"/>
    <n v="25690"/>
    <n v="0"/>
    <s v="DONE"/>
    <s v="358"/>
    <m/>
    <s v="01-12-2025"/>
    <s v="01-12-2025"/>
    <x v="0"/>
    <x v="16"/>
  </r>
  <r>
    <n v="772"/>
    <x v="18"/>
    <d v="2025-11-28T00:00:00"/>
    <x v="4"/>
    <s v="JH01KM-4371"/>
    <n v="9515412075"/>
    <s v="TIRUPPUR"/>
    <s v="VENDOR U,7786+VENDOR D,8638 +VENDOR C,9820"/>
    <s v="RANCHI"/>
    <s v="24FEET"/>
    <n v="42370"/>
    <n v="103950"/>
    <n v="61580"/>
    <n v="42370"/>
    <n v="0"/>
    <s v="DONE"/>
    <s v="359"/>
    <m/>
    <s v="30-11-2025"/>
    <s v="01-12-2025"/>
    <x v="0"/>
    <x v="3"/>
  </r>
  <r>
    <n v="773"/>
    <x v="18"/>
    <d v="2025-11-29T00:00:00"/>
    <x v="0"/>
    <s v="KA52K-9918"/>
    <n v="9389071211"/>
    <s v="RANCHI"/>
    <s v="NARSAPUR,1585"/>
    <s v="HOSKOTE,0912"/>
    <s v="22FEET"/>
    <n v="27700"/>
    <n v="41900"/>
    <n v="14200"/>
    <n v="27700"/>
    <n v="0"/>
    <s v="DONE"/>
    <s v="360"/>
    <m/>
    <s v="03-12-2025"/>
    <s v="03-12-2025"/>
    <x v="0"/>
    <x v="16"/>
  </r>
  <r>
    <n v="774"/>
    <x v="19"/>
    <s v="01-12-2025"/>
    <x v="4"/>
    <s v="JH01KM-4371"/>
    <n v="9515412075"/>
    <s v="RANCHI"/>
    <s v="NARSAPUR,9480"/>
    <s v="HOSKOTE,2264"/>
    <s v="24FEET"/>
    <n v="33530"/>
    <n v="45040"/>
    <n v="11510"/>
    <n v="33530"/>
    <n v="0"/>
    <s v="DONE"/>
    <s v="370"/>
    <m/>
    <s v="04-12-2025"/>
    <s v="04-12-2025"/>
    <x v="0"/>
    <x v="3"/>
  </r>
  <r>
    <n v="775"/>
    <x v="19"/>
    <d v="2025-12-02T00:00:00"/>
    <x v="4"/>
    <s v="JH01KM-8803"/>
    <n v="9589264337"/>
    <s v="RANCHI"/>
    <s v="NARSAPUR,3671"/>
    <s v="HOSKOTE,6103"/>
    <s v="32FEET"/>
    <n v="33770"/>
    <n v="46620"/>
    <n v="12850"/>
    <n v="33770"/>
    <n v="0"/>
    <s v="DONE"/>
    <s v="371"/>
    <m/>
    <s v="05-12-2025"/>
    <s v="05-12-2025"/>
    <x v="0"/>
    <x v="3"/>
  </r>
  <r>
    <n v="776"/>
    <x v="19"/>
    <d v="2025-12-02T00:00:00"/>
    <x v="0"/>
    <s v="TN97K-1347"/>
    <n v="9812853439"/>
    <s v="RANCHI"/>
    <s v="-"/>
    <s v="NARSAPUR,5674"/>
    <s v="32FEET"/>
    <n v="31750"/>
    <n v="40320"/>
    <n v="8570"/>
    <n v="31750"/>
    <n v="0"/>
    <s v="DONE"/>
    <s v="372"/>
    <m/>
    <s v="05-12-2025"/>
    <s v="05-12-2025"/>
    <x v="0"/>
    <x v="16"/>
  </r>
  <r>
    <n v="777"/>
    <x v="19"/>
    <d v="2025-12-03T00:00:00"/>
    <x v="4"/>
    <s v="JH01KD-6142"/>
    <n v="9842431449"/>
    <s v="TIRUPPUR"/>
    <s v="VENDOR U,6069 + VENDOR V,1541 + VENDOR G"/>
    <s v="RANCHI"/>
    <s v="32FEET"/>
    <n v="43120"/>
    <n v="108990"/>
    <n v="65870"/>
    <n v="43120"/>
    <n v="0"/>
    <s v="DONE"/>
    <s v="385"/>
    <m/>
    <s v="05-12-2025"/>
    <s v="05-12-2025"/>
    <x v="0"/>
    <x v="3"/>
  </r>
  <r>
    <n v="778"/>
    <x v="19"/>
    <d v="2025-12-03T00:00:00"/>
    <x v="4"/>
    <s v="JH01KD-0526"/>
    <n v="9793531306"/>
    <s v="RANCHI"/>
    <s v="NARSAPUR,2235"/>
    <s v="HOSKOTE,9782"/>
    <s v="32FEET"/>
    <n v="33770"/>
    <n v="46620"/>
    <n v="12850"/>
    <n v="33770"/>
    <n v="0"/>
    <s v="DONE"/>
    <s v="373"/>
    <m/>
    <s v="06-12-2025"/>
    <s v="08-12-2025"/>
    <x v="0"/>
    <x v="3"/>
  </r>
  <r>
    <n v="779"/>
    <x v="19"/>
    <d v="2025-12-05T00:00:00"/>
    <x v="4"/>
    <s v="JH01KM-4371"/>
    <n v="9515412075"/>
    <s v="ERODE"/>
    <s v="VENDOR F,3701 + VENDOR G,2039"/>
    <s v="RANCHI"/>
    <s v="24FEET"/>
    <n v="41420"/>
    <n v="97650"/>
    <n v="56230"/>
    <n v="41420"/>
    <n v="0"/>
    <s v="DONE"/>
    <s v="386"/>
    <m/>
    <s v="08-12-2025"/>
    <s v="08-12-2025"/>
    <x v="0"/>
    <x v="3"/>
  </r>
  <r>
    <n v="780"/>
    <x v="19"/>
    <d v="2025-12-05T00:00:00"/>
    <x v="4"/>
    <s v="JH01KD-2417"/>
    <n v="9472230553"/>
    <s v="RANCHI"/>
    <s v="-"/>
    <s v="NARSAPUR,2545"/>
    <s v="32FEET"/>
    <n v="32820"/>
    <n v="40320"/>
    <n v="7500"/>
    <n v="32820"/>
    <n v="0"/>
    <s v="DONE"/>
    <s v="387"/>
    <m/>
    <s v="08-12-2025"/>
    <s v="08-12-2025"/>
    <x v="0"/>
    <x v="3"/>
  </r>
  <r>
    <n v="781"/>
    <x v="19"/>
    <d v="2025-12-05T00:00:00"/>
    <x v="4"/>
    <s v="JH01KD-6142"/>
    <n v="9842431449"/>
    <s v="RANCHI"/>
    <s v="-"/>
    <s v="NARSAPUR2545"/>
    <s v="32FEET"/>
    <n v="32820"/>
    <n v="40320"/>
    <n v="7500"/>
    <n v="32820"/>
    <n v="0"/>
    <s v="DONE"/>
    <s v="374"/>
    <m/>
    <s v="08-12-2025"/>
    <s v="08-12-2025"/>
    <x v="0"/>
    <x v="3"/>
  </r>
  <r>
    <n v="782"/>
    <x v="19"/>
    <d v="2025-12-07T00:00:00"/>
    <x v="4"/>
    <s v="JH01KD-3958"/>
    <n v="9281983602"/>
    <s v="RANCHI"/>
    <s v="NARSAPUR,3872"/>
    <s v="HOSKOTE,1017"/>
    <s v="32FEET"/>
    <n v="33770"/>
    <n v="46620"/>
    <n v="12850"/>
    <n v="33770"/>
    <n v="0"/>
    <s v="DONE"/>
    <s v="375"/>
    <m/>
    <s v="10-12-2025"/>
    <s v="10-12-2025"/>
    <x v="0"/>
    <x v="3"/>
  </r>
  <r>
    <n v="783"/>
    <x v="19"/>
    <d v="2025-12-07T00:00:00"/>
    <x v="4"/>
    <s v="JH01KM-8803"/>
    <n v="9589264337"/>
    <s v="TIRUPPUR"/>
    <s v="VENDOR U,6218,3510"/>
    <s v="RANCHI"/>
    <s v="32FEET"/>
    <n v="41230"/>
    <n v="96390"/>
    <n v="55160"/>
    <n v="41230"/>
    <n v="0"/>
    <s v="DONE"/>
    <s v="376"/>
    <m/>
    <s v="10-12-2025"/>
    <s v="10-12-2025"/>
    <x v="0"/>
    <x v="3"/>
  </r>
  <r>
    <n v="784"/>
    <x v="19"/>
    <d v="2025-12-08T00:00:00"/>
    <x v="4"/>
    <s v="JH01KM-4371"/>
    <n v="9515412075"/>
    <s v="RANCHI"/>
    <s v="HOSKOTE4631"/>
    <s v="HASSAN,0814"/>
    <s v="24FEET"/>
    <n v="33530"/>
    <n v="45040"/>
    <n v="11510"/>
    <n v="33530"/>
    <n v="0"/>
    <s v="DONE"/>
    <s v="377"/>
    <m/>
    <s v="11-12-2025"/>
    <s v="11-12-2025"/>
    <x v="0"/>
    <x v="3"/>
  </r>
  <r>
    <n v="785"/>
    <x v="19"/>
    <d v="2025-12-10T00:00:00"/>
    <x v="0"/>
    <s v="TN58MM-9550"/>
    <n v="9368040749"/>
    <s v="RANCHI"/>
    <s v="-"/>
    <s v="NARSAPUR,0997"/>
    <s v="20FEET"/>
    <n v="25690"/>
    <n v="35600"/>
    <n v="9910"/>
    <n v="25690"/>
    <n v="0"/>
    <s v="DONE"/>
    <s v="378"/>
    <m/>
    <s v="13-12-2025"/>
    <s v="13-12-2025"/>
    <x v="0"/>
    <x v="16"/>
  </r>
  <r>
    <n v="786"/>
    <x v="19"/>
    <d v="2025-12-10T00:00:00"/>
    <x v="4"/>
    <s v="JH01KD-0526"/>
    <n v="9793531306"/>
    <s v="TIRUPPUR"/>
    <s v="VENDOR V,9377 + VENDOR U,1252 + VENDOR H,2493"/>
    <s v="RANCHI"/>
    <s v="32FEET"/>
    <n v="43120"/>
    <n v="108990"/>
    <n v="65870"/>
    <n v="43120"/>
    <n v="0"/>
    <s v="DONE"/>
    <s v="388"/>
    <m/>
    <s v="13-12-2025"/>
    <s v="13-12-2025"/>
    <x v="0"/>
    <x v="3"/>
  </r>
  <r>
    <n v="787"/>
    <x v="19"/>
    <d v="2025-12-11T00:00:00"/>
    <x v="4"/>
    <s v="JH01KM-8803"/>
    <n v="9589264337"/>
    <s v="RANCHI"/>
    <s v="NARSAPUR,3879"/>
    <s v="HOSKOTE,6218"/>
    <s v="32FEET"/>
    <n v="33770"/>
    <n v="46620"/>
    <n v="12850"/>
    <n v="33770"/>
    <n v="0"/>
    <s v="DONE"/>
    <s v="389"/>
    <m/>
    <s v="15-12-2025"/>
    <s v="15-12-2025"/>
    <x v="0"/>
    <x v="3"/>
  </r>
  <r>
    <n v="788"/>
    <x v="19"/>
    <d v="2025-12-11T00:00:00"/>
    <x v="0"/>
    <s v="TN56C-6482"/>
    <n v="9126864455"/>
    <s v="RANCHI"/>
    <s v="-"/>
    <s v="NARSAPUR,5521"/>
    <s v="32FEET"/>
    <n v="31750"/>
    <n v="40320"/>
    <n v="8570"/>
    <n v="31750"/>
    <n v="0"/>
    <s v="DONE"/>
    <s v="390"/>
    <m/>
    <s v="15-12-2025"/>
    <s v="15-12-2025"/>
    <x v="0"/>
    <x v="16"/>
  </r>
  <r>
    <n v="789"/>
    <x v="19"/>
    <d v="2025-12-12T00:00:00"/>
    <x v="4"/>
    <s v="JH01KM-4371"/>
    <n v="9793531306"/>
    <s v="TIRUPPUR"/>
    <s v="VENDOR U,1670"/>
    <s v="RANCHI"/>
    <s v="24FEET"/>
    <n v="40480"/>
    <n v="91350"/>
    <n v="50870"/>
    <n v="40480"/>
    <n v="0"/>
    <s v="DONE"/>
    <s v="391"/>
    <m/>
    <s v="14-12-2025"/>
    <s v="15-12-2025"/>
    <x v="0"/>
    <x v="3"/>
  </r>
  <r>
    <n v="790"/>
    <x v="19"/>
    <d v="2025-12-13T00:00:00"/>
    <x v="0"/>
    <s v="TN42EU-0622"/>
    <n v="9348294554"/>
    <s v="TIRUPPUR"/>
    <s v="VENDOR U,7245"/>
    <s v="RANCHI"/>
    <s v="32FEET"/>
    <n v="66670"/>
    <n v="96390"/>
    <n v="29720"/>
    <n v="66670"/>
    <n v="0"/>
    <s v="DONE"/>
    <s v="392"/>
    <m/>
    <s v="16-12-2025"/>
    <s v="16-12-2025"/>
    <x v="0"/>
    <x v="16"/>
  </r>
  <r>
    <n v="791"/>
    <x v="19"/>
    <d v="2025-12-13T00:00:00"/>
    <x v="4"/>
    <s v="JH01KD-0526"/>
    <n v="9902798068"/>
    <s v="RANCHI"/>
    <s v="NARSAPUR,8234"/>
    <s v="HOSKOTE,4137"/>
    <s v="32FEET"/>
    <n v="33770"/>
    <n v="46620"/>
    <n v="12850"/>
    <n v="33770"/>
    <n v="0"/>
    <s v="DONE"/>
    <s v="393"/>
    <m/>
    <s v="15-12-2025"/>
    <s v="15-12-2025"/>
    <x v="0"/>
    <x v="3"/>
  </r>
  <r>
    <n v="792"/>
    <x v="19"/>
    <d v="2025-12-13T00:00:00"/>
    <x v="4"/>
    <s v="JH01KD-2417"/>
    <n v="9472230553"/>
    <s v="RANCHI"/>
    <s v="-"/>
    <s v="NARSAPUR,4846"/>
    <s v="32FEET"/>
    <n v="32820"/>
    <n v="40320"/>
    <n v="7500"/>
    <n v="32820"/>
    <n v="0"/>
    <s v="DONE"/>
    <s v="394"/>
    <m/>
    <s v="15-12-2025"/>
    <s v="15-12-2025"/>
    <x v="0"/>
    <x v="3"/>
  </r>
  <r>
    <n v="793"/>
    <x v="19"/>
    <d v="2025-12-15T00:00:00"/>
    <x v="4"/>
    <s v="JH01KD-6142"/>
    <n v="9025368773"/>
    <s v="RANCHI"/>
    <s v="-"/>
    <s v="NARSAPUR,1542"/>
    <s v="32FEET"/>
    <n v="32820"/>
    <n v="40320"/>
    <n v="7500"/>
    <n v="32820"/>
    <n v="0"/>
    <s v="DONE"/>
    <s v="395"/>
    <m/>
    <s v="18-12-2025"/>
    <s v="18-12-2025"/>
    <x v="0"/>
    <x v="3"/>
  </r>
  <r>
    <n v="794"/>
    <x v="19"/>
    <d v="2025-12-16T00:00:00"/>
    <x v="4"/>
    <s v="JH01KD-3958"/>
    <n v="9793531306"/>
    <s v="RANCHI"/>
    <s v="NARSAPUR,1280"/>
    <s v="HOSKOTE,0243"/>
    <s v="32FEET"/>
    <n v="33770"/>
    <n v="46620"/>
    <n v="12850"/>
    <n v="33770"/>
    <n v="0"/>
    <s v="DONE"/>
    <s v="396"/>
    <m/>
    <s v="19-12-2025"/>
    <s v="19-12-2025"/>
    <x v="0"/>
    <x v="3"/>
  </r>
  <r>
    <n v="795"/>
    <x v="19"/>
    <d v="2025-12-16T00:00:00"/>
    <x v="4"/>
    <s v="JH01KM-4371"/>
    <n v="9515412075"/>
    <s v="RANCHI"/>
    <s v="-"/>
    <s v="NARSAPUR,7612"/>
    <s v="32FEET"/>
    <n v="32540"/>
    <n v="38430"/>
    <n v="5890"/>
    <n v="32540"/>
    <n v="0"/>
    <s v="DONE"/>
    <s v="397"/>
    <m/>
    <s v="19-12-2025"/>
    <s v="19-12-2025"/>
    <x v="0"/>
    <x v="3"/>
  </r>
  <r>
    <n v="796"/>
    <x v="19"/>
    <d v="2025-12-16T00:00:00"/>
    <x v="4"/>
    <s v="JH01KM-8803"/>
    <n v="9589264337"/>
    <s v="TIRUPPUR"/>
    <s v="VENDOR U,7050 + VENDOR V,3492+VENDOR H,2210"/>
    <s v="RANCHI"/>
    <s v="32FEET"/>
    <n v="43120"/>
    <n v="108990"/>
    <n v="65870"/>
    <n v="43120"/>
    <n v="0"/>
    <s v="DONE"/>
    <s v="398"/>
    <m/>
    <s v="19-12-2025"/>
    <s v="19-12-2025"/>
    <x v="0"/>
    <x v="3"/>
  </r>
  <r>
    <n v="797"/>
    <x v="19"/>
    <d v="2025-12-18T00:00:00"/>
    <x v="4"/>
    <s v="JH01KD-2417"/>
    <n v="9220186371"/>
    <s v="TIRUPPUR"/>
    <s v="VENDOR U,5462 + VENDOR F,6857"/>
    <s v="RANCHI"/>
    <s v="32FEET"/>
    <n v="42180"/>
    <n v="102690"/>
    <n v="60510"/>
    <n v="42180"/>
    <n v="0"/>
    <s v="DONE"/>
    <s v="399"/>
    <m/>
    <s v="20-12-2025"/>
    <s v="20-12-2025"/>
    <x v="0"/>
    <x v="3"/>
  </r>
  <r>
    <n v="798"/>
    <x v="19"/>
    <d v="2025-12-18T00:00:00"/>
    <x v="0"/>
    <s v="TN42EU-0622"/>
    <n v="9348294554"/>
    <s v="RANCHI"/>
    <s v="NARSAPUR,0657"/>
    <s v="HOSKOTE,1935"/>
    <s v="32FEET"/>
    <n v="33230"/>
    <n v="46620"/>
    <n v="13390"/>
    <n v="33230"/>
    <n v="0"/>
    <s v="DONE"/>
    <s v="400"/>
    <m/>
    <s v="22-12-2025"/>
    <s v="22-12-2025"/>
    <x v="0"/>
    <x v="16"/>
  </r>
  <r>
    <n v="799"/>
    <x v="19"/>
    <d v="2025-12-19T00:00:00"/>
    <x v="4"/>
    <s v="JH01KD-6142"/>
    <n v="9842431449"/>
    <s v="TIRUPPUR"/>
    <s v="VENDOR U,6165"/>
    <s v="RANCHI"/>
    <s v="32FEET"/>
    <n v="41230"/>
    <n v="96390"/>
    <n v="55160"/>
    <n v="41230"/>
    <n v="0"/>
    <s v="DONE"/>
    <s v="401"/>
    <m/>
    <s v="22-12-2025"/>
    <s v="22-12-2025"/>
    <x v="0"/>
    <x v="3"/>
  </r>
  <r>
    <n v="800"/>
    <x v="19"/>
    <d v="2025-12-20T00:00:00"/>
    <x v="4"/>
    <s v="JH01KM-4371"/>
    <n v="9793531306"/>
    <s v="TIRUPPUR"/>
    <s v="VENDOR U,0967"/>
    <s v="RANCHI"/>
    <s v="24FEET"/>
    <n v="40480"/>
    <n v="91350"/>
    <n v="50870"/>
    <n v="40480"/>
    <n v="0"/>
    <s v="DONE"/>
    <s v="402"/>
    <m/>
    <s v="23-12-2025"/>
    <s v="23-12-2025"/>
    <x v="0"/>
    <x v="3"/>
  </r>
  <r>
    <n v="801"/>
    <x v="19"/>
    <d v="2025-12-20T00:00:00"/>
    <x v="4"/>
    <s v="JH01KD-0526"/>
    <n v="9902798068"/>
    <s v="RANCHI"/>
    <s v="NARSAPUR,0808"/>
    <s v="HOSKOTE,9963"/>
    <s v="32FEET"/>
    <n v="33770"/>
    <n v="46620"/>
    <n v="12850"/>
    <n v="33770"/>
    <n v="0"/>
    <s v="DONE"/>
    <s v="403"/>
    <m/>
    <s v="23-12-2025"/>
    <s v="23-12-2025"/>
    <x v="0"/>
    <x v="3"/>
  </r>
  <r>
    <n v="802"/>
    <x v="19"/>
    <d v="2025-12-21T00:00:00"/>
    <x v="0"/>
    <s v="TN09MS-2646"/>
    <n v="9741103980"/>
    <s v="RANCHI"/>
    <s v="-"/>
    <s v="NARSAPUR,0935"/>
    <s v="22FEET"/>
    <n v="25690"/>
    <n v="35600"/>
    <n v="9910"/>
    <n v="25690"/>
    <n v="0"/>
    <s v="DONE"/>
    <s v="404"/>
    <m/>
    <s v="25-12-2025"/>
    <s v="25-12-2025"/>
    <x v="0"/>
    <x v="16"/>
  </r>
  <r>
    <n v="803"/>
    <x v="19"/>
    <d v="2025-12-23T00:00:00"/>
    <x v="4"/>
    <s v="JH01KM-8803"/>
    <n v="9589264337"/>
    <s v="RANCHI"/>
    <s v="-"/>
    <s v="NARSAPUR,9915"/>
    <s v="32FEEET"/>
    <n v="32820"/>
    <n v="40320"/>
    <n v="7500"/>
    <n v="32820"/>
    <n v="0"/>
    <s v="DONE"/>
    <s v="405"/>
    <m/>
    <s v="26-12-2025"/>
    <s v="26-12-2025"/>
    <x v="0"/>
    <x v="3"/>
  </r>
  <r>
    <n v="804"/>
    <x v="19"/>
    <d v="2025-12-24T00:00:00"/>
    <x v="4"/>
    <s v="JH01KD-2417"/>
    <n v="9472230553"/>
    <s v="RANCHI"/>
    <s v="-"/>
    <s v="NARSAPUR,1094"/>
    <s v="32FEET"/>
    <n v="32820"/>
    <n v="40320"/>
    <n v="7500"/>
    <n v="32820"/>
    <n v="0"/>
    <s v="DONE"/>
    <s v="406"/>
    <m/>
    <s v="27-12-2025"/>
    <s v="27-12-2025"/>
    <x v="0"/>
    <x v="3"/>
  </r>
  <r>
    <n v="805"/>
    <x v="19"/>
    <d v="2025-12-25T00:00:00"/>
    <x v="4"/>
    <s v="JH01KD-0526"/>
    <n v="9793531306"/>
    <s v="TIRUPPUR"/>
    <s v="VENDOR U,6703 + VENDOR V,8309"/>
    <s v="RANCHI"/>
    <s v="32FEET"/>
    <n v="42180"/>
    <n v="102690"/>
    <n v="60510"/>
    <n v="42180"/>
    <n v="0"/>
    <s v="DONE"/>
    <s v="407"/>
    <m/>
    <s v="28-12-2025"/>
    <s v="28-12-2025"/>
    <x v="0"/>
    <x v="3"/>
  </r>
  <r>
    <n v="806"/>
    <x v="19"/>
    <d v="2025-12-25T00:00:00"/>
    <x v="4"/>
    <s v="JH01KM-4371"/>
    <n v="9515412075"/>
    <s v="RANCHI"/>
    <s v="NARSAPUR,4122"/>
    <s v="HOSKOTE,8906"/>
    <s v="24FEET"/>
    <n v="33480"/>
    <n v="44730"/>
    <n v="11250"/>
    <n v="33480"/>
    <n v="0"/>
    <s v="DONE"/>
    <s v="408"/>
    <m/>
    <s v="28-12-2025"/>
    <s v="28-12-2025"/>
    <x v="0"/>
    <x v="3"/>
  </r>
  <r>
    <n v="807"/>
    <x v="19"/>
    <d v="2025-12-26T00:00:00"/>
    <x v="4"/>
    <s v="JH01KD-6142"/>
    <n v="9025368773"/>
    <s v="RANCHI"/>
    <s v="NARSAPUR,9248"/>
    <s v="HOSKOTE,8318"/>
    <s v="32FEET"/>
    <n v="33770"/>
    <n v="46620"/>
    <n v="12850"/>
    <n v="33770"/>
    <n v="0"/>
    <s v="DONE"/>
    <s v="409"/>
    <m/>
    <s v="30-12-2025"/>
    <s v="30-12-2025"/>
    <x v="0"/>
    <x v="3"/>
  </r>
  <r>
    <n v="808"/>
    <x v="19"/>
    <d v="2025-12-27T00:00:00"/>
    <x v="4"/>
    <s v="JH01KD-3958"/>
    <n v="9793531306"/>
    <s v="RANCHI"/>
    <s v="NARSAPUR,1589"/>
    <s v="HOSKOTE,0123"/>
    <s v="32FEET"/>
    <n v="33770"/>
    <n v="46620"/>
    <n v="12850"/>
    <n v="33770"/>
    <n v="0"/>
    <s v="DONE"/>
    <s v="410"/>
    <m/>
    <s v="30-12-2025"/>
    <s v="30-12-2025"/>
    <x v="0"/>
    <x v="3"/>
  </r>
  <r>
    <n v="809"/>
    <x v="19"/>
    <d v="2025-12-27T00:00:00"/>
    <x v="4"/>
    <s v="JH01KM-8803"/>
    <n v="9589264337"/>
    <s v="ERODE"/>
    <s v="VENDOR F,4307 + VENDOR G,7214"/>
    <s v="RANCHI"/>
    <s v="32FEET"/>
    <n v="42180"/>
    <n v="102690"/>
    <n v="60510"/>
    <n v="42180"/>
    <n v="0"/>
    <s v="DONE"/>
    <s v="411"/>
    <m/>
    <s v="30-12-2025"/>
    <s v="30-12-2025"/>
    <x v="0"/>
    <x v="3"/>
  </r>
  <r>
    <n v="810"/>
    <x v="19"/>
    <d v="2025-12-27T00:00:00"/>
    <x v="4"/>
    <s v="JH01KD-2417"/>
    <n v="9220186371"/>
    <s v="TIRUPPUR"/>
    <s v="VENDOR U,4856"/>
    <s v="RANCHI"/>
    <s v="32FEET"/>
    <n v="41230"/>
    <n v="96390"/>
    <n v="55160"/>
    <n v="41230"/>
    <n v="0"/>
    <s v="DONE"/>
    <s v="412"/>
    <m/>
    <s v="30-12-2025"/>
    <s v="30-12-2025"/>
    <x v="0"/>
    <x v="3"/>
  </r>
  <r>
    <n v="811"/>
    <x v="19"/>
    <d v="2025-12-28T00:00:00"/>
    <x v="0"/>
    <s v="TN42EU-0622"/>
    <n v="9348294554"/>
    <s v="RANCHI"/>
    <s v="-"/>
    <s v="NARSAPUR,9184"/>
    <s v="32FEET"/>
    <n v="29070"/>
    <n v="40320"/>
    <n v="11250"/>
    <n v="29070"/>
    <n v="0"/>
    <s v="DONE"/>
    <s v="413"/>
    <m/>
    <s v="31-12-2025"/>
    <s v="31-12-2025"/>
    <x v="0"/>
    <x v="40"/>
  </r>
  <r>
    <n v="812"/>
    <x v="19"/>
    <d v="2025-12-30T00:00:00"/>
    <x v="4"/>
    <s v="JH01KD-0526"/>
    <n v="9793531306"/>
    <s v="RANCHI"/>
    <s v="-"/>
    <s v="NARSAPUR,1516"/>
    <s v="32FEET"/>
    <n v="32820"/>
    <n v="40320"/>
    <n v="7500"/>
    <n v="32820"/>
    <n v="0"/>
    <s v="DONE"/>
    <s v="416"/>
    <m/>
    <s v="02-01-2026"/>
    <s v="03-01-2026"/>
    <x v="0"/>
    <x v="3"/>
  </r>
  <r>
    <n v="813"/>
    <x v="19"/>
    <d v="2025-12-31T00:00:00"/>
    <x v="4"/>
    <s v="JH01KM-4371"/>
    <n v="9793531306"/>
    <s v="TIRUPPUR"/>
    <s v="VENDOR U,6919 + VENDOR V,5214"/>
    <s v="RANCHI"/>
    <s v="24FEET"/>
    <n v="41420"/>
    <n v="97650"/>
    <n v="56230"/>
    <n v="41420"/>
    <n v="0"/>
    <s v="DONE"/>
    <s v="417"/>
    <m/>
    <s v="03-01-2026"/>
    <s v="03-01-2026"/>
    <x v="0"/>
    <x v="3"/>
  </r>
  <r>
    <n v="814"/>
    <x v="19"/>
    <d v="2025-12-31T00:00:00"/>
    <x v="4"/>
    <s v="JH01KD-2417"/>
    <n v="9472230553"/>
    <s v="RANCHI"/>
    <s v="NARSAPUR ,0630 + HOSKOTE,6138"/>
    <s v="HASSAN,7924"/>
    <s v="32FEET"/>
    <n v="35750"/>
    <n v="59850"/>
    <n v="24100"/>
    <n v="35750"/>
    <n v="0"/>
    <s v="DONE"/>
    <s v="418"/>
    <m/>
    <s v="03-01-2026"/>
    <s v="06-01-2026"/>
    <x v="0"/>
    <x v="3"/>
  </r>
  <r>
    <n v="815"/>
    <x v="19"/>
    <d v="2025-12-31T00:00:00"/>
    <x v="4"/>
    <s v="JH01KM-8803"/>
    <n v="9589264337"/>
    <s v="RANCHI"/>
    <s v="-"/>
    <s v="NRSAPUR,6235"/>
    <s v="32FEET"/>
    <n v="32820"/>
    <n v="40320"/>
    <n v="7500"/>
    <n v="32820"/>
    <n v="0"/>
    <s v="DONE"/>
    <s v="419"/>
    <m/>
    <s v="03-01-2026"/>
    <s v="03-01-2026"/>
    <x v="0"/>
    <x v="3"/>
  </r>
  <r>
    <n v="816"/>
    <x v="20"/>
    <d v="2026-01-03T00:00:00"/>
    <x v="4"/>
    <s v="JH01KM-4371"/>
    <n v="9515412075"/>
    <s v="RANCHI"/>
    <s v="-"/>
    <s v="NARSAPUR,7257"/>
    <s v="24FEET"/>
    <n v="32590"/>
    <n v="38740"/>
    <n v="6150"/>
    <n v="32590"/>
    <n v="0"/>
    <s v="DONE"/>
    <s v="420"/>
    <m/>
    <s v="07-01-2026"/>
    <s v="07-01-2026"/>
    <x v="0"/>
    <x v="3"/>
  </r>
  <r>
    <n v="817"/>
    <x v="20"/>
    <d v="2026-01-04T00:00:00"/>
    <x v="4"/>
    <s v="JH01KD-3958"/>
    <n v="9281983602"/>
    <s v="TIRUPPUR"/>
    <s v="VENDOR U,7397 +VENDOR D,0460"/>
    <s v="RANCHI"/>
    <s v="32FEET"/>
    <n v="42180"/>
    <n v="102690"/>
    <n v="60510"/>
    <n v="42180"/>
    <n v="0"/>
    <s v="DONE"/>
    <s v="421"/>
    <m/>
    <s v="06-01-2026"/>
    <s v="06-01-2026"/>
    <x v="0"/>
    <x v="3"/>
  </r>
  <r>
    <n v="818"/>
    <x v="20"/>
    <d v="2026-01-06T00:00:00"/>
    <x v="4"/>
    <s v="JH01KD-3958"/>
    <n v="9281983602"/>
    <s v="RANCHI"/>
    <s v="NARSAPUR,1129"/>
    <s v="HOSKOTE,7717"/>
    <s v="32FEET"/>
    <n v="33770"/>
    <n v="46620"/>
    <n v="12850"/>
    <n v="33770"/>
    <n v="0"/>
    <s v="DONE"/>
    <s v="422"/>
    <m/>
    <s v="09-01-2026"/>
    <s v="09-01-2026"/>
    <x v="0"/>
    <x v="3"/>
  </r>
  <r>
    <n v="819"/>
    <x v="20"/>
    <d v="2026-01-06T00:00:00"/>
    <x v="4"/>
    <s v="JH01KM-8803"/>
    <n v="9589264337"/>
    <s v="TIRUPPUR"/>
    <s v="VENDOR U,8741"/>
    <s v="RANCHI"/>
    <s v="32FEET"/>
    <n v="41230"/>
    <n v="96390"/>
    <n v="55160"/>
    <n v="41230"/>
    <n v="0"/>
    <s v="DONE"/>
    <s v="423"/>
    <m/>
    <s v="09-01-2026"/>
    <s v="09-01-2026"/>
    <x v="0"/>
    <x v="3"/>
  </r>
  <r>
    <n v="820"/>
    <x v="20"/>
    <d v="2026-01-07T00:00:00"/>
    <x v="4"/>
    <s v="JH01KD-6142"/>
    <n v="9793531306"/>
    <s v="RANCHI"/>
    <s v="-"/>
    <s v="NARSAPUR,7717"/>
    <s v="32FEET"/>
    <n v="32820"/>
    <n v="40320"/>
    <n v="7500"/>
    <n v="32820"/>
    <n v="0"/>
    <s v="DONE"/>
    <s v="424"/>
    <m/>
    <s v="10-01-2026"/>
    <s v="10-01-2026"/>
    <x v="0"/>
    <x v="3"/>
  </r>
  <r>
    <n v="820"/>
    <x v="20"/>
    <d v="2026-01-08T00:00:00"/>
    <x v="4"/>
    <s v="JH01KD-0526"/>
    <n v="9793531306"/>
    <s v="TIRUPPUR"/>
    <s v="VENDOR U,6583+VENDOR V,5204+VENDOR F,3828"/>
    <s v="RANCHI"/>
    <s v="32FEET"/>
    <n v="43120"/>
    <n v="108990"/>
    <n v="65870"/>
    <n v="43120"/>
    <n v="0"/>
    <s v="DONE"/>
    <s v="425"/>
    <m/>
    <s v="10-01-2026"/>
    <s v="10-01-2026"/>
    <x v="0"/>
    <x v="3"/>
  </r>
  <r>
    <n v="821"/>
    <x v="20"/>
    <d v="2026-01-08T00:00:00"/>
    <x v="0"/>
    <s v="TN83J-1318"/>
    <n v="9065263863"/>
    <s v="RANCHI"/>
    <s v="-"/>
    <s v="NARSAPUR,5435"/>
    <s v="20FEET"/>
    <n v="25690"/>
    <n v="35600"/>
    <n v="9910"/>
    <n v="25690"/>
    <n v="0"/>
    <s v="DONE"/>
    <s v="426"/>
    <m/>
    <s v="10-01-2026"/>
    <s v="10-01-2026"/>
    <x v="0"/>
    <x v="16"/>
  </r>
  <r>
    <n v="822"/>
    <x v="20"/>
    <d v="2026-01-08T00:00:00"/>
    <x v="0"/>
    <s v="TN56K-9047"/>
    <n v="9061911374"/>
    <s v="RANCHI"/>
    <s v="NARSAPUR,0462"/>
    <s v="HOSKOTE,2414"/>
    <s v="32FEET"/>
    <n v="33230"/>
    <n v="46620"/>
    <n v="13390"/>
    <n v="33230"/>
    <n v="0"/>
    <s v="DONE"/>
    <s v="427"/>
    <m/>
    <s v="12-01-2026"/>
    <s v="12-01-2026"/>
    <x v="0"/>
    <x v="16"/>
  </r>
  <r>
    <n v="823"/>
    <x v="20"/>
    <d v="2026-01-09T00:00:00"/>
    <x v="4"/>
    <s v="JH01KM-4371"/>
    <n v="9793531306"/>
    <s v="TIRUPPUR"/>
    <s v="VENDOR V,9803"/>
    <s v="RANCHI"/>
    <s v="24FEET"/>
    <n v="40480"/>
    <n v="91350"/>
    <n v="50870"/>
    <n v="40480"/>
    <n v="0"/>
    <s v="DONE"/>
    <s v="428"/>
    <m/>
    <s v="12-01-2026"/>
    <s v="12-01-2026"/>
    <x v="0"/>
    <x v="3"/>
  </r>
  <r>
    <n v="824"/>
    <x v="20"/>
    <d v="2026-01-09T00:00:00"/>
    <x v="4"/>
    <s v="JH01KD-2417"/>
    <n v="9220186371"/>
    <s v="TIRUPPUR"/>
    <s v="VENDOR U,3332"/>
    <s v="RANCHI"/>
    <s v="32FEET"/>
    <n v="41230"/>
    <n v="96390"/>
    <n v="55160"/>
    <n v="41230"/>
    <n v="0"/>
    <s v="DONE"/>
    <s v="429"/>
    <m/>
    <s v="12-01-2026"/>
    <s v="12-01-2026"/>
    <x v="0"/>
    <x v="3"/>
  </r>
  <r>
    <n v="825"/>
    <x v="20"/>
    <d v="2026-01-10T00:00:00"/>
    <x v="4"/>
    <s v="JH01KM-8803"/>
    <n v="9220186371"/>
    <s v="RANCHI"/>
    <s v="NARSAPUR,0515"/>
    <s v="HOSKOTE,1710"/>
    <s v="32FEET"/>
    <n v="33770"/>
    <n v="46620"/>
    <n v="12850"/>
    <n v="33770"/>
    <n v="0"/>
    <s v="DONE"/>
    <s v="430"/>
    <m/>
    <s v="13-01-2026"/>
    <s v="14-01-2026"/>
    <x v="0"/>
    <x v="3"/>
  </r>
  <r>
    <n v="826"/>
    <x v="20"/>
    <d v="2026-01-12T00:00:00"/>
    <x v="4"/>
    <s v="JH01KD-3958"/>
    <n v="9281983602"/>
    <s v="TIRUPPUR"/>
    <s v="VENDOR U,1042 + VENDOR F,4620"/>
    <s v="RANCHI"/>
    <s v="32FEET"/>
    <n v="42180"/>
    <n v="102690"/>
    <n v="60510"/>
    <n v="42180"/>
    <n v="0"/>
    <s v="DONE"/>
    <s v="431"/>
    <m/>
    <s v="15-01-2026"/>
    <s v="15-01-2026"/>
    <x v="0"/>
    <x v="3"/>
  </r>
  <r>
    <n v="827"/>
    <x v="20"/>
    <d v="2026-01-13T00:00:00"/>
    <x v="4"/>
    <s v="JH01KD-0526"/>
    <n v="9793531306"/>
    <s v="RANCHI"/>
    <s v="NARSAPUR,8548"/>
    <s v="HOSKOTE,7178"/>
    <s v="32FEET"/>
    <n v="33770"/>
    <n v="46620"/>
    <n v="12850"/>
    <n v="33770"/>
    <n v="0"/>
    <s v="DONE"/>
    <s v="432"/>
    <m/>
    <s v="16-01-2026"/>
    <s v="16-01-2026"/>
    <x v="0"/>
    <x v="3"/>
  </r>
  <r>
    <n v="828"/>
    <x v="20"/>
    <d v="2026-01-14T00:00:00"/>
    <x v="4"/>
    <s v="JH01KD-6142"/>
    <n v="9793531306"/>
    <s v="TIRUPPUR"/>
    <s v="VENDOR U,3923 + VENDOR V,6165"/>
    <s v="RANCHI"/>
    <s v="32FEET"/>
    <n v="42180"/>
    <n v="102690"/>
    <n v="60510"/>
    <n v="42180"/>
    <n v="0"/>
    <s v="DONE"/>
    <s v="433"/>
    <m/>
    <s v="17-01-2026"/>
    <s v="17-01-2026"/>
    <x v="0"/>
    <x v="3"/>
  </r>
  <r>
    <n v="829"/>
    <x v="20"/>
    <d v="2026-01-14T00:00:00"/>
    <x v="4"/>
    <s v="JH01KD-2417"/>
    <n v="9472230553"/>
    <s v="RANCHI"/>
    <s v="-"/>
    <s v="NARSAPUR,2984"/>
    <s v="32FEET"/>
    <n v="32820"/>
    <n v="40320"/>
    <n v="7500"/>
    <n v="32820"/>
    <n v="0"/>
    <s v="DONE"/>
    <s v="434"/>
    <m/>
    <s v="16-01-2026"/>
    <s v="16-01-2026"/>
    <x v="0"/>
    <x v="3"/>
  </r>
  <r>
    <n v="830"/>
    <x v="20"/>
    <d v="2026-01-15T00:00:00"/>
    <x v="4"/>
    <s v="JH01KM-4371"/>
    <n v="9515412075"/>
    <s v="RANCHI"/>
    <s v="NARSAPUR,1867"/>
    <s v="HOSKOTE,8140"/>
    <s v="24FEET"/>
    <n v="33530"/>
    <n v="45040"/>
    <n v="11510"/>
    <n v="33530"/>
    <n v="0"/>
    <s v="DONE"/>
    <s v="435"/>
    <m/>
    <s v="17-01-2026"/>
    <s v="17-01-2026"/>
    <x v="0"/>
    <x v="3"/>
  </r>
  <r>
    <n v="831"/>
    <x v="20"/>
    <d v="2026-01-16T00:00:00"/>
    <x v="4"/>
    <s v="JH01KD-3958"/>
    <n v="9281983602"/>
    <s v="RANCHI"/>
    <s v="NARSAPUR,0500"/>
    <s v="HOSKOTE,1908"/>
    <s v="32FEET"/>
    <n v="33770"/>
    <n v="46620"/>
    <n v="12850"/>
    <n v="33770"/>
    <n v="0"/>
    <s v="DONE"/>
    <s v="436"/>
    <m/>
    <s v="19-01-2026"/>
    <s v="19-01-2026"/>
    <x v="0"/>
    <x v="3"/>
  </r>
  <r>
    <n v="832"/>
    <x v="20"/>
    <d v="2026-01-17T00:00:00"/>
    <x v="4"/>
    <s v="JH01KD-6142"/>
    <n v="9025368773"/>
    <s v="RANCHI"/>
    <s v="NARSAPUR,9174"/>
    <s v="HOSKOTE,0002"/>
    <s v="32FEET"/>
    <n v="33770"/>
    <n v="46620"/>
    <n v="12850"/>
    <n v="33770"/>
    <n v="0"/>
    <s v="DONE"/>
    <s v="437"/>
    <m/>
    <s v="20-01-2026"/>
    <s v="20-01-2026"/>
    <x v="0"/>
    <x v="3"/>
  </r>
  <r>
    <n v="833"/>
    <x v="20"/>
    <d v="2026-01-20T00:00:00"/>
    <x v="4"/>
    <s v="JH01KM-4371"/>
    <n v="943074382"/>
    <s v="DODABALLAPUR"/>
    <s v="BOMMANSADRA,5754"/>
    <s v="RANCHI,8557"/>
    <s v="24FEET"/>
    <n v="37830"/>
    <n v="73710"/>
    <n v="35880"/>
    <n v="37830"/>
    <n v="0"/>
    <s v="DONE"/>
    <s v="438"/>
    <m/>
    <s v="23-01-2026"/>
    <s v="23-01-2026"/>
    <x v="0"/>
    <x v="3"/>
  </r>
  <r>
    <n v="834"/>
    <x v="20"/>
    <d v="2026-01-20T00:00:00"/>
    <x v="0"/>
    <s v="TN93KN-0867"/>
    <n v="9293605851"/>
    <s v="RANCHI"/>
    <s v="-"/>
    <s v="NARSAPUR,4611"/>
    <s v="32FEET"/>
    <n v="31750"/>
    <n v="40320"/>
    <n v="8570"/>
    <n v="31750"/>
    <n v="0"/>
    <s v="DONE"/>
    <s v="439"/>
    <m/>
    <s v="23-01-2026"/>
    <s v="23-01-2026"/>
    <x v="0"/>
    <x v="16"/>
  </r>
  <r>
    <n v="835"/>
    <x v="20"/>
    <d v="2026-01-21T00:00:00"/>
    <x v="0"/>
    <s v="UP21NF-6677"/>
    <n v="9271530210"/>
    <s v="RANCHI"/>
    <s v="HOSKOTE,2206"/>
    <s v="NARSAPUR,8973"/>
    <s v="32FEET"/>
    <n v="32700"/>
    <n v="46620"/>
    <n v="13920"/>
    <n v="29980"/>
    <n v="2720"/>
    <s v="DONE"/>
    <s v="440"/>
    <m/>
    <s v="24-01-2026"/>
    <s v="24-01-2026"/>
    <x v="0"/>
    <x v="41"/>
  </r>
  <r>
    <n v="836"/>
    <x v="20"/>
    <d v="2026-01-23T00:00:00"/>
    <x v="4"/>
    <s v="JH01KD-6142"/>
    <n v="9793531306"/>
    <s v="TIRUPPUR"/>
    <s v="VENDOR U,3923 + VENDOR G,2975"/>
    <s v="RANCHI"/>
    <s v="32FEET"/>
    <n v="42180"/>
    <n v="102690"/>
    <n v="60510"/>
    <n v="42180"/>
    <n v="0"/>
    <s v="DONE"/>
    <s v="441"/>
    <m/>
    <s v="26-01-2026"/>
    <s v="27-01-2026"/>
    <x v="0"/>
    <x v="3"/>
  </r>
  <r>
    <n v="837"/>
    <x v="20"/>
    <d v="2026-01-23T00:00:00"/>
    <x v="4"/>
    <s v="JH01KM-4371"/>
    <n v="9515412075"/>
    <s v="RANCHI"/>
    <s v="-"/>
    <s v="NARSAPUR,5358"/>
    <s v="24FEET"/>
    <n v="32590"/>
    <n v="38740"/>
    <n v="6150"/>
    <n v="32590"/>
    <n v="0"/>
    <s v="DONE"/>
    <s v="442"/>
    <m/>
    <s v="27-01-2026"/>
    <s v="27-01-2026"/>
    <x v="0"/>
    <x v="3"/>
  </r>
  <r>
    <n v="838"/>
    <x v="20"/>
    <d v="2026-01-24T00:00:00"/>
    <x v="0"/>
    <s v="TN42EU-0622"/>
    <n v="9348294554"/>
    <s v="TIRUPPUR"/>
    <s v="-"/>
    <s v="RANCHI,6131"/>
    <s v="32FEET"/>
    <n v="65330"/>
    <n v="96390"/>
    <n v="31060"/>
    <n v="65330"/>
    <n v="0"/>
    <s v="DONE"/>
    <s v="443"/>
    <m/>
    <s v="28-01-2026"/>
    <s v="28-01-2026"/>
    <x v="0"/>
    <x v="40"/>
  </r>
  <r>
    <n v="839"/>
    <x v="20"/>
    <d v="2026-01-24T00:00:00"/>
    <x v="4"/>
    <s v="JH01KD-0526"/>
    <n v="9902798068"/>
    <s v="RANCHI"/>
    <s v="-"/>
    <s v="NARSAPUR,1658"/>
    <s v="32FEET"/>
    <n v="32820"/>
    <n v="40320"/>
    <n v="7500"/>
    <n v="32820"/>
    <n v="0"/>
    <s v="DONE"/>
    <s v="444"/>
    <m/>
    <s v="27-01-2026"/>
    <s v="27-01-2026"/>
    <x v="0"/>
    <x v="3"/>
  </r>
  <r>
    <n v="840"/>
    <x v="20"/>
    <d v="2026-01-28T00:00:00"/>
    <x v="4"/>
    <s v="JH01KM-4371"/>
    <n v="9486716172"/>
    <s v="TIRUPPUR"/>
    <s v="VENDOR V,1849"/>
    <s v="RANCHI"/>
    <s v="24FEET"/>
    <n v="40480"/>
    <n v="91350"/>
    <n v="50870"/>
    <n v="40480"/>
    <n v="0"/>
    <s v="DONE"/>
    <s v="445"/>
    <m/>
    <s v="31-01-2026"/>
    <s v="01-02-2026"/>
    <x v="0"/>
    <x v="3"/>
  </r>
  <r>
    <n v="841"/>
    <x v="20"/>
    <d v="2026-01-28T00:00:00"/>
    <x v="4"/>
    <s v="JH01KD-3958"/>
    <n v="9281983602"/>
    <s v="RANCHI"/>
    <s v="-"/>
    <s v="NARSAPUR,1178"/>
    <s v="32FEET"/>
    <n v="32820"/>
    <n v="40320"/>
    <n v="7500"/>
    <n v="32820"/>
    <n v="0"/>
    <s v="DONE"/>
    <s v="446"/>
    <m/>
    <s v="30-01-2026"/>
    <s v="30-01-2026"/>
    <x v="0"/>
    <x v="3"/>
  </r>
  <r>
    <n v="842"/>
    <x v="20"/>
    <d v="2026-01-28T00:00:00"/>
    <x v="4"/>
    <s v="JH01KM-8803"/>
    <n v="9220186371"/>
    <s v="RANCHI"/>
    <s v="-"/>
    <s v="NARSAPUR,0796"/>
    <s v="32FEET"/>
    <n v="32820"/>
    <n v="40320"/>
    <n v="7500"/>
    <n v="32820"/>
    <n v="0"/>
    <s v="DONE"/>
    <s v="447"/>
    <m/>
    <s v="31-01-2026"/>
    <s v="31-01-2026"/>
    <x v="0"/>
    <x v="3"/>
  </r>
  <r>
    <n v="843"/>
    <x v="20"/>
    <d v="2026-01-29T00:00:00"/>
    <x v="4"/>
    <s v="JH01KD-2417"/>
    <n v="9472230553"/>
    <s v="RANCHI"/>
    <s v="-"/>
    <s v="NARSAPUR,7329"/>
    <s v="32FEET"/>
    <n v="32820"/>
    <n v="40320"/>
    <n v="7500"/>
    <n v="32820"/>
    <n v="0"/>
    <s v="DONE"/>
    <s v="448"/>
    <m/>
    <s v="31-01-2026"/>
    <s v="31-01-2026"/>
    <x v="0"/>
    <x v="3"/>
  </r>
  <r>
    <n v="844"/>
    <x v="20"/>
    <d v="2026-01-29T00:00:00"/>
    <x v="4"/>
    <s v="JH01KD-0526"/>
    <n v="9902798068"/>
    <s v="TIRUPPUR"/>
    <s v="ERODE VENDOR F,0499 +  VENDOR U,6733"/>
    <s v="RANCHI"/>
    <s v="32FEET"/>
    <n v="42180"/>
    <n v="102690"/>
    <n v="60510"/>
    <n v="42180"/>
    <n v="0"/>
    <s v="DONE"/>
    <s v="450"/>
    <m/>
    <s v="01-02-2026"/>
    <s v="01-02-2026"/>
    <x v="0"/>
    <x v="3"/>
  </r>
  <r>
    <n v="845"/>
    <x v="20"/>
    <d v="2026-01-29T00:00:00"/>
    <x v="0"/>
    <s v="TN42EU-0622"/>
    <n v="9907656818"/>
    <s v="RANCHI"/>
    <s v="-"/>
    <s v="NARSAPUR,6131"/>
    <s v="32FEET"/>
    <n v="30150"/>
    <n v="40320"/>
    <n v="10170"/>
    <n v="30150"/>
    <n v="0"/>
    <s v="DONE"/>
    <s v="451"/>
    <m/>
    <s v="02-02-2026"/>
    <s v="02-02-2026"/>
    <x v="0"/>
    <x v="40"/>
  </r>
  <r>
    <n v="846"/>
    <x v="21"/>
    <d v="2026-02-01T00:00:00"/>
    <x v="4"/>
    <s v="JH01KD-3958"/>
    <n v="9281983602"/>
    <s v="TIRUPPUR"/>
    <s v="VENDOR U,4277"/>
    <s v="RANCHI"/>
    <s v="32FEET"/>
    <n v="41230"/>
    <n v="96390"/>
    <n v="55160"/>
    <n v="41230"/>
    <n v="0"/>
    <s v="DONE"/>
    <s v="452"/>
    <m/>
    <s v="03-02-2026"/>
    <s v="03-02-2026"/>
    <x v="0"/>
    <x v="3"/>
  </r>
  <r>
    <n v="847"/>
    <x v="21"/>
    <d v="2026-02-03T00:00:00"/>
    <x v="4"/>
    <s v="JH01KM-4371"/>
    <n v="9515412075"/>
    <s v="RANCHI"/>
    <s v="-"/>
    <s v="NARSAPUR,4290"/>
    <s v="24FEET"/>
    <n v="32590"/>
    <n v="38740"/>
    <n v="6150"/>
    <n v="32590"/>
    <n v="0"/>
    <s v="DONE"/>
    <s v="453"/>
    <m/>
    <s v="06-02-2026"/>
    <s v="06-02-2026"/>
    <x v="0"/>
    <x v="3"/>
  </r>
  <r>
    <n v="848"/>
    <x v="21"/>
    <d v="2026-02-03T00:00:00"/>
    <x v="4"/>
    <s v="JH01KM-8803"/>
    <n v="9220186371"/>
    <s v="ERODE"/>
    <s v="VENDOR S BNG,7883 + VENDOR F,9433"/>
    <s v="RANCHI"/>
    <s v="32FEET"/>
    <n v="42180"/>
    <n v="102690"/>
    <n v="60510"/>
    <n v="42180"/>
    <n v="0"/>
    <s v="DONE"/>
    <s v="454"/>
    <m/>
    <s v="06-02-2026"/>
    <s v="06-02-2026"/>
    <x v="0"/>
    <x v="3"/>
  </r>
  <r>
    <n v="849"/>
    <x v="21"/>
    <d v="2026-02-03T00:00:00"/>
    <x v="4"/>
    <s v="JH01KD-2417"/>
    <n v="9220186371"/>
    <s v="TIRUPPUR"/>
    <s v="VENDOR U,6316"/>
    <s v="RANCHI"/>
    <s v="32FEET"/>
    <n v="41230"/>
    <n v="96390"/>
    <n v="55160"/>
    <n v="41230"/>
    <n v="0"/>
    <s v="DONE"/>
    <s v="455"/>
    <m/>
    <s v="06-02-2026"/>
    <s v="06-02-2026"/>
    <x v="0"/>
    <x v="3"/>
  </r>
  <r>
    <n v="850"/>
    <x v="21"/>
    <d v="2026-02-04T00:00:00"/>
    <x v="4"/>
    <s v="JH01KD-0526"/>
    <n v="9902798068"/>
    <s v="RANCHI"/>
    <s v="-"/>
    <s v="NARSAPUR,7788"/>
    <s v="32FEET"/>
    <n v="32820"/>
    <n v="40320"/>
    <n v="7500"/>
    <n v="32820"/>
    <n v="0"/>
    <s v="DONE"/>
    <s v="456"/>
    <m/>
    <s v="07-02-2026"/>
    <s v="07-02-2026"/>
    <x v="0"/>
    <x v="3"/>
  </r>
  <r>
    <n v="851"/>
    <x v="21"/>
    <d v="2026-02-04T00:00:00"/>
    <x v="4"/>
    <s v="JH01KD-6142"/>
    <n v="9793531306"/>
    <s v="TIRUPPUR"/>
    <s v="VENDOR V,7141"/>
    <s v="RANCHI"/>
    <s v="32FEET"/>
    <n v="41230"/>
    <n v="96390"/>
    <n v="55160"/>
    <n v="41230"/>
    <n v="0"/>
    <s v="DONE"/>
    <s v="457"/>
    <m/>
    <s v="07-02-2026"/>
    <s v="07-02-2026"/>
    <x v="0"/>
    <x v="3"/>
  </r>
  <r>
    <n v="852"/>
    <x v="21"/>
    <d v="2026-02-06T00:00:00"/>
    <x v="4"/>
    <s v="JH01KD-3958"/>
    <n v="9486716172"/>
    <s v="RANCHI"/>
    <s v="NARSAPUR,8506"/>
    <s v="HOSKOTE,1844"/>
    <s v="32FEET"/>
    <n v="33770"/>
    <n v="46620"/>
    <n v="12850"/>
    <n v="33770"/>
    <n v="0"/>
    <s v="DONE"/>
    <s v="458"/>
    <m/>
    <s v="09-02-2026"/>
    <s v="09-02-2026"/>
    <x v="0"/>
    <x v="3"/>
  </r>
  <r>
    <n v="853"/>
    <x v="21"/>
    <d v="2026-02-07T00:00:00"/>
    <x v="4"/>
    <s v="JH01KM-4371"/>
    <n v="9486716172"/>
    <s v="TIRUPPUR"/>
    <s v="VENDOR U,6082"/>
    <s v="RANCHI"/>
    <s v="24FEET"/>
    <n v="40480"/>
    <n v="91350"/>
    <n v="50870"/>
    <n v="40480"/>
    <n v="0"/>
    <s v="DONE"/>
    <s v="459"/>
    <m/>
    <s v="09-02-2026"/>
    <s v="09-02-2026"/>
    <x v="0"/>
    <x v="3"/>
  </r>
  <r>
    <n v="854"/>
    <x v="21"/>
    <d v="2026-02-07T00:00:00"/>
    <x v="4"/>
    <s v="JH01KM-8803"/>
    <n v="9589264337"/>
    <s v="RANCHI"/>
    <s v="NARSAPUR,9893"/>
    <s v="HOSKOTE,5833"/>
    <s v="32FEET"/>
    <n v="33770"/>
    <n v="46620"/>
    <n v="12850"/>
    <n v="33770"/>
    <n v="0"/>
    <s v="DONE"/>
    <s v="460"/>
    <m/>
    <s v="10-02-2026"/>
    <s v="10-02-2026"/>
    <x v="0"/>
    <x v="3"/>
  </r>
  <r>
    <n v="855"/>
    <x v="21"/>
    <d v="2026-02-09T00:00:00"/>
    <x v="4"/>
    <s v="JH01KD-2417"/>
    <n v="9472230553"/>
    <s v="RANCHI"/>
    <s v="NARSAPUR,3299"/>
    <s v="HOSKOTE,9539"/>
    <s v="32FEET"/>
    <n v="33770"/>
    <n v="46620"/>
    <n v="12850"/>
    <n v="33770"/>
    <n v="0"/>
    <s v="DONE"/>
    <s v="461"/>
    <m/>
    <s v="13-02-2026"/>
    <s v="13-02-2026"/>
    <x v="0"/>
    <x v="3"/>
  </r>
  <r>
    <n v="856"/>
    <x v="21"/>
    <d v="2026-02-09T00:00:00"/>
    <x v="4"/>
    <s v="JH01KD-0526"/>
    <n v="9793531306"/>
    <s v="TIRUPPUR"/>
    <s v="VENDOR U,6729+ VENDOR V,4028 + VENDOR D ,0806"/>
    <s v="RANCHI"/>
    <s v="32FEET"/>
    <n v="43120"/>
    <n v="108990"/>
    <n v="65870"/>
    <n v="43120"/>
    <n v="0"/>
    <s v="DONE"/>
    <s v="463"/>
    <m/>
    <s v="12-02-2026"/>
    <s v="12-02-2026"/>
    <x v="0"/>
    <x v="3"/>
  </r>
  <r>
    <n v="857"/>
    <x v="21"/>
    <d v="2026-02-11T00:00:00"/>
    <x v="4"/>
    <s v="JH01KD-3958"/>
    <n v="9220186371"/>
    <s v="TIRUPPUR"/>
    <s v="VENDOR U,5584"/>
    <s v="RANCHI"/>
    <s v="32FEET"/>
    <n v="41230"/>
    <n v="96390"/>
    <n v="55160"/>
    <n v="41230"/>
    <n v="0"/>
    <s v="DONE"/>
    <s v="464"/>
    <m/>
    <s v="14-02-2026"/>
    <s v="14-02-2026"/>
    <x v="0"/>
    <x v="3"/>
  </r>
  <r>
    <n v="858"/>
    <x v="21"/>
    <d v="2026-02-11T00:00:00"/>
    <x v="4"/>
    <s v="JH01KM-4371"/>
    <n v="9515412075"/>
    <s v="RANCHI"/>
    <s v="NARSAPUR,9320"/>
    <s v="HOSKOTE,1228"/>
    <s v="24FEET"/>
    <n v="33530"/>
    <n v="45040"/>
    <n v="11510"/>
    <n v="33530"/>
    <n v="0"/>
    <s v="DONE"/>
    <s v="465"/>
    <m/>
    <s v="14-02-2026"/>
    <s v="14-02-2026"/>
    <x v="0"/>
    <x v="3"/>
  </r>
  <r>
    <n v="859"/>
    <x v="21"/>
    <d v="2026-02-12T00:00:00"/>
    <x v="4"/>
    <s v="JH01KD-6142"/>
    <n v="9793531306"/>
    <s v="RANCHI"/>
    <s v="NARSAPUR1249"/>
    <s v="HOSKOTE,9844"/>
    <s v="32FEET"/>
    <n v="33770"/>
    <n v="46620"/>
    <n v="12850"/>
    <n v="33770"/>
    <n v="0"/>
    <s v="DONE"/>
    <s v="466"/>
    <m/>
    <s v="14-02-2026"/>
    <s v="14-02-2026"/>
    <x v="0"/>
    <x v="3"/>
  </r>
  <r>
    <n v="860"/>
    <x v="21"/>
    <d v="2026-02-13T00:00:00"/>
    <x v="4"/>
    <s v="JH01KD-0526"/>
    <n v="9902798068"/>
    <s v="RANCHI"/>
    <s v="NARSAPUR,9389"/>
    <s v="HOSKOTE,8381"/>
    <s v="32FEET"/>
    <n v="33770"/>
    <n v="46620"/>
    <n v="12850"/>
    <n v="33770"/>
    <n v="0"/>
    <s v="DONE"/>
    <s v="467"/>
    <m/>
    <s v="16-02-2026"/>
    <s v="16-02-2026"/>
    <x v="0"/>
    <x v="3"/>
  </r>
  <r>
    <n v="861"/>
    <x v="21"/>
    <d v="2026-02-14T00:00:00"/>
    <x v="4"/>
    <s v="JH01KM-8803"/>
    <n v="9589264337"/>
    <s v="TIRUPPUR"/>
    <s v="VENDOR U 9511 + VENDOR V,8932 + VENDOR G,2747"/>
    <s v="RANCHI"/>
    <s v="32FEET"/>
    <n v="43120"/>
    <n v="108990"/>
    <n v="65870"/>
    <n v="43120"/>
    <n v="0"/>
    <s v="DONE"/>
    <s v="468"/>
    <m/>
    <s v="17-02-2026"/>
    <s v="17-02-2026"/>
    <x v="0"/>
    <x v="3"/>
  </r>
  <r>
    <n v="862"/>
    <x v="21"/>
    <d v="2026-02-16T00:00:00"/>
    <x v="4"/>
    <s v="JH01KD-2417"/>
    <n v="9472230553"/>
    <s v="ERODE"/>
    <s v="VENDOR J 1473 + VENDOR G 7274 + VENDOR F 2477"/>
    <s v="RANCHI"/>
    <s v="32FEET"/>
    <n v="43120"/>
    <n v="108990"/>
    <n v="65870"/>
    <n v="43120"/>
    <n v="0"/>
    <s v="DONE"/>
    <s v="469"/>
    <m/>
    <s v="19-02-2026"/>
    <s v="19-02-2026"/>
    <x v="0"/>
    <x v="3"/>
  </r>
  <r>
    <n v="863"/>
    <x v="21"/>
    <d v="2026-02-18T00:00:00"/>
    <x v="4"/>
    <s v="JH01KD-3958"/>
    <n v="9486716172"/>
    <s v="RANCHI"/>
    <s v="NARSAPUR,6909"/>
    <s v="HOSKOTE,7250"/>
    <s v="32FEET"/>
    <n v="33770"/>
    <n v="46620"/>
    <n v="12850"/>
    <n v="33770"/>
    <n v="0"/>
    <s v="DONE"/>
    <s v="470"/>
    <m/>
    <s v="21-02-2026"/>
    <s v="21-02-2026"/>
    <x v="0"/>
    <x v="3"/>
  </r>
  <r>
    <n v="864"/>
    <x v="21"/>
    <d v="2026-02-18T00:00:00"/>
    <x v="4"/>
    <s v="JH01KM-4371"/>
    <n v="9515412075"/>
    <s v="TIRUPPUR"/>
    <s v="VENDOR U,9784"/>
    <s v="RANCHI"/>
    <s v="24FEET"/>
    <n v="40480"/>
    <n v="91350"/>
    <n v="50870"/>
    <n v="40480"/>
    <n v="0"/>
    <s v="DONE"/>
    <s v="471"/>
    <m/>
    <s v="21-02-2026"/>
    <s v="21-02-2026"/>
    <x v="0"/>
    <x v="3"/>
  </r>
  <r>
    <n v="865"/>
    <x v="21"/>
    <d v="2026-02-21T00:00:00"/>
    <x v="0"/>
    <s v="TN42EU-0622"/>
    <n v="9656908336"/>
    <s v="TIRUPPUR"/>
    <s v="VENDOR U,7185"/>
    <s v="RANCHI"/>
    <s v="32FEET"/>
    <n v="65330"/>
    <n v="96390"/>
    <n v="31060"/>
    <n v="65330"/>
    <n v="0"/>
    <s v="DONE"/>
    <s v="472"/>
    <m/>
    <s v="24-02-2026"/>
    <s v="24-02-2026"/>
    <x v="0"/>
    <x v="40"/>
  </r>
  <r>
    <n v="866"/>
    <x v="21"/>
    <d v="2026-02-21T00:00:00"/>
    <x v="4"/>
    <s v="JH01KM-8803"/>
    <n v="9589264337"/>
    <s v="RANCHI"/>
    <s v="NARSAPUR,1199"/>
    <s v="HOSKOTE,7429"/>
    <s v="32FEET"/>
    <n v="33770"/>
    <n v="46620"/>
    <n v="12850"/>
    <n v="33770"/>
    <n v="0"/>
    <s v="DONE"/>
    <s v=",473"/>
    <m/>
    <s v="24-02-2026"/>
    <s v="24-02-2026"/>
    <x v="0"/>
    <x v="3"/>
  </r>
  <r>
    <n v="867"/>
    <x v="21"/>
    <d v="2026-02-22T00:00:00"/>
    <x v="4"/>
    <s v="JH01KD-2417"/>
    <n v="9472230553"/>
    <s v="RANCHI"/>
    <s v="NARSAPUR,0217"/>
    <s v="HOSKOTE,4882"/>
    <s v="32FEET"/>
    <n v="33770"/>
    <n v="46620"/>
    <n v="12850"/>
    <n v="33770"/>
    <n v="0"/>
    <s v="DONE"/>
    <s v="475"/>
    <m/>
    <s v="25-02-2026"/>
    <s v="25-02-2026"/>
    <x v="0"/>
    <x v="3"/>
  </r>
  <r>
    <n v="868"/>
    <x v="21"/>
    <d v="2026-02-23T00:00:00"/>
    <x v="4"/>
    <s v="JH01KD-6142"/>
    <n v="9025368773"/>
    <s v="RANCHI"/>
    <s v="-"/>
    <s v="NARSAPUR,9701"/>
    <s v="32FEET"/>
    <n v="32820"/>
    <n v="40320"/>
    <n v="7500"/>
    <n v="32820"/>
    <n v="0"/>
    <s v="DONE"/>
    <s v="476"/>
    <m/>
    <s v="26-02-2026"/>
    <s v="26-02-2026"/>
    <x v="0"/>
    <x v="3"/>
  </r>
  <r>
    <n v="869"/>
    <x v="21"/>
    <d v="2026-02-23T00:00:00"/>
    <x v="4"/>
    <s v="JH01KM-4371"/>
    <n v="9515412075"/>
    <s v="RANCHI"/>
    <s v="-"/>
    <s v="NARSAPUR,0572"/>
    <s v="24FEET"/>
    <n v="32590"/>
    <n v="38740"/>
    <n v="6150"/>
    <n v="32590"/>
    <n v="0"/>
    <s v="DONE"/>
    <s v="477"/>
    <m/>
    <s v="26-02-2026"/>
    <s v="26-02-2026"/>
    <x v="0"/>
    <x v="3"/>
  </r>
  <r>
    <n v="870"/>
    <x v="21"/>
    <d v="2026-02-24T00:00:00"/>
    <x v="4"/>
    <s v="JH01KD-0526"/>
    <n v="9902798068"/>
    <s v="RANCHI"/>
    <s v="-"/>
    <s v="HOSKOTE,8814"/>
    <s v="32FEET"/>
    <n v="32820"/>
    <n v="40320"/>
    <n v="7500"/>
    <n v="32820"/>
    <n v="0"/>
    <s v="DONE"/>
    <s v="478"/>
    <m/>
    <s v="27-02-2026"/>
    <s v="27-02-2026"/>
    <x v="0"/>
    <x v="3"/>
  </r>
  <r>
    <n v="871"/>
    <x v="21"/>
    <d v="2026-02-24T00:00:00"/>
    <x v="4"/>
    <s v="JH01KD-3958"/>
    <n v="9486716172"/>
    <s v="TIRUPPUR"/>
    <s v="VENDOR U,2188 + VENDOR V,7958"/>
    <s v="RANCHI"/>
    <s v="32FEET"/>
    <n v="42180"/>
    <n v="102690"/>
    <n v="60510"/>
    <n v="42180"/>
    <n v="0"/>
    <s v="DONE"/>
    <s v="479"/>
    <m/>
    <s v="26-02-2026"/>
    <s v="27-02-2026"/>
    <x v="0"/>
    <x v="3"/>
  </r>
  <r>
    <n v="872"/>
    <x v="21"/>
    <d v="2026-02-25T00:00:00"/>
    <x v="0"/>
    <s v="TN42EU-0622"/>
    <n v="9656908336"/>
    <s v="RANCHI"/>
    <s v="-"/>
    <s v="NARSAPUR,0899"/>
    <s v="32FEET"/>
    <n v="30150"/>
    <n v="40320"/>
    <n v="10170"/>
    <n v="30150"/>
    <s v="-"/>
    <s v="DONE"/>
    <s v="480"/>
    <m/>
    <s v="28-02-2026"/>
    <s v="28-02-2026"/>
    <x v="0"/>
    <x v="40"/>
  </r>
  <r>
    <n v="873"/>
    <x v="21"/>
    <d v="2026-02-25T00:00:00"/>
    <x v="4"/>
    <s v="JH01KM-8803"/>
    <n v="9589264337"/>
    <s v="TIRUPPUR"/>
    <s v="VENDOR U,5388"/>
    <s v="RANCHI"/>
    <s v="32FEET"/>
    <n v="41230"/>
    <n v="96390"/>
    <n v="55160"/>
    <n v="41230"/>
    <n v="0"/>
    <s v="DONE"/>
    <s v="481"/>
    <m/>
    <s v="28-02-2026"/>
    <s v="28-02-2026"/>
    <x v="0"/>
    <x v="3"/>
  </r>
  <r>
    <n v="874"/>
    <x v="21"/>
    <d v="2026-02-26T00:00:00"/>
    <x v="0"/>
    <s v="KA01TK-1675"/>
    <n v="9267658136"/>
    <s v="RANCHI"/>
    <s v="NARSAPUR,1332"/>
    <s v="HOSKOTE,9586"/>
    <s v="32FEET"/>
    <n v="33770"/>
    <n v="46620"/>
    <n v="12850"/>
    <n v="33090"/>
    <n v="680"/>
    <s v="DONE"/>
    <s v="482"/>
    <m/>
    <s v="02-03-2026"/>
    <s v="02-03-2026"/>
    <x v="0"/>
    <x v="6"/>
  </r>
  <r>
    <n v="875"/>
    <x v="21"/>
    <d v="2026-02-27T00:00:00"/>
    <x v="4"/>
    <s v="JH01KD-3958"/>
    <n v="9486716172"/>
    <s v="RANCHI"/>
    <s v="NARSAPUR,1438 + HOSKOTE,6520"/>
    <s v="HASSAN ,4559"/>
    <s v="32FEET"/>
    <n v="35750"/>
    <n v="59850"/>
    <n v="24100"/>
    <n v="35750"/>
    <n v="0"/>
    <s v="DONE"/>
    <s v="483"/>
    <m/>
    <s v="02-03-2026"/>
    <s v="02-03-2026"/>
    <x v="0"/>
    <x v="3"/>
  </r>
  <r>
    <n v="876"/>
    <x v="21"/>
    <d v="2026-02-28T00:00:00"/>
    <x v="4"/>
    <s v="JH01KD-2417"/>
    <n v="9220186371"/>
    <s v="TIRUPPUR"/>
    <s v="VENDOR U,9246"/>
    <s v="RANCHI"/>
    <s v="32FEET"/>
    <n v="41230"/>
    <n v="96390"/>
    <n v="55160"/>
    <n v="41230"/>
    <n v="0"/>
    <s v="DONE"/>
    <s v="484"/>
    <m/>
    <s v="02-03-2026"/>
    <s v="02-03-2026"/>
    <x v="0"/>
    <x v="3"/>
  </r>
  <r>
    <n v="877"/>
    <x v="21"/>
    <d v="2026-02-28T00:00:00"/>
    <x v="4"/>
    <s v="JH01KD-0526"/>
    <n v="9793531306"/>
    <s v="TIRUPPUR"/>
    <s v="VENDOR V,8358 + VENDOR F,4842"/>
    <s v="RANCHI"/>
    <s v="32FEET"/>
    <n v="42180"/>
    <n v="102690"/>
    <n v="60510"/>
    <n v="42180"/>
    <n v="0"/>
    <s v="DONE"/>
    <s v="485"/>
    <m/>
    <s v="03-03-2026"/>
    <s v="03-03-2026"/>
    <x v="0"/>
    <x v="3"/>
  </r>
  <r>
    <n v="878"/>
    <x v="22"/>
    <d v="2026-03-01T00:00:00"/>
    <x v="4"/>
    <s v="JH01KM-8803"/>
    <n v="9589264337"/>
    <s v="RANCHI"/>
    <s v="NARSAPUR,5889"/>
    <s v="HOSKOTE,1315"/>
    <s v="32FEET"/>
    <n v="33770"/>
    <n v="46620"/>
    <n v="12850"/>
    <n v="33770"/>
    <n v="0"/>
    <s v="DONE"/>
    <s v="487"/>
    <m/>
    <s v="04-03-2026"/>
    <s v="04-03-2026"/>
    <x v="0"/>
    <x v="3"/>
  </r>
  <r>
    <n v="879"/>
    <x v="22"/>
    <d v="2026-03-01T00:00:00"/>
    <x v="4"/>
    <s v="JH01KM-4371"/>
    <n v="9486716172"/>
    <s v="TIRUPPUR"/>
    <s v="VENDOR U,4079"/>
    <s v="RANCHI"/>
    <s v="24FEET"/>
    <n v="40480"/>
    <n v="91350"/>
    <n v="50870"/>
    <n v="40480"/>
    <n v="0"/>
    <s v="DONE"/>
    <s v="488"/>
    <m/>
    <s v="03-03-2026"/>
    <s v="03-03-2026"/>
    <x v="0"/>
    <x v="3"/>
  </r>
  <r>
    <n v="880"/>
    <x v="22"/>
    <d v="2026-03-02T00:00:00"/>
    <x v="4"/>
    <s v="JH01KD-2417"/>
    <n v="9281983602"/>
    <s v="RANCHI"/>
    <s v="NARSAPUR,3748"/>
    <s v="HOSKOTE,9228"/>
    <s v="32FEET"/>
    <n v="33770"/>
    <n v="46620"/>
    <n v="12850"/>
    <n v="33770"/>
    <n v="0"/>
    <s v="DONE"/>
    <s v="489"/>
    <m/>
    <s v="06-03-2026"/>
    <s v="06-03-2026"/>
    <x v="0"/>
    <x v="3"/>
  </r>
  <r>
    <n v="881"/>
    <x v="22"/>
    <d v="2026-03-02T00:00:00"/>
    <x v="0"/>
    <s v="TN70FG-1590"/>
    <n v="9831839088"/>
    <s v="TIRUPPUR"/>
    <s v="VENDOR U,6172"/>
    <s v="RANCHI"/>
    <s v="32FEET"/>
    <n v="65330"/>
    <n v="96390"/>
    <n v="31060"/>
    <n v="65330"/>
    <n v="0"/>
    <s v="DONE"/>
    <s v="490"/>
    <m/>
    <s v="05-03-2026"/>
    <s v="06-03-2026"/>
    <x v="0"/>
    <x v="40"/>
  </r>
  <r>
    <n v="882"/>
    <x v="22"/>
    <d v="2026-03-04T00:00:00"/>
    <x v="4"/>
    <s v="JH01KD-3958"/>
    <n v="9486716172"/>
    <s v="TIRUPPUR"/>
    <s v="VENDOR U,5869"/>
    <s v="RANCHI"/>
    <s v="32FEET"/>
    <n v="41230"/>
    <n v="96390"/>
    <n v="55160"/>
    <n v="41230"/>
    <n v="0"/>
    <s v="DONE"/>
    <s v="491"/>
    <m/>
    <s v="07-03-2026"/>
    <s v="07-03-2026"/>
    <x v="0"/>
    <x v="3"/>
  </r>
  <r>
    <n v="883"/>
    <x v="22"/>
    <d v="2026-03-06T00:00:00"/>
    <x v="4"/>
    <s v="JH01KM-8803"/>
    <n v="9589264337"/>
    <s v="TIRUPPUR"/>
    <s v="COIMBATORE,3710 + VENDOR U,5251 "/>
    <s v="RANCHI"/>
    <s v="32FEET"/>
    <n v="42180"/>
    <n v="102690"/>
    <n v="60510"/>
    <n v="42180"/>
    <n v="0"/>
    <s v="DONE"/>
    <s v="492"/>
    <m/>
    <s v="10-03-2026"/>
    <s v="10-03-2026"/>
    <x v="0"/>
    <x v="3"/>
  </r>
  <r>
    <n v="884"/>
    <x v="22"/>
    <d v="2026-03-07T00:00:00"/>
    <x v="4"/>
    <s v="JH01KD-0526"/>
    <n v="9902798068"/>
    <s v="RANCHI"/>
    <s v="NARSAPUR,1809"/>
    <s v="HOSKOTE,5055"/>
    <s v="32FEET"/>
    <n v="33770"/>
    <n v="46620"/>
    <n v="12850"/>
    <n v="33770"/>
    <n v="0"/>
    <s v="DONE"/>
    <s v="493"/>
    <m/>
    <s v="10-03-2026"/>
    <s v="10-03-2026"/>
    <x v="0"/>
    <x v="3"/>
  </r>
  <r>
    <n v="885"/>
    <x v="22"/>
    <d v="2026-03-08T00:00:00"/>
    <x v="4"/>
    <s v="JH01KD-6142"/>
    <n v="9025368773"/>
    <s v="RANCHI"/>
    <s v="NARSAPUR,9573"/>
    <s v="HOSKOTE,7841"/>
    <s v="32FEET"/>
    <n v="33770"/>
    <n v="46620"/>
    <n v="12850"/>
    <n v="33770"/>
    <n v="0"/>
    <s v="DONE"/>
    <s v="494"/>
    <m/>
    <s v="11-03-2026"/>
    <s v="11-03-2026"/>
    <x v="0"/>
    <x v="3"/>
  </r>
  <r>
    <n v="886"/>
    <x v="22"/>
    <d v="2026-03-10T00:00:00"/>
    <x v="4"/>
    <s v="JH01KM-4371"/>
    <n v="9515412075"/>
    <s v="RANCHI"/>
    <s v="NARSAPUR,5358"/>
    <s v="HOSKOTE,1658"/>
    <s v="24FEET"/>
    <n v="33530"/>
    <n v="45040"/>
    <n v="11510"/>
    <n v="33530"/>
    <n v="0"/>
    <s v="DONE"/>
    <s v="495"/>
    <m/>
    <s v="13-03-2026"/>
    <s v="13-03-2026"/>
    <x v="0"/>
    <x v="3"/>
  </r>
  <r>
    <n v="887"/>
    <x v="22"/>
    <d v="2026-03-11T00:00:00"/>
    <x v="4"/>
    <s v="JH01KD-2417"/>
    <n v="9281983602"/>
    <s v="TIRUPPUR"/>
    <s v="VENDOR U,3594"/>
    <s v="RANCHI"/>
    <s v="32FEET"/>
    <n v="41230"/>
    <n v="96390"/>
    <n v="55160"/>
    <n v="41230"/>
    <n v="0"/>
    <s v="DONE"/>
    <s v="496"/>
    <m/>
    <s v="13-03-2026"/>
    <s v="13-03-2026"/>
    <x v="0"/>
    <x v="3"/>
  </r>
  <r>
    <n v="888"/>
    <x v="22"/>
    <d v="2026-03-12T00:00:00"/>
    <x v="4"/>
    <s v="JH01KD-3958"/>
    <n v="9486716172"/>
    <s v="RANCHI"/>
    <s v="NARSAPUR,0232"/>
    <s v="HOSKOTE,5950"/>
    <s v="32FEET"/>
    <n v="33770"/>
    <n v="46620"/>
    <n v="12850"/>
    <n v="33770"/>
    <n v="0"/>
    <s v="DONE"/>
    <s v="497"/>
    <m/>
    <s v="14-03-2026"/>
    <s v="14-03-2026"/>
    <x v="0"/>
    <x v="3"/>
  </r>
  <r>
    <n v="889"/>
    <x v="22"/>
    <d v="2026-03-12T00:00:00"/>
    <x v="4"/>
    <s v="JH01KD-0526"/>
    <n v="9902798068"/>
    <s v="TIRUPPUR"/>
    <s v="VENDOR V,1339 + VENDOR G,2636"/>
    <s v="RANCHI"/>
    <s v="32FEET"/>
    <n v="42180"/>
    <n v="102690"/>
    <n v="60510"/>
    <n v="42180"/>
    <n v="0"/>
    <s v="DONE"/>
    <s v="498"/>
    <m/>
    <s v="15-03-2026"/>
    <s v="16-03-2026"/>
    <x v="0"/>
    <x v="3"/>
  </r>
  <r>
    <n v="890"/>
    <x v="22"/>
    <d v="2026-03-14T00:00:00"/>
    <x v="4"/>
    <s v="JH01KM-8803"/>
    <n v="92466897558"/>
    <s v="RANCHI"/>
    <s v="NARSAPUR,1303"/>
    <s v="HOSKOTE,0853"/>
    <s v="32FEET"/>
    <n v="33770"/>
    <n v="46620"/>
    <n v="12850"/>
    <n v="33770"/>
    <n v="0"/>
    <s v="DONE"/>
    <s v="499"/>
    <m/>
    <s v="17-03-2026"/>
    <s v="17-03-2026"/>
    <x v="0"/>
    <x v="3"/>
  </r>
  <r>
    <n v="891"/>
    <x v="22"/>
    <d v="2026-03-15T00:00:00"/>
    <x v="4"/>
    <s v="JH01KD-2417"/>
    <n v="9281983602"/>
    <s v="RANCHI"/>
    <s v="-"/>
    <s v="NARSAPUR,0069"/>
    <s v="32FEET"/>
    <n v="32820"/>
    <n v="40320"/>
    <n v="7500"/>
    <n v="32820"/>
    <n v="0"/>
    <s v="DONE"/>
    <s v="500"/>
    <m/>
    <s v="20-03-2026"/>
    <s v="20-03-2026"/>
    <x v="0"/>
    <x v="3"/>
  </r>
  <r>
    <n v="892"/>
    <x v="22"/>
    <d v="2026-03-15T00:00:00"/>
    <x v="4"/>
    <s v="JH01KM-4371"/>
    <n v="9486716172"/>
    <s v="TIRUPPUR"/>
    <s v="VENDOR U,9945"/>
    <s v="RANCHI"/>
    <s v="24FEET"/>
    <n v="40480"/>
    <n v="91350"/>
    <n v="50870"/>
    <n v="40480"/>
    <n v="0"/>
    <s v="DONE"/>
    <s v="501"/>
    <m/>
    <s v="18-03-2026"/>
    <s v="18-03-2026"/>
    <x v="0"/>
    <x v="3"/>
  </r>
  <r>
    <n v="893"/>
    <x v="22"/>
    <d v="2026-03-16T00:00:00"/>
    <x v="4"/>
    <s v="JH01KD-0526"/>
    <n v="9793531306"/>
    <s v="RANCHI"/>
    <s v="NARSAPUR,9440"/>
    <s v="HOSKOTE,2726"/>
    <s v="32FEET"/>
    <n v="33770"/>
    <n v="46620"/>
    <n v="12850"/>
    <n v="33770"/>
    <n v="0"/>
    <s v="DONE"/>
    <s v="502"/>
    <m/>
    <s v="19-03-2026"/>
    <s v="19-03-2026"/>
    <x v="0"/>
    <x v="3"/>
  </r>
  <r>
    <n v="894"/>
    <x v="22"/>
    <d v="2026-03-17T00:00:00"/>
    <x v="4"/>
    <s v="JH01KD-6142"/>
    <n v="9025368773"/>
    <s v="RANCHI"/>
    <s v="NARSAPUR,2859"/>
    <s v="HOSKOTE,0694"/>
    <s v="32FEET"/>
    <n v="33770"/>
    <n v="46620"/>
    <n v="12850"/>
    <n v="33770"/>
    <n v="0"/>
    <s v="DONE"/>
    <s v="503"/>
    <m/>
    <s v="20-03-2026"/>
    <s v="20-03-2026"/>
    <x v="0"/>
    <x v="3"/>
  </r>
  <r>
    <n v="895"/>
    <x v="22"/>
    <d v="2026-03-19T00:00:00"/>
    <x v="4"/>
    <s v="JH01KM-8803"/>
    <n v="9589264337"/>
    <s v="TIRUPPUR"/>
    <s v="VENDOR U,9986+VENDOR V,0273+VENDOR F,6599"/>
    <s v="RANCHI"/>
    <s v="32FEET"/>
    <n v="43120"/>
    <n v="108990"/>
    <n v="65870"/>
    <n v="43120"/>
    <n v="0"/>
    <s v="DONE"/>
    <s v="504"/>
    <m/>
    <s v="22-03-2026"/>
    <s v="22-03-2026"/>
    <x v="0"/>
    <x v="3"/>
  </r>
  <r>
    <n v="896"/>
    <x v="22"/>
    <d v="2026-03-20T00:00:00"/>
    <x v="4"/>
    <s v="JH01KD-3958"/>
    <n v="9486716172"/>
    <s v="RANCHI"/>
    <s v="NARSAPUR,0224+HOSKOTE,4829"/>
    <s v="HASSAN,0694"/>
    <s v="32FEET"/>
    <n v="35750"/>
    <n v="59850"/>
    <n v="24100"/>
    <n v="35750"/>
    <n v="0"/>
    <s v="DONE"/>
    <s v="505"/>
    <m/>
    <s v="24-03-2026"/>
    <s v="24-03-2026"/>
    <x v="0"/>
    <x v="3"/>
  </r>
  <r>
    <n v="897"/>
    <x v="22"/>
    <d v="2026-03-20T00:00:00"/>
    <x v="0"/>
    <s v="KA01TK-7242"/>
    <n v="9542438212"/>
    <s v="RANCHI"/>
    <s v="-"/>
    <s v="NARSAPUR,0224"/>
    <s v="32FEET"/>
    <n v="32820"/>
    <n v="40320"/>
    <n v="7500"/>
    <n v="32820"/>
    <n v="0"/>
    <s v="DONE"/>
    <s v="506"/>
    <m/>
    <s v="24-03-2026"/>
    <s v="24-03-2026"/>
    <x v="0"/>
    <x v="6"/>
  </r>
  <r>
    <n v="898"/>
    <x v="22"/>
    <d v="2026-03-20T00:00:00"/>
    <x v="0"/>
    <s v="NL01YH-6403"/>
    <n v="9482516734"/>
    <s v="RANCHI"/>
    <s v="NARSAPUR,8948"/>
    <s v="HOSKOTE,4687"/>
    <s v="32FEET"/>
    <n v="33770"/>
    <n v="46620"/>
    <n v="12850"/>
    <n v="33770"/>
    <n v="0"/>
    <s v="DONE"/>
    <s v="507"/>
    <m/>
    <s v="24-03-2026"/>
    <s v="24-03-2026"/>
    <x v="0"/>
    <x v="6"/>
  </r>
  <r>
    <n v="899"/>
    <x v="22"/>
    <d v="2026-03-23T00:00:00"/>
    <x v="4"/>
    <s v="JH01KM-8803"/>
    <n v="9589264337"/>
    <s v="RANCHI"/>
    <s v="NARSAPUR,5250"/>
    <s v="HOSKOTE,5955"/>
    <s v="32FEET"/>
    <n v="33770"/>
    <n v="46620"/>
    <n v="12850"/>
    <n v="33770"/>
    <n v="0"/>
    <s v="DONE"/>
    <s v="508"/>
    <m/>
    <s v="26-03-2026"/>
    <s v="26-03-2026"/>
    <x v="0"/>
    <x v="3"/>
  </r>
  <r>
    <n v="900"/>
    <x v="22"/>
    <d v="2026-03-25T00:00:00"/>
    <x v="4"/>
    <s v="NL01JH-0282"/>
    <n v="9549554553"/>
    <s v="RANCHI"/>
    <s v="NARSAPUR,0309"/>
    <s v="HOSKOTE,1594"/>
    <s v="32FEET"/>
    <n v="33770"/>
    <n v="46620"/>
    <n v="12850"/>
    <n v="33770"/>
    <s v="-"/>
    <s v="DONE"/>
    <s v="509"/>
    <m/>
    <s v="30-03-2026"/>
    <s v="02-04-2026"/>
    <x v="0"/>
    <x v="6"/>
  </r>
  <r>
    <n v="901"/>
    <x v="22"/>
    <d v="2026-03-26T00:00:00"/>
    <x v="4"/>
    <s v="JH01KD-3958"/>
    <n v="9486716172"/>
    <s v="TIRUPPUR"/>
    <s v="VENDOR F,4120 + VENDOR U,2538 "/>
    <s v="RANCHI"/>
    <s v="32FEET"/>
    <n v="42180"/>
    <n v="102690"/>
    <n v="60510"/>
    <n v="42180"/>
    <n v="0"/>
    <s v="DONE"/>
    <s v="510"/>
    <m/>
    <s v="28-03-2026"/>
    <s v="28-03-2026"/>
    <x v="0"/>
    <x v="3"/>
  </r>
  <r>
    <n v="902"/>
    <x v="22"/>
    <d v="2026-03-27T00:00:00"/>
    <x v="4"/>
    <s v="JH01KD-2417"/>
    <n v="9793531306"/>
    <s v="RANCHI"/>
    <s v="NARSAPUR,8154"/>
    <s v="HOSKOTE,0225"/>
    <s v="32FEET"/>
    <n v="33770"/>
    <n v="46620"/>
    <n v="12850"/>
    <n v="33770"/>
    <n v="0"/>
    <s v="DONE"/>
    <s v="511"/>
    <m/>
    <s v="30-03-2026"/>
    <s v="30-03-2026"/>
    <x v="0"/>
    <x v="3"/>
  </r>
  <r>
    <n v="903"/>
    <x v="22"/>
    <d v="2026-03-28T00:00:00"/>
    <x v="4"/>
    <s v="JH01KD-6142"/>
    <n v="9025368773"/>
    <s v="RANCHI"/>
    <s v="-"/>
    <s v="NARSAPUR,8109"/>
    <s v="32FEET"/>
    <n v="32820"/>
    <n v="40320"/>
    <n v="7500"/>
    <n v="32820"/>
    <n v="0"/>
    <s v="DONE"/>
    <s v="512"/>
    <m/>
    <s v="30-03-2026"/>
    <s v="30-03-2026"/>
    <x v="0"/>
    <x v="3"/>
  </r>
  <r>
    <n v="904"/>
    <x v="22"/>
    <d v="2026-03-28T00:00:00"/>
    <x v="0"/>
    <s v="TN42EU-0622"/>
    <n v="9899841498"/>
    <s v="TIRUPPUR"/>
    <s v="VENDOR U,4899"/>
    <s v="RANCHI"/>
    <s v="32FEET"/>
    <n v="65330"/>
    <n v="96390"/>
    <n v="31060"/>
    <n v="65330"/>
    <n v="0"/>
    <s v="DONE"/>
    <s v="513"/>
    <m/>
    <s v="31-03-2026"/>
    <s v="31-03-2026"/>
    <x v="0"/>
    <x v="40"/>
  </r>
  <r>
    <n v="905"/>
    <x v="22"/>
    <d v="2026-03-28T00:00:00"/>
    <x v="4"/>
    <s v="JH01KD-3958"/>
    <n v="9486716172"/>
    <s v="RANCHI"/>
    <s v="NARSAPUR,2858"/>
    <s v="HOSKOTE,1171"/>
    <s v="32FEET"/>
    <n v="33770"/>
    <n v="46620"/>
    <n v="12850"/>
    <n v="33770"/>
    <n v="0"/>
    <s v="DONE"/>
    <s v="514"/>
    <m/>
    <s v="03-04-2026"/>
    <s v="03-04-2026"/>
    <x v="0"/>
    <x v="3"/>
  </r>
  <r>
    <n v="906"/>
    <x v="22"/>
    <d v="2026-03-30T00:00:00"/>
    <x v="4"/>
    <s v="JH01KD-0526"/>
    <n v="9220186371"/>
    <s v="RANCHI"/>
    <s v="-"/>
    <s v="NARSAPUR,8683"/>
    <s v="32FEET"/>
    <n v="32820"/>
    <n v="40320"/>
    <n v="7500"/>
    <n v="32820"/>
    <n v="0"/>
    <s v="DONE"/>
    <s v="515"/>
    <m/>
    <s v="02-04-2026"/>
    <s v="02-04-2026"/>
    <x v="0"/>
    <x v="3"/>
  </r>
  <r>
    <n v="907"/>
    <x v="23"/>
    <d v="2026-04-01T00:00:00"/>
    <x v="4"/>
    <s v="JH01KD-6142"/>
    <n v="9793531306"/>
    <s v="TIRUPPUR"/>
    <s v="VENDOR V,8185"/>
    <s v="RANCHI"/>
    <s v="32FEET"/>
    <n v="48460"/>
    <n v="144580"/>
    <n v="96120"/>
    <n v="48460"/>
    <n v="0"/>
    <s v="DONE"/>
    <s v="01"/>
    <m/>
    <s v="04-04-2026"/>
    <s v="04-04-2026"/>
    <x v="0"/>
    <x v="3"/>
  </r>
  <r>
    <n v="908"/>
    <x v="23"/>
    <d v="2026-04-02T00:00:00"/>
    <x v="4"/>
    <s v="JH01KR-7230"/>
    <n v="9472230553"/>
    <s v="RANCHI"/>
    <s v="HOSKOTE,9417"/>
    <s v="HASSAN,3310"/>
    <s v="32FEET"/>
    <n v="38350"/>
    <n v="77180"/>
    <n v="38830"/>
    <n v="38350"/>
    <n v="0"/>
    <s v="DONE"/>
    <s v="02"/>
    <m/>
    <s v="05-04-2026"/>
    <s v="06-04-2026"/>
    <x v="0"/>
    <x v="3"/>
  </r>
  <r>
    <n v="909"/>
    <x v="23"/>
    <d v="2026-04-02T00:00:00"/>
    <x v="4"/>
    <s v="JH01KD-2417"/>
    <n v="9793531306"/>
    <s v="MYSORE"/>
    <s v="VENDOR K,493 + VENDOR U,979"/>
    <s v="RANCHI"/>
    <s v="32FEET"/>
    <n v="49410"/>
    <n v="150880"/>
    <n v="101470"/>
    <n v="49410"/>
    <n v="0"/>
    <s v="DONE"/>
    <s v="03"/>
    <m/>
    <s v="05-04-2026"/>
    <s v="05-04-2026"/>
    <x v="0"/>
    <x v="3"/>
  </r>
  <r>
    <n v="910"/>
    <x v="23"/>
    <d v="2026-04-05T00:00:00"/>
    <x v="4"/>
    <s v="JH01KD-3958"/>
    <n v="9486716172"/>
    <s v="TIRUPPUR"/>
    <s v="VENDOR U,2065"/>
    <s v="RANCHI"/>
    <s v="32FEET"/>
    <n v="48460"/>
    <n v="144580"/>
    <n v="96120"/>
    <n v="48460"/>
    <n v="0"/>
    <s v="DONE"/>
    <s v="04"/>
    <m/>
    <s v="08-04-2026"/>
    <s v="08-04-2026"/>
    <x v="0"/>
    <x v="3"/>
  </r>
  <r>
    <n v="911"/>
    <x v="23"/>
    <d v="2026-04-06T00:00:00"/>
    <x v="0"/>
    <s v="WB19R-8368"/>
    <n v="9783237724"/>
    <s v="BANGLORE"/>
    <s v="VENDOR C,3975"/>
    <s v="RANCHI"/>
    <s v="32FEET"/>
    <n v="66940"/>
    <n v="128520"/>
    <n v="61580"/>
    <n v="60250"/>
    <n v="6690"/>
    <s v="DONE"/>
    <s v="05"/>
    <m/>
    <s v="09-04-2026"/>
    <s v="09-04-2026"/>
    <x v="0"/>
    <x v="42"/>
  </r>
  <r>
    <n v="912"/>
    <x v="23"/>
    <d v="2026-04-08T00:00:00"/>
    <x v="4"/>
    <s v="JH01KR-1695"/>
    <n v="9589264337"/>
    <s v="RANCHI"/>
    <s v="-"/>
    <s v="NARSAPUR,2351"/>
    <s v="32FEET"/>
    <n v="44680"/>
    <n v="60480"/>
    <n v="15800"/>
    <n v="44680"/>
    <n v="0"/>
    <s v="DONE"/>
    <s v="06"/>
    <m/>
    <s v="11-04-2026"/>
    <s v="11-04-2026"/>
    <x v="0"/>
    <x v="3"/>
  </r>
  <r>
    <n v="913"/>
    <x v="23"/>
    <d v="2026-04-09T00:00:00"/>
    <x v="4"/>
    <s v="JH01KR-7230"/>
    <n v="9472230553"/>
    <s v="TIRUPPUR"/>
    <s v="VENDOR U,0070 + VENDOR F,1129"/>
    <s v="RANCHI"/>
    <s v="32FEET"/>
    <n v="58240"/>
    <n v="150880"/>
    <n v="92640"/>
    <n v="58240"/>
    <n v="0"/>
    <s v="DONE"/>
    <s v="07"/>
    <m/>
    <s v="13-04-2026"/>
    <s v="13-04-2026"/>
    <x v="0"/>
    <x v="3"/>
  </r>
  <r>
    <n v="914"/>
    <x v="23"/>
    <d v="2026-04-09T00:00:00"/>
    <x v="0"/>
    <s v="UP21RT-8341"/>
    <n v="9663991448"/>
    <s v="BANGLORE"/>
    <s v="VENDOR D,9207 + VENDOR J "/>
    <s v="RANCHI"/>
    <s v="32FEET"/>
    <n v="78180"/>
    <n v="128520"/>
    <n v="50340"/>
    <n v="71070"/>
    <n v="7110"/>
    <s v="DONE"/>
    <s v="08"/>
    <m/>
    <s v="14-04-2026"/>
    <s v="14-04-2026"/>
    <x v="0"/>
    <x v="43"/>
  </r>
  <r>
    <n v="915"/>
    <x v="23"/>
    <d v="2026-04-14T00:00:00"/>
    <x v="4"/>
    <s v="JH01KR-5582"/>
    <n v="9281983602"/>
    <s v="RANCHI"/>
    <s v="-"/>
    <s v="NARSAPUR,5707"/>
    <s v="32FEET"/>
    <n v="44680"/>
    <n v="60480"/>
    <n v="15800"/>
    <n v="44680"/>
    <n v="0"/>
    <s v="DONE"/>
    <s v="09"/>
    <m/>
    <s v="17-04-2026"/>
    <s v="17-04-2026"/>
    <x v="0"/>
    <x v="3"/>
  </r>
  <r>
    <n v="916"/>
    <x v="23"/>
    <d v="2026-04-15T00:00:00"/>
    <x v="4"/>
    <s v="JH01KR-1695"/>
    <n v="9589264337"/>
    <s v="TIRUPPUR"/>
    <s v="VENDOR K,7305 + VENDOR U,1323"/>
    <s v="RANCHI"/>
    <s v="32FEET"/>
    <n v="58240"/>
    <n v="150880"/>
    <n v="92640"/>
    <n v="58240"/>
    <n v="0"/>
    <s v="DONE"/>
    <s v="10"/>
    <m/>
    <s v="17-04-2026"/>
    <s v="18-04-2026"/>
    <x v="0"/>
    <x v="3"/>
  </r>
  <r>
    <n v="917"/>
    <x v="23"/>
    <d v="2026-04-15T00:00:00"/>
    <x v="4"/>
    <s v="JH01KM-4371"/>
    <n v="9472230553"/>
    <s v="RANCHI"/>
    <s v="-"/>
    <s v="NARSAPUR,4024"/>
    <s v="24FEET"/>
    <n v="44330"/>
    <n v="58120"/>
    <n v="13790"/>
    <n v="44330"/>
    <n v="0"/>
    <s v="DONE"/>
    <s v="11"/>
    <m/>
    <s v="18-04-2026"/>
    <s v="18-04-2026"/>
    <x v="0"/>
    <x v="3"/>
  </r>
  <r>
    <n v="918"/>
    <x v="23"/>
    <d v="2026-04-17T00:00:00"/>
    <x v="4"/>
    <s v="JH01KD-2417"/>
    <n v="9793531306"/>
    <s v="TIRUPPUR"/>
    <s v="VENDOR U,214"/>
    <s v="RANCHI"/>
    <s v="32FEET"/>
    <n v="57300"/>
    <n v="144580"/>
    <n v="87280"/>
    <n v="57300"/>
    <n v="0"/>
    <s v="DONE"/>
    <s v="12"/>
    <m/>
    <s v="20-04-2026"/>
    <s v="20-04-2026"/>
    <x v="0"/>
    <x v="3"/>
  </r>
  <r>
    <n v="919"/>
    <x v="23"/>
    <d v="2026-04-18T00:00:00"/>
    <x v="4"/>
    <s v="JH01KR-1695"/>
    <n v="9589264337"/>
    <s v="RANCHI"/>
    <s v="-"/>
    <s v="NARSAPUR,1690"/>
    <s v="32FEET"/>
    <n v="44680"/>
    <n v="60480"/>
    <n v="15800"/>
    <n v="44680"/>
    <n v="0"/>
    <s v="DONE"/>
    <s v="14"/>
    <m/>
    <s v="21-04-2026"/>
    <s v="21-04-2026"/>
    <x v="0"/>
    <x v="3"/>
  </r>
  <r>
    <n v="920"/>
    <x v="23"/>
    <d v="2026-04-18T00:00:00"/>
    <x v="0"/>
    <s v="MH40TT-6949"/>
    <n v="9339435519"/>
    <s v="AHMEDABAD"/>
    <s v="VENDOR Q,6731"/>
    <s v="RANCHI"/>
    <s v="20FEET"/>
    <n v="53120"/>
    <n v="57830"/>
    <n v="4710"/>
    <n v="48000"/>
    <n v="5120"/>
    <s v="DONE"/>
    <s v="15"/>
    <m/>
    <s v="23-04-2026"/>
    <s v="23-04-2026"/>
    <x v="0"/>
    <x v="44"/>
  </r>
  <r>
    <n v="921"/>
    <x v="23"/>
    <d v="2026-04-19T00:00:00"/>
    <x v="4"/>
    <s v="JH01KD-6142"/>
    <n v="9025368773"/>
    <s v="TIRUPPUR"/>
    <s v="VENDOR U,9163 + VENDOR V,6382"/>
    <s v="RANCHI"/>
    <s v="32FEET"/>
    <n v="58240"/>
    <n v="150880"/>
    <n v="92640"/>
    <n v="58240"/>
    <n v="0"/>
    <s v="DONE"/>
    <s v="16"/>
    <m/>
    <s v="21-04-2026"/>
    <s v="22-04-2026"/>
    <x v="0"/>
    <x v="3"/>
  </r>
  <r>
    <n v="922"/>
    <x v="23"/>
    <d v="2026-04-20T00:00:00"/>
    <x v="4"/>
    <s v="JH01KD-2417"/>
    <n v="9793531306"/>
    <s v="RANCHI"/>
    <s v="-"/>
    <s v="NARSAPUR,3761"/>
    <s v="32FEET"/>
    <n v="44680"/>
    <n v="60480"/>
    <n v="15800"/>
    <n v="44680"/>
    <n v="0"/>
    <s v="DONE"/>
    <s v="17"/>
    <m/>
    <s v="23-04-2026"/>
    <s v="23-04-2026"/>
    <x v="0"/>
    <x v="3"/>
  </r>
  <r>
    <n v="823"/>
    <x v="23"/>
    <d v="2026-04-22T00:00:00"/>
    <x v="4"/>
    <s v="JH01KM-4371"/>
    <n v="9995059254"/>
    <s v="TIRUPPUR"/>
    <s v="VENDOR U,6652"/>
    <s v="RANCHI"/>
    <s v="24FEET"/>
    <n v="56160"/>
    <n v="137020"/>
    <n v="80860"/>
    <n v="56160"/>
    <n v="0"/>
    <s v="DONE"/>
    <s v="18"/>
    <m/>
    <s v="24-04-2026"/>
    <s v="24-04-2026"/>
    <x v="0"/>
    <x v="3"/>
  </r>
  <r>
    <n v="824"/>
    <x v="23"/>
    <d v="2026-04-22T00:00:00"/>
    <x v="4"/>
    <s v="JH01KR-1695"/>
    <n v="9589264337"/>
    <s v="TIRUPPUR"/>
    <s v="VENDOR V,1494"/>
    <s v="RANCHI"/>
    <s v="32FEET"/>
    <n v="57300"/>
    <n v="144580"/>
    <n v="87280"/>
    <n v="57300"/>
    <n v="0"/>
    <s v="DONE"/>
    <s v="19"/>
    <m/>
    <s v="25-04-2026"/>
    <s v="25-04-2026"/>
    <x v="0"/>
    <x v="3"/>
  </r>
  <r>
    <n v="825"/>
    <x v="23"/>
    <d v="2026-04-22T00:00:00"/>
    <x v="4"/>
    <s v="JH01KD-6142"/>
    <n v="9025368773"/>
    <s v="RANCHI"/>
    <s v="NARSAPUR,6769"/>
    <s v="HOSKOTE,4957"/>
    <s v="32FEET"/>
    <n v="45630"/>
    <n v="66780"/>
    <n v="21150"/>
    <n v="45630"/>
    <n v="0"/>
    <s v="DONE"/>
    <s v="20"/>
    <m/>
    <s v="24-04-2026"/>
    <s v="24-04-2026"/>
    <x v="0"/>
    <x v="3"/>
  </r>
  <r>
    <n v="826"/>
    <x v="23"/>
    <d v="2026-04-23T00:00:00"/>
    <x v="4"/>
    <s v="JH01KR-7230"/>
    <n v="9472230553"/>
    <s v="RANCHI"/>
    <s v="-"/>
    <s v="NARSAPUR,2668"/>
    <s v="32FEET"/>
    <n v="45630"/>
    <n v="66780"/>
    <n v="21150"/>
    <n v="45630"/>
    <n v="0"/>
    <s v="DONE"/>
    <s v="21"/>
    <m/>
    <s v="27-04-2026"/>
    <s v="27-04-2026"/>
    <x v="0"/>
    <x v="3"/>
  </r>
  <r>
    <n v="827"/>
    <x v="23"/>
    <d v="2026-04-24T00:00:00"/>
    <x v="4"/>
    <s v="JH01KM-8803"/>
    <n v="9040208667"/>
    <s v="ERODE"/>
    <s v="VENDOR F,1837 + VENDOR G,2442 + VENDOR E,9661"/>
    <s v="RANCHI"/>
    <s v="32FEET"/>
    <n v="59190"/>
    <n v="157180"/>
    <n v="97990"/>
    <n v="59190"/>
    <n v="0"/>
    <s v="DONE"/>
    <s v="22"/>
    <s v="-"/>
    <s v="27-04-2026"/>
    <s v="27-04-2026"/>
    <x v="0"/>
    <x v="3"/>
  </r>
  <r>
    <n v="828"/>
    <x v="23"/>
    <d v="2026-04-24T00:00:00"/>
    <x v="4"/>
    <s v="JH01KD-0526"/>
    <n v="9220186371"/>
    <s v="RANCHI"/>
    <s v="-"/>
    <s v="NARSAPUR,6920"/>
    <s v="32FEET"/>
    <n v="44680"/>
    <n v="60480"/>
    <n v="15800"/>
    <n v="44680"/>
    <n v="0"/>
    <s v="DONE"/>
    <s v="23"/>
    <s v="-"/>
    <s v="27-04-2026"/>
    <s v="27-04-2026"/>
    <x v="0"/>
    <x v="3"/>
  </r>
  <r>
    <n v="829"/>
    <x v="23"/>
    <d v="2026-04-25T00:00:00"/>
    <x v="4"/>
    <s v="JH01KR-5582"/>
    <n v="9281983602"/>
    <s v="RANCHI"/>
    <s v="NARSAPUR,8954"/>
    <s v="HOSKOTE,7677"/>
    <s v="32FEET"/>
    <n v="45630"/>
    <n v="66780"/>
    <n v="21150"/>
    <n v="45630"/>
    <n v="0"/>
    <s v="DONE"/>
    <s v="24"/>
    <s v="-"/>
    <s v="28-04-2026"/>
    <s v="28-04-2026"/>
    <x v="0"/>
    <x v="3"/>
  </r>
  <r>
    <n v="830"/>
    <x v="23"/>
    <d v="2026-04-25T00:00:00"/>
    <x v="4"/>
    <s v="JH01KM-4371"/>
    <n v="9995059254"/>
    <s v="RANCHI"/>
    <s v="NARSAPUR,3545"/>
    <s v="HOSKOTE,9235"/>
    <s v="32FEET"/>
    <n v="45630"/>
    <n v="66780"/>
    <n v="21150"/>
    <n v="45630"/>
    <n v="0"/>
    <s v="DONE"/>
    <s v="25"/>
    <s v="-"/>
    <s v="28-04-2026"/>
    <s v="28-04-2026"/>
    <x v="0"/>
    <x v="3"/>
  </r>
  <r>
    <n v="831"/>
    <x v="23"/>
    <d v="2026-04-26T00:00:00"/>
    <x v="4"/>
    <s v="JH01KR-9064"/>
    <n v="9902798068"/>
    <s v="TIRUPPUR"/>
    <s v="VENDOR U,9392"/>
    <s v="RANCHI"/>
    <s v="32FEET"/>
    <n v="57300"/>
    <n v="144580"/>
    <n v="87280"/>
    <n v="57300"/>
    <n v="0"/>
    <s v="DONE"/>
    <s v="26"/>
    <s v="-"/>
    <s v="28-04-2026"/>
    <s v="29-04-2026"/>
    <x v="0"/>
    <x v="3"/>
  </r>
  <r>
    <n v="832"/>
    <x v="23"/>
    <d v="2026-04-28T00:00:00"/>
    <x v="4"/>
    <s v="JH01KD-3958"/>
    <n v="9950016408"/>
    <s v="RANCHI"/>
    <s v="NARSAPUR,7721"/>
    <s v="HOSKOTE,1595"/>
    <s v="32FEET"/>
    <n v="45630"/>
    <n v="66780"/>
    <n v="21150"/>
    <n v="45630"/>
    <n v="0"/>
    <s v="DONE"/>
    <s v="27"/>
    <m/>
    <s v="30-04-2026"/>
    <s v="30-04-2026"/>
    <x v="0"/>
    <x v="3"/>
  </r>
  <r>
    <n v="833"/>
    <x v="23"/>
    <d v="2026-04-28T00:00:00"/>
    <x v="4"/>
    <s v="JH01KD-0526"/>
    <n v="9793531306"/>
    <s v="TIRUPPUR"/>
    <s v="VENDOR V,3960"/>
    <s v="RANCHI"/>
    <s v="32FEET"/>
    <n v="57300"/>
    <n v="144580"/>
    <n v="87280"/>
    <n v="57300"/>
    <n v="0"/>
    <s v="DONE"/>
    <s v="28"/>
    <m/>
    <s v="01-05-2026"/>
    <s v="02-05-2026"/>
    <x v="0"/>
    <x v="3"/>
  </r>
  <r>
    <n v="834"/>
    <x v="23"/>
    <d v="2026-04-28T00:00:00"/>
    <x v="4"/>
    <s v="JH01KM-4371"/>
    <n v="9995059254"/>
    <s v="ERODE"/>
    <s v="VENDOR D,8911"/>
    <s v="RANCHI"/>
    <s v="24FEET"/>
    <n v="56160"/>
    <n v="137020"/>
    <n v="80860"/>
    <n v="56160"/>
    <n v="0"/>
    <s v="DONE"/>
    <s v="29"/>
    <m/>
    <s v="01-05-2026"/>
    <s v="02-05-2026"/>
    <x v="0"/>
    <x v="3"/>
  </r>
  <r>
    <n v="835"/>
    <x v="23"/>
    <d v="2026-04-30T00:00:00"/>
    <x v="4"/>
    <s v="JH01KR-9064"/>
    <n v="9902798068"/>
    <s v="RANCHI"/>
    <s v="NARSAPUR,9738"/>
    <s v="HOSKOTE,5078"/>
    <s v="32FEET"/>
    <n v="45630"/>
    <n v="66780"/>
    <n v="21150"/>
    <n v="45630"/>
    <n v="0"/>
    <s v="DONE"/>
    <s v="30"/>
    <m/>
    <s v="04-05-2026"/>
    <s v="04-05-2026"/>
    <x v="0"/>
    <x v="3"/>
  </r>
  <r>
    <n v="836"/>
    <x v="23"/>
    <d v="2026-04-30T00:00:00"/>
    <x v="4"/>
    <s v="JH01KM-8803"/>
    <n v="9040208667"/>
    <s v="RANCHI"/>
    <s v="-"/>
    <s v="NARSAPUR,9533"/>
    <s v="32FEET"/>
    <n v="44680"/>
    <n v="60480"/>
    <n v="15800"/>
    <n v="44680"/>
    <n v="0"/>
    <s v="DONE"/>
    <s v="31"/>
    <m/>
    <s v="04-05-2026"/>
    <s v="04-05-2026"/>
    <x v="0"/>
    <x v="3"/>
  </r>
  <r>
    <n v="837"/>
    <x v="24"/>
    <d v="2026-05-02T00:00:00"/>
    <x v="4"/>
    <s v="JH01KD-3958"/>
    <n v="9486716172"/>
    <s v="TIRUPPUR"/>
    <s v="VENDOR U,9329"/>
    <s v="RANCHI"/>
    <s v="32FEET"/>
    <n v="57300"/>
    <n v="144580"/>
    <n v="87280"/>
    <n v="57300"/>
    <n v="0"/>
    <s v="DONE"/>
    <s v="32"/>
    <m/>
    <s v="04-05-2026"/>
    <s v="05-05-2026"/>
    <x v="0"/>
    <x v="3"/>
  </r>
  <r>
    <n v="838"/>
    <x v="24"/>
    <d v="2026-05-03T00:00:00"/>
    <x v="4"/>
    <s v="JH01KD-6142"/>
    <n v="9793531306"/>
    <s v="RANCHI"/>
    <s v="NARSAPUR,7672"/>
    <s v="HOSKOTE,3260"/>
    <s v="32FEET"/>
    <n v="45630"/>
    <n v="66780"/>
    <n v="21150"/>
    <n v="45630"/>
    <n v="0"/>
    <s v="DONE"/>
    <s v="33"/>
    <m/>
    <m/>
    <m/>
    <x v="0"/>
    <x v="3"/>
  </r>
  <r>
    <n v="839"/>
    <x v="24"/>
    <d v="2026-05-05T00:00:00"/>
    <x v="4"/>
    <s v="JH01SA-4371"/>
    <n v="9995059254"/>
    <s v="RANCHI"/>
    <s v="NARSAPUR,9584 + HOSKOTE,4732"/>
    <s v="HASSAN,1317"/>
    <s v="32FEET"/>
    <n v="48130"/>
    <n v="83480"/>
    <n v="35350"/>
    <n v="48130"/>
    <n v="0"/>
    <s v="DONE"/>
    <s v="34"/>
    <m/>
    <m/>
    <m/>
    <x v="0"/>
    <x v="3"/>
  </r>
  <r>
    <n v="840"/>
    <x v="24"/>
    <d v="2026-05-05T00:00:00"/>
    <x v="4"/>
    <s v="JH01KR-9064"/>
    <n v="9902798068"/>
    <s v="TIRUPPUR"/>
    <s v="VENDOR L 5070 +  VENDOR B COIMBATORE,9546"/>
    <s v="RANCHI"/>
    <s v="32FEET"/>
    <n v="58240"/>
    <n v="150880"/>
    <n v="92640"/>
    <n v="58240"/>
    <n v="0"/>
    <s v="DONE"/>
    <s v="35"/>
    <m/>
    <m/>
    <m/>
    <x v="0"/>
    <x v="3"/>
  </r>
  <r>
    <n v="841"/>
    <x v="24"/>
    <d v="2026-05-06T00:00:00"/>
    <x v="4"/>
    <s v="JH01KM-8803"/>
    <n v="9040208667"/>
    <s v="TIRUPPUR"/>
    <s v="VENDOR U,6716"/>
    <s v="RANCHI"/>
    <s v="32FEET"/>
    <n v="57300"/>
    <n v="144580"/>
    <n v="87280"/>
    <n v="57300"/>
    <n v="0"/>
    <s v="DONE"/>
    <s v="36"/>
    <m/>
    <m/>
    <m/>
    <x v="0"/>
    <x v="3"/>
  </r>
  <r>
    <n v="842"/>
    <x v="24"/>
    <d v="2026-05-06T00:00:00"/>
    <x v="4"/>
    <s v="JH01KD-3958"/>
    <n v="9486716172"/>
    <s v="RANCHI"/>
    <s v="-"/>
    <s v="NARSAPUR,4322"/>
    <s v="32FEET"/>
    <n v="44680"/>
    <n v="60480"/>
    <n v="15800"/>
    <n v="44680"/>
    <n v="0"/>
    <s v="DONE"/>
    <s v="37"/>
    <m/>
    <m/>
    <m/>
    <x v="0"/>
    <x v="3"/>
  </r>
  <r>
    <n v="843"/>
    <x v="24"/>
    <d v="2026-05-07T00:00:00"/>
    <x v="4"/>
    <s v="JH01KD-2417"/>
    <n v="9793531306"/>
    <s v="RANCHI"/>
    <s v="NARSAPUR,6381"/>
    <s v="HOSKOTE,4240"/>
    <s v="32FEET"/>
    <n v="45630"/>
    <n v="66780"/>
    <n v="21150"/>
    <n v="45630"/>
    <n v="0"/>
    <s v="DONE"/>
    <s v="38"/>
    <m/>
    <m/>
    <m/>
    <x v="0"/>
    <x v="3"/>
  </r>
  <r>
    <n v="844"/>
    <x v="24"/>
    <d v="2026-05-08T00:00:00"/>
    <x v="4"/>
    <s v="JH01KD-6142"/>
    <n v="9220186371"/>
    <s v="TIRUPPUR"/>
    <s v="VENDOR U,7173"/>
    <s v="RANCHI"/>
    <s v="32FEET"/>
    <n v="57300"/>
    <n v="144580"/>
    <n v="87280"/>
    <n v="57300"/>
    <n v="0"/>
    <s v="DONE"/>
    <s v="39"/>
    <m/>
    <m/>
    <m/>
    <x v="0"/>
    <x v="3"/>
  </r>
  <r>
    <n v="845"/>
    <x v="24"/>
    <d v="2026-05-08T00:00:00"/>
    <x v="4"/>
    <s v="JH01KR-1695"/>
    <n v="9589264337"/>
    <s v="TIRUPPUR"/>
    <s v="VENDOR V,2077 + VENDOR U,2077"/>
    <s v="RANCHI"/>
    <s v="32FEET"/>
    <n v="58240"/>
    <n v="150880"/>
    <n v="92640"/>
    <n v="58240"/>
    <n v="0"/>
    <s v="DONE"/>
    <s v="40"/>
    <m/>
    <m/>
    <m/>
    <x v="0"/>
    <x v="3"/>
  </r>
  <r>
    <n v="846"/>
    <x v="24"/>
    <d v="2026-05-10T00:00:00"/>
    <x v="4"/>
    <s v="JH01KM-4371"/>
    <n v="9995059254"/>
    <s v="TIRUPPUR"/>
    <s v="VENDOR U,3961"/>
    <s v="RANCHI"/>
    <s v="32FEET"/>
    <n v="57300"/>
    <n v="144580"/>
    <n v="87280"/>
    <n v="57300"/>
    <n v="0"/>
    <s v="DONE"/>
    <s v="41"/>
    <m/>
    <m/>
    <m/>
    <x v="0"/>
    <x v="3"/>
  </r>
  <r>
    <n v="847"/>
    <x v="24"/>
    <d v="2026-05-10T00:00:00"/>
    <x v="4"/>
    <s v="JH01KD-3958"/>
    <n v="9486716172"/>
    <s v="TIRUPPUR"/>
    <s v="VENDOR U,4378"/>
    <s v="RANCHI"/>
    <s v="32FEET"/>
    <n v="57300"/>
    <n v="144580"/>
    <n v="87280"/>
    <n v="57300"/>
    <n v="0"/>
    <s v="DONE"/>
    <s v="42"/>
    <m/>
    <m/>
    <m/>
    <x v="0"/>
    <x v="3"/>
  </r>
  <r>
    <n v="848"/>
    <x v="24"/>
    <d v="2026-05-11T00:00:00"/>
    <x v="4"/>
    <s v="JH01KR-9064"/>
    <n v="9902798068"/>
    <s v="RANCHI"/>
    <s v="-"/>
    <s v="NARSAPUR,8361"/>
    <s v="32FEET"/>
    <n v="44680"/>
    <n v="60480"/>
    <n v="15800"/>
    <n v="44680"/>
    <n v="0"/>
    <s v="DONE"/>
    <s v="43"/>
    <m/>
    <m/>
    <m/>
    <x v="0"/>
    <x v="3"/>
  </r>
  <r>
    <n v="849"/>
    <x v="24"/>
    <d v="2026-05-12T00:00:00"/>
    <x v="4"/>
    <s v="JH01KD-6142"/>
    <n v="9220186371"/>
    <s v="RANCHI"/>
    <s v="NARSAPUR,6141"/>
    <s v="HOSKOTE,6086"/>
    <s v="32FEET"/>
    <n v="45630"/>
    <n v="66780"/>
    <n v="21150"/>
    <n v="45630"/>
    <n v="0"/>
    <s v="DONE"/>
    <s v="44"/>
    <m/>
    <m/>
    <m/>
    <x v="0"/>
    <x v="3"/>
  </r>
  <r>
    <n v="850"/>
    <x v="24"/>
    <d v="2026-05-14T00:00:00"/>
    <x v="4"/>
    <s v="JH01KR-1695"/>
    <n v="9589264337"/>
    <s v="RANCHI"/>
    <s v="-"/>
    <s v="NARSAPUR,2472"/>
    <s v="32FEET"/>
    <n v="44680"/>
    <n v="60480"/>
    <n v="15800"/>
    <n v="44680"/>
    <n v="0"/>
    <s v="DONE"/>
    <s v="45"/>
    <m/>
    <m/>
    <m/>
    <x v="0"/>
    <x v="3"/>
  </r>
  <r>
    <n v="851"/>
    <x v="24"/>
    <d v="2026-05-14T00:00:00"/>
    <x v="4"/>
    <s v="JH01KR-9064"/>
    <n v="9902798068"/>
    <s v="TIRUPPUR"/>
    <s v="VENDOR V 3815,+VENDOR H,8455"/>
    <s v="RANCHI"/>
    <s v="32FEET"/>
    <n v="58240"/>
    <n v="150880"/>
    <n v="92640"/>
    <n v="58240"/>
    <n v="0"/>
    <s v="DONE"/>
    <s v="46"/>
    <m/>
    <m/>
    <m/>
    <x v="0"/>
    <x v="3"/>
  </r>
  <r>
    <n v="852"/>
    <x v="24"/>
    <d v="2026-05-14T00:00:00"/>
    <x v="4"/>
    <s v="JH01KD-6142"/>
    <n v="9220186371"/>
    <s v="ERODE"/>
    <s v="VENDOR D,5366"/>
    <s v="RANCHI"/>
    <s v="32FEET"/>
    <n v="57300"/>
    <n v="144580"/>
    <n v="87280"/>
    <n v="57300"/>
    <n v="0"/>
    <s v="DONE"/>
    <s v="47"/>
    <m/>
    <m/>
    <m/>
    <x v="0"/>
    <x v="3"/>
  </r>
  <r>
    <n v="853"/>
    <x v="24"/>
    <d v="2026-05-14T00:00:00"/>
    <x v="4"/>
    <s v="JH01KD-2417"/>
    <n v="9793531306"/>
    <s v="TIRUPPUR"/>
    <s v="VENDOR U,737"/>
    <s v="RANCHI"/>
    <s v="32FEET"/>
    <n v="57300"/>
    <n v="144580"/>
    <n v="87280"/>
    <n v="57300"/>
    <n v="0"/>
    <s v="DONE"/>
    <s v="48"/>
    <m/>
    <m/>
    <m/>
    <x v="0"/>
    <x v="3"/>
  </r>
  <r>
    <n v="854"/>
    <x v="24"/>
    <d v="2026-05-15T00:00:00"/>
    <x v="4"/>
    <s v="JH01KM-4371"/>
    <n v="9995059254"/>
    <s v="RANCHI"/>
    <s v="-"/>
    <s v="NARSAPUR,6868"/>
    <s v="32FEET"/>
    <n v="44330"/>
    <n v="58120"/>
    <n v="13790"/>
    <n v="44330"/>
    <n v="0"/>
    <s v="DONE"/>
    <s v="49"/>
    <m/>
    <m/>
    <m/>
    <x v="0"/>
    <x v="3"/>
  </r>
  <r>
    <n v="855"/>
    <x v="24"/>
    <d v="2026-05-15T00:00:00"/>
    <x v="4"/>
    <s v="JH01KR-7230"/>
    <n v="9472230553"/>
    <s v="TIRUPPUR"/>
    <s v="VENDOR U,0695"/>
    <s v="RANCHI"/>
    <s v="32FEET"/>
    <n v="57300"/>
    <n v="144580"/>
    <n v="87280"/>
    <n v="57300"/>
    <n v="0"/>
    <s v="DONE"/>
    <s v="50"/>
    <m/>
    <m/>
    <m/>
    <x v="0"/>
    <x v="3"/>
  </r>
  <r>
    <n v="856"/>
    <x v="24"/>
    <d v="2026-05-19T00:00:00"/>
    <x v="4"/>
    <s v="JH01KR-5582"/>
    <n v="9281983602"/>
    <s v="RANCHI"/>
    <s v="NARSAPUR,1513"/>
    <s v="HOSKOTE,1184"/>
    <s v="32FEET"/>
    <n v="45630"/>
    <n v="66780"/>
    <n v="21150"/>
    <n v="45630"/>
    <n v="0"/>
    <s v="DONE"/>
    <s v="51"/>
    <m/>
    <m/>
    <m/>
    <x v="0"/>
    <x v="3"/>
  </r>
  <r>
    <n v="857"/>
    <x v="24"/>
    <d v="2026-05-19T00:00:00"/>
    <x v="4"/>
    <s v="JH01KD-2417"/>
    <n v="9793531306"/>
    <s v="RANCHI"/>
    <s v="-"/>
    <s v="NARSAPUR,8999"/>
    <s v="32FEET"/>
    <n v="44680"/>
    <n v="60480"/>
    <n v="15800"/>
    <n v="44680"/>
    <n v="0"/>
    <s v="DONE"/>
    <s v="52"/>
    <m/>
    <m/>
    <m/>
    <x v="0"/>
    <x v="3"/>
  </r>
  <r>
    <n v="858"/>
    <x v="24"/>
    <d v="2026-05-20T00:00:00"/>
    <x v="4"/>
    <s v="JH01KR-7230"/>
    <n v="9472230553"/>
    <s v="RANCHI"/>
    <s v="NARSAPUR,4508"/>
    <s v="HOSKOTE,6896"/>
    <s v="32FEET"/>
    <n v="45630"/>
    <n v="66780"/>
    <n v="21150"/>
    <n v="45630"/>
    <n v="0"/>
    <s v="DONE"/>
    <s v="53"/>
    <m/>
    <m/>
    <m/>
    <x v="0"/>
    <x v="3"/>
  </r>
  <r>
    <n v="859"/>
    <x v="24"/>
    <d v="2026-05-21T00:00:00"/>
    <x v="4"/>
    <s v="JH01KR-9064"/>
    <n v="9902798068"/>
    <s v="RANCHI"/>
    <s v="-"/>
    <s v="NARSAPUR,4863"/>
    <s v="32FEET"/>
    <n v="44680"/>
    <n v="60480"/>
    <n v="15800"/>
    <n v="44680"/>
    <n v="0"/>
    <s v="DONE"/>
    <s v="54"/>
    <m/>
    <m/>
    <m/>
    <x v="0"/>
    <x v="3"/>
  </r>
  <r>
    <n v="860"/>
    <x v="24"/>
    <d v="2026-05-21T00:00:00"/>
    <x v="4"/>
    <s v="JH01KM-4371"/>
    <n v="9995059254"/>
    <s v="TIRUPPUR"/>
    <s v="VENDOR U,2191 + VENDOR F,2253"/>
    <s v="RANCHI"/>
    <s v="32FEET"/>
    <n v="57110"/>
    <n v="143320"/>
    <n v="86210"/>
    <n v="57110"/>
    <n v="0"/>
    <s v="DONE"/>
    <s v="55"/>
    <m/>
    <m/>
    <m/>
    <x v="0"/>
    <x v="3"/>
  </r>
  <r>
    <n v="861"/>
    <x v="24"/>
    <d v="2026-05-22T00:00:00"/>
    <x v="4"/>
    <s v="JH01KD-2417"/>
    <n v="9793531306"/>
    <s v="ERODE"/>
    <s v="VENDOR F,597+VENDOR R ,100+VENDOR H,128"/>
    <s v="RANCHI"/>
    <s v="32FEET"/>
    <n v="59190"/>
    <n v="157180"/>
    <n v="97990"/>
    <n v="59190"/>
    <n v="0"/>
    <s v="DONE"/>
    <s v="56"/>
    <m/>
    <m/>
    <m/>
    <x v="0"/>
    <x v="3"/>
  </r>
  <r>
    <n v="862"/>
    <x v="24"/>
    <d v="2026-05-22T00:00:00"/>
    <x v="4"/>
    <s v="JH01KD-6142"/>
    <n v="9220186371"/>
    <s v="RANCHI"/>
    <s v="-"/>
    <s v="NARSAPUR,2173"/>
    <s v="32FEET"/>
    <n v="44680"/>
    <n v="60480"/>
    <n v="15800"/>
    <n v="44680"/>
    <n v="0"/>
    <s v="DONE"/>
    <s v="57"/>
    <m/>
    <m/>
    <m/>
    <x v="0"/>
    <x v="3"/>
  </r>
  <r>
    <n v="863"/>
    <x v="24"/>
    <d v="2026-05-22T00:00:00"/>
    <x v="4"/>
    <s v="JH01KM-8803"/>
    <n v="9040208667"/>
    <s v="RANCHI"/>
    <s v="-"/>
    <s v="NARSAPUR,5148"/>
    <s v="32FEET"/>
    <n v="44680"/>
    <n v="60480"/>
    <n v="15800"/>
    <n v="44680"/>
    <n v="0"/>
    <s v="DONE"/>
    <s v="58"/>
    <m/>
    <m/>
    <m/>
    <x v="0"/>
    <x v="3"/>
  </r>
  <r>
    <n v="864"/>
    <x v="24"/>
    <d v="2026-05-23T00:00:00"/>
    <x v="4"/>
    <s v="JH01KR-7230"/>
    <n v="9472230553"/>
    <s v="TIRUPPUR"/>
    <s v="VENDOR U,0148"/>
    <s v="RANCHI"/>
    <s v="32FEET"/>
    <n v="57300"/>
    <n v="144580"/>
    <n v="87280"/>
    <n v="57300"/>
    <n v="0"/>
    <s v="DONE"/>
    <s v="59"/>
    <m/>
    <m/>
    <m/>
    <x v="0"/>
    <x v="3"/>
  </r>
  <r>
    <n v="865"/>
    <x v="24"/>
    <d v="2026-05-23T00:00:00"/>
    <x v="4"/>
    <s v="JH01KR-5582"/>
    <n v="9281983602"/>
    <s v="TIRUPPUR"/>
    <s v="VENDOR V,9972"/>
    <s v="RANCHI"/>
    <s v="32FEET"/>
    <n v="57300"/>
    <n v="144580"/>
    <n v="87280"/>
    <n v="57300"/>
    <n v="0"/>
    <s v="DONE"/>
    <s v="60"/>
    <m/>
    <m/>
    <m/>
    <x v="0"/>
    <x v="3"/>
  </r>
  <r>
    <n v="866"/>
    <x v="24"/>
    <d v="2026-05-23T00:00:00"/>
    <x v="4"/>
    <s v="JH01KR-1695"/>
    <n v="9589264337"/>
    <s v="RANCHI"/>
    <s v="-"/>
    <s v="NARSAPUR,7276"/>
    <s v="32FEET"/>
    <n v="44680"/>
    <n v="60480"/>
    <n v="15800"/>
    <n v="44680"/>
    <m/>
    <s v="DONE"/>
    <s v="61"/>
    <m/>
    <m/>
    <m/>
    <x v="0"/>
    <x v="3"/>
  </r>
  <r>
    <n v="867"/>
    <x v="24"/>
    <d v="2026-05-23T00:00:00"/>
    <x v="4"/>
    <s v="JH01KM-4371"/>
    <n v="9995059254"/>
    <s v="RANCHI"/>
    <s v="-"/>
    <s v="NARSAPUR,9005"/>
    <s v="24FEET"/>
    <n v="44330"/>
    <n v="58120"/>
    <n v="13790"/>
    <n v="44330"/>
    <m/>
    <s v="DONE"/>
    <s v="62"/>
    <m/>
    <m/>
    <m/>
    <x v="0"/>
    <x v="3"/>
  </r>
  <r>
    <n v="868"/>
    <x v="24"/>
    <d v="2026-05-26T00:00:00"/>
    <x v="4"/>
    <s v="JH01KR-5582"/>
    <n v="9281983602"/>
    <s v="RANCHI"/>
    <s v="-"/>
    <s v="NARSAPUR,4872"/>
    <s v="32FEET"/>
    <n v="44680"/>
    <n v="60480"/>
    <n v="15800"/>
    <n v="44680"/>
    <n v="0"/>
    <s v="DONE"/>
    <s v="63"/>
    <m/>
    <m/>
    <m/>
    <x v="0"/>
    <x v="3"/>
  </r>
  <r>
    <n v="869"/>
    <x v="24"/>
    <d v="2026-05-26T00:00:00"/>
    <x v="4"/>
    <s v="JH01KD-2417"/>
    <n v="9793531306"/>
    <s v="RANCHI"/>
    <s v="-"/>
    <s v="NARSAPUR,1725"/>
    <s v="32FEET"/>
    <n v="44680"/>
    <n v="60480"/>
    <n v="15800"/>
    <n v="44680"/>
    <n v="0"/>
    <s v="DONE"/>
    <s v="64"/>
    <m/>
    <m/>
    <m/>
    <x v="0"/>
    <x v="3"/>
  </r>
  <r>
    <n v="870"/>
    <x v="24"/>
    <d v="2026-05-27T00:00:00"/>
    <x v="4"/>
    <s v="JH01KD-6142"/>
    <n v="9220186371"/>
    <s v="TIRUPPUR"/>
    <s v="VENDOR V,6914"/>
    <s v="RANCHI"/>
    <s v="32FEET"/>
    <n v="57300"/>
    <n v="144580"/>
    <n v="87280"/>
    <n v="57300"/>
    <n v="0"/>
    <s v="DONE"/>
    <s v="65"/>
    <m/>
    <m/>
    <m/>
    <x v="0"/>
    <x v="3"/>
  </r>
  <r>
    <n v="871"/>
    <x v="24"/>
    <d v="2026-05-27T00:00:00"/>
    <x v="4"/>
    <s v="JH01KR-7230"/>
    <n v="9472230553"/>
    <s v="RANCHI"/>
    <s v="NARSAPUR,3037"/>
    <s v="HOSKOTE,4249"/>
    <s v="32FEET"/>
    <n v="45630"/>
    <n v="66780"/>
    <n v="21150"/>
    <n v="45630"/>
    <n v="0"/>
    <s v="DONE"/>
    <s v="66"/>
    <m/>
    <m/>
    <m/>
    <x v="0"/>
    <x v="3"/>
  </r>
  <r>
    <n v="872"/>
    <x v="24"/>
    <d v="2026-05-28T00:00:00"/>
    <x v="4"/>
    <s v="JH01KD-0526"/>
    <n v="9220186371"/>
    <s v="RANCHI"/>
    <s v="-"/>
    <s v="NARSAPUR,6976"/>
    <s v="32FEET"/>
    <n v="44680"/>
    <n v="60480"/>
    <n v="15800"/>
    <n v="44680"/>
    <n v="0"/>
    <s v="DONE"/>
    <s v="67"/>
    <m/>
    <m/>
    <m/>
    <x v="0"/>
    <x v="3"/>
  </r>
  <r>
    <n v="873"/>
    <x v="24"/>
    <d v="2026-05-28T00:00:00"/>
    <x v="4"/>
    <s v="JH01KD-3958"/>
    <n v="9486716172"/>
    <s v="TIRUPPUR"/>
    <s v="VENDOR U,1180 + VENDOR F,8461"/>
    <s v="RANCHI"/>
    <s v="32FEET"/>
    <n v="58240"/>
    <n v="150880"/>
    <n v="92640"/>
    <n v="58240"/>
    <n v="0"/>
    <s v="DONE"/>
    <s v="68"/>
    <m/>
    <m/>
    <m/>
    <x v="0"/>
    <x v="3"/>
  </r>
  <r>
    <n v="874"/>
    <x v="24"/>
    <d v="2026-05-29T00:00:00"/>
    <x v="4"/>
    <s v="JH01KD-6142"/>
    <n v="9025368773"/>
    <s v="RANCHI"/>
    <s v="NARSAPUR,3488"/>
    <s v="HOSKOTE,4554"/>
    <s v="32FEET"/>
    <n v="45630"/>
    <n v="66780"/>
    <n v="21150"/>
    <n v="45630"/>
    <n v="0"/>
    <s v="DONE"/>
    <s v="69"/>
    <m/>
    <m/>
    <m/>
    <x v="0"/>
    <x v="3"/>
  </r>
  <r>
    <n v="875"/>
    <x v="24"/>
    <d v="2026-05-31T00:00:00"/>
    <x v="4"/>
    <s v="JH01KM-8803"/>
    <n v="9040208667"/>
    <s v="RANCHI"/>
    <s v="NARSAPUR,3603"/>
    <s v="HOSKOTE,2067"/>
    <s v="32FEET"/>
    <n v="45630"/>
    <n v="66780"/>
    <n v="21150"/>
    <n v="45630"/>
    <n v="0"/>
    <s v="DONE"/>
    <s v="70"/>
    <m/>
    <m/>
    <m/>
    <x v="0"/>
    <x v="3"/>
  </r>
  <r>
    <n v="876"/>
    <x v="24"/>
    <d v="2026-05-31T00:00:00"/>
    <x v="4"/>
    <s v="JH01KM-4371"/>
    <n v="9995059254"/>
    <s v="TIRUPPUR"/>
    <s v="VENDOR U,8533"/>
    <s v="RANCHI"/>
    <s v="24FEET"/>
    <n v="56160"/>
    <n v="137020"/>
    <n v="80860"/>
    <n v="56160"/>
    <m/>
    <s v="DONE"/>
    <s v="71"/>
    <m/>
    <m/>
    <m/>
    <x v="0"/>
    <x v="3"/>
  </r>
  <r>
    <n v="877"/>
    <x v="25"/>
    <d v="2026-06-02T00:00:00"/>
    <x v="4"/>
    <s v="JH01KD-3958"/>
    <n v="9486716172"/>
    <s v="RANCHI"/>
    <s v="NARSAPUR,5561"/>
    <s v="HOSKOTE,4513"/>
    <s v="32FEET"/>
    <n v="45630"/>
    <n v="66780"/>
    <n v="21150"/>
    <n v="45630"/>
    <n v="0"/>
    <s v="DONE"/>
    <s v="72"/>
    <m/>
    <m/>
    <m/>
    <x v="0"/>
    <x v="3"/>
  </r>
  <r>
    <n v="878"/>
    <x v="25"/>
    <d v="2026-06-03T00:00:00"/>
    <x v="4"/>
    <s v="JH01KD-0526"/>
    <n v="9220186371"/>
    <s v="TIRUPPUR"/>
    <s v="VENDOR U,0911"/>
    <s v="RANCHI"/>
    <s v="32FEET"/>
    <n v="57300"/>
    <n v="144580"/>
    <n v="87280"/>
    <n v="57300"/>
    <n v="0"/>
    <s v="DONE"/>
    <s v="73"/>
    <m/>
    <m/>
    <m/>
    <x v="0"/>
    <x v="3"/>
  </r>
  <r>
    <n v="879"/>
    <x v="25"/>
    <d v="2026-06-03T00:00:00"/>
    <x v="4"/>
    <s v="JH01KR-1695"/>
    <n v="9589264337"/>
    <s v="RANCHI"/>
    <s v="NARSAPUR,3424"/>
    <s v="HOSKOTE,1762"/>
    <s v="32FEET"/>
    <n v="45630"/>
    <n v="66780"/>
    <n v="21150"/>
    <n v="45630"/>
    <n v="0"/>
    <s v="DONE"/>
    <s v="74"/>
    <m/>
    <m/>
    <m/>
    <x v="0"/>
    <x v="3"/>
  </r>
  <r>
    <n v="880"/>
    <x v="25"/>
    <d v="2026-06-04T00:00:00"/>
    <x v="4"/>
    <s v="JH01KD-6142"/>
    <n v="9025368773"/>
    <s v="TIRUPPUR"/>
    <s v="VENDOR U 7904 + VENDOR V,9151"/>
    <s v="RANCHI"/>
    <s v="32FEET"/>
    <n v="58240"/>
    <n v="150880"/>
    <n v="92640"/>
    <n v="58240"/>
    <n v="0"/>
    <s v="DONE"/>
    <s v="75"/>
    <m/>
    <m/>
    <m/>
    <x v="0"/>
    <x v="3"/>
  </r>
  <r>
    <n v="881"/>
    <x v="25"/>
    <d v="2026-06-04T00:00:00"/>
    <x v="4"/>
    <s v="JH01KM-4371"/>
    <n v="9995059254"/>
    <s v="RANCHI"/>
    <s v="NARSAPUR,5477"/>
    <s v="HOSKOTE,8010"/>
    <s v="24FEET"/>
    <n v="45270"/>
    <n v="64420"/>
    <n v="19150"/>
    <n v="45270"/>
    <n v="0"/>
    <s v="DONE"/>
    <s v="76"/>
    <m/>
    <m/>
    <m/>
    <x v="0"/>
    <x v="3"/>
  </r>
  <r>
    <n v="882"/>
    <x v="25"/>
    <d v="2026-06-05T00:00:00"/>
    <x v="4"/>
    <s v="JH01KM-8803"/>
    <n v="9040208667"/>
    <s v="TIRUPPUR"/>
    <s v="VENDOR U,2241"/>
    <s v="RANCHI"/>
    <s v="32FEET"/>
    <n v="57300"/>
    <n v="144580"/>
    <n v="87280"/>
    <n v="57300"/>
    <n v="0"/>
    <s v="DONE"/>
    <s v="77"/>
    <m/>
    <m/>
    <m/>
    <x v="0"/>
    <x v="3"/>
  </r>
  <r>
    <n v="883"/>
    <x v="25"/>
    <d v="2026-06-06T00:00:00"/>
    <x v="4"/>
    <s v="JH01KD-0526"/>
    <n v="9220186371"/>
    <s v="RANCHI"/>
    <s v="-"/>
    <s v="NARSAPUR,3330"/>
    <s v="32FEET"/>
    <n v="44680"/>
    <n v="60480"/>
    <n v="15800"/>
    <n v="44680"/>
    <n v="0"/>
    <s v="DONE"/>
    <s v="78"/>
    <m/>
    <m/>
    <m/>
    <x v="0"/>
    <x v="3"/>
  </r>
  <r>
    <n v="884"/>
    <x v="25"/>
    <d v="2026-06-06T00:00:00"/>
    <x v="4"/>
    <s v="JH01KD-6142"/>
    <n v="9025368773"/>
    <s v="RANCHI"/>
    <s v="-"/>
    <s v="HOSKOTE,0411"/>
    <s v="32FEET"/>
    <n v="44680"/>
    <n v="60480"/>
    <n v="15800"/>
    <n v="44680"/>
    <n v="0"/>
    <s v="DONE"/>
    <s v="79"/>
    <m/>
    <m/>
    <m/>
    <x v="0"/>
    <x v="3"/>
  </r>
  <r>
    <n v="885"/>
    <x v="25"/>
    <d v="2026-06-07T00:00:00"/>
    <x v="4"/>
    <s v="JH01KD-3958"/>
    <n v="9486716172"/>
    <s v="TIRUPPUR"/>
    <s v="VENDOR U,6346"/>
    <s v="RANCHI"/>
    <s v="32FEET"/>
    <n v="57300"/>
    <n v="144580"/>
    <n v="87280"/>
    <n v="57300"/>
    <n v="0"/>
    <s v="DONE"/>
    <s v="80"/>
    <m/>
    <m/>
    <m/>
    <x v="0"/>
    <x v="3"/>
  </r>
  <r>
    <n v="886"/>
    <x v="25"/>
    <d v="2026-06-09T00:00:00"/>
    <x v="4"/>
    <s v="JH01KM-8803"/>
    <n v="9040208667"/>
    <s v="RANCHI"/>
    <s v="NARSAPUR,4268"/>
    <s v="HOSKOTE,9814"/>
    <s v="32FEET"/>
    <n v="45630"/>
    <n v="66780"/>
    <n v="21150"/>
    <n v="45630"/>
    <n v="0"/>
    <s v="DONE"/>
    <s v="82"/>
    <m/>
    <m/>
    <m/>
    <x v="0"/>
    <x v="3"/>
  </r>
  <r>
    <n v="887"/>
    <x v="25"/>
    <d v="2026-06-09T00:00:00"/>
    <x v="4"/>
    <s v="JH01KR-7230"/>
    <n v="9182842770"/>
    <s v="RANCHI"/>
    <s v="NARSAPUR,2239"/>
    <s v="HOSKOTE,3400"/>
    <s v="32FEET"/>
    <n v="45630"/>
    <n v="66780"/>
    <n v="21150"/>
    <n v="45630"/>
    <n v="0"/>
    <s v="DONE"/>
    <s v="83"/>
    <m/>
    <m/>
    <m/>
    <x v="0"/>
    <x v="3"/>
  </r>
  <r>
    <n v="888"/>
    <x v="25"/>
    <d v="2026-06-10T00:00:00"/>
    <x v="4"/>
    <s v="JH01KD-3958"/>
    <n v="9486716172"/>
    <s v="RANCHI"/>
    <s v="NARSAPUR,5837"/>
    <s v="HOSKOTE,8170"/>
    <s v="32FEET"/>
    <n v="45630"/>
    <n v="66780"/>
    <n v="21150"/>
    <n v="45630"/>
    <n v="0"/>
    <s v="DONE"/>
    <s v="84"/>
    <m/>
    <s v="13-06-2026"/>
    <s v="13-06-2026"/>
    <x v="0"/>
    <x v="3"/>
  </r>
  <r>
    <n v="889"/>
    <x v="25"/>
    <d v="2026-06-11T00:00:00"/>
    <x v="4"/>
    <s v="JH01KM-4371"/>
    <n v="9995059254"/>
    <s v="TIRUPPUR"/>
    <s v="VENDOR E,6429 + VENDOR U,0830"/>
    <s v="RANCHI"/>
    <s v="24FEET"/>
    <n v="57110"/>
    <n v="143320"/>
    <n v="86210"/>
    <n v="57110"/>
    <n v="0"/>
    <s v="DONE"/>
    <s v="85"/>
    <m/>
    <s v="13-06-2026"/>
    <s v="13-06-2026"/>
    <x v="0"/>
    <x v="3"/>
  </r>
  <r>
    <n v="890"/>
    <x v="25"/>
    <d v="2026-06-12T00:00:00"/>
    <x v="4"/>
    <s v="JH01KD-0526"/>
    <n v="9220186371"/>
    <s v="TIRUPPUR"/>
    <s v="VENDOR V,6312 +  VENDOR F,5437"/>
    <s v="RANCHI"/>
    <s v="32FEET"/>
    <n v="58240"/>
    <n v="150880"/>
    <n v="92640"/>
    <n v="58240"/>
    <n v="0"/>
    <s v="DONE"/>
    <s v="86"/>
    <m/>
    <s v="14-06-2026"/>
    <s v="15-06-2026"/>
    <x v="0"/>
    <x v="3"/>
  </r>
  <r>
    <n v="891"/>
    <x v="25"/>
    <d v="2026-06-12T00:00:00"/>
    <x v="4"/>
    <s v="JH01KR-1695"/>
    <n v="9068805165"/>
    <s v="RANCHI"/>
    <m/>
    <s v="NARSAPUR,0796"/>
    <s v="32FEET"/>
    <n v="44680"/>
    <n v="60480"/>
    <n v="15800"/>
    <n v="44680"/>
    <n v="0"/>
    <s v="DONE"/>
    <s v="87"/>
    <m/>
    <s v="14-06-2026"/>
    <s v="15-06-2026"/>
    <x v="0"/>
    <x v="3"/>
  </r>
  <r>
    <n v="892"/>
    <x v="25"/>
    <d v="2026-06-12T00:00:00"/>
    <x v="4"/>
    <s v="TN21UX-4481"/>
    <n v="9251616350"/>
    <s v="RANCHI"/>
    <s v="NARSAPUR,6191"/>
    <s v="HOSKOTE,0796"/>
    <s v="32FEET"/>
    <n v="45630"/>
    <n v="66780"/>
    <n v="21150"/>
    <n v="45630"/>
    <n v="0"/>
    <s v="DONE"/>
    <s v="88"/>
    <m/>
    <s v="15-06-2026"/>
    <s v="16-06-2026"/>
    <x v="0"/>
    <x v="3"/>
  </r>
  <r>
    <n v="893"/>
    <x v="25"/>
    <d v="2026-06-13T00:00:00"/>
    <x v="4"/>
    <s v="JH01KM-8803"/>
    <n v="9040208667"/>
    <s v="TIRUPPUR"/>
    <s v="VENDOR U,2338 + VENDOR F,4553"/>
    <s v="RANCHI"/>
    <s v="32FEET"/>
    <n v="58240"/>
    <n v="150880"/>
    <n v="92640"/>
    <n v="58240"/>
    <n v="0"/>
    <s v="DONE"/>
    <s v="89"/>
    <m/>
    <s v="17-06-2026"/>
    <s v="17-06-2026"/>
    <x v="0"/>
    <x v="3"/>
  </r>
  <r>
    <n v="894"/>
    <x v="25"/>
    <d v="2026-06-13T00:00:00"/>
    <x v="4"/>
    <s v="JH01KR-5582"/>
    <n v="9935813519"/>
    <s v="RANCHI"/>
    <s v="NARSAPUR,3615"/>
    <s v="HOSKOTE,1074"/>
    <s v="32FEET"/>
    <n v="45630"/>
    <n v="66780"/>
    <n v="21150"/>
    <n v="45630"/>
    <n v="0"/>
    <s v="DONE"/>
    <s v="90"/>
    <m/>
    <s v="15-06-2026"/>
    <s v="16-06-2026"/>
    <x v="0"/>
    <x v="3"/>
  </r>
  <r>
    <n v="895"/>
    <x v="25"/>
    <d v="2026-06-13T00:00:00"/>
    <x v="4"/>
    <s v="JH01KR-9064"/>
    <n v="9380803043"/>
    <s v="RANCHI"/>
    <s v="NARSAPUR,1533"/>
    <s v="HOSKOTE,8449"/>
    <s v="32FEET"/>
    <n v="45630"/>
    <n v="66780"/>
    <n v="21150"/>
    <n v="45630"/>
    <n v="0"/>
    <s v="DONE"/>
    <s v="91"/>
    <m/>
    <s v="16-06-2026"/>
    <s v="17-06-2026"/>
    <x v="0"/>
    <x v="3"/>
  </r>
  <r>
    <n v="896"/>
    <x v="25"/>
    <d v="2026-06-16T00:00:00"/>
    <x v="4"/>
    <s v="JH01KM-4371"/>
    <n v="9995059254"/>
    <s v="RANCHI"/>
    <s v="-"/>
    <s v="NARSAPUR,0081"/>
    <s v="24FEET"/>
    <n v="44330"/>
    <n v="58120"/>
    <n v="13790"/>
    <n v="44330"/>
    <n v="0"/>
    <s v="DONE"/>
    <s v="92"/>
    <m/>
    <s v="19-06-2026"/>
    <s v="19-06-2026"/>
    <x v="0"/>
    <x v="3"/>
  </r>
  <r>
    <n v="897"/>
    <x v="25"/>
    <d v="2026-06-16T00:00:00"/>
    <x v="4"/>
    <s v="JH01KR-1695"/>
    <n v="9068805165"/>
    <s v="TIRUPPUR"/>
    <s v="VENDOR V,7872 + VENDOR F,5031"/>
    <s v="RANCHI"/>
    <s v="32FEET"/>
    <n v="58240"/>
    <n v="150880"/>
    <n v="92640"/>
    <n v="58240"/>
    <n v="0"/>
    <s v="DONE"/>
    <s v="93"/>
    <m/>
    <s v="19-06-2026"/>
    <s v="19-06-2026"/>
    <x v="0"/>
    <x v="3"/>
  </r>
  <r>
    <n v="898"/>
    <x v="25"/>
    <d v="2026-06-17T00:00:00"/>
    <x v="4"/>
    <s v="JH01KD-0526"/>
    <n v="9220186371"/>
    <s v="RANCHI"/>
    <s v="NARSAPUR,4513"/>
    <s v="HOSKOTE,2067"/>
    <s v="32FEET"/>
    <n v="45630"/>
    <n v="66780"/>
    <n v="21150"/>
    <n v="45630"/>
    <n v="0"/>
    <s v="DONE"/>
    <s v="94"/>
    <m/>
    <s v="19-06-2026"/>
    <s v="20-06-2026"/>
    <x v="0"/>
    <x v="3"/>
  </r>
  <r>
    <n v="899"/>
    <x v="25"/>
    <d v="2026-06-17T00:00:00"/>
    <x v="4"/>
    <s v="JH01KM-8803"/>
    <n v="9040208667"/>
    <s v="RANCHI"/>
    <s v="-"/>
    <s v="NARSAPUR,5561"/>
    <s v="32FEET"/>
    <n v="44680"/>
    <n v="60480"/>
    <n v="15800"/>
    <n v="44680"/>
    <n v="0"/>
    <s v="DONE"/>
    <s v="95"/>
    <m/>
    <s v="20-06-2026"/>
    <s v="20-06-2026"/>
    <x v="0"/>
    <x v="3"/>
  </r>
  <r>
    <n v="900"/>
    <x v="25"/>
    <d v="2026-06-18T00:00:00"/>
    <x v="4"/>
    <s v="JH01KD-3958"/>
    <n v="9486716172"/>
    <s v="TIRUPPUR"/>
    <s v="VENDOR E,8611 + VENDOR U,7671"/>
    <s v="RANCHI"/>
    <s v="32FEET"/>
    <n v="58240"/>
    <n v="150880"/>
    <n v="92640"/>
    <n v="58240"/>
    <n v="0"/>
    <s v="DONE"/>
    <s v="96"/>
    <m/>
    <s v="20-06-2026"/>
    <s v="20-06-2026"/>
    <x v="0"/>
    <x v="3"/>
  </r>
  <r>
    <n v="901"/>
    <x v="25"/>
    <d v="2026-06-19T00:00:00"/>
    <x v="4"/>
    <s v="JH01KD-2417"/>
    <n v="9793531306"/>
    <s v="RANCHI"/>
    <s v="NARSAPUR,8829"/>
    <s v="HOSKOTE,0707"/>
    <s v="32FEET"/>
    <n v="45630"/>
    <n v="66780"/>
    <n v="21150"/>
    <n v="45630"/>
    <n v="0"/>
    <s v="DONE"/>
    <s v="97"/>
    <m/>
    <s v="22-06-2026"/>
    <s v="22-06-2026"/>
    <x v="0"/>
    <x v="3"/>
  </r>
  <r>
    <n v="902"/>
    <x v="25"/>
    <d v="2026-06-19T00:00:00"/>
    <x v="4"/>
    <s v="JH01KR-1695"/>
    <n v="9068805165"/>
    <s v="RANCHI"/>
    <s v="NARSAPUR,6454"/>
    <s v="HOSKOTE,5375"/>
    <s v="32FEET"/>
    <n v="45630"/>
    <n v="66780"/>
    <n v="21150"/>
    <n v="45630"/>
    <n v="0"/>
    <s v="DONE"/>
    <s v="98"/>
    <m/>
    <s v="22-06-2026"/>
    <s v="23-06-2026"/>
    <x v="0"/>
    <x v="3"/>
  </r>
  <r>
    <n v="903"/>
    <x v="25"/>
    <d v="2026-06-20T00:00:00"/>
    <x v="4"/>
    <s v="JH01KR-9064"/>
    <n v="9380803043"/>
    <s v="TIRUPPUR"/>
    <s v="VENDOR C,2580 + VENDOR F,1927 + VENDOR U,5117"/>
    <s v="RANCHI"/>
    <s v="32FEET"/>
    <n v="59190"/>
    <n v="157180"/>
    <n v="97990"/>
    <n v="59190"/>
    <n v="0"/>
    <s v="DONE"/>
    <s v="99"/>
    <m/>
    <s v="23-06-2026"/>
    <s v="23-06-2026"/>
    <x v="0"/>
    <x v="3"/>
  </r>
  <r>
    <n v="904"/>
    <x v="25"/>
    <d v="2026-06-20T00:00:00"/>
    <x v="4"/>
    <s v="JH01KM-4371"/>
    <n v="9995059254"/>
    <s v="TIRUPPUR"/>
    <s v="VENDOR V ,0065 + VENDOR U,8276"/>
    <s v="RANCHI"/>
    <s v="24FEET"/>
    <n v="57110"/>
    <n v="143320"/>
    <n v="86210"/>
    <n v="57110"/>
    <n v="0"/>
    <s v="DONE"/>
    <s v="100"/>
    <m/>
    <s v="23-06-2026"/>
    <s v="23-06-2026"/>
    <x v="0"/>
    <x v="3"/>
  </r>
  <r>
    <n v="905"/>
    <x v="25"/>
    <d v="2026-06-21T00:00:00"/>
    <x v="4"/>
    <s v="JH01KM-8803"/>
    <n v="9040208667"/>
    <s v="TIRUPPUR"/>
    <s v="VENDOR U,9690"/>
    <s v="RANCHI"/>
    <s v="32FEET"/>
    <n v="57300"/>
    <n v="144580"/>
    <n v="87280"/>
    <n v="57300"/>
    <n v="0"/>
    <s v="DONE"/>
    <s v="101"/>
    <m/>
    <s v="24-06-2026"/>
    <s v="24-06-2026"/>
    <x v="0"/>
    <x v="3"/>
  </r>
  <r>
    <n v="906"/>
    <x v="25"/>
    <d v="2026-06-21T00:00:00"/>
    <x v="4"/>
    <s v="JH01KD-3958"/>
    <n v="9486716172"/>
    <s v="RANCHI"/>
    <s v="-"/>
    <s v="NARSAPUR,6394"/>
    <s v="32FEET"/>
    <n v="44680"/>
    <n v="60480"/>
    <n v="15800"/>
    <n v="44680"/>
    <n v="0"/>
    <s v="DONE"/>
    <s v="102"/>
    <m/>
    <s v="23-06-2026"/>
    <s v="23-06-2026"/>
    <x v="0"/>
    <x v="3"/>
  </r>
  <r>
    <n v="907"/>
    <x v="25"/>
    <d v="2026-06-21T00:00:00"/>
    <x v="4"/>
    <s v="JH01KR-7230"/>
    <n v="9182842770"/>
    <s v="RANCHI"/>
    <s v="NARSAPUR,6403"/>
    <s v="HOSKOTE,5540"/>
    <s v="32FEET"/>
    <n v="45630"/>
    <n v="66780"/>
    <n v="21150"/>
    <n v="45630"/>
    <n v="0"/>
    <s v="DONE"/>
    <s v="103"/>
    <m/>
    <s v="23-06-2026"/>
    <s v="24-06-2026"/>
    <x v="0"/>
    <x v="3"/>
  </r>
  <r>
    <n v="910"/>
    <x v="25"/>
    <d v="2026-06-23T00:00:00"/>
    <x v="4"/>
    <s v="JH01KD-6142"/>
    <n v="9025368773"/>
    <s v="RANCHI"/>
    <s v="NARSAPUR,6773"/>
    <s v="HOSKOTE,0625"/>
    <s v="32FEET"/>
    <n v="45630"/>
    <n v="66780"/>
    <n v="21150"/>
    <n v="45630"/>
    <n v="0"/>
    <s v="DONE"/>
    <s v="104"/>
    <m/>
    <s v="26-06-2026"/>
    <s v="26-06-2026"/>
    <x v="0"/>
    <x v="3"/>
  </r>
  <r>
    <n v="911"/>
    <x v="25"/>
    <d v="2026-06-24T00:00:00"/>
    <x v="4"/>
    <s v="JH01KR-5582"/>
    <n v="9935813519"/>
    <s v="RANCHI"/>
    <s v="NARSAPUR,2984"/>
    <s v="HOSKOTE,7091"/>
    <s v="32FEET"/>
    <n v="45630"/>
    <n v="66780"/>
    <n v="21150"/>
    <n v="45630"/>
    <n v="0"/>
    <s v="DONE"/>
    <s v="105"/>
    <m/>
    <s v="26-06-2026"/>
    <s v="26-06-2026"/>
    <x v="0"/>
    <x v="3"/>
  </r>
  <r>
    <n v="912"/>
    <x v="25"/>
    <d v="2026-06-24T00:00:00"/>
    <x v="4"/>
    <s v="JH01KM-4371"/>
    <n v="9995059254"/>
    <s v="RANCHI"/>
    <s v="NARSAPUR,8779"/>
    <s v="HOSKOTE,3164"/>
    <s v="24FEET"/>
    <n v="45270"/>
    <n v="64420"/>
    <n v="19150"/>
    <n v="45270"/>
    <n v="0"/>
    <s v="DONE"/>
    <s v="106"/>
    <m/>
    <s v="27-06-2026"/>
    <s v="27-06-2026"/>
    <x v="0"/>
    <x v="3"/>
  </r>
  <r>
    <n v="913"/>
    <x v="25"/>
    <d v="2026-06-24T00:00:00"/>
    <x v="4"/>
    <s v="JH01KD-3958"/>
    <n v="9486716172"/>
    <s v="TIRUPPUR"/>
    <s v="VENDOR V,3304"/>
    <s v="RANCHI"/>
    <s v="32FEET"/>
    <n v="57300"/>
    <n v="144580"/>
    <n v="87280"/>
    <n v="57300"/>
    <n v="0"/>
    <s v="DONE"/>
    <s v="107"/>
    <m/>
    <s v="27-06-2026"/>
    <s v="27-06-2026"/>
    <x v="0"/>
    <x v="3"/>
  </r>
  <r>
    <n v="914"/>
    <x v="25"/>
    <d v="2026-06-25T00:00:00"/>
    <x v="4"/>
    <s v="JH01KR-1695"/>
    <n v="9068805165"/>
    <s v="TIRUPPUR"/>
    <s v="VENDOR E ,0965 + VENDOR U,0792"/>
    <s v="RANCHI"/>
    <s v="32FEET"/>
    <n v="58240"/>
    <n v="150880"/>
    <n v="92640"/>
    <n v="58240"/>
    <n v="0"/>
    <s v="DONE"/>
    <s v="108"/>
    <m/>
    <s v="27-06-2026"/>
    <s v="27-06-2026"/>
    <x v="0"/>
    <x v="3"/>
  </r>
  <r>
    <n v="915"/>
    <x v="25"/>
    <d v="2026-06-25T00:00:00"/>
    <x v="4"/>
    <s v="JH01KM-8803"/>
    <n v="9040208667"/>
    <s v="RANCHI"/>
    <s v="NARSAPUR,8958"/>
    <s v="HOSKOTE,2389"/>
    <s v="32FEET"/>
    <n v="45630"/>
    <n v="66780"/>
    <n v="21150"/>
    <n v="45630"/>
    <n v="0"/>
    <s v="DONE"/>
    <s v="109"/>
    <m/>
    <s v="27-06-2026"/>
    <s v="27-06-2026"/>
    <x v="0"/>
    <x v="3"/>
  </r>
  <r>
    <n v="916"/>
    <x v="25"/>
    <d v="2026-06-25T00:00:00"/>
    <x v="4"/>
    <s v="JH01KD-2417"/>
    <n v="9793531306"/>
    <s v="TIRUPPUR"/>
    <s v="VENDOR U,1309"/>
    <s v="RANCHI"/>
    <s v="32FEET"/>
    <n v="57300"/>
    <n v="144580"/>
    <n v="87280"/>
    <n v="57300"/>
    <n v="0"/>
    <s v="DONE"/>
    <s v="110"/>
    <m/>
    <s v="28-06-2026"/>
    <s v="29-06-2026"/>
    <x v="0"/>
    <x v="3"/>
  </r>
  <r>
    <n v="917"/>
    <x v="25"/>
    <d v="2026-06-27T00:00:00"/>
    <x v="4"/>
    <s v="JH01KR-1695"/>
    <n v="9068805165"/>
    <s v="RANCHI"/>
    <s v="NARSAPUR,1941"/>
    <s v="HOSKOTE,7683"/>
    <s v="32FEET"/>
    <n v="45630"/>
    <n v="66780"/>
    <n v="21150"/>
    <n v="45630"/>
    <n v="0"/>
    <s v="DONE"/>
    <s v="111"/>
    <m/>
    <s v="30-06-2026"/>
    <s v="30-06-2026"/>
    <x v="0"/>
    <x v="3"/>
  </r>
  <r>
    <n v="918"/>
    <x v="25"/>
    <d v="2026-06-27T00:00:00"/>
    <x v="4"/>
    <s v="JH01KD-6142"/>
    <n v="9025368773"/>
    <s v="TIRUPPUR"/>
    <s v="VENDOR E,3700 + VENDOR V,6540"/>
    <s v="RANCHI"/>
    <s v="32FEET"/>
    <n v="58240"/>
    <n v="150880"/>
    <n v="92640"/>
    <n v="58240"/>
    <n v="0"/>
    <s v="DONE"/>
    <s v="112"/>
    <m/>
    <s v="30-06-2026"/>
    <s v="30-06-2026"/>
    <x v="0"/>
    <x v="3"/>
  </r>
  <r>
    <n v="919"/>
    <x v="25"/>
    <d v="2026-06-28T00:00:00"/>
    <x v="4"/>
    <s v="JH01KR-5582"/>
    <n v="992309437"/>
    <s v="TIRUPPUR"/>
    <s v="VENDOR U,2820"/>
    <s v="RANCHI"/>
    <s v="32FEET"/>
    <n v="57300"/>
    <n v="144580"/>
    <n v="87280"/>
    <n v="57300"/>
    <n v="0"/>
    <s v="DONE"/>
    <s v="113"/>
    <m/>
    <s v="30-06-2026"/>
    <s v="30-06-2026"/>
    <x v="0"/>
    <x v="3"/>
  </r>
  <r>
    <n v="920"/>
    <x v="25"/>
    <d v="2026-06-29T00:00:00"/>
    <x v="4"/>
    <s v="JH01KD-2417"/>
    <n v="9793531306"/>
    <s v="RANCHI"/>
    <s v="-"/>
    <s v="NARSAPUR,6771"/>
    <s v="32FEET"/>
    <n v="44680"/>
    <n v="60480"/>
    <n v="15800"/>
    <n v="44680"/>
    <n v="0"/>
    <s v="DONE"/>
    <s v="114"/>
    <m/>
    <s v="01-07-2026"/>
    <s v="01-07-2026"/>
    <x v="0"/>
    <x v="3"/>
  </r>
  <r>
    <n v="921"/>
    <x v="26"/>
    <d v="2026-07-01T00:00:00"/>
    <x v="4"/>
    <s v="JH01KM-4371"/>
    <n v="9995059254"/>
    <s v="RANCHI"/>
    <s v="NARSAPUR,9146"/>
    <s v="HOSKOTE,0513"/>
    <s v="24FEET"/>
    <n v="45270"/>
    <n v="64420"/>
    <n v="19150"/>
    <n v="45270"/>
    <n v="0"/>
    <s v="DONE"/>
    <s v="115"/>
    <m/>
    <s v="03-07-2026"/>
    <s v="03-07-2026"/>
    <x v="0"/>
    <x v="3"/>
  </r>
  <r>
    <n v="922"/>
    <x v="26"/>
    <d v="2026-07-02T00:00:00"/>
    <x v="4"/>
    <s v="JH01KD-6142"/>
    <n v="9025368773"/>
    <s v="RANCHI"/>
    <s v="NARSAPUR,3871"/>
    <s v="HOSKOTE,2542"/>
    <s v="32FEET"/>
    <n v="45630"/>
    <n v="66780"/>
    <n v="21150"/>
    <n v="45630"/>
    <n v="0"/>
    <s v="DONE"/>
    <s v="116"/>
    <m/>
    <s v="04-07-2026"/>
    <s v="04-07-2026"/>
    <x v="0"/>
    <x v="3"/>
  </r>
  <r>
    <n v="923"/>
    <x v="26"/>
    <d v="2026-07-02T00:00:00"/>
    <x v="4"/>
    <s v="JH01KD-0526"/>
    <n v="9220186371"/>
    <s v="TIRUPPUR"/>
    <s v="VENDOR U,7525"/>
    <s v="RANCHI"/>
    <s v="32FEET"/>
    <n v="57300"/>
    <n v="144580"/>
    <n v="87280"/>
    <n v="57300"/>
    <n v="0"/>
    <s v="DONE"/>
    <s v="117"/>
    <m/>
    <s v="05-07-2026"/>
    <s v="05-07-2026"/>
    <x v="0"/>
    <x v="3"/>
  </r>
  <r>
    <n v="924"/>
    <x v="26"/>
    <d v="2026-07-05T00:00:00"/>
    <x v="4"/>
    <s v="JH01KD-2417"/>
    <n v="9793531306"/>
    <s v="TIRUPPUR"/>
    <s v="VENDOR U 2526 + VENDOR V,2568"/>
    <s v="RANCHI"/>
    <s v="32FEET"/>
    <n v="58240"/>
    <n v="150880"/>
    <n v="92640"/>
    <n v="58240"/>
    <n v="0"/>
    <s v="DONE"/>
    <s v="118"/>
    <m/>
    <s v="07-07-2026"/>
    <s v="07-07-2026"/>
    <x v="0"/>
    <x v="3"/>
  </r>
  <r>
    <n v="925"/>
    <x v="26"/>
    <d v="2026-07-06T00:00:00"/>
    <x v="4"/>
    <s v="JH01KD-0526"/>
    <n v="9220186371"/>
    <s v="RANCHI"/>
    <s v="NARSAPUR,1934 + HOSKOTE,3540"/>
    <s v="HASSAN,9819"/>
    <s v="32FEET"/>
    <n v="48130"/>
    <n v="83480"/>
    <n v="35350"/>
    <n v="48130"/>
    <n v="0"/>
    <s v="DONE"/>
    <s v="119"/>
    <m/>
    <s v="09-07-2026"/>
    <s v="09-07-2026"/>
    <x v="0"/>
    <x v="3"/>
  </r>
  <r>
    <n v="926"/>
    <x v="26"/>
    <d v="2026-07-08T00:00:00"/>
    <x v="4"/>
    <s v="JH01KM-4371"/>
    <n v="9995059254"/>
    <s v="TIRUPPUR"/>
    <s v="VENDOR U,7943"/>
    <s v="RANCHI"/>
    <s v="24FEET"/>
    <n v="56160"/>
    <n v="137020"/>
    <n v="80860"/>
    <n v="56160"/>
    <n v="0"/>
    <s v="DONE"/>
    <s v="120"/>
    <m/>
    <s v="11-07-2026"/>
    <s v="11-07-2026"/>
    <x v="0"/>
    <x v="3"/>
  </r>
  <r>
    <n v="927"/>
    <x v="26"/>
    <d v="2026-07-08T00:00:00"/>
    <x v="4"/>
    <s v="JH01KD-2417"/>
    <n v="9793531306"/>
    <s v="RANCHI"/>
    <s v="-"/>
    <s v="NARSAPUR,6861"/>
    <s v="32FEET"/>
    <n v="44680"/>
    <n v="60480"/>
    <n v="15800"/>
    <n v="44680"/>
    <n v="0"/>
    <s v="DONE"/>
    <s v="121"/>
    <m/>
    <s v="11-07-2026"/>
    <s v="11-07-2026"/>
    <x v="0"/>
    <x v="3"/>
  </r>
  <r>
    <n v="928"/>
    <x v="26"/>
    <d v="2026-07-09T00:00:00"/>
    <x v="4"/>
    <s v="JH01KR-7230"/>
    <n v="9902798068"/>
    <s v="TIRUPPUR"/>
    <s v="VENDOR U,0198 + VENDOR V,4448"/>
    <s v="RANCHI"/>
    <s v="32FEET"/>
    <n v="58240"/>
    <n v="150880"/>
    <n v="92640"/>
    <n v="58240"/>
    <n v="0"/>
    <s v="DONE"/>
    <s v="122"/>
    <m/>
    <s v="11-07-2026"/>
    <s v="12-07-2026"/>
    <x v="0"/>
    <x v="3"/>
  </r>
  <r>
    <n v="929"/>
    <x v="26"/>
    <d v="2026-07-10T00:00:00"/>
    <x v="4"/>
    <s v="JH01KR-5582"/>
    <n v="9281983602"/>
    <s v="TIRUPPUR"/>
    <s v="VENDOR U,0699"/>
    <s v="RANCHI"/>
    <s v="32FEET"/>
    <n v="57300"/>
    <n v="144580"/>
    <n v="87280"/>
    <n v="57300"/>
    <n v="0"/>
    <s v="DONE"/>
    <s v="123"/>
    <m/>
    <s v="12-07-2026"/>
    <s v="12-07-2026"/>
    <x v="0"/>
    <x v="3"/>
  </r>
  <r>
    <n v="930"/>
    <x v="26"/>
    <d v="2026-07-10T00:00:00"/>
    <x v="4"/>
    <s v="JH01KM-8803"/>
    <n v="9040208667"/>
    <s v="BANGLORE"/>
    <s v="VENDOR D,6363 + VENDOR C,7226 + VENDOR E,3477 "/>
    <s v="RANCHI"/>
    <s v="32FEET"/>
    <n v="56780"/>
    <n v="141120"/>
    <n v="84340"/>
    <n v="56780"/>
    <n v="0"/>
    <s v="DONE"/>
    <s v="124"/>
    <m/>
    <s v="13-07-2026"/>
    <s v="13-07-2026"/>
    <x v="0"/>
    <x v="3"/>
  </r>
  <r>
    <n v="931"/>
    <x v="26"/>
    <d v="2026-07-10T00:00:00"/>
    <x v="4"/>
    <s v="JH01KR-1695"/>
    <n v="9589264337"/>
    <s v="RANCHI"/>
    <s v="NARSAPUR,2456"/>
    <s v="HOSKOTE,6737"/>
    <s v="32FEET"/>
    <n v="45630"/>
    <n v="66780"/>
    <n v="21150"/>
    <n v="45630"/>
    <n v="0"/>
    <s v="DONE"/>
    <s v="125"/>
    <m/>
    <s v="13-07-2026"/>
    <s v="13-07-2026"/>
    <x v="0"/>
    <x v="3"/>
  </r>
  <r>
    <n v="932"/>
    <x v="26"/>
    <d v="2026-07-11T00:00:00"/>
    <x v="4"/>
    <s v="JH01KR-9064"/>
    <n v="9472230553"/>
    <s v="RANCHI"/>
    <s v="NARSAPUR,2604"/>
    <s v="HOSKOTE,5564"/>
    <s v="32FEET"/>
    <n v="45630"/>
    <n v="66780"/>
    <n v="21150"/>
    <n v="45630"/>
    <n v="0"/>
    <s v="DONE"/>
    <s v="126"/>
    <m/>
    <s v="14-07-2026"/>
    <s v="14-07-2026"/>
    <x v="0"/>
    <x v="3"/>
  </r>
  <r>
    <n v="933"/>
    <x v="26"/>
    <d v="2026-07-12T00:00:00"/>
    <x v="4"/>
    <s v="JH01KD-0526"/>
    <n v="9220186371"/>
    <s v="TIRUPPUR"/>
    <s v="VENDOR U ,0514 + VENDOR F,4755 + VENDOR V,2258"/>
    <s v="RANCHI"/>
    <s v="32FEET"/>
    <n v="59190"/>
    <n v="157180"/>
    <n v="97990"/>
    <n v="59190"/>
    <n v="0"/>
    <s v="DONE"/>
    <s v="127"/>
    <m/>
    <s v="15-07-2026"/>
    <s v="15-07-2026"/>
    <x v="0"/>
    <x v="3"/>
  </r>
  <r>
    <n v="934"/>
    <x v="26"/>
    <d v="2026-07-13T00:00:00"/>
    <x v="4"/>
    <s v="JH01KR-1695"/>
    <n v="9589264337"/>
    <s v="BANGLORE"/>
    <s v="VENDOR D,2712"/>
    <s v="RANCHI"/>
    <s v="32FEET"/>
    <n v="54890"/>
    <n v="128520"/>
    <n v="73630"/>
    <n v="54890"/>
    <m/>
    <s v="DONE"/>
    <s v="128"/>
    <m/>
    <s v="17-07-2026"/>
    <s v="17-07-2026"/>
    <x v="0"/>
    <x v="3"/>
  </r>
  <r>
    <n v="935"/>
    <x v="26"/>
    <d v="2026-07-14T00:00:00"/>
    <x v="4"/>
    <s v="JH01KD-2417"/>
    <n v="9793531306"/>
    <s v="TIRUPPUR"/>
    <s v="VENDOR U,8668 + VENDOR F,7666"/>
    <s v="RANCHI"/>
    <s v="32FEET"/>
    <n v="58240"/>
    <n v="150880"/>
    <n v="92640"/>
    <n v="58240"/>
    <n v="0"/>
    <s v="DONE"/>
    <s v="129"/>
    <m/>
    <s v="17-07-2026"/>
    <s v="17-07-2026"/>
    <x v="0"/>
    <x v="3"/>
  </r>
  <r>
    <n v="936"/>
    <x v="26"/>
    <d v="2026-07-14T00:00:00"/>
    <x v="4"/>
    <s v="JH01KM-4371"/>
    <n v="9995059254"/>
    <s v="RANCHI"/>
    <s v="-"/>
    <s v="NRSAPUR,4208"/>
    <s v="24FEET"/>
    <n v="44330"/>
    <n v="58120"/>
    <n v="13790"/>
    <n v="44330"/>
    <n v="0"/>
    <s v="DONE"/>
    <s v="130"/>
    <m/>
    <s v="17-07-2026"/>
    <s v="17-07-2026"/>
    <x v="0"/>
    <x v="3"/>
  </r>
  <r>
    <n v="937"/>
    <x v="26"/>
    <d v="2026-07-15T00:00:00"/>
    <x v="4"/>
    <s v="JH01KR-5582"/>
    <n v="9281983602"/>
    <s v="RANCHI"/>
    <s v="NARSAPUR"/>
    <s v="HOSKOTE"/>
    <s v="32FEET"/>
    <s v="-"/>
    <s v="-"/>
    <s v="-"/>
    <s v="-"/>
    <s v="-"/>
    <s v="-"/>
    <s v="-"/>
    <s v="-"/>
    <s v="-"/>
    <s v="-"/>
    <x v="2"/>
    <x v="3"/>
  </r>
  <r>
    <n v="938"/>
    <x v="26"/>
    <d v="2026-07-15T00:00:00"/>
    <x v="4"/>
    <s v="JH01KD-0526"/>
    <n v="9935813519"/>
    <s v="RANCHI"/>
    <s v="-"/>
    <s v="NARSAPUR,0293"/>
    <s v="32FEET"/>
    <n v="44680"/>
    <n v="60480"/>
    <n v="15800"/>
    <n v="44680"/>
    <n v="0"/>
    <s v="DONE"/>
    <s v="131"/>
    <m/>
    <s v="20-07-2026"/>
    <s v="21-07-2026"/>
    <x v="0"/>
    <x v="3"/>
  </r>
  <r>
    <n v="939"/>
    <x v="26"/>
    <d v="2026-07-17T00:00:00"/>
    <x v="4"/>
    <s v="JH01KR-1695"/>
    <n v="9589264337"/>
    <s v="RANCHI"/>
    <s v="-"/>
    <s v="NARSAPUR,0919"/>
    <s v="32FEET"/>
    <n v="44680"/>
    <n v="60480"/>
    <n v="15800"/>
    <n v="44680"/>
    <n v="0"/>
    <s v="DONE"/>
    <s v="132"/>
    <m/>
    <s v="20-07-2026"/>
    <s v="20-07-2026"/>
    <x v="0"/>
    <x v="3"/>
  </r>
  <r>
    <n v="940"/>
    <x v="26"/>
    <d v="2026-07-18T00:00:00"/>
    <x v="4"/>
    <s v="JH01KD-2417"/>
    <n v="9793531306"/>
    <s v="RANCHI"/>
    <s v="-"/>
    <s v="HOSKOTE,9735"/>
    <s v="32FEET"/>
    <n v="44680"/>
    <n v="60480"/>
    <n v="15800"/>
    <n v="44680"/>
    <n v="0"/>
    <s v="DONE"/>
    <s v="133"/>
    <m/>
    <s v="21-07-2026"/>
    <s v="21-07-2026"/>
    <x v="0"/>
    <x v="3"/>
  </r>
  <r>
    <n v="941"/>
    <x v="26"/>
    <d v="2026-07-18T00:00:00"/>
    <x v="4"/>
    <s v="JH01KM-4371"/>
    <n v="9995059254"/>
    <s v="TIRUPPUR"/>
    <s v="VENDOR U,5466"/>
    <s v="RANCHI"/>
    <s v="32FEET"/>
    <n v="56160"/>
    <n v="137020"/>
    <n v="80860"/>
    <n v="56160"/>
    <n v="0"/>
    <s v="DONE"/>
    <s v="134"/>
    <m/>
    <s v="21-07-2026"/>
    <s v="21-07-2026"/>
    <x v="0"/>
    <x v="3"/>
  </r>
  <r>
    <n v="942"/>
    <x v="26"/>
    <d v="2026-07-19T00:00:00"/>
    <x v="4"/>
    <s v="JH01KR-9064"/>
    <n v="9472230553"/>
    <s v="RANCHI"/>
    <s v="-"/>
    <s v="NARSAPUR,2374"/>
    <s v="32FEET"/>
    <n v="44680"/>
    <n v="60480"/>
    <n v="15800"/>
    <n v="44680"/>
    <n v="0"/>
    <s v="DONE"/>
    <s v="135"/>
    <m/>
    <s v="21-07-2026"/>
    <s v="21-07-2026"/>
    <x v="0"/>
    <x v="3"/>
  </r>
  <r>
    <n v="943"/>
    <x v="26"/>
    <d v="2026-07-21T00:00:00"/>
    <x v="4"/>
    <s v="JH01KM-4371"/>
    <n v="9995059254"/>
    <s v="RANCHI"/>
    <s v="NARSAPUR,2489"/>
    <s v="HOSKOTE,1322"/>
    <s v="24FEET"/>
    <n v="45270"/>
    <n v="64420"/>
    <n v="19150"/>
    <n v="45270"/>
    <n v="0"/>
    <s v="DONE"/>
    <s v="136"/>
    <m/>
    <s v="24-07-2026"/>
    <s v="24-07-2026"/>
    <x v="0"/>
    <x v="3"/>
  </r>
  <r>
    <n v="945"/>
    <x v="26"/>
    <d v="2026-07-21T00:00:00"/>
    <x v="0"/>
    <s v="TN52TM-2163"/>
    <n v="9757919404"/>
    <s v="RANCHI"/>
    <s v="-"/>
    <s v="NARSAPUR,8387"/>
    <s v="32FEET"/>
    <n v="44680"/>
    <n v="60480"/>
    <n v="15800"/>
    <n v="44680"/>
    <n v="0"/>
    <s v="DONE"/>
    <s v="137"/>
    <m/>
    <s v="24-07-2026"/>
    <s v="24-07-2026"/>
    <x v="0"/>
    <x v="45"/>
  </r>
  <r>
    <n v="946"/>
    <x v="26"/>
    <d v="2026-07-22T00:00:00"/>
    <x v="4"/>
    <s v="JH01KM-8803"/>
    <n v="9040208667"/>
    <s v="TIRUPPUR"/>
    <s v="VENDOR U,7924 + VENDOR V,8163"/>
    <s v="RANCHI"/>
    <s v="32FEET"/>
    <n v="58240"/>
    <n v="150880"/>
    <n v="92640"/>
    <n v="58240"/>
    <n v="0"/>
    <s v="DONE"/>
    <s v="139"/>
    <m/>
    <s v="24-07-2026"/>
    <s v="25-07-2026"/>
    <x v="0"/>
    <x v="3"/>
  </r>
  <r>
    <n v="947"/>
    <x v="26"/>
    <d v="2026-07-23T00:00:00"/>
    <x v="4"/>
    <s v="JH01KR-7230"/>
    <n v="9902798068"/>
    <s v="RANCHI"/>
    <s v="NARSAPUR,6213"/>
    <s v="HOSKOTE,9242"/>
    <s v="32FEET"/>
    <n v="45630"/>
    <n v="66780"/>
    <n v="21150"/>
    <n v="45630"/>
    <n v="0"/>
    <s v="DONE"/>
    <s v="140"/>
    <m/>
    <s v="25-07-2026"/>
    <s v="25-07-2026"/>
    <x v="0"/>
    <x v="3"/>
  </r>
  <r>
    <n v="948"/>
    <x v="26"/>
    <d v="2026-07-23T00:00:00"/>
    <x v="4"/>
    <s v="JH01KD-0526"/>
    <n v="9935813519"/>
    <s v="TIRUPPUR"/>
    <s v="VENDOR V,6511"/>
    <s v="RANCHI"/>
    <s v="32FEET"/>
    <n v="57300"/>
    <n v="144580"/>
    <n v="87280"/>
    <n v="57300"/>
    <n v="0"/>
    <s v="DONE"/>
    <s v="141"/>
    <m/>
    <s v="26-07-2026"/>
    <s v="27-07-2026"/>
    <x v="0"/>
    <x v="3"/>
  </r>
  <r>
    <n v="949"/>
    <x v="26"/>
    <d v="2026-07-24T00:00:00"/>
    <x v="4"/>
    <s v="JH01KD-3958"/>
    <n v="9486716172"/>
    <s v="RANCHI"/>
    <s v="-"/>
    <s v="NARSAPUR,2890"/>
    <s v="32FEET"/>
    <n v="44680"/>
    <n v="60480"/>
    <n v="15800"/>
    <n v="44680"/>
    <n v="0"/>
    <s v="DONE"/>
    <s v="142"/>
    <m/>
    <s v="27-07-2026"/>
    <s v="27-07-2026"/>
    <x v="0"/>
    <x v="3"/>
  </r>
  <r>
    <n v="950"/>
    <x v="26"/>
    <d v="2026-07-25T00:00:00"/>
    <x v="4"/>
    <s v="JH01KM-8803"/>
    <n v="9040208667"/>
    <s v="RANCHI"/>
    <s v="-"/>
    <s v="NARSAPUR,2332"/>
    <s v="32FEET"/>
    <n v="44680"/>
    <n v="60480"/>
    <n v="15800"/>
    <n v="44680"/>
    <n v="0"/>
    <s v="DONE"/>
    <s v="143"/>
    <m/>
    <s v="28-07-2026"/>
    <s v="28-07-2026"/>
    <x v="0"/>
    <x v="3"/>
  </r>
  <r>
    <n v="951"/>
    <x v="26"/>
    <d v="2026-07-25T00:00:00"/>
    <x v="4"/>
    <s v="JH01KM-4371"/>
    <n v="9995059254"/>
    <s v="TIRUPPUR"/>
    <s v="VENDOR U,5228"/>
    <s v="RANCHI"/>
    <s v="24FEET"/>
    <n v="56160"/>
    <n v="137020"/>
    <n v="80860"/>
    <n v="56160"/>
    <n v="0"/>
    <s v="DONE"/>
    <s v="144"/>
    <m/>
    <s v="29-07-2026"/>
    <s v="29-07-2026"/>
    <x v="0"/>
    <x v="3"/>
  </r>
  <r>
    <n v="952"/>
    <x v="26"/>
    <d v="2026-07-25T00:00:00"/>
    <x v="4"/>
    <s v="JH01KD-2417"/>
    <n v="9793531306"/>
    <s v="TIRUPPUR"/>
    <s v="VENDOR D,0120 + VENDOR F,4206 + VENDOR U,8668"/>
    <s v="RANCHI"/>
    <s v="32FEET"/>
    <n v="59190"/>
    <n v="157180"/>
    <n v="97990"/>
    <n v="59190"/>
    <n v="0"/>
    <s v="DONE"/>
    <s v="145"/>
    <m/>
    <s v="29-07-2026"/>
    <s v="29-07-2026"/>
    <x v="0"/>
    <x v="3"/>
  </r>
  <r>
    <n v="953"/>
    <x v="26"/>
    <d v="2026-07-27T00:00:00"/>
    <x v="4"/>
    <s v="JH01KR-1695"/>
    <n v="9589264337"/>
    <s v="RANCHI"/>
    <s v="NARSAPUR,2278"/>
    <s v="HOSKOTE,3760"/>
    <s v="32FEET"/>
    <n v="45630"/>
    <n v="66780"/>
    <n v="21150"/>
    <n v="45630"/>
    <n v="0"/>
    <s v="DONE"/>
    <s v="146"/>
    <m/>
    <s v="30-07-2026"/>
    <s v="30-07-2026"/>
    <x v="0"/>
    <x v="3"/>
  </r>
  <r>
    <n v="954"/>
    <x v="26"/>
    <d v="2026-07-27T00:00:00"/>
    <x v="4"/>
    <s v="JH01KD-0526"/>
    <n v="9935813519"/>
    <s v="RANCHI"/>
    <s v="-"/>
    <s v="NARSAPUR,0784"/>
    <s v="32FEET"/>
    <n v="44680"/>
    <n v="60480"/>
    <n v="15800"/>
    <n v="44680"/>
    <n v="0"/>
    <s v="DONE"/>
    <s v="147"/>
    <m/>
    <s v="30-07-2026"/>
    <s v="30-07-2026"/>
    <x v="0"/>
    <x v="3"/>
  </r>
  <r>
    <n v="955"/>
    <x v="26"/>
    <d v="2026-07-28T00:00:00"/>
    <x v="4"/>
    <s v="JH01KD-3958"/>
    <n v="9486716172"/>
    <s v="TIRUPPUR"/>
    <s v="VENDOR V,5524"/>
    <s v="RANCHI"/>
    <s v="32FEET"/>
    <n v="57300"/>
    <n v="144580"/>
    <n v="87280"/>
    <n v="57300"/>
    <n v="0"/>
    <s v="DONE"/>
    <s v="148"/>
    <m/>
    <s v="31-07-2026"/>
    <s v="31-07-2026"/>
    <x v="0"/>
    <x v="46"/>
  </r>
  <r>
    <n v="956"/>
    <x v="26"/>
    <d v="2026-07-28T00:00:00"/>
    <x v="4"/>
    <s v="JH01KR-7230"/>
    <n v="9902798068"/>
    <s v="TIRUPPUR"/>
    <s v="VENDOR U,4974"/>
    <s v="RANCHI"/>
    <s v="32FEET"/>
    <n v="57300"/>
    <n v="144580"/>
    <n v="87280"/>
    <n v="57300"/>
    <n v="0"/>
    <s v="DONE"/>
    <s v="149"/>
    <m/>
    <s v="30-07-2026"/>
    <s v="30-07-2026"/>
    <x v="0"/>
    <x v="3"/>
  </r>
  <r>
    <n v="957"/>
    <x v="26"/>
    <d v="2026-07-29T00:00:00"/>
    <x v="4"/>
    <s v="JH01KD-2417"/>
    <n v="9793531306"/>
    <s v="RANCHI"/>
    <s v="NARSAPUR,8090"/>
    <s v="HOSKOTE,0875"/>
    <s v="32FEET"/>
    <n v="45630"/>
    <n v="66780"/>
    <n v="21150"/>
    <n v="45630"/>
    <n v="0"/>
    <s v="DONE"/>
    <s v="150"/>
    <m/>
    <s v="01-08-2026"/>
    <s v="03-08-2026"/>
    <x v="0"/>
    <x v="3"/>
  </r>
  <r>
    <n v="958"/>
    <x v="26"/>
    <d v="2026-07-30T00:00:00"/>
    <x v="4"/>
    <s v="JH01KM-4371"/>
    <n v="9995059254"/>
    <s v="RANCHI"/>
    <s v="-"/>
    <s v="NARSAPUR,4628"/>
    <s v="24FEET"/>
    <n v="44330"/>
    <n v="58120"/>
    <n v="13790"/>
    <n v="44330"/>
    <n v="0"/>
    <s v="DONE"/>
    <s v="151"/>
    <m/>
    <s v="03-08-2026"/>
    <s v="03-08-2026"/>
    <x v="0"/>
    <x v="3"/>
  </r>
  <r>
    <n v="959"/>
    <x v="26"/>
    <d v="2026-07-31T00:00:00"/>
    <x v="4"/>
    <s v="JH01KM-8803"/>
    <n v="9040208667"/>
    <s v="TIRUPPUR"/>
    <s v="VENDOR U,6573 + VENDOR F,6069"/>
    <s v="RANCHI"/>
    <s v="32FEET"/>
    <n v="58240"/>
    <n v="150880"/>
    <n v="92640"/>
    <n v="58240"/>
    <n v="0"/>
    <s v="DONE"/>
    <s v="152"/>
    <m/>
    <s v="03-08-2026"/>
    <s v="03-08-2026"/>
    <x v="0"/>
    <x v="3"/>
  </r>
  <r>
    <n v="960"/>
    <x v="26"/>
    <d v="2026-07-31T00:00:00"/>
    <x v="4"/>
    <s v="JH01KR-1695"/>
    <n v="9589264337"/>
    <s v="TIRUPPUR"/>
    <s v="VENDOR V,0378"/>
    <s v="RANCHI"/>
    <s v="32FEET"/>
    <n v="57300"/>
    <n v="144580"/>
    <n v="87280"/>
    <n v="57300"/>
    <n v="0"/>
    <s v="DONE"/>
    <s v="153"/>
    <m/>
    <s v="03-08-2026"/>
    <s v="03-08-2026"/>
    <x v="0"/>
    <x v="3"/>
  </r>
  <r>
    <n v="961"/>
    <x v="26"/>
    <d v="2026-07-31T00:00:00"/>
    <x v="4"/>
    <s v="JH01KD-0526"/>
    <n v="9935813519"/>
    <s v="BANGLORE"/>
    <s v="VENDOR E,7304 + VENDOR C,3480 "/>
    <s v="RANCHI"/>
    <s v="32FEET"/>
    <n v="55830"/>
    <n v="134820"/>
    <n v="78990"/>
    <n v="55830"/>
    <n v="0"/>
    <s v="DONE"/>
    <s v="154"/>
    <m/>
    <s v="03-08-2026"/>
    <s v="03-08-2026"/>
    <x v="0"/>
    <x v="3"/>
  </r>
  <r>
    <n v="962"/>
    <x v="26"/>
    <d v="2026-07-31T00:00:00"/>
    <x v="4"/>
    <s v="JH01KD-3958"/>
    <n v="9486716172"/>
    <s v="RANCHI"/>
    <m/>
    <s v="NARSAPUR,3163"/>
    <s v="32FEET"/>
    <n v="44680"/>
    <n v="60480"/>
    <n v="15800"/>
    <n v="44680"/>
    <n v="0"/>
    <s v="DONE"/>
    <s v="155"/>
    <m/>
    <s v="03-08-2026"/>
    <s v="03-08-2026"/>
    <x v="0"/>
    <x v="3"/>
  </r>
  <r>
    <n v="963"/>
    <x v="26"/>
    <d v="2026-07-31T00:00:00"/>
    <x v="4"/>
    <s v="JH01KR-7230"/>
    <n v="9902798068"/>
    <s v="RANCHI"/>
    <s v="NARSAPUR,5029"/>
    <s v="HOSKOTE,0449"/>
    <s v="32FEET"/>
    <n v="45630"/>
    <n v="66780"/>
    <n v="21150"/>
    <n v="45630"/>
    <n v="0"/>
    <s v="DONE"/>
    <s v="156"/>
    <m/>
    <s v="03-08-2026"/>
    <s v="03-08-2026"/>
    <x v="0"/>
    <x v="3"/>
  </r>
  <r>
    <n v="964"/>
    <x v="27"/>
    <d v="2026-08-01T00:00:00"/>
    <x v="4"/>
    <s v="JH01KD-6142"/>
    <n v="9025368773"/>
    <s v="TIRUPPUR"/>
    <s v="VENDOR V,0244 + VENDOR U,7802"/>
    <s v="RANCHI"/>
    <s v="32FEET"/>
    <n v="58240"/>
    <n v="150880"/>
    <n v="92640"/>
    <n v="58240"/>
    <n v="0"/>
    <s v="DONE"/>
    <s v="157"/>
    <m/>
    <s v="05-08-2026"/>
    <s v="05-08-2026"/>
    <x v="0"/>
    <x v="3"/>
  </r>
  <r>
    <n v="965"/>
    <x v="27"/>
    <d v="2026-08-02T00:00:00"/>
    <x v="0"/>
    <s v="UP21MJ-1013"/>
    <n v="9531183035"/>
    <s v="RANCHI"/>
    <s v="-"/>
    <s v="NARSAPUR,6425"/>
    <s v="32FEET"/>
    <n v="35850"/>
    <n v="60480"/>
    <n v="24630"/>
    <n v="34420"/>
    <n v="1430"/>
    <s v="DONE"/>
    <s v="158"/>
    <m/>
    <s v="05-08-2026"/>
    <s v="05-08-2026"/>
    <x v="0"/>
    <x v="47"/>
  </r>
  <r>
    <n v="966"/>
    <x v="27"/>
    <d v="2026-08-05T00:00:00"/>
    <x v="4"/>
    <s v="JH01KM-8803"/>
    <n v="9040208667"/>
    <s v="RANCHI"/>
    <s v="NARSAPUR,8563"/>
    <s v="HOSKOTE,3288"/>
    <s v="32FEET"/>
    <n v="45630"/>
    <n v="66780"/>
    <n v="21150"/>
    <n v="45630"/>
    <n v="0"/>
    <s v="DONE"/>
    <s v="159"/>
    <m/>
    <s v="08-08-2026"/>
    <s v="08-08-2026"/>
    <x v="0"/>
    <x v="3"/>
  </r>
  <r>
    <n v="967"/>
    <x v="27"/>
    <d v="2026-08-06T00:00:00"/>
    <x v="4"/>
    <s v="JH01KD-6142"/>
    <n v="9025368773"/>
    <s v="RANCHI"/>
    <s v="-"/>
    <s v="NARSAPUR,0127"/>
    <s v="32FEET"/>
    <n v="44680"/>
    <n v="60480"/>
    <n v="15800"/>
    <n v="44680"/>
    <n v="0"/>
    <s v="DONE"/>
    <s v="160"/>
    <m/>
    <s v="8-08-2026"/>
    <s v="08-08-2026"/>
    <x v="0"/>
    <x v="3"/>
  </r>
  <r>
    <n v="968"/>
    <x v="27"/>
    <d v="2026-08-06T00:00:00"/>
    <x v="4"/>
    <s v="JH01KM-4371"/>
    <n v="9995059254"/>
    <s v="TIRUPPUR"/>
    <s v="VENDOR U,3303"/>
    <s v="RANCHI"/>
    <s v="24FEET"/>
    <n v="56160"/>
    <n v="137020"/>
    <n v="80860"/>
    <n v="56160"/>
    <n v="0"/>
    <s v="DONE"/>
    <s v="161"/>
    <m/>
    <s v="10-08-2026"/>
    <s v="10-08-2026"/>
    <x v="0"/>
    <x v="3"/>
  </r>
  <r>
    <n v="969"/>
    <x v="27"/>
    <d v="2026-08-07T00:00:00"/>
    <x v="0"/>
    <s v="KA52W-7334"/>
    <n v="9364520221"/>
    <s v="RANCHI"/>
    <s v="NARSAPUR,5610"/>
    <s v="HOSKOTE,4156"/>
    <s v="32FEET"/>
    <n v="37330"/>
    <n v="66780"/>
    <n v="29450"/>
    <m/>
    <n v="37330"/>
    <s v="DONE"/>
    <s v="162"/>
    <m/>
    <s v="10-08-2026"/>
    <s v="11-08-2026"/>
    <x v="0"/>
    <x v="45"/>
  </r>
  <r>
    <n v="970"/>
    <x v="27"/>
    <d v="2026-08-07T00:00:00"/>
    <x v="0"/>
    <s v="TN12JT-5089"/>
    <n v="9093304663"/>
    <s v="RANCHI"/>
    <s v="NARSAPUR,4502"/>
    <s v="HOSKOTE,7855"/>
    <s v="20FEET"/>
    <n v="30910"/>
    <n v="59690"/>
    <n v="28780"/>
    <m/>
    <n v="30910"/>
    <s v="DONE"/>
    <s v="163"/>
    <m/>
    <s v="10-08-2026"/>
    <s v="11-08-2026"/>
    <x v="0"/>
    <x v="45"/>
  </r>
  <r>
    <n v="971"/>
    <x v="27"/>
    <d v="2026-08-07T00:00:00"/>
    <x v="4"/>
    <s v="JH01KR-7230"/>
    <n v="9902798068"/>
    <s v="RANCHI"/>
    <s v="-"/>
    <s v="NARSAPUR,3510"/>
    <s v="32FEET"/>
    <n v="44680"/>
    <n v="60480"/>
    <n v="15800"/>
    <n v="44680"/>
    <n v="0"/>
    <s v="DONE"/>
    <s v="164"/>
    <m/>
    <s v="10-08-2026"/>
    <s v="11-08-2026"/>
    <x v="0"/>
    <x v="3"/>
  </r>
  <r>
    <n v="972"/>
    <x v="27"/>
    <d v="2026-08-07T00:00:00"/>
    <x v="4"/>
    <s v="JH01KD-0526"/>
    <n v="9935813519"/>
    <s v="TIRUPPUR"/>
    <s v="VENDOR L ,4595"/>
    <s v="RANCHI "/>
    <s v="32FEET"/>
    <n v="57300"/>
    <n v="144580"/>
    <n v="87280"/>
    <n v="57300"/>
    <n v="0"/>
    <s v="DONE"/>
    <s v="165"/>
    <m/>
    <s v="10-08-2026"/>
    <s v="10-08-2026"/>
    <x v="0"/>
    <x v="3"/>
  </r>
  <r>
    <n v="973"/>
    <x v="27"/>
    <d v="2026-08-09T00:00:00"/>
    <x v="4"/>
    <s v="JH01KM-8803"/>
    <n v="9040208667"/>
    <s v="TIRUPPUR"/>
    <s v="VENDOR U,4408"/>
    <s v="RANCHI"/>
    <s v="32FEET"/>
    <n v="57300"/>
    <n v="144580"/>
    <n v="87280"/>
    <n v="57300"/>
    <n v="0"/>
    <s v="DONE"/>
    <s v="166"/>
    <m/>
    <s v="12-08-2026"/>
    <s v="12-08-2026"/>
    <x v="0"/>
    <x v="3"/>
  </r>
  <r>
    <n v="974"/>
    <x v="27"/>
    <d v="2026-08-09T00:00:00"/>
    <x v="0"/>
    <s v="TN23TA-3043"/>
    <n v="9299677001"/>
    <s v="RANCHI"/>
    <s v="-"/>
    <s v="NARSAPUR,8181"/>
    <s v="32FEET"/>
    <n v="49940"/>
    <n v="150880"/>
    <n v="100940"/>
    <m/>
    <n v="49940"/>
    <s v="DONE"/>
    <s v="167"/>
    <m/>
    <s v="12-08-2026"/>
    <s v="12-08-2026"/>
    <x v="0"/>
    <x v="45"/>
  </r>
  <r>
    <n v="975"/>
    <x v="27"/>
    <d v="2026-08-10T00:00:00"/>
    <x v="4"/>
    <s v="JH01KD-0526"/>
    <n v="9935813519"/>
    <s v="RANCHI"/>
    <s v="-"/>
    <s v="NARSAPUR,3757"/>
    <s v="32FEET"/>
    <n v="44680"/>
    <n v="60480"/>
    <n v="15800"/>
    <n v="44680"/>
    <n v="0"/>
    <s v="DONE"/>
    <s v="168"/>
    <m/>
    <s v="13-08-2026"/>
    <s v="13-08-2026"/>
    <x v="0"/>
    <x v="3"/>
  </r>
  <r>
    <n v="976"/>
    <x v="27"/>
    <d v="2026-08-11T00:00:00"/>
    <x v="4"/>
    <s v="JH01KR-9064"/>
    <n v="9472230553"/>
    <s v="RANCHI"/>
    <s v="NARSAPUR,2800"/>
    <s v="HOSKOTE,1074"/>
    <s v="32FEET"/>
    <n v="45630"/>
    <n v="66780"/>
    <n v="21150"/>
    <n v="45630"/>
    <n v="0"/>
    <s v="DONE"/>
    <s v="169"/>
    <m/>
    <s v="13-08-2026"/>
    <s v="13-08-2026"/>
    <x v="0"/>
    <x v="3"/>
  </r>
  <r>
    <n v="977"/>
    <x v="27"/>
    <d v="2026-08-12T00:00:00"/>
    <x v="4"/>
    <s v="JH01KD-6142"/>
    <n v="9025368773"/>
    <s v="MYSORE"/>
    <s v="CLIENT,2782 + VENDOR D,3668"/>
    <s v="RANCHI"/>
    <s v="32FEET"/>
    <n v="55830"/>
    <n v="134820"/>
    <n v="78990"/>
    <n v="55830"/>
    <n v="0"/>
    <s v="DONE"/>
    <s v="170"/>
    <m/>
    <s v="14-08-2026"/>
    <s v="14-08-2026"/>
    <x v="0"/>
    <x v="3"/>
  </r>
  <r>
    <n v="978"/>
    <x v="27"/>
    <d v="2026-08-12T00:00:00"/>
    <x v="4"/>
    <s v="JH01KR-1695"/>
    <n v="9589264337"/>
    <s v="TIRUPPUR"/>
    <s v="VENDOR U,1989"/>
    <s v="RANCHI"/>
    <s v="32FEET"/>
    <n v="57300"/>
    <n v="144580"/>
    <n v="87280"/>
    <n v="57300"/>
    <n v="0"/>
    <s v="DONE"/>
    <s v="171"/>
    <m/>
    <s v="15-08-2026"/>
    <s v="15-08-2026"/>
    <x v="0"/>
    <x v="3"/>
  </r>
  <r>
    <n v="979"/>
    <x v="27"/>
    <d v="2026-08-12T00:00:00"/>
    <x v="4"/>
    <s v="JH01KD-2417"/>
    <n v="9995059254"/>
    <s v="RANCHI"/>
    <s v="-"/>
    <s v="NARSAPUR,7197"/>
    <s v="32FEET"/>
    <n v="44680"/>
    <n v="60480"/>
    <n v="15800"/>
    <n v="44680"/>
    <n v="0"/>
    <s v="DONE"/>
    <s v="172"/>
    <m/>
    <s v="14-08-2026"/>
    <s v="14-08-2026"/>
    <x v="0"/>
    <x v="3"/>
  </r>
  <r>
    <n v="980"/>
    <x v="27"/>
    <d v="2026-08-12T00:00:00"/>
    <x v="4"/>
    <s v="JH01KD-3958"/>
    <n v="9486716172"/>
    <s v="RANCHI"/>
    <s v="NARSAPUR,2387"/>
    <s v="HOSKOTE,7479"/>
    <s v="32FEET"/>
    <n v="45630"/>
    <n v="66780"/>
    <n v="21150"/>
    <n v="45630"/>
    <n v="0"/>
    <s v="DONE"/>
    <s v="173"/>
    <m/>
    <s v="15-08-2026"/>
    <s v="15-08-2026"/>
    <x v="0"/>
    <x v="3"/>
  </r>
  <r>
    <n v="981"/>
    <x v="27"/>
    <d v="2026-08-14T00:00:00"/>
    <x v="4"/>
    <s v="JH01KR-7230"/>
    <n v="9902798068"/>
    <s v="TIRUPPUR"/>
    <s v="VENDOR U,7925+VENDOR F,8006"/>
    <s v="RANCHI"/>
    <s v="32FEET"/>
    <n v="58240"/>
    <n v="150880"/>
    <n v="92640"/>
    <n v="58240"/>
    <n v="0"/>
    <s v="DONE"/>
    <s v="174"/>
    <m/>
    <s v="20-08-2026"/>
    <s v="21-08-2026"/>
    <x v="0"/>
    <x v="3"/>
  </r>
  <r>
    <n v="982"/>
    <x v="27"/>
    <d v="2026-08-14T00:00:00"/>
    <x v="4"/>
    <s v="JH01KR-9064"/>
    <n v="9472230553"/>
    <s v="TIRUPPUR"/>
    <s v="VENDOR U,6879"/>
    <s v="RANCHI"/>
    <s v="32FEET"/>
    <n v="57300"/>
    <n v="144580"/>
    <n v="87280"/>
    <n v="57300"/>
    <n v="0"/>
    <s v="DONE"/>
    <s v="175"/>
    <m/>
    <s v="17-08-2026"/>
    <s v="17-08-2026"/>
    <x v="0"/>
    <x v="3"/>
  </r>
  <r>
    <n v="983"/>
    <x v="27"/>
    <d v="2026-08-14T00:00:00"/>
    <x v="4"/>
    <s v="JH01KD-0526"/>
    <n v="9935813519"/>
    <s v="MYSORE"/>
    <s v="VENDOR C,6220"/>
    <s v="RANCHI"/>
    <s v="32FEET"/>
    <n v="54890"/>
    <n v="128520"/>
    <n v="73630"/>
    <n v="54890"/>
    <n v="0"/>
    <s v="DONE"/>
    <s v="176"/>
    <m/>
    <s v="17-08-2026"/>
    <s v="17-08-2026"/>
    <x v="0"/>
    <x v="3"/>
  </r>
  <r>
    <n v="984"/>
    <x v="27"/>
    <d v="2026-08-14T00:00:00"/>
    <x v="4"/>
    <s v="JH01KM-8803"/>
    <n v="9040208667"/>
    <s v="RANCHI"/>
    <s v="NARSAPUR,2345"/>
    <s v="HOSKOTE,2566"/>
    <s v="32FEET"/>
    <n v="45630"/>
    <n v="66780"/>
    <n v="21150"/>
    <n v="45630"/>
    <n v="0"/>
    <s v="DONE"/>
    <s v="177"/>
    <m/>
    <s v="18-08-2026"/>
    <s v="18-08-2026"/>
    <x v="0"/>
    <x v="3"/>
  </r>
  <r>
    <n v="985"/>
    <x v="27"/>
    <d v="2026-08-14T00:00:00"/>
    <x v="4"/>
    <s v="JH01KD-6142"/>
    <n v="9025368773"/>
    <s v="RANCHI"/>
    <s v="NARSAPUR,5711+HOSKOTE8677,HASSAN,6555"/>
    <s v="RANCHI"/>
    <s v="32FEET"/>
    <n v="48130"/>
    <n v="83480"/>
    <n v="35350"/>
    <n v="48130"/>
    <n v="0"/>
    <s v="DONE"/>
    <s v="178"/>
    <m/>
    <s v="18-08-2026"/>
    <s v="18-08-2026"/>
    <x v="0"/>
    <x v="3"/>
  </r>
  <r>
    <n v="986"/>
    <x v="27"/>
    <d v="2026-08-17T00:00:00"/>
    <x v="4"/>
    <s v="JH01KR-1695"/>
    <n v="9589264337"/>
    <s v="RANCHI"/>
    <s v="NARSAPUR,3529"/>
    <s v="HOSKOTE,3662"/>
    <s v="32FEET"/>
    <n v="45630"/>
    <n v="66780"/>
    <n v="21150"/>
    <n v="45630"/>
    <n v="0"/>
    <s v="DONE"/>
    <s v="179"/>
    <m/>
    <s v="20-08-2026"/>
    <s v="21-08-2026"/>
    <x v="0"/>
    <x v="3"/>
  </r>
  <r>
    <n v="987"/>
    <x v="27"/>
    <d v="2026-08-17T00:00:00"/>
    <x v="4"/>
    <s v="JH01KD-7230"/>
    <n v="9902798068"/>
    <s v="RANCHI"/>
    <s v="-"/>
    <s v="NARSAPUR,1273"/>
    <s v="32FEET"/>
    <n v="44680"/>
    <n v="60480"/>
    <n v="15800"/>
    <n v="44680"/>
    <n v="0"/>
    <s v="DONE"/>
    <s v="180"/>
    <m/>
    <s v="20-08-2026"/>
    <s v="21-08-2026"/>
    <x v="0"/>
    <x v="3"/>
  </r>
  <r>
    <n v="988"/>
    <x v="27"/>
    <d v="2026-08-18T00:00:00"/>
    <x v="4"/>
    <s v="JH01KR-9064"/>
    <n v="9472230553"/>
    <s v="RANCHI"/>
    <s v="NARSAPUR,0042"/>
    <s v="HOSKOTE,6025"/>
    <s v="32FEET"/>
    <n v="45630"/>
    <n v="66780"/>
    <n v="21150"/>
    <n v="45630"/>
    <n v="0"/>
    <s v="DONE"/>
    <s v="181"/>
    <m/>
    <s v="20-08-2026"/>
    <s v="20-08-2026"/>
    <x v="0"/>
    <x v="3"/>
  </r>
  <r>
    <n v="989"/>
    <x v="27"/>
    <d v="2026-08-18T00:00:00"/>
    <x v="4"/>
    <s v="JH01KD-2417"/>
    <n v="9793531306"/>
    <s v="TIRUPPUR"/>
    <s v="VENDOR U,0082"/>
    <s v="RANCHI"/>
    <s v="32FEET"/>
    <n v="57300"/>
    <n v="144580"/>
    <n v="87280"/>
    <n v="57300"/>
    <n v="0"/>
    <s v="DONE"/>
    <s v="182"/>
    <m/>
    <s v="21-08-2026"/>
    <s v="21-08-2026"/>
    <x v="0"/>
    <x v="3"/>
  </r>
  <r>
    <n v="990"/>
    <x v="27"/>
    <d v="2026-08-19T00:00:00"/>
    <x v="4"/>
    <s v="JH01KR-5582"/>
    <n v="9281983602"/>
    <s v="RANCHI"/>
    <s v="NARSAPUR,1519"/>
    <s v="HOSKOTE,8329"/>
    <s v="32FEET"/>
    <n v="45630"/>
    <n v="66780"/>
    <n v="21150"/>
    <n v="45630"/>
    <n v="0"/>
    <s v="DONE"/>
    <s v="183"/>
    <m/>
    <s v="21-08-2026"/>
    <s v="22-08-2026"/>
    <x v="0"/>
    <x v="3"/>
  </r>
  <r>
    <n v="991"/>
    <x v="27"/>
    <d v="2026-08-20T00:00:00"/>
    <x v="4"/>
    <s v="JH01KD-0526"/>
    <n v="9935813519"/>
    <s v="RANCHI"/>
    <s v="NARSAPUR,6562"/>
    <s v="HOSKOTE,1132"/>
    <s v="32FEET"/>
    <n v="45630"/>
    <n v="66780"/>
    <n v="21150"/>
    <n v="45630"/>
    <n v="0"/>
    <s v="DONE"/>
    <s v="184"/>
    <m/>
    <s v="22-08-2026"/>
    <s v="22-08-2026"/>
    <x v="0"/>
    <x v="3"/>
  </r>
  <r>
    <n v="992"/>
    <x v="27"/>
    <d v="2026-08-21T00:00:00"/>
    <x v="4"/>
    <s v="JH01KD-3958"/>
    <n v="9486716172"/>
    <s v="TIRUPPUR"/>
    <s v="VENDOR E ,9398 + VENDOR F,4392 + VENDOR U,4660"/>
    <s v="RANCHI"/>
    <s v="32FEET"/>
    <n v="59190"/>
    <n v="157180"/>
    <n v="97990"/>
    <n v="59190"/>
    <n v="0"/>
    <s v="DONE"/>
    <s v="185"/>
    <m/>
    <s v="24-08-2026"/>
    <s v="24-08-2026"/>
    <x v="0"/>
    <x v="3"/>
  </r>
  <r>
    <n v="993"/>
    <x v="27"/>
    <d v="2026-08-22T00:00:00"/>
    <x v="4"/>
    <s v="JH01KD-2417"/>
    <n v="9995059254"/>
    <s v="RANCHI"/>
    <s v="NARSAPUR,2833"/>
    <s v="HOSKOTE,4542"/>
    <s v="32FEET"/>
    <n v="45630"/>
    <n v="66780"/>
    <n v="21150"/>
    <n v="45630"/>
    <n v="0"/>
    <s v="DONE"/>
    <s v="186"/>
    <m/>
    <s v="25-08-2026"/>
    <s v="25-08-2026"/>
    <x v="0"/>
    <x v="3"/>
  </r>
  <r>
    <n v="994"/>
    <x v="27"/>
    <d v="2026-08-23T00:00:00"/>
    <x v="4"/>
    <s v="JH01KR-9064"/>
    <n v="9902798068"/>
    <s v="TIRUPPUR"/>
    <s v="VENDOR U,8276"/>
    <s v="RANCHI"/>
    <s v="32FEET"/>
    <n v="57300"/>
    <n v="144580"/>
    <n v="87280"/>
    <n v="57300"/>
    <n v="0"/>
    <s v="DONE"/>
    <s v="187"/>
    <m/>
    <s v="25-08-2026"/>
    <s v="25-08-2026"/>
    <x v="0"/>
    <x v="3"/>
  </r>
  <r>
    <n v="995"/>
    <x v="27"/>
    <d v="2026-08-23T00:00:00"/>
    <x v="4"/>
    <s v="JH01KM-8803"/>
    <n v="9040208667"/>
    <s v="TIRUPPUR"/>
    <s v="VENDOR U,9553 + VENDOR L,0424 "/>
    <s v="RANCHI"/>
    <s v="32FEET"/>
    <n v="58240"/>
    <n v="150880"/>
    <n v="92640"/>
    <n v="58240"/>
    <n v="0"/>
    <s v="DONE"/>
    <s v="188"/>
    <m/>
    <s v="25-08-2026"/>
    <s v="25-08-2026"/>
    <x v="0"/>
    <x v="3"/>
  </r>
  <r>
    <n v="996"/>
    <x v="27"/>
    <d v="2026-08-23T00:00:00"/>
    <x v="4"/>
    <s v="JH01KD-6142"/>
    <n v="9025368773"/>
    <s v="RANCHI"/>
    <s v="NARSAPUR,1226"/>
    <s v="HOSKOTE,4448"/>
    <s v="32FEET"/>
    <n v="45630"/>
    <n v="66780"/>
    <n v="21150"/>
    <n v="45630"/>
    <n v="0"/>
    <s v="DONE"/>
    <s v="189"/>
    <m/>
    <s v="26-08-2026"/>
    <s v="26-08-2026"/>
    <x v="0"/>
    <x v="3"/>
  </r>
  <r>
    <n v="997"/>
    <x v="27"/>
    <d v="2026-08-24T00:00:00"/>
    <x v="4"/>
    <s v="JH01KD-3958"/>
    <n v="9486716172"/>
    <s v="RANCHI"/>
    <s v="-"/>
    <s v="NARSAPUR,6463"/>
    <s v="32FEET"/>
    <n v="44680"/>
    <n v="60480"/>
    <n v="15800"/>
    <n v="44680"/>
    <n v="0"/>
    <s v="DONE"/>
    <s v="190"/>
    <m/>
    <s v="27-08-2026"/>
    <s v="27-08-2026"/>
    <x v="0"/>
    <x v="3"/>
  </r>
  <r>
    <n v="998"/>
    <x v="27"/>
    <d v="2026-08-25T00:00:00"/>
    <x v="4"/>
    <s v="JH01KR-1695"/>
    <n v="9589264337"/>
    <s v="TIRUPPUR"/>
    <s v="VENDOR U,0039 + CHENNAI MACHINE,3817"/>
    <s v="RANCHI"/>
    <s v="32FEET"/>
    <n v="58240"/>
    <n v="150880"/>
    <n v="92640"/>
    <n v="58240"/>
    <n v="0"/>
    <s v="DONE"/>
    <s v="191"/>
    <m/>
    <s v="28-08-2026"/>
    <s v="28-08-2026"/>
    <x v="0"/>
    <x v="3"/>
  </r>
  <r>
    <n v="999"/>
    <x v="27"/>
    <d v="2026-08-26T00:00:00"/>
    <x v="4"/>
    <s v="JH01KR-9064"/>
    <n v="9472230553"/>
    <s v="RANCHI"/>
    <s v="NARSAPUR,2835"/>
    <s v="HOSKOTE,4353"/>
    <s v="32FEET"/>
    <n v="45630"/>
    <n v="66780"/>
    <n v="21150"/>
    <n v="45630"/>
    <n v="0"/>
    <s v="DONE"/>
    <s v="192"/>
    <m/>
    <s v="29-08-2026"/>
    <s v="29-08-2026"/>
    <x v="0"/>
    <x v="3"/>
  </r>
  <r>
    <n v="1000"/>
    <x v="27"/>
    <d v="2026-08-26T00:00:00"/>
    <x v="4"/>
    <s v="JH01KR-7230"/>
    <n v="9902798068"/>
    <s v="RANCHI"/>
    <s v="-"/>
    <s v="NARSAPUR,6789"/>
    <s v="32FEET"/>
    <n v="44680"/>
    <n v="60480"/>
    <n v="15800"/>
    <n v="44680"/>
    <n v="0"/>
    <s v="DONE"/>
    <s v="193"/>
    <m/>
    <s v="29-08-2026"/>
    <s v="29-08-2026"/>
    <x v="0"/>
    <x v="3"/>
  </r>
  <r>
    <n v="1001"/>
    <x v="27"/>
    <d v="2026-08-26T00:00:00"/>
    <x v="4"/>
    <s v="JH01KM-8803"/>
    <n v="9040208667"/>
    <s v="RANCHI"/>
    <s v="NARSAPUR,4811"/>
    <s v="HOSKOTE,7452"/>
    <s v="32FEET"/>
    <n v="45630"/>
    <n v="66780"/>
    <n v="21150"/>
    <n v="45630"/>
    <n v="0"/>
    <s v="DONE"/>
    <s v="194"/>
    <m/>
    <s v="29-08-2026"/>
    <s v="29-08-2026"/>
    <x v="0"/>
    <x v="3"/>
  </r>
  <r>
    <n v="1002"/>
    <x v="27"/>
    <d v="2026-08-28T00:00:00"/>
    <x v="4"/>
    <s v="JH01KD-6142"/>
    <n v="9025368773"/>
    <s v="TIRUPPUR"/>
    <s v="VENDOR U,0450 + VENDOR F,2465"/>
    <s v="RANCHI"/>
    <s v="32FEET"/>
    <n v="58240"/>
    <n v="150880"/>
    <n v="92640"/>
    <n v="58240"/>
    <n v="0"/>
    <s v="DONE"/>
    <s v="195"/>
    <m/>
    <s v="31-08-2026"/>
    <s v="31-08-2026"/>
    <x v="0"/>
    <x v="3"/>
  </r>
  <r>
    <n v="1003"/>
    <x v="27"/>
    <d v="2026-08-29T00:00:00"/>
    <x v="4"/>
    <s v="JH01KD-3958"/>
    <n v="9486716172"/>
    <s v="TIRUPPUR"/>
    <s v="VENDOR U,5142"/>
    <s v="RANCHI"/>
    <s v="32FEET"/>
    <n v="57300"/>
    <n v="144580"/>
    <n v="87280"/>
    <n v="57300"/>
    <n v="0"/>
    <s v="DONE"/>
    <s v="196"/>
    <m/>
    <s v="02-09-2026"/>
    <s v="02-09-2026"/>
    <x v="0"/>
    <x v="3"/>
  </r>
  <r>
    <n v="1004"/>
    <x v="27"/>
    <d v="2026-08-29T00:00:00"/>
    <x v="4"/>
    <s v="JH01KR-5582"/>
    <n v="9281983602"/>
    <s v="RANCHI"/>
    <s v="NARSAPUR,0947"/>
    <s v="HOSKOTE,8967"/>
    <s v="32FEET"/>
    <n v="45630"/>
    <n v="66780"/>
    <n v="21150"/>
    <n v="45630"/>
    <n v="0"/>
    <s v="DONE"/>
    <s v="197"/>
    <m/>
    <s v="01-09-2026"/>
    <s v="02-09-2026"/>
    <x v="0"/>
    <x v="3"/>
  </r>
  <r>
    <n v="1005"/>
    <x v="27"/>
    <d v="2026-08-31T00:00:00"/>
    <x v="4"/>
    <s v="JH01KR-1695"/>
    <n v="9589264337"/>
    <s v="RANCHI"/>
    <s v="-"/>
    <s v="NARSAPUR,7240"/>
    <s v="32FEET"/>
    <n v="44680"/>
    <n v="60480"/>
    <n v="15800"/>
    <n v="44680"/>
    <n v="0"/>
    <s v="DONE"/>
    <s v="198"/>
    <m/>
    <s v="03-09-2026"/>
    <s v="03-09-2026"/>
    <x v="0"/>
    <x v="3"/>
  </r>
  <r>
    <n v="1006"/>
    <x v="28"/>
    <d v="2026-09-01T00:00:00"/>
    <x v="4"/>
    <s v="JH01KD-6142"/>
    <n v="9025368773"/>
    <s v="RANCHI"/>
    <s v="NARSAPUR"/>
    <s v="HOSKOTE"/>
    <s v="32FEET"/>
    <n v="45630"/>
    <n v="66780"/>
    <n v="21150"/>
    <n v="45630"/>
    <n v="0"/>
    <s v="PENDING"/>
    <m/>
    <m/>
    <s v="04-09-2026"/>
    <s v="04-09-2026"/>
    <x v="0"/>
    <x v="3"/>
  </r>
  <r>
    <n v="1007"/>
    <x v="28"/>
    <d v="2026-09-01T00:00:00"/>
    <x v="4"/>
    <s v="JH01KM-8803"/>
    <n v="9040208667"/>
    <s v="BANGLORE"/>
    <s v="VENDOR C + VENDOR D"/>
    <s v="RANCHI"/>
    <s v="32FEET"/>
    <n v="55830"/>
    <n v="134820"/>
    <n v="78990"/>
    <n v="55830"/>
    <n v="0"/>
    <s v="PENDING"/>
    <m/>
    <m/>
    <s v="04-09-2026"/>
    <s v="04-09-2026"/>
    <x v="0"/>
    <x v="3"/>
  </r>
  <r>
    <n v="1008"/>
    <x v="28"/>
    <d v="2026-09-03T00:00:00"/>
    <x v="4"/>
    <s v="JH01KR-7230"/>
    <n v="9902798068"/>
    <s v="TIRUPPUR"/>
    <s v="VENDOR U + VENDOR B COIMBATORE"/>
    <s v="RANCHI"/>
    <s v="32FEET"/>
    <n v="58240"/>
    <n v="150880"/>
    <n v="92640"/>
    <n v="58240"/>
    <n v="0"/>
    <s v="PENDING"/>
    <m/>
    <m/>
    <s v="05-09-2026"/>
    <s v="05-09-2026"/>
    <x v="0"/>
    <x v="3"/>
  </r>
  <r>
    <n v="1009"/>
    <x v="28"/>
    <d v="2026-09-03T00:00:00"/>
    <x v="4"/>
    <s v="JH01KD-3958"/>
    <n v="9486716172"/>
    <s v="RANCHI"/>
    <s v="NARSAPUR"/>
    <s v="HOSKOTE"/>
    <s v="32FEET"/>
    <n v="45630"/>
    <n v="66780"/>
    <n v="21150"/>
    <n v="45630"/>
    <n v="0"/>
    <s v="PENDING"/>
    <m/>
    <m/>
    <m/>
    <m/>
    <x v="3"/>
    <x v="3"/>
  </r>
  <r>
    <n v="1010"/>
    <x v="28"/>
    <d v="2026-09-03T00:00:00"/>
    <x v="4"/>
    <s v="JH01KR-9064"/>
    <n v="9902798068"/>
    <s v="TIRUPPUR"/>
    <s v="VENDOR V"/>
    <s v="RANCHI"/>
    <s v="32FEET"/>
    <n v="57300"/>
    <n v="144580"/>
    <n v="87280"/>
    <n v="57300"/>
    <n v="0"/>
    <s v="PENDING"/>
    <m/>
    <m/>
    <m/>
    <m/>
    <x v="3"/>
    <x v="3"/>
  </r>
  <r>
    <n v="1011"/>
    <x v="28"/>
    <d v="2026-09-04T00:00:00"/>
    <x v="4"/>
    <s v="JH01KD-2417"/>
    <n v="9380803043"/>
    <s v="RANCHI"/>
    <s v="NARSAPUR"/>
    <s v="HOSKOTE"/>
    <s v="32FEET"/>
    <n v="45630"/>
    <n v="66780"/>
    <n v="21150"/>
    <n v="45630"/>
    <n v="0"/>
    <s v="PENDING"/>
    <m/>
    <m/>
    <m/>
    <m/>
    <x v="3"/>
    <x v="3"/>
  </r>
  <r>
    <n v="1012"/>
    <x v="28"/>
    <d v="2026-09-05T00:00:00"/>
    <x v="4"/>
    <s v="JH01KR-1695"/>
    <n v="9589264337"/>
    <s v="TIRUPPUR"/>
    <s v="VENDOR U"/>
    <s v="RANCHI"/>
    <s v="32FEET"/>
    <n v="57300"/>
    <n v="144580"/>
    <n v="87280"/>
    <n v="57300"/>
    <n v="0"/>
    <s v="PENDING"/>
    <m/>
    <m/>
    <m/>
    <m/>
    <x v="3"/>
    <x v="3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n v="0"/>
    <m/>
    <n v="0"/>
    <m/>
    <m/>
    <m/>
    <m/>
    <m/>
    <x v="4"/>
    <x v="46"/>
  </r>
  <r>
    <m/>
    <x v="29"/>
    <m/>
    <x v="6"/>
    <m/>
    <m/>
    <m/>
    <m/>
    <m/>
    <m/>
    <m/>
    <m/>
    <m/>
    <m/>
    <m/>
    <m/>
    <m/>
    <m/>
    <m/>
    <m/>
    <x v="4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39C8B-FF3C-4854-8937-F3284421768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327" firstHeaderRow="1" firstDataRow="2" firstDataCol="4"/>
  <pivotFields count="22">
    <pivotField compact="0" outline="0" showAll="0"/>
    <pivotField axis="axisRow" compact="0" outline="0" showAll="0">
      <items count="36">
        <item x="0"/>
        <item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34"/>
        <item x="23"/>
        <item m="1" x="33"/>
        <item m="1" x="32"/>
        <item m="1" x="31"/>
        <item m="1" x="30"/>
        <item x="24"/>
        <item x="25"/>
        <item x="26"/>
        <item x="27"/>
        <item x="28"/>
        <item t="default"/>
      </items>
    </pivotField>
    <pivotField compact="0" outline="0" showAll="0"/>
    <pivotField axis="axisRow" compact="0" outline="0" showAll="0">
      <items count="10">
        <item x="0"/>
        <item x="2"/>
        <item x="4"/>
        <item x="1"/>
        <item x="6"/>
        <item m="1" x="8"/>
        <item m="1" x="7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1"/>
        <item x="3"/>
        <item x="4"/>
        <item m="1" x="5"/>
        <item m="1" x="6"/>
        <item x="2"/>
        <item t="default"/>
      </items>
    </pivotField>
    <pivotField axis="axisRow" compact="0" outline="0" showAll="0">
      <items count="50">
        <item x="0"/>
        <item x="1"/>
        <item x="46"/>
        <item x="2"/>
        <item x="3"/>
        <item x="4"/>
        <item m="1" x="4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5"/>
        <item t="default"/>
      </items>
    </pivotField>
  </pivotFields>
  <rowFields count="4">
    <field x="1"/>
    <field x="3"/>
    <field x="20"/>
    <field x="21"/>
  </rowFields>
  <rowItems count="323">
    <i>
      <x/>
      <x/>
      <x/>
      <x/>
    </i>
    <i r="3">
      <x v="1"/>
    </i>
    <i t="default" r="2">
      <x/>
    </i>
    <i t="default" r="1">
      <x/>
    </i>
    <i r="1">
      <x v="3"/>
      <x/>
      <x v="3"/>
    </i>
    <i r="3">
      <x v="4"/>
    </i>
    <i t="default" r="2">
      <x/>
    </i>
    <i t="default" r="1">
      <x v="3"/>
    </i>
    <i t="default">
      <x/>
    </i>
    <i>
      <x v="1"/>
      <x v="4"/>
      <x v="3"/>
      <x v="2"/>
    </i>
    <i t="default" r="2">
      <x v="3"/>
    </i>
    <i t="default" r="1">
      <x v="4"/>
    </i>
    <i t="default">
      <x v="1"/>
    </i>
    <i>
      <x v="2"/>
      <x/>
      <x/>
      <x v="1"/>
    </i>
    <i t="default" r="2">
      <x/>
    </i>
    <i r="2">
      <x v="1"/>
      <x v="1"/>
    </i>
    <i t="default" r="2">
      <x v="1"/>
    </i>
    <i t="default" r="1">
      <x/>
    </i>
    <i r="1">
      <x v="1"/>
      <x/>
      <x v="1"/>
    </i>
    <i r="3">
      <x v="5"/>
    </i>
    <i t="default" r="2">
      <x/>
    </i>
    <i r="2">
      <x v="1"/>
      <x v="1"/>
    </i>
    <i t="default" r="2">
      <x v="1"/>
    </i>
    <i t="default" r="1">
      <x v="1"/>
    </i>
    <i r="1">
      <x v="3"/>
      <x/>
      <x v="3"/>
    </i>
    <i r="3">
      <x v="4"/>
    </i>
    <i t="default" r="2">
      <x/>
    </i>
    <i r="2">
      <x v="1"/>
      <x v="4"/>
    </i>
    <i t="default" r="2">
      <x v="1"/>
    </i>
    <i t="default" r="1">
      <x v="3"/>
    </i>
    <i t="default">
      <x v="2"/>
    </i>
    <i>
      <x v="3"/>
      <x/>
      <x/>
      <x v="1"/>
    </i>
    <i r="3">
      <x v="4"/>
    </i>
    <i r="3">
      <x v="8"/>
    </i>
    <i r="3">
      <x v="9"/>
    </i>
    <i r="3">
      <x v="10"/>
    </i>
    <i r="3">
      <x v="11"/>
    </i>
    <i t="default" r="2">
      <x/>
    </i>
    <i t="default" r="1">
      <x/>
    </i>
    <i r="1">
      <x v="1"/>
      <x/>
      <x v="1"/>
    </i>
    <i r="3">
      <x v="7"/>
    </i>
    <i t="default" r="2">
      <x/>
    </i>
    <i t="default" r="1">
      <x v="1"/>
    </i>
    <i r="1">
      <x v="3"/>
      <x/>
      <x v="4"/>
    </i>
    <i t="default" r="2">
      <x/>
    </i>
    <i t="default" r="1">
      <x v="3"/>
    </i>
    <i t="default">
      <x v="3"/>
    </i>
    <i>
      <x v="4"/>
      <x/>
      <x/>
      <x v="1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t="default" r="2">
      <x/>
    </i>
    <i t="default" r="1">
      <x/>
    </i>
    <i r="1">
      <x v="1"/>
      <x/>
      <x v="10"/>
    </i>
    <i t="default" r="2">
      <x/>
    </i>
    <i t="default" r="1">
      <x v="1"/>
    </i>
    <i r="1">
      <x v="3"/>
      <x/>
      <x v="4"/>
    </i>
    <i t="default" r="2">
      <x/>
    </i>
    <i t="default" r="1">
      <x v="3"/>
    </i>
    <i r="1">
      <x v="7"/>
      <x/>
      <x v="15"/>
    </i>
    <i t="default" r="2">
      <x/>
    </i>
    <i t="default" r="1">
      <x v="7"/>
    </i>
    <i t="default">
      <x v="4"/>
    </i>
    <i>
      <x v="5"/>
      <x/>
      <x/>
      <x v="1"/>
    </i>
    <i r="3">
      <x v="16"/>
    </i>
    <i r="3">
      <x v="18"/>
    </i>
    <i r="3">
      <x v="20"/>
    </i>
    <i r="3">
      <x v="21"/>
    </i>
    <i r="3">
      <x v="22"/>
    </i>
    <i r="3">
      <x v="23"/>
    </i>
    <i r="3">
      <x v="24"/>
    </i>
    <i t="default" r="2">
      <x/>
    </i>
    <i t="default" r="1">
      <x/>
    </i>
    <i r="1">
      <x v="1"/>
      <x/>
      <x v="11"/>
    </i>
    <i t="default" r="2">
      <x/>
    </i>
    <i t="default" r="1">
      <x v="1"/>
    </i>
    <i r="1">
      <x v="2"/>
      <x/>
      <x v="4"/>
    </i>
    <i t="default" r="2">
      <x/>
    </i>
    <i t="default" r="1">
      <x v="2"/>
    </i>
    <i r="1">
      <x v="3"/>
      <x/>
      <x v="4"/>
    </i>
    <i t="default" r="2">
      <x/>
    </i>
    <i t="default" r="1">
      <x v="3"/>
    </i>
    <i t="default">
      <x v="5"/>
    </i>
    <i>
      <x v="6"/>
      <x/>
      <x/>
      <x v="16"/>
    </i>
    <i r="3">
      <x v="18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28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6"/>
    </i>
    <i>
      <x v="7"/>
      <x/>
      <x/>
      <x v="4"/>
    </i>
    <i r="3">
      <x v="16"/>
    </i>
    <i r="3">
      <x v="17"/>
    </i>
    <i r="3">
      <x v="18"/>
    </i>
    <i r="3">
      <x v="21"/>
    </i>
    <i r="3">
      <x v="23"/>
    </i>
    <i r="3">
      <x v="29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7"/>
    </i>
    <i>
      <x v="8"/>
      <x/>
      <x/>
      <x v="4"/>
    </i>
    <i r="3">
      <x v="5"/>
    </i>
    <i r="3">
      <x v="16"/>
    </i>
    <i r="3">
      <x v="18"/>
    </i>
    <i r="3">
      <x v="2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8"/>
    </i>
    <i>
      <x v="9"/>
      <x/>
      <x/>
      <x v="8"/>
    </i>
    <i r="3">
      <x v="10"/>
    </i>
    <i r="3">
      <x v="16"/>
    </i>
    <i r="3">
      <x v="18"/>
    </i>
    <i r="3">
      <x v="23"/>
    </i>
    <i r="3">
      <x v="30"/>
    </i>
    <i r="3">
      <x v="31"/>
    </i>
    <i r="3">
      <x v="32"/>
    </i>
    <i t="default" r="2">
      <x/>
    </i>
    <i t="default" r="1">
      <x/>
    </i>
    <i r="1">
      <x v="2"/>
      <x/>
      <x v="4"/>
    </i>
    <i t="default" r="2">
      <x/>
    </i>
    <i t="default" r="1">
      <x v="2"/>
    </i>
    <i r="1">
      <x v="8"/>
      <x/>
      <x v="18"/>
    </i>
    <i t="default" r="2">
      <x/>
    </i>
    <i t="default" r="1">
      <x v="8"/>
    </i>
    <i t="default">
      <x v="9"/>
    </i>
    <i>
      <x v="10"/>
      <x/>
      <x/>
      <x v="8"/>
    </i>
    <i r="3">
      <x v="16"/>
    </i>
    <i r="3">
      <x v="18"/>
    </i>
    <i r="3">
      <x v="23"/>
    </i>
    <i r="3">
      <x v="26"/>
    </i>
    <i r="3">
      <x v="32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0"/>
    </i>
    <i>
      <x v="11"/>
      <x/>
      <x/>
      <x v="16"/>
    </i>
    <i r="3">
      <x v="18"/>
    </i>
    <i r="3">
      <x v="23"/>
    </i>
    <i r="3">
      <x v="33"/>
    </i>
    <i r="3">
      <x v="34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1"/>
    </i>
    <i>
      <x v="12"/>
      <x/>
      <x/>
      <x v="18"/>
    </i>
    <i r="3">
      <x v="2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2"/>
    </i>
    <i>
      <x v="13"/>
      <x/>
      <x/>
      <x v="8"/>
    </i>
    <i r="3">
      <x v="16"/>
    </i>
    <i r="3">
      <x v="18"/>
    </i>
    <i r="3">
      <x v="23"/>
    </i>
    <i r="3">
      <x v="35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3"/>
    </i>
    <i>
      <x v="14"/>
      <x/>
      <x/>
      <x v="8"/>
    </i>
    <i r="3">
      <x v="16"/>
    </i>
    <i r="3">
      <x v="18"/>
    </i>
    <i r="3">
      <x v="36"/>
    </i>
    <i r="3">
      <x v="37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4"/>
    </i>
    <i>
      <x v="15"/>
      <x/>
      <x/>
      <x v="18"/>
    </i>
    <i r="3">
      <x v="2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5"/>
    </i>
    <i>
      <x v="16"/>
      <x/>
      <x/>
      <x v="8"/>
    </i>
    <i r="3">
      <x v="18"/>
    </i>
    <i r="3">
      <x v="23"/>
    </i>
    <i r="3">
      <x v="3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6"/>
    </i>
    <i>
      <x v="17"/>
      <x/>
      <x/>
      <x v="16"/>
    </i>
    <i r="3">
      <x v="18"/>
    </i>
    <i r="3">
      <x v="23"/>
    </i>
    <i r="3">
      <x v="38"/>
    </i>
    <i r="3">
      <x v="39"/>
    </i>
    <i t="default" r="2">
      <x/>
    </i>
    <i t="default" r="1">
      <x/>
    </i>
    <i r="1">
      <x v="2"/>
      <x/>
      <x v="4"/>
    </i>
    <i r="3">
      <x v="23"/>
    </i>
    <i t="default" r="2">
      <x/>
    </i>
    <i t="default" r="1">
      <x v="2"/>
    </i>
    <i t="default">
      <x v="17"/>
    </i>
    <i>
      <x v="18"/>
      <x/>
      <x/>
      <x v="8"/>
    </i>
    <i r="3">
      <x v="2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8"/>
    </i>
    <i>
      <x v="19"/>
      <x/>
      <x/>
      <x v="16"/>
    </i>
    <i r="3">
      <x v="18"/>
    </i>
    <i r="3">
      <x v="23"/>
    </i>
    <i r="3">
      <x v="40"/>
    </i>
    <i r="3">
      <x v="41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19"/>
    </i>
    <i>
      <x v="20"/>
      <x/>
      <x/>
      <x v="18"/>
    </i>
    <i r="3">
      <x v="42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20"/>
    </i>
    <i>
      <x v="21"/>
      <x/>
      <x/>
      <x v="18"/>
    </i>
    <i r="3">
      <x v="42"/>
    </i>
    <i r="3">
      <x v="43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21"/>
    </i>
    <i>
      <x v="22"/>
      <x/>
      <x/>
      <x v="8"/>
    </i>
    <i r="3">
      <x v="42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22"/>
    </i>
    <i>
      <x v="23"/>
      <x/>
      <x/>
      <x v="8"/>
    </i>
    <i r="3">
      <x v="42"/>
    </i>
    <i t="default" r="2">
      <x/>
    </i>
    <i t="default" r="1">
      <x/>
    </i>
    <i r="1">
      <x v="2"/>
      <x/>
      <x v="4"/>
    </i>
    <i r="3">
      <x v="8"/>
    </i>
    <i t="default" r="2">
      <x/>
    </i>
    <i t="default" r="1">
      <x v="2"/>
    </i>
    <i t="default">
      <x v="23"/>
    </i>
    <i>
      <x v="25"/>
      <x/>
      <x/>
      <x v="44"/>
    </i>
    <i r="3">
      <x v="45"/>
    </i>
    <i r="3">
      <x v="46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25"/>
    </i>
    <i>
      <x v="30"/>
      <x v="2"/>
      <x/>
      <x v="4"/>
    </i>
    <i t="default" r="2">
      <x/>
    </i>
    <i t="default" r="1">
      <x v="2"/>
    </i>
    <i t="default">
      <x v="30"/>
    </i>
    <i>
      <x v="31"/>
      <x v="2"/>
      <x/>
      <x v="4"/>
    </i>
    <i t="default" r="2">
      <x/>
    </i>
    <i t="default" r="1">
      <x v="2"/>
    </i>
    <i t="default">
      <x v="31"/>
    </i>
    <i>
      <x v="32"/>
      <x/>
      <x/>
      <x v="48"/>
    </i>
    <i t="default" r="2">
      <x/>
    </i>
    <i t="default" r="1">
      <x/>
    </i>
    <i r="1">
      <x v="2"/>
      <x/>
      <x v="2"/>
    </i>
    <i r="3">
      <x v="4"/>
    </i>
    <i t="default" r="2">
      <x/>
    </i>
    <i r="2">
      <x v="6"/>
      <x v="4"/>
    </i>
    <i t="default" r="2">
      <x v="6"/>
    </i>
    <i t="default" r="1">
      <x v="2"/>
    </i>
    <i t="default">
      <x v="32"/>
    </i>
    <i>
      <x v="33"/>
      <x/>
      <x/>
      <x v="47"/>
    </i>
    <i r="3">
      <x v="48"/>
    </i>
    <i t="default" r="2">
      <x/>
    </i>
    <i t="default" r="1">
      <x/>
    </i>
    <i r="1">
      <x v="2"/>
      <x/>
      <x v="4"/>
    </i>
    <i t="default" r="2">
      <x/>
    </i>
    <i t="default" r="1">
      <x v="2"/>
    </i>
    <i t="default">
      <x v="33"/>
    </i>
    <i>
      <x v="34"/>
      <x v="2"/>
      <x/>
      <x v="4"/>
    </i>
    <i t="default" r="2">
      <x/>
    </i>
    <i r="2">
      <x v="2"/>
      <x v="4"/>
    </i>
    <i t="default" r="2">
      <x v="2"/>
    </i>
    <i t="default" r="1">
      <x v="2"/>
    </i>
    <i t="default">
      <x v="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LORRY RATE " fld="10" baseField="0" baseItem="0"/>
    <dataField name=" Billing Rate Charges" fld="11" baseField="0" baseItem="0"/>
    <dataField name=" Net Saving" fld="12" baseField="0" baseItem="0"/>
    <dataField name=" Adance Paid (INR)" fld="13" baseField="0" baseItem="0"/>
    <dataField name=" Balance To pay" fld="14" baseField="0" baseItem="0"/>
  </dataFields>
  <formats count="6">
    <format dxfId="95">
      <pivotArea dataOnly="0" outline="0" fieldPosition="0">
        <references count="1">
          <reference field="20" count="0" defaultSubtotal="1"/>
        </references>
      </pivotArea>
    </format>
    <format dxfId="94">
      <pivotArea outline="0" collapsedLevelsAreSubtotals="1" fieldPosition="0"/>
    </format>
    <format dxfId="93">
      <pivotArea dataOnly="0" outline="0" fieldPosition="0">
        <references count="1">
          <reference field="3" count="0" defaultSubtotal="1"/>
        </references>
      </pivotArea>
    </format>
    <format dxfId="92">
      <pivotArea dataOnly="0" outline="0" fieldPosition="0">
        <references count="1">
          <reference field="1" count="0" defaultSubtotal="1"/>
        </references>
      </pivotArea>
    </format>
    <format dxfId="91">
      <pivotArea dataOnly="0" labelOnly="1" outline="0" fieldPosition="0">
        <references count="4">
          <reference field="1" count="1" selected="0">
            <x v="5"/>
          </reference>
          <reference field="3" count="1" selected="0">
            <x v="1"/>
          </reference>
          <reference field="20" count="1" selected="0">
            <x v="0"/>
          </reference>
          <reference field="21" count="1">
            <x v="11"/>
          </reference>
        </references>
      </pivotArea>
    </format>
    <format dxfId="90">
      <pivotArea dataOnly="0" labelOnly="1" outline="0" fieldPosition="0">
        <references count="1">
          <reference field="1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743BD-61BA-4958-B469-C923371395A6}" name="Table1" displayName="Table1" ref="A1:W1265" totalsRowShown="0" headerRowDxfId="89" dataDxfId="88">
  <autoFilter ref="A1:W1265" xr:uid="{25F743BD-61BA-4958-B469-C923371395A6}">
    <filterColumn colId="1">
      <filters>
        <filter val="APRIL"/>
      </filters>
    </filterColumn>
  </autoFilter>
  <tableColumns count="23">
    <tableColumn id="1" xr3:uid="{5F1EA78F-B8F5-4FE0-B17F-9DEE25DB6671}" name="S.NO." dataDxfId="87"/>
    <tableColumn id="15" xr3:uid="{D4DC710E-654A-4AF3-980C-AB991389F871}" name="Month" dataDxfId="86"/>
    <tableColumn id="2" xr3:uid="{248B579A-3485-4189-85DD-33360692B7C8}" name="LOADING DATE " dataDxfId="85"/>
    <tableColumn id="16" xr3:uid="{988BC8B0-AC5F-4BD7-BD33-227B93A24967}" name="Provider" dataDxfId="84"/>
    <tableColumn id="3" xr3:uid="{723B3F82-EB42-4DB0-AAAF-392E852C2887}" name="LORRY NO." dataDxfId="83"/>
    <tableColumn id="14" xr3:uid="{3BE0CE08-F4BC-44E8-8137-79CC86D95179}" name="MOBILE NO." dataDxfId="82"/>
    <tableColumn id="4" xr3:uid="{6C9E3948-8F5F-4186-A472-6F74D008171D}" name="FROM " dataDxfId="81"/>
    <tableColumn id="5" xr3:uid="{650D19C1-4775-4B2C-9354-4464F25B6B8E}" name="POINT GR NO." dataDxfId="80"/>
    <tableColumn id="6" xr3:uid="{D0324DEE-DB06-4293-A346-90879CBCFA9D}" name="TO GR NO." dataDxfId="79"/>
    <tableColumn id="7" xr3:uid="{8924C3A8-CB98-40D4-9EB5-A6448561D97F}" name="LORRY MAKE" dataDxfId="78"/>
    <tableColumn id="8" xr3:uid="{8EC01273-7544-4E3F-AECD-21E98587DE8E}" name=" LORRY RATE " dataDxfId="77" dataCellStyle="Comma"/>
    <tableColumn id="17" xr3:uid="{DFC2A526-1E34-4A89-9999-8444B23C11BF}" name="Billing Rate Charges" dataDxfId="76" dataCellStyle="Comma"/>
    <tableColumn id="18" xr3:uid="{B09DFB72-65A4-4693-9C01-B621D58DF471}" name="Net Saving" dataDxfId="75" dataCellStyle="Comma">
      <calculatedColumnFormula>Table1[[#This Row],[Billing Rate Charges]]-Table1[[#This Row],[ LORRY RATE ]]</calculatedColumnFormula>
    </tableColumn>
    <tableColumn id="19" xr3:uid="{CF8751B4-4A1F-4A73-875A-505495BCF9FD}" name="Adance Paid (INR)" dataDxfId="74" dataCellStyle="Comma"/>
    <tableColumn id="20" xr3:uid="{E195E8D7-28DC-4762-90F7-FF2D0B82EF6E}" name="Balance To pay" dataDxfId="73" dataCellStyle="Comma">
      <calculatedColumnFormula>Table1[[#This Row],[ LORRY RATE ]]-Table1[[#This Row],[Adance Paid (INR)]]</calculatedColumnFormula>
    </tableColumn>
    <tableColumn id="9" xr3:uid="{45C20ABC-9AD2-4A81-8D39-5B51E11E2D2D}" name="BILL STATUS " dataDxfId="72" dataCellStyle="Comma"/>
    <tableColumn id="21" xr3:uid="{65472F8B-D682-4CE8-81EE-8920DFCD2E0F}" name="Invoice No." dataDxfId="71" dataCellStyle="Comma"/>
    <tableColumn id="22" xr3:uid="{05C9766C-9590-452B-8E2A-9A2526404FB8}" name="Payment Status" dataDxfId="70" dataCellStyle="Comma"/>
    <tableColumn id="12" xr3:uid="{A183A6A2-09B4-446B-90D0-0D0A3D9594F5}" name="REACH UNLOADING POINT " dataDxfId="69" dataCellStyle="Comma"/>
    <tableColumn id="13" xr3:uid="{152AF988-18A6-49A1-B519-4EC92E0DAB63}" name="UNLOADING DATE " dataDxfId="68" dataCellStyle="Comma"/>
    <tableColumn id="10" xr3:uid="{5C2A0A72-9BFD-4A3C-8511-403587B092A5}" name="Current Status" dataDxfId="67"/>
    <tableColumn id="11" xr3:uid="{7E998E4F-F062-42B3-8EDB-664602017FA1}" name="BROAKER ADRESS" dataDxfId="66"/>
    <tableColumn id="24" xr3:uid="{5B554AEA-3B44-4126-8574-C0866EEF6BEB}" name="REMARKS " dataDxfId="6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15BEC8-0BE2-487A-B9CA-D03F0780CDD0}" name="AUBURN" displayName="AUBURN" ref="A6:AB1121" totalsRowShown="0" headerRowDxfId="64" dataDxfId="63">
  <autoFilter ref="A6:AB1121" xr:uid="{3315BEC8-0BE2-487A-B9CA-D03F0780CDD0}"/>
  <tableColumns count="28">
    <tableColumn id="1" xr3:uid="{51555850-E72A-453E-B3FE-357413746949}" name="S.NO." dataDxfId="62">
      <calculatedColumnFormula>IF($B7="","",ROW()-6)</calculatedColumnFormula>
    </tableColumn>
    <tableColumn id="2" xr3:uid="{36C1EF04-E07D-40D2-9F28-1F5A3B87FA86}" name="LOADING DATE" dataDxfId="61"/>
    <tableColumn id="3" xr3:uid="{D2532508-17F6-4AB3-9037-D7883505CE3E}" name="MONTH" dataDxfId="60">
      <calculatedColumnFormula>IF($B7="","",EOMONTH($B7,-1)+1)</calculatedColumnFormula>
    </tableColumn>
    <tableColumn id="4" xr3:uid="{56203070-1D59-4DDF-9ED0-332ED064D950}" name="PROVIDER" dataDxfId="59"/>
    <tableColumn id="5" xr3:uid="{C7B7F6C3-9F69-4159-B991-C55104B590A9}" name="LORRY NO." dataDxfId="58"/>
    <tableColumn id="6" xr3:uid="{453960AF-7A6E-4B16-BB0B-BFF2DFC3C154}" name="MOBILE NO." dataDxfId="57"/>
    <tableColumn id="7" xr3:uid="{696DDE4A-C669-4A1C-A1F3-869A9DCCA49A}" name="FROM" dataDxfId="56"/>
    <tableColumn id="8" xr3:uid="{65A0AB4B-3EE8-400A-82CB-0145B2FB859E}" name="POINT GR NO." dataDxfId="55"/>
    <tableColumn id="9" xr3:uid="{6B89CB9F-6912-4D93-8661-09F4179563A4}" name="TO GR NO." dataDxfId="54"/>
    <tableColumn id="10" xr3:uid="{3F63EE46-5F63-4796-AAC5-3343018D4BF1}" name="LORRY MAKE" dataDxfId="53"/>
    <tableColumn id="11" xr3:uid="{D77EA749-14D7-4855-8CD7-E95F1CAC3EBB}" name="LORRY RATE (₹)" dataDxfId="52"/>
    <tableColumn id="12" xr3:uid="{6B371AB9-76D4-4828-B8E9-61C0DCBAD64C}" name="BILLING RATE (₹)" dataDxfId="51"/>
    <tableColumn id="13" xr3:uid="{2036A662-C33E-45FE-A72B-85F0726A1152}" name="NET SAVING (₹)" dataDxfId="50">
      <calculatedColumnFormula>IF(OR($K7="",$L7=""),"",$L7-$K7)</calculatedColumnFormula>
    </tableColumn>
    <tableColumn id="14" xr3:uid="{981BCE51-9386-4B02-93F3-141DC994FC05}" name="MARGIN %" dataDxfId="49">
      <calculatedColumnFormula>IF(OR($L7="",$L7=0,$M7=""),"",$M7/$L7)</calculatedColumnFormula>
    </tableColumn>
    <tableColumn id="15" xr3:uid="{E1D67223-9035-41C5-993B-80C9F94BA0C9}" name="ADVANCE PAID (₹)" dataDxfId="48"/>
    <tableColumn id="16" xr3:uid="{293222DB-04E0-4C02-B795-14E95801E733}" name="BALANCE TO PAY (₹)" dataDxfId="47">
      <calculatedColumnFormula>IF(OR($K7="",$O7=""),"",$K7-$O7)</calculatedColumnFormula>
    </tableColumn>
    <tableColumn id="17" xr3:uid="{C8DB3492-5AF0-4150-B274-C3730EBE0F6E}" name="BILL STATUS" dataDxfId="46"/>
    <tableColumn id="18" xr3:uid="{0A12AF2A-4A3C-4503-8F0B-7D78BC862B42}" name="INVOICE NO." dataDxfId="45"/>
    <tableColumn id="19" xr3:uid="{6B3C4378-A812-4A68-9787-0B35F30185DE}" name="PAYMENT STATUS" dataDxfId="44"/>
    <tableColumn id="20" xr3:uid="{0E621876-B915-4D9B-8E23-95AF8D684EEA}" name="REACH DATE" dataDxfId="43"/>
    <tableColumn id="21" xr3:uid="{7978E08C-B146-431C-A8B3-153F2FB47EEF}" name="UNLOAD DATE" dataDxfId="42"/>
    <tableColumn id="22" xr3:uid="{35B04335-9E5D-49A0-AB1D-A613DBFBCF85}" name="UNLOAD END" dataDxfId="41"/>
    <tableColumn id="23" xr3:uid="{819209BF-BBFD-4653-A119-DED3DFB1A8A3}" name="TRANSIT DAYS" dataDxfId="40">
      <calculatedColumnFormula>IF(OR($B7="",$U7=""),"",$U7-$B7)</calculatedColumnFormula>
    </tableColumn>
    <tableColumn id="24" xr3:uid="{7648409C-B52F-48D8-8E1D-334AB910888B}" name="CURRENT STATUS" dataDxfId="7"/>
    <tableColumn id="25" xr3:uid="{72DF2B3F-4456-49C1-9668-C0B8EC4AB9C6}" name="BROKER ADDRESS" dataDxfId="5"/>
    <tableColumn id="26" xr3:uid="{EF352FB8-C809-42EE-96B9-7D2594FBD4AE}" name="REMARKS" dataDxfId="6"/>
    <tableColumn id="27" xr3:uid="{A0C10EC1-1976-4633-84CE-3C55F7CED9F7}" name="REACH AS LOGGED" dataDxfId="39"/>
    <tableColumn id="28" xr3:uid="{DF288A10-BF0D-4302-B4CB-6C8F9F674A48}" name="UNLOAD AS LOGGED" dataDxfId="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CC841E-154D-4696-A91C-BB4435F16D86}" name="MARKET" displayName="MARKET" ref="A6:P177" totalsRowShown="0" headerRowDxfId="37" dataDxfId="36">
  <autoFilter ref="A6:P177" xr:uid="{93CC841E-154D-4696-A91C-BB4435F16D86}"/>
  <tableColumns count="16">
    <tableColumn id="1" xr3:uid="{D381D993-34A1-4903-83B2-B01D7BA7254E}" name="S.NO." dataDxfId="35">
      <calculatedColumnFormula>IF($B7="","",ROW()-6)</calculatedColumnFormula>
    </tableColumn>
    <tableColumn id="2" xr3:uid="{7F718477-CA01-4F80-A7F2-5FD9905B9FF4}" name="LOAD DATE" dataDxfId="34"/>
    <tableColumn id="3" xr3:uid="{98221219-EB8C-42E9-91E0-FA0AC09B43A5}" name="MONTH" dataDxfId="33">
      <calculatedColumnFormula>IF($B7="","",EOMONTH($B7,-1)+1)</calculatedColumnFormula>
    </tableColumn>
    <tableColumn id="4" xr3:uid="{5FDDC052-42CA-4621-9F7C-7FD96139EEDB}" name="LORRY NO." dataDxfId="32"/>
    <tableColumn id="5" xr3:uid="{44889571-9E67-4E87-9857-AD0F4C4DA5F1}" name="CUSTOMER NAME" dataDxfId="31"/>
    <tableColumn id="6" xr3:uid="{CC1F7FFF-F604-4984-9A55-0D95522D861A}" name="LOAD FROM" dataDxfId="30"/>
    <tableColumn id="7" xr3:uid="{AFD02E69-0DEB-4529-A886-AD2469668F6C}" name="DELIVERY POINT" dataDxfId="29"/>
    <tableColumn id="8" xr3:uid="{3280E98E-06FA-42F5-B41D-17E9BDD1D0D7}" name="RATE (₹)" dataDxfId="28"/>
    <tableColumn id="9" xr3:uid="{B97EF0A9-8F3E-43BA-BFEF-6D468FB22A52}" name="ADVANCE RECEIVED (₹)" dataDxfId="27"/>
    <tableColumn id="10" xr3:uid="{26832149-9B5B-4164-941B-D1304C80993D}" name="BALANCE DUE (₹)" dataDxfId="26">
      <calculatedColumnFormula>IF(OR($H7="",$I7=""),"",$H7-$I7)</calculatedColumnFormula>
    </tableColumn>
    <tableColumn id="11" xr3:uid="{0E16A110-335E-4B44-BD61-E9CF37BBBC20}" name="ADVANCE RECEIVED DATE" dataDxfId="25"/>
    <tableColumn id="12" xr3:uid="{0B37496D-A899-45F1-9099-32FC8DF19905}" name="DAYS TO RECEIVE" dataDxfId="24">
      <calculatedColumnFormula>IF(OR($B7="",$K7=""),"",$K7-$B7)</calculatedColumnFormula>
    </tableColumn>
    <tableColumn id="13" xr3:uid="{7ECCD06E-0991-4E77-81AD-DE151E072875}" name="POD STATUS" dataDxfId="23"/>
    <tableColumn id="14" xr3:uid="{A2936437-50CF-4D8E-8A6C-A86DB706416D}" name="POD REF" dataDxfId="22"/>
    <tableColumn id="15" xr3:uid="{7972047A-9268-4961-8526-77629031CCAF}" name="REMARKS" dataDxfId="21"/>
    <tableColumn id="16" xr3:uid="{854AF7DA-0E9D-4EA9-B0D1-0EAC678F09A6}" name="POD AS LOGGED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BD3A3-81E1-4606-947E-8571EB86AF8B}" name="KMRUN" displayName="KMRUN" ref="A6:J67" totalsRowShown="0" headerRowDxfId="19" dataDxfId="18">
  <autoFilter ref="A6:J67" xr:uid="{4AABD3A3-81E1-4606-947E-8571EB86AF8B}"/>
  <tableColumns count="10">
    <tableColumn id="1" xr3:uid="{BA676ECE-11E8-4D1E-84B4-8FBDE9BE1897}" name="MONTH" dataDxfId="17"/>
    <tableColumn id="2" xr3:uid="{1B53CD02-DC76-48B8-900D-139B21CA8680}" name="TRUCK NO." dataDxfId="16"/>
    <tableColumn id="3" xr3:uid="{DFE444CF-9786-44BE-B0DB-E220CE1166ED}" name="MAKE" dataDxfId="15"/>
    <tableColumn id="4" xr3:uid="{D7F8E481-30A7-4B09-9E60-08B40FE8A68F}" name="CAPACITY" dataDxfId="14"/>
    <tableColumn id="5" xr3:uid="{1781D3C8-4E52-4F3B-8220-9048EF4238CC}" name="DRIVER" dataDxfId="13"/>
    <tableColumn id="6" xr3:uid="{272CBD95-D5A4-45D4-B698-606C7B585253}" name="ACTUAL KM" dataDxfId="12"/>
    <tableColumn id="7" xr3:uid="{280BA8DB-3D0A-4E4A-AA1F-21A8F45A6EFA}" name="TARGET KM" dataDxfId="11"/>
    <tableColumn id="8" xr3:uid="{A85324B4-4E6D-4142-8B93-EABAE083D17D}" name="VARIANCE (KM)" dataDxfId="10">
      <calculatedColumnFormula>IF(OR($F7="",$G7=""),"",$F7-$G7)</calculatedColumnFormula>
    </tableColumn>
    <tableColumn id="9" xr3:uid="{5BBFBAE2-647A-46CA-BC79-48E94D2364B7}" name="UTILISATION %" dataDxfId="9">
      <calculatedColumnFormula>IF(OR($F7="",$G7="",$G7=0),"",$F7/$G7)</calculatedColumnFormula>
    </tableColumn>
    <tableColumn id="10" xr3:uid="{A57CD413-06AC-45D0-8112-C05EFF617F99}" name="INCENTIVE (₹)" dataDxfId="8">
      <calculatedColumnFormula>IF($H7="","",MAX(0,$H7)*$D$2)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BA64-D04F-47D6-A04B-4F559DDC181C}">
  <sheetPr>
    <tabColor rgb="FFFF0000"/>
  </sheetPr>
  <dimension ref="B1:L62"/>
  <sheetViews>
    <sheetView showGridLines="0" tabSelected="1" zoomScale="121" workbookViewId="0">
      <selection activeCell="J15" sqref="J15"/>
    </sheetView>
  </sheetViews>
  <sheetFormatPr defaultRowHeight="15" x14ac:dyDescent="0.25"/>
  <cols>
    <col min="1" max="1" width="3.42578125" customWidth="1"/>
    <col min="2" max="12" width="18.140625" customWidth="1"/>
  </cols>
  <sheetData>
    <row r="1" spans="2:12" ht="8.1" customHeight="1" x14ac:dyDescent="0.25"/>
    <row r="2" spans="2:12" ht="38.1" customHeight="1" x14ac:dyDescent="0.25">
      <c r="B2" s="377" t="s">
        <v>3888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</row>
    <row r="3" spans="2:12" ht="18" customHeight="1" x14ac:dyDescent="0.25">
      <c r="B3" s="378" t="str">
        <f>IF($K$3="All years","Auburn brokerage + market loads + fleet utilisation  ·  all history","Auburn brokerage + market loads + fleet utilisation  ·  calendar year "&amp;$K$3)</f>
        <v>Auburn brokerage + market loads + fleet utilisation  ·  calendar year 2026</v>
      </c>
      <c r="C3" s="378"/>
      <c r="D3" s="378"/>
      <c r="E3" s="378"/>
      <c r="F3" s="378"/>
      <c r="G3" s="378"/>
      <c r="J3" s="347" t="s">
        <v>3889</v>
      </c>
      <c r="K3" s="379">
        <v>2026</v>
      </c>
      <c r="L3" s="380"/>
    </row>
    <row r="4" spans="2:12" ht="9.9499999999999993" customHeight="1" x14ac:dyDescent="0.25"/>
    <row r="5" spans="2:12" ht="15.95" customHeight="1" x14ac:dyDescent="0.25">
      <c r="B5" s="381" t="s">
        <v>3886</v>
      </c>
      <c r="C5" s="381"/>
      <c r="D5" s="381" t="s">
        <v>3884</v>
      </c>
      <c r="E5" s="381"/>
      <c r="F5" s="383" t="s">
        <v>3895</v>
      </c>
      <c r="G5" s="383"/>
      <c r="H5" s="370" t="s">
        <v>3852</v>
      </c>
      <c r="I5" s="370"/>
      <c r="J5" s="373" t="s">
        <v>3793</v>
      </c>
      <c r="K5" s="373"/>
      <c r="L5" s="352" t="s">
        <v>3896</v>
      </c>
    </row>
    <row r="6" spans="2:12" ht="30" customHeight="1" x14ac:dyDescent="0.25">
      <c r="B6" s="382">
        <f>SUMIFS(AUBURN[BILLING RATE (₹)],AUBURN[LOADING DATE],"&gt;="&amp;$C$61,AUBURN[LOADING DATE],"&lt;="&amp;$C$62)+SUMIFS(MARKET[RATE (₹)],MARKET[LOAD DATE],"&gt;="&amp;$C$61,MARKET[LOAD DATE],"&lt;="&amp;$C$62)</f>
        <v>30912850</v>
      </c>
      <c r="C6" s="382"/>
      <c r="D6" s="382">
        <f>SUMIFS(AUBURN[BILLING RATE (₹)],AUBURN[LOADING DATE],"&gt;="&amp;$C$61,AUBURN[LOADING DATE],"&lt;="&amp;$C$62)</f>
        <v>26390330</v>
      </c>
      <c r="E6" s="382"/>
      <c r="F6" s="368">
        <f>SUMIFS(AUBURN[LORRY RATE (₹)],AUBURN[LOADING DATE],"&gt;="&amp;$C$61,AUBURN[LOADING DATE],"&lt;="&amp;$C$62)</f>
        <v>13666890</v>
      </c>
      <c r="G6" s="368"/>
      <c r="H6" s="371">
        <f>IFERROR(($D$6-$F$6)/$D$6,"")</f>
        <v>0.482125081421869</v>
      </c>
      <c r="I6" s="371"/>
      <c r="J6" s="374">
        <f>COUNTIFS(AUBURN[LOADING DATE],"&gt;="&amp;$C$61,AUBURN[LOADING DATE],"&lt;="&amp;$C$62)+COUNTIFS(MARKET[LOAD DATE],"&gt;="&amp;$C$61,MARKET[LOAD DATE],"&lt;="&amp;$C$62)</f>
        <v>419</v>
      </c>
      <c r="K6" s="374"/>
      <c r="L6" s="353">
        <f>IF($G$21=0,"n/a",$F$21/$G$21)</f>
        <v>0.700466666666667</v>
      </c>
    </row>
    <row r="7" spans="2:12" ht="15" customHeight="1" x14ac:dyDescent="0.25">
      <c r="B7" s="376" t="str">
        <f>TEXT($D$6,"₹#,##0")&amp;" from Auburn"</f>
        <v>₹26,390,330 from Auburn</v>
      </c>
      <c r="C7" s="376"/>
      <c r="D7" s="376" t="str">
        <f>TEXT($F$6,"₹#,##0")&amp;" paid to lorries"</f>
        <v>₹13,666,890 paid to lorries</v>
      </c>
      <c r="E7" s="376"/>
      <c r="F7" s="369" t="str">
        <f>TEXT($D$6-$F$6,"₹#,##0")&amp;" gross margin"</f>
        <v>₹12,723,440 gross margin</v>
      </c>
      <c r="G7" s="369"/>
      <c r="H7" s="372" t="str">
        <f>"on "&amp;TEXT(COUNTIFS(AUBURN[LOADING DATE],"&gt;="&amp;$C$61,AUBURN[LOADING DATE],"&lt;="&amp;$C$62),"#,##0")&amp;" Auburn loads"</f>
        <v>on 295 Auburn loads</v>
      </c>
      <c r="I7" s="372"/>
      <c r="J7" s="375" t="str">
        <f>TEXT(COUNTIFS(MARKET[LOAD DATE],"&gt;="&amp;$C$61,MARKET[LOAD DATE],"&lt;="&amp;$C$62),"#,##0")&amp;" market loads"</f>
        <v>124 market loads</v>
      </c>
      <c r="K7" s="375"/>
      <c r="L7" s="354" t="str">
        <f>IF($G$21=0,"km log starts Mar-2026",TEXT($F$21,"#,##0")&amp;" km run")</f>
        <v>630,420 km run</v>
      </c>
    </row>
    <row r="8" spans="2:12" ht="12" customHeight="1" x14ac:dyDescent="0.25"/>
    <row r="9" spans="2:12" x14ac:dyDescent="0.25">
      <c r="B9" s="351" t="str">
        <f>IF($G$21=0,"PER-TRUCK UTILISATION — no KM log for "&amp;$K$3&amp;" (log starts Mar-2026)","PER-TRUCK UTILISATION")</f>
        <v>PER-TRUCK UTILISATION</v>
      </c>
    </row>
    <row r="10" spans="2:12" ht="27.95" customHeight="1" x14ac:dyDescent="0.25">
      <c r="B10" s="329" t="s">
        <v>3893</v>
      </c>
      <c r="C10" s="329" t="s">
        <v>3861</v>
      </c>
      <c r="D10" s="329" t="s">
        <v>3862</v>
      </c>
      <c r="E10" s="329" t="s">
        <v>3863</v>
      </c>
      <c r="F10" s="329" t="s">
        <v>3864</v>
      </c>
      <c r="G10" s="329" t="s">
        <v>3865</v>
      </c>
      <c r="H10" s="329" t="s">
        <v>3867</v>
      </c>
    </row>
    <row r="11" spans="2:12" x14ac:dyDescent="0.25">
      <c r="B11" s="355" t="s">
        <v>3874</v>
      </c>
      <c r="C11" s="356" t="str">
        <f>IFERROR(INDEX(KMRUN[MAKE],MATCH($B11,KMRUN[TRUCK NO.],0)),"")</f>
        <v>Tata</v>
      </c>
      <c r="D11" s="356" t="str">
        <f>IFERROR(INDEX(KMRUN[CAPACITY],MATCH($B11,KMRUN[TRUCK NO.],0)),"")</f>
        <v>32 Feet</v>
      </c>
      <c r="E11" s="356" t="str">
        <f>IFERROR(INDEX(KMRUN[DRIVER],MATCH($B11,KMRUN[TRUCK NO.],0)),"")</f>
        <v>Driver A</v>
      </c>
      <c r="F11" s="399">
        <f>SUMIFS(KMRUN[ACTUAL KM],KMRUN[TRUCK NO.],$B11,KMRUN[MONTH],"&gt;="&amp;$C$61,KMRUN[MONTH],"&lt;="&amp;$C$62)</f>
        <v>70130</v>
      </c>
      <c r="G11" s="399">
        <f>SUMIFS(KMRUN[TARGET KM],KMRUN[TRUCK NO.],$B11,KMRUN[MONTH],"&gt;="&amp;$C$61,KMRUN[MONTH],"&lt;="&amp;$C$62)</f>
        <v>90000</v>
      </c>
      <c r="H11" s="404">
        <f t="shared" ref="H11:H20" si="0">IFERROR($F11/$G11,"")</f>
        <v>0.779222222222222</v>
      </c>
    </row>
    <row r="12" spans="2:12" x14ac:dyDescent="0.25">
      <c r="B12" s="357" t="s">
        <v>2929</v>
      </c>
      <c r="C12" s="358" t="str">
        <f>IFERROR(INDEX(KMRUN[MAKE],MATCH($B12,KMRUN[TRUCK NO.],0)),"")</f>
        <v>Tata</v>
      </c>
      <c r="D12" s="358" t="str">
        <f>IFERROR(INDEX(KMRUN[CAPACITY],MATCH($B12,KMRUN[TRUCK NO.],0)),"")</f>
        <v>32 Feet</v>
      </c>
      <c r="E12" s="358" t="str">
        <f>IFERROR(INDEX(KMRUN[DRIVER],MATCH($B12,KMRUN[TRUCK NO.],0)),"")</f>
        <v>Driver B</v>
      </c>
      <c r="F12" s="400">
        <f>SUMIFS(KMRUN[ACTUAL KM],KMRUN[TRUCK NO.],$B12,KMRUN[MONTH],"&gt;="&amp;$C$61,KMRUN[MONTH],"&lt;="&amp;$C$62)</f>
        <v>73250</v>
      </c>
      <c r="G12" s="400">
        <f>SUMIFS(KMRUN[TARGET KM],KMRUN[TRUCK NO.],$B12,KMRUN[MONTH],"&gt;="&amp;$C$61,KMRUN[MONTH],"&lt;="&amp;$C$62)</f>
        <v>90000</v>
      </c>
      <c r="H12" s="405">
        <f t="shared" si="0"/>
        <v>0.813888888888889</v>
      </c>
    </row>
    <row r="13" spans="2:12" x14ac:dyDescent="0.25">
      <c r="B13" s="355" t="s">
        <v>3875</v>
      </c>
      <c r="C13" s="356" t="str">
        <f>IFERROR(INDEX(KMRUN[MAKE],MATCH($B13,KMRUN[TRUCK NO.],0)),"")</f>
        <v>Tata</v>
      </c>
      <c r="D13" s="356" t="str">
        <f>IFERROR(INDEX(KMRUN[CAPACITY],MATCH($B13,KMRUN[TRUCK NO.],0)),"")</f>
        <v>32 Feet</v>
      </c>
      <c r="E13" s="356" t="str">
        <f>IFERROR(INDEX(KMRUN[DRIVER],MATCH($B13,KMRUN[TRUCK NO.],0)),"")</f>
        <v>Driver C</v>
      </c>
      <c r="F13" s="399">
        <f>SUMIFS(KMRUN[ACTUAL KM],KMRUN[TRUCK NO.],$B13,KMRUN[MONTH],"&gt;="&amp;$C$61,KMRUN[MONTH],"&lt;="&amp;$C$62)</f>
        <v>73250</v>
      </c>
      <c r="G13" s="399">
        <f>SUMIFS(KMRUN[TARGET KM],KMRUN[TRUCK NO.],$B13,KMRUN[MONTH],"&gt;="&amp;$C$61,KMRUN[MONTH],"&lt;="&amp;$C$62)</f>
        <v>90000</v>
      </c>
      <c r="H13" s="404">
        <f t="shared" si="0"/>
        <v>0.813888888888889</v>
      </c>
    </row>
    <row r="14" spans="2:12" x14ac:dyDescent="0.25">
      <c r="B14" s="357" t="s">
        <v>3876</v>
      </c>
      <c r="C14" s="358" t="str">
        <f>IFERROR(INDEX(KMRUN[MAKE],MATCH($B14,KMRUN[TRUCK NO.],0)),"")</f>
        <v>Tata</v>
      </c>
      <c r="D14" s="358" t="str">
        <f>IFERROR(INDEX(KMRUN[CAPACITY],MATCH($B14,KMRUN[TRUCK NO.],0)),"")</f>
        <v>32 Feet</v>
      </c>
      <c r="E14" s="358" t="str">
        <f>IFERROR(INDEX(KMRUN[DRIVER],MATCH($B14,KMRUN[TRUCK NO.],0)),"")</f>
        <v>Driver D</v>
      </c>
      <c r="F14" s="400">
        <f>SUMIFS(KMRUN[ACTUAL KM],KMRUN[TRUCK NO.],$B14,KMRUN[MONTH],"&gt;="&amp;$C$61,KMRUN[MONTH],"&lt;="&amp;$C$62)</f>
        <v>78320</v>
      </c>
      <c r="G14" s="400">
        <f>SUMIFS(KMRUN[TARGET KM],KMRUN[TRUCK NO.],$B14,KMRUN[MONTH],"&gt;="&amp;$C$61,KMRUN[MONTH],"&lt;="&amp;$C$62)</f>
        <v>90000</v>
      </c>
      <c r="H14" s="405">
        <f t="shared" si="0"/>
        <v>0.870222222222222</v>
      </c>
    </row>
    <row r="15" spans="2:12" x14ac:dyDescent="0.25">
      <c r="B15" s="355" t="s">
        <v>3877</v>
      </c>
      <c r="C15" s="356" t="str">
        <f>IFERROR(INDEX(KMRUN[MAKE],MATCH($B15,KMRUN[TRUCK NO.],0)),"")</f>
        <v>Ashok</v>
      </c>
      <c r="D15" s="356" t="str">
        <f>IFERROR(INDEX(KMRUN[CAPACITY],MATCH($B15,KMRUN[TRUCK NO.],0)),"")</f>
        <v>32 Feet</v>
      </c>
      <c r="E15" s="356" t="str">
        <f>IFERROR(INDEX(KMRUN[DRIVER],MATCH($B15,KMRUN[TRUCK NO.],0)),"")</f>
        <v>Driver E</v>
      </c>
      <c r="F15" s="399">
        <f>SUMIFS(KMRUN[ACTUAL KM],KMRUN[TRUCK NO.],$B15,KMRUN[MONTH],"&gt;="&amp;$C$61,KMRUN[MONTH],"&lt;="&amp;$C$62)</f>
        <v>68000</v>
      </c>
      <c r="G15" s="399">
        <f>SUMIFS(KMRUN[TARGET KM],KMRUN[TRUCK NO.],$B15,KMRUN[MONTH],"&gt;="&amp;$C$61,KMRUN[MONTH],"&lt;="&amp;$C$62)</f>
        <v>90000</v>
      </c>
      <c r="H15" s="404">
        <f t="shared" si="0"/>
        <v>0.755555555555556</v>
      </c>
    </row>
    <row r="16" spans="2:12" x14ac:dyDescent="0.25">
      <c r="B16" s="357" t="s">
        <v>3878</v>
      </c>
      <c r="C16" s="358" t="str">
        <f>IFERROR(INDEX(KMRUN[MAKE],MATCH($B16,KMRUN[TRUCK NO.],0)),"")</f>
        <v>Ashok</v>
      </c>
      <c r="D16" s="358" t="str">
        <f>IFERROR(INDEX(KMRUN[CAPACITY],MATCH($B16,KMRUN[TRUCK NO.],0)),"")</f>
        <v>24 Feet</v>
      </c>
      <c r="E16" s="358" t="str">
        <f>IFERROR(INDEX(KMRUN[DRIVER],MATCH($B16,KMRUN[TRUCK NO.],0)),"")</f>
        <v>Driver F</v>
      </c>
      <c r="F16" s="400">
        <f>SUMIFS(KMRUN[ACTUAL KM],KMRUN[TRUCK NO.],$B16,KMRUN[MONTH],"&gt;="&amp;$C$61,KMRUN[MONTH],"&lt;="&amp;$C$62)</f>
        <v>57150</v>
      </c>
      <c r="G16" s="400">
        <f>SUMIFS(KMRUN[TARGET KM],KMRUN[TRUCK NO.],$B16,KMRUN[MONTH],"&gt;="&amp;$C$61,KMRUN[MONTH],"&lt;="&amp;$C$62)</f>
        <v>90000</v>
      </c>
      <c r="H16" s="405">
        <f t="shared" si="0"/>
        <v>0.635</v>
      </c>
    </row>
    <row r="17" spans="2:8" x14ac:dyDescent="0.25">
      <c r="B17" s="355" t="s">
        <v>3879</v>
      </c>
      <c r="C17" s="356" t="str">
        <f>IFERROR(INDEX(KMRUN[MAKE],MATCH($B17,KMRUN[TRUCK NO.],0)),"")</f>
        <v>Tata</v>
      </c>
      <c r="D17" s="356" t="str">
        <f>IFERROR(INDEX(KMRUN[CAPACITY],MATCH($B17,KMRUN[TRUCK NO.],0)),"")</f>
        <v>32 Feet</v>
      </c>
      <c r="E17" s="356" t="str">
        <f>IFERROR(INDEX(KMRUN[DRIVER],MATCH($B17,KMRUN[TRUCK NO.],0)),"")</f>
        <v>Driver G</v>
      </c>
      <c r="F17" s="399">
        <f>SUMIFS(KMRUN[ACTUAL KM],KMRUN[TRUCK NO.],$B17,KMRUN[MONTH],"&gt;="&amp;$C$61,KMRUN[MONTH],"&lt;="&amp;$C$62)</f>
        <v>61100</v>
      </c>
      <c r="G17" s="399">
        <f>SUMIFS(KMRUN[TARGET KM],KMRUN[TRUCK NO.],$B17,KMRUN[MONTH],"&gt;="&amp;$C$61,KMRUN[MONTH],"&lt;="&amp;$C$62)</f>
        <v>90000</v>
      </c>
      <c r="H17" s="404">
        <f t="shared" si="0"/>
        <v>0.678888888888889</v>
      </c>
    </row>
    <row r="18" spans="2:8" x14ac:dyDescent="0.25">
      <c r="B18" s="357" t="s">
        <v>3880</v>
      </c>
      <c r="C18" s="358" t="str">
        <f>IFERROR(INDEX(KMRUN[MAKE],MATCH($B18,KMRUN[TRUCK NO.],0)),"")</f>
        <v>Tata</v>
      </c>
      <c r="D18" s="358" t="str">
        <f>IFERROR(INDEX(KMRUN[CAPACITY],MATCH($B18,KMRUN[TRUCK NO.],0)),"")</f>
        <v>32 Feet</v>
      </c>
      <c r="E18" s="358" t="str">
        <f>IFERROR(INDEX(KMRUN[DRIVER],MATCH($B18,KMRUN[TRUCK NO.],0)),"")</f>
        <v>Driver H</v>
      </c>
      <c r="F18" s="400">
        <f>SUMIFS(KMRUN[ACTUAL KM],KMRUN[TRUCK NO.],$B18,KMRUN[MONTH],"&gt;="&amp;$C$61,KMRUN[MONTH],"&lt;="&amp;$C$62)</f>
        <v>58420</v>
      </c>
      <c r="G18" s="400">
        <f>SUMIFS(KMRUN[TARGET KM],KMRUN[TRUCK NO.],$B18,KMRUN[MONTH],"&gt;="&amp;$C$61,KMRUN[MONTH],"&lt;="&amp;$C$62)</f>
        <v>90000</v>
      </c>
      <c r="H18" s="405">
        <f t="shared" si="0"/>
        <v>0.649111111111111</v>
      </c>
    </row>
    <row r="19" spans="2:8" x14ac:dyDescent="0.25">
      <c r="B19" s="355" t="s">
        <v>3881</v>
      </c>
      <c r="C19" s="356" t="str">
        <f>IFERROR(INDEX(KMRUN[MAKE],MATCH($B19,KMRUN[TRUCK NO.],0)),"")</f>
        <v>Tata</v>
      </c>
      <c r="D19" s="356" t="str">
        <f>IFERROR(INDEX(KMRUN[CAPACITY],MATCH($B19,KMRUN[TRUCK NO.],0)),"")</f>
        <v>32 Feet</v>
      </c>
      <c r="E19" s="356" t="str">
        <f>IFERROR(INDEX(KMRUN[DRIVER],MATCH($B19,KMRUN[TRUCK NO.],0)),"")</f>
        <v>Driver I</v>
      </c>
      <c r="F19" s="399">
        <f>SUMIFS(KMRUN[ACTUAL KM],KMRUN[TRUCK NO.],$B19,KMRUN[MONTH],"&gt;="&amp;$C$61,KMRUN[MONTH],"&lt;="&amp;$C$62)</f>
        <v>47300</v>
      </c>
      <c r="G19" s="399">
        <f>SUMIFS(KMRUN[TARGET KM],KMRUN[TRUCK NO.],$B19,KMRUN[MONTH],"&gt;="&amp;$C$61,KMRUN[MONTH],"&lt;="&amp;$C$62)</f>
        <v>90000</v>
      </c>
      <c r="H19" s="404">
        <f t="shared" si="0"/>
        <v>0.525555555555556</v>
      </c>
    </row>
    <row r="20" spans="2:8" x14ac:dyDescent="0.25">
      <c r="B20" s="357" t="s">
        <v>3882</v>
      </c>
      <c r="C20" s="358" t="str">
        <f>IFERROR(INDEX(KMRUN[MAKE],MATCH($B20,KMRUN[TRUCK NO.],0)),"")</f>
        <v>Tata</v>
      </c>
      <c r="D20" s="358" t="str">
        <f>IFERROR(INDEX(KMRUN[CAPACITY],MATCH($B20,KMRUN[TRUCK NO.],0)),"")</f>
        <v>32 Feet</v>
      </c>
      <c r="E20" s="358" t="str">
        <f>IFERROR(INDEX(KMRUN[DRIVER],MATCH($B20,KMRUN[TRUCK NO.],0)),"")</f>
        <v>Driver J</v>
      </c>
      <c r="F20" s="400">
        <f>SUMIFS(KMRUN[ACTUAL KM],KMRUN[TRUCK NO.],$B20,KMRUN[MONTH],"&gt;="&amp;$C$61,KMRUN[MONTH],"&lt;="&amp;$C$62)</f>
        <v>43500</v>
      </c>
      <c r="G20" s="400">
        <f>SUMIFS(KMRUN[TARGET KM],KMRUN[TRUCK NO.],$B20,KMRUN[MONTH],"&gt;="&amp;$C$61,KMRUN[MONTH],"&lt;="&amp;$C$62)</f>
        <v>90000</v>
      </c>
      <c r="H20" s="405">
        <f t="shared" si="0"/>
        <v>0.483333333333333</v>
      </c>
    </row>
    <row r="21" spans="2:8" x14ac:dyDescent="0.25">
      <c r="B21" s="359" t="s">
        <v>3894</v>
      </c>
      <c r="C21" s="360"/>
      <c r="D21" s="360"/>
      <c r="E21" s="360"/>
      <c r="F21" s="401">
        <f>SUM(F11:F20)</f>
        <v>630420</v>
      </c>
      <c r="G21" s="401">
        <f>SUM(G11:G20)</f>
        <v>900000</v>
      </c>
      <c r="H21" s="403">
        <f>IFERROR($F$21/$G$21,"")</f>
        <v>0.700466666666667</v>
      </c>
    </row>
    <row r="23" spans="2:8" x14ac:dyDescent="0.25">
      <c r="B23" s="361" t="s">
        <v>3900</v>
      </c>
    </row>
    <row r="40" spans="2:8" x14ac:dyDescent="0.25">
      <c r="B40" s="361" t="s">
        <v>3901</v>
      </c>
      <c r="H40" s="361" t="s">
        <v>3902</v>
      </c>
    </row>
    <row r="57" spans="2:12" ht="14.1" customHeight="1" x14ac:dyDescent="0.25">
      <c r="B57" s="367" t="str">
        <f>IF($K$3="All years","Charts show each calendar month totalled across 2024–2026. Auburn margin = billing rate less lorry rate. Market loads are own trucks, so no lorry cost applies. Fleet km log starts Mar-2026.","Charts show Jan–Dec of the selected year and respond to VIEW YEAR. Auburn margin = billing rate less lorry rate. Market loads are own trucks, so no lorry cost applies. Fleet km log starts Mar-2026.")</f>
        <v>Charts show Jan–Dec of the selected year and respond to VIEW YEAR. Auburn margin = billing rate less lorry rate. Market loads are own trucks, so no lorry cost applies. Fleet km log starts Mar-2026.</v>
      </c>
      <c r="C57" s="367"/>
      <c r="D57" s="367"/>
      <c r="E57" s="367"/>
      <c r="F57" s="367"/>
      <c r="G57" s="367"/>
      <c r="H57" s="367"/>
      <c r="I57" s="367"/>
      <c r="J57" s="367"/>
      <c r="K57" s="367"/>
      <c r="L57" s="367"/>
    </row>
    <row r="60" spans="2:12" x14ac:dyDescent="0.25">
      <c r="B60" s="350" t="s">
        <v>3891</v>
      </c>
      <c r="C60" s="348"/>
    </row>
    <row r="61" spans="2:12" x14ac:dyDescent="0.25">
      <c r="B61" s="348" t="s">
        <v>3709</v>
      </c>
      <c r="C61" s="349">
        <f>IF($K$3="All years",DATE(1990,1,1),DATE($K$3,1,1))</f>
        <v>46023</v>
      </c>
    </row>
    <row r="62" spans="2:12" x14ac:dyDescent="0.25">
      <c r="B62" s="348" t="s">
        <v>3892</v>
      </c>
      <c r="C62" s="349">
        <f>IF($K$3="All years",DATE(2100,12,31),DATE($K$3,12,31))</f>
        <v>46387</v>
      </c>
    </row>
  </sheetData>
  <mergeCells count="19">
    <mergeCell ref="B2:L2"/>
    <mergeCell ref="B3:G3"/>
    <mergeCell ref="K3:L3"/>
    <mergeCell ref="B5:C5"/>
    <mergeCell ref="B6:C6"/>
    <mergeCell ref="D5:E5"/>
    <mergeCell ref="D6:E6"/>
    <mergeCell ref="F5:G5"/>
    <mergeCell ref="B57:L57"/>
    <mergeCell ref="F6:G6"/>
    <mergeCell ref="F7:G7"/>
    <mergeCell ref="H5:I5"/>
    <mergeCell ref="H6:I6"/>
    <mergeCell ref="H7:I7"/>
    <mergeCell ref="J5:K5"/>
    <mergeCell ref="J6:K6"/>
    <mergeCell ref="J7:K7"/>
    <mergeCell ref="B7:C7"/>
    <mergeCell ref="D7:E7"/>
  </mergeCells>
  <conditionalFormatting sqref="H11:H20">
    <cfRule type="dataBar" priority="1">
      <dataBar>
        <cfvo type="num" val="0"/>
        <cfvo type="num" val="1"/>
        <color rgb="FFB3F9BF"/>
      </dataBar>
      <extLst>
        <ext xmlns:x14="http://schemas.microsoft.com/office/spreadsheetml/2009/9/main" uri="{B025F937-C7B1-47D3-B67F-A62EFF666E3E}">
          <x14:id>{6C241310-0360-47A4-9AC2-D9FB69F52DE2}</x14:id>
        </ext>
      </extLst>
    </cfRule>
  </conditionalFormatting>
  <conditionalFormatting sqref="H11:H21">
    <cfRule type="cellIs" dxfId="0" priority="2" operator="lessThan">
      <formula>0.7</formula>
    </cfRule>
  </conditionalFormatting>
  <dataValidations count="1">
    <dataValidation type="list" allowBlank="1" showInputMessage="1" showErrorMessage="1" errorTitle="VIEW YEAR" error="Pick a year from the list (or All years)." sqref="K3" xr:uid="{827DFF6F-13CA-4E85-9368-1E59C78B1DEF}">
      <formula1>YearList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241310-0360-47A4-9AC2-D9FB69F52DE2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H11:H20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E285-522E-4147-93C3-753D5DF7B616}">
  <dimension ref="A1:W1265"/>
  <sheetViews>
    <sheetView workbookViewId="0">
      <selection activeCell="L450" sqref="L450:L495"/>
    </sheetView>
  </sheetViews>
  <sheetFormatPr defaultColWidth="14.140625" defaultRowHeight="18.75" x14ac:dyDescent="0.3"/>
  <cols>
    <col min="1" max="1" width="8.85546875" style="20" customWidth="1"/>
    <col min="2" max="2" width="17.7109375" style="20" customWidth="1"/>
    <col min="3" max="4" width="17.85546875" style="20" customWidth="1"/>
    <col min="5" max="5" width="17.7109375" style="20" customWidth="1"/>
    <col min="6" max="6" width="16.28515625" style="20" bestFit="1" customWidth="1"/>
    <col min="7" max="7" width="23.7109375" style="20" bestFit="1" customWidth="1"/>
    <col min="8" max="8" width="53.7109375" style="20" customWidth="1"/>
    <col min="9" max="9" width="47" style="20" customWidth="1"/>
    <col min="10" max="10" width="16.42578125" style="20" bestFit="1" customWidth="1"/>
    <col min="11" max="11" width="16.5703125" style="20" bestFit="1" customWidth="1"/>
    <col min="12" max="12" width="16.28515625" style="20" bestFit="1" customWidth="1"/>
    <col min="13" max="13" width="14.42578125" style="20" bestFit="1" customWidth="1"/>
    <col min="14" max="14" width="20.7109375" style="20" bestFit="1" customWidth="1"/>
    <col min="15" max="15" width="18.42578125" style="20" customWidth="1"/>
    <col min="16" max="16" width="20.28515625" style="20" bestFit="1" customWidth="1"/>
    <col min="17" max="18" width="20.28515625" style="20" customWidth="1"/>
    <col min="19" max="19" width="28.5703125" style="20" bestFit="1" customWidth="1"/>
    <col min="20" max="20" width="21.7109375" style="20" bestFit="1" customWidth="1"/>
    <col min="21" max="21" width="14.140625" style="15"/>
    <col min="22" max="22" width="77.42578125" style="20" customWidth="1"/>
    <col min="23" max="23" width="162.140625" style="20" customWidth="1"/>
    <col min="24" max="16384" width="14.140625" style="20"/>
  </cols>
  <sheetData>
    <row r="1" spans="1:23" s="14" customFormat="1" x14ac:dyDescent="0.3">
      <c r="A1" s="14" t="s">
        <v>16</v>
      </c>
      <c r="B1" s="14" t="s">
        <v>48</v>
      </c>
      <c r="C1" s="14" t="s">
        <v>13</v>
      </c>
      <c r="D1" s="14" t="s">
        <v>50</v>
      </c>
      <c r="E1" s="14" t="s">
        <v>0</v>
      </c>
      <c r="F1" s="14" t="s">
        <v>23</v>
      </c>
      <c r="G1" s="14" t="s">
        <v>1</v>
      </c>
      <c r="H1" s="14" t="s">
        <v>9</v>
      </c>
      <c r="I1" s="14" t="s">
        <v>10</v>
      </c>
      <c r="J1" s="14" t="s">
        <v>2</v>
      </c>
      <c r="K1" s="14" t="s">
        <v>52</v>
      </c>
      <c r="L1" s="14" t="s">
        <v>61</v>
      </c>
      <c r="M1" s="14" t="s">
        <v>55</v>
      </c>
      <c r="N1" s="14" t="s">
        <v>62</v>
      </c>
      <c r="O1" s="14" t="s">
        <v>63</v>
      </c>
      <c r="P1" s="14" t="s">
        <v>103</v>
      </c>
      <c r="Q1" s="14" t="s">
        <v>110</v>
      </c>
      <c r="R1" s="14" t="s">
        <v>111</v>
      </c>
      <c r="S1" s="14" t="s">
        <v>21</v>
      </c>
      <c r="T1" s="14" t="s">
        <v>4</v>
      </c>
      <c r="U1" s="14" t="s">
        <v>53</v>
      </c>
      <c r="V1" s="14" t="s">
        <v>3</v>
      </c>
      <c r="W1" s="14" t="s">
        <v>96</v>
      </c>
    </row>
    <row r="2" spans="1:23" s="15" customFormat="1" hidden="1" x14ac:dyDescent="0.3">
      <c r="A2" s="15">
        <v>1</v>
      </c>
      <c r="B2" s="15" t="s">
        <v>49</v>
      </c>
      <c r="C2" s="15" t="s">
        <v>14</v>
      </c>
      <c r="D2" s="15" t="s">
        <v>51</v>
      </c>
      <c r="E2" s="15" t="s">
        <v>5</v>
      </c>
      <c r="F2" s="15">
        <v>9686844715</v>
      </c>
      <c r="G2" s="15" t="s">
        <v>6</v>
      </c>
      <c r="H2" s="15" t="s">
        <v>30</v>
      </c>
      <c r="I2" s="15" t="s">
        <v>29</v>
      </c>
      <c r="J2" s="15" t="s">
        <v>7</v>
      </c>
      <c r="K2" s="16">
        <v>38590</v>
      </c>
      <c r="L2" s="16">
        <v>46620</v>
      </c>
      <c r="M2" s="17">
        <f>Table1[[#This Row],[Billing Rate Charges]]-Table1[[#This Row],[ LORRY RATE ]]</f>
        <v>8030</v>
      </c>
      <c r="N2" s="17">
        <v>38590</v>
      </c>
      <c r="O2" s="17">
        <f>Table1[[#This Row],[ LORRY RATE ]]-Table1[[#This Row],[Adance Paid (INR)]]</f>
        <v>0</v>
      </c>
      <c r="P2" s="17" t="s">
        <v>102</v>
      </c>
      <c r="Q2" s="18" t="s">
        <v>112</v>
      </c>
      <c r="R2" s="17" t="s">
        <v>113</v>
      </c>
      <c r="S2" s="15" t="s">
        <v>22</v>
      </c>
      <c r="T2" s="15" t="s">
        <v>17</v>
      </c>
      <c r="U2" s="15" t="s">
        <v>54</v>
      </c>
      <c r="V2" s="15" t="s">
        <v>8</v>
      </c>
    </row>
    <row r="3" spans="1:23" s="15" customFormat="1" hidden="1" x14ac:dyDescent="0.3">
      <c r="A3" s="15">
        <v>2</v>
      </c>
      <c r="B3" s="15" t="s">
        <v>49</v>
      </c>
      <c r="C3" s="15" t="s">
        <v>15</v>
      </c>
      <c r="D3" s="15" t="s">
        <v>51</v>
      </c>
      <c r="E3" s="15" t="s">
        <v>11</v>
      </c>
      <c r="F3" s="15">
        <v>9941053951</v>
      </c>
      <c r="G3" s="15" t="s">
        <v>6</v>
      </c>
      <c r="H3" s="15" t="s">
        <v>31</v>
      </c>
      <c r="I3" s="15" t="s">
        <v>32</v>
      </c>
      <c r="J3" s="15" t="s">
        <v>7</v>
      </c>
      <c r="K3" s="16">
        <v>36450</v>
      </c>
      <c r="L3" s="16">
        <v>46620</v>
      </c>
      <c r="M3" s="17">
        <f>Table1[[#This Row],[Billing Rate Charges]]-Table1[[#This Row],[ LORRY RATE ]]</f>
        <v>10170</v>
      </c>
      <c r="N3" s="17">
        <v>36450</v>
      </c>
      <c r="O3" s="17">
        <f>Table1[[#This Row],[ LORRY RATE ]]-Table1[[#This Row],[Adance Paid (INR)]]</f>
        <v>0</v>
      </c>
      <c r="P3" s="17" t="s">
        <v>102</v>
      </c>
      <c r="Q3" s="18" t="s">
        <v>114</v>
      </c>
      <c r="R3" s="17" t="s">
        <v>113</v>
      </c>
      <c r="S3" s="19">
        <v>45431</v>
      </c>
      <c r="T3" s="15" t="s">
        <v>35</v>
      </c>
      <c r="U3" s="15" t="s">
        <v>54</v>
      </c>
      <c r="V3" s="15" t="s">
        <v>12</v>
      </c>
    </row>
    <row r="4" spans="1:23" hidden="1" x14ac:dyDescent="0.3">
      <c r="A4" s="15">
        <v>3</v>
      </c>
      <c r="B4" s="15" t="s">
        <v>49</v>
      </c>
      <c r="C4" s="19">
        <v>45431</v>
      </c>
      <c r="D4" s="15" t="s">
        <v>51</v>
      </c>
      <c r="E4" s="15" t="s">
        <v>18</v>
      </c>
      <c r="F4" s="15">
        <v>9295512602</v>
      </c>
      <c r="G4" s="15" t="s">
        <v>6</v>
      </c>
      <c r="H4" s="15" t="s">
        <v>24</v>
      </c>
      <c r="I4" s="15" t="s">
        <v>40</v>
      </c>
      <c r="J4" s="15" t="s">
        <v>25</v>
      </c>
      <c r="K4" s="16">
        <v>31930</v>
      </c>
      <c r="L4" s="16">
        <v>45040</v>
      </c>
      <c r="M4" s="17">
        <f>Table1[[#This Row],[Billing Rate Charges]]-Table1[[#This Row],[ LORRY RATE ]]</f>
        <v>13110</v>
      </c>
      <c r="N4" s="17">
        <v>31930</v>
      </c>
      <c r="O4" s="17">
        <f>Table1[[#This Row],[ LORRY RATE ]]-Table1[[#This Row],[Adance Paid (INR)]]</f>
        <v>0</v>
      </c>
      <c r="P4" s="17" t="s">
        <v>102</v>
      </c>
      <c r="Q4" s="18" t="s">
        <v>115</v>
      </c>
      <c r="R4" s="17" t="s">
        <v>113</v>
      </c>
      <c r="S4" s="19">
        <v>45433</v>
      </c>
      <c r="T4" s="15" t="s">
        <v>36</v>
      </c>
      <c r="U4" s="15" t="s">
        <v>54</v>
      </c>
      <c r="V4" s="15" t="s">
        <v>12</v>
      </c>
      <c r="W4" s="15"/>
    </row>
    <row r="5" spans="1:23" hidden="1" x14ac:dyDescent="0.3">
      <c r="A5" s="15">
        <v>4</v>
      </c>
      <c r="B5" s="15" t="s">
        <v>49</v>
      </c>
      <c r="C5" s="19">
        <v>45430</v>
      </c>
      <c r="D5" s="15" t="s">
        <v>51</v>
      </c>
      <c r="E5" s="15" t="s">
        <v>19</v>
      </c>
      <c r="F5" s="15">
        <v>9149905009</v>
      </c>
      <c r="G5" s="15" t="s">
        <v>6</v>
      </c>
      <c r="H5" s="15" t="s">
        <v>26</v>
      </c>
      <c r="I5" s="15" t="s">
        <v>27</v>
      </c>
      <c r="J5" s="15" t="s">
        <v>28</v>
      </c>
      <c r="K5" s="16">
        <v>28300</v>
      </c>
      <c r="L5" s="16">
        <v>38740</v>
      </c>
      <c r="M5" s="17">
        <f>Table1[[#This Row],[Billing Rate Charges]]-Table1[[#This Row],[ LORRY RATE ]]</f>
        <v>10440</v>
      </c>
      <c r="N5" s="17">
        <v>28300</v>
      </c>
      <c r="O5" s="17">
        <f>Table1[[#This Row],[ LORRY RATE ]]-Table1[[#This Row],[Adance Paid (INR)]]</f>
        <v>0</v>
      </c>
      <c r="P5" s="17" t="s">
        <v>102</v>
      </c>
      <c r="Q5" s="18" t="s">
        <v>133</v>
      </c>
      <c r="R5" s="17" t="s">
        <v>113</v>
      </c>
      <c r="S5" s="19">
        <v>45433</v>
      </c>
      <c r="T5" s="19">
        <v>45433</v>
      </c>
      <c r="U5" s="15" t="s">
        <v>54</v>
      </c>
      <c r="V5" s="15" t="s">
        <v>12</v>
      </c>
      <c r="W5" s="15"/>
    </row>
    <row r="6" spans="1:23" hidden="1" x14ac:dyDescent="0.3">
      <c r="A6" s="15">
        <v>5</v>
      </c>
      <c r="B6" s="15" t="s">
        <v>49</v>
      </c>
      <c r="C6" s="19">
        <v>45431</v>
      </c>
      <c r="D6" s="15" t="s">
        <v>51</v>
      </c>
      <c r="E6" s="15" t="s">
        <v>20</v>
      </c>
      <c r="F6" s="15">
        <v>9678275995</v>
      </c>
      <c r="G6" s="15" t="s">
        <v>6</v>
      </c>
      <c r="H6" s="15" t="s">
        <v>26</v>
      </c>
      <c r="I6" s="15" t="s">
        <v>34</v>
      </c>
      <c r="J6" s="15" t="s">
        <v>33</v>
      </c>
      <c r="K6" s="16">
        <v>27830</v>
      </c>
      <c r="L6" s="16">
        <v>35600</v>
      </c>
      <c r="M6" s="17">
        <f>Table1[[#This Row],[Billing Rate Charges]]-Table1[[#This Row],[ LORRY RATE ]]</f>
        <v>7770</v>
      </c>
      <c r="N6" s="17">
        <v>27830</v>
      </c>
      <c r="O6" s="17">
        <f>Table1[[#This Row],[ LORRY RATE ]]-Table1[[#This Row],[Adance Paid (INR)]]</f>
        <v>0</v>
      </c>
      <c r="P6" s="17" t="s">
        <v>102</v>
      </c>
      <c r="Q6" s="18" t="s">
        <v>116</v>
      </c>
      <c r="R6" s="17" t="s">
        <v>113</v>
      </c>
      <c r="S6" s="19">
        <v>45433</v>
      </c>
      <c r="T6" s="19">
        <v>45433</v>
      </c>
      <c r="U6" s="15" t="s">
        <v>54</v>
      </c>
      <c r="V6" s="15" t="s">
        <v>12</v>
      </c>
      <c r="W6" s="15"/>
    </row>
    <row r="7" spans="1:23" hidden="1" x14ac:dyDescent="0.3">
      <c r="A7" s="15">
        <v>6</v>
      </c>
      <c r="B7" s="15" t="s">
        <v>49</v>
      </c>
      <c r="C7" s="19">
        <v>45436</v>
      </c>
      <c r="D7" s="15" t="s">
        <v>51</v>
      </c>
      <c r="E7" s="15" t="s">
        <v>39</v>
      </c>
      <c r="F7" s="15">
        <v>9087547668</v>
      </c>
      <c r="G7" s="15" t="s">
        <v>6</v>
      </c>
      <c r="H7" s="15" t="s">
        <v>87</v>
      </c>
      <c r="I7" s="15" t="s">
        <v>86</v>
      </c>
      <c r="J7" s="15" t="s">
        <v>33</v>
      </c>
      <c r="K7" s="16">
        <v>29850</v>
      </c>
      <c r="L7" s="16">
        <v>41900</v>
      </c>
      <c r="M7" s="17">
        <f>Table1[[#This Row],[Billing Rate Charges]]-Table1[[#This Row],[ LORRY RATE ]]</f>
        <v>12050</v>
      </c>
      <c r="N7" s="17">
        <v>29850</v>
      </c>
      <c r="O7" s="17">
        <f>Table1[[#This Row],[ LORRY RATE ]]-Table1[[#This Row],[Adance Paid (INR)]]</f>
        <v>0</v>
      </c>
      <c r="P7" s="17" t="s">
        <v>102</v>
      </c>
      <c r="Q7" s="18" t="s">
        <v>117</v>
      </c>
      <c r="R7" s="17" t="s">
        <v>113</v>
      </c>
      <c r="S7" s="19">
        <v>45440</v>
      </c>
      <c r="T7" s="19">
        <v>45440</v>
      </c>
      <c r="U7" s="15" t="s">
        <v>54</v>
      </c>
      <c r="V7" s="15" t="s">
        <v>12</v>
      </c>
      <c r="W7" s="15"/>
    </row>
    <row r="8" spans="1:23" hidden="1" x14ac:dyDescent="0.3">
      <c r="A8" s="15">
        <v>7</v>
      </c>
      <c r="B8" s="15" t="s">
        <v>49</v>
      </c>
      <c r="C8" s="19">
        <v>45442</v>
      </c>
      <c r="D8" s="15" t="s">
        <v>51</v>
      </c>
      <c r="E8" s="15" t="s">
        <v>43</v>
      </c>
      <c r="F8" s="15">
        <v>9757815238</v>
      </c>
      <c r="G8" s="15" t="s">
        <v>6</v>
      </c>
      <c r="H8" s="15" t="s">
        <v>26</v>
      </c>
      <c r="I8" s="15" t="s">
        <v>88</v>
      </c>
      <c r="J8" s="15" t="s">
        <v>7</v>
      </c>
      <c r="K8" s="16">
        <v>32290</v>
      </c>
      <c r="L8" s="16">
        <v>40320</v>
      </c>
      <c r="M8" s="17">
        <f>Table1[[#This Row],[Billing Rate Charges]]-Table1[[#This Row],[ LORRY RATE ]]</f>
        <v>8030</v>
      </c>
      <c r="N8" s="17">
        <v>32290</v>
      </c>
      <c r="O8" s="17">
        <f>Table1[[#This Row],[ LORRY RATE ]]-Table1[[#This Row],[Adance Paid (INR)]]</f>
        <v>0</v>
      </c>
      <c r="P8" s="17" t="s">
        <v>102</v>
      </c>
      <c r="Q8" s="18" t="s">
        <v>118</v>
      </c>
      <c r="R8" s="17" t="s">
        <v>113</v>
      </c>
      <c r="S8" s="19">
        <v>45417</v>
      </c>
      <c r="T8" s="19">
        <v>45417</v>
      </c>
      <c r="U8" s="15" t="s">
        <v>54</v>
      </c>
      <c r="V8" s="15" t="s">
        <v>8</v>
      </c>
      <c r="W8" s="15"/>
    </row>
    <row r="9" spans="1:23" s="21" customFormat="1" hidden="1" x14ac:dyDescent="0.3">
      <c r="A9" s="21">
        <v>9</v>
      </c>
      <c r="B9" s="15" t="s">
        <v>49</v>
      </c>
      <c r="C9" s="22">
        <v>45436</v>
      </c>
      <c r="D9" s="22" t="s">
        <v>57</v>
      </c>
      <c r="E9" s="21" t="s">
        <v>38</v>
      </c>
      <c r="F9" s="21">
        <v>9025368773</v>
      </c>
      <c r="G9" s="21" t="s">
        <v>6</v>
      </c>
      <c r="H9" s="21" t="s">
        <v>26</v>
      </c>
      <c r="I9" s="21" t="s">
        <v>84</v>
      </c>
      <c r="J9" s="21" t="s">
        <v>58</v>
      </c>
      <c r="K9" s="23">
        <v>43990</v>
      </c>
      <c r="L9" s="24">
        <v>38740</v>
      </c>
      <c r="M9" s="17">
        <f>Table1[[#This Row],[Billing Rate Charges]]-Table1[[#This Row],[ LORRY RATE ]]</f>
        <v>-5250</v>
      </c>
      <c r="N9" s="17"/>
      <c r="O9" s="17"/>
      <c r="P9" s="17" t="s">
        <v>102</v>
      </c>
      <c r="Q9" s="18" t="s">
        <v>134</v>
      </c>
      <c r="R9" s="17" t="s">
        <v>113</v>
      </c>
      <c r="S9" s="25">
        <v>45439</v>
      </c>
      <c r="T9" s="22">
        <v>45440</v>
      </c>
      <c r="U9" s="15" t="s">
        <v>54</v>
      </c>
      <c r="V9" s="21" t="s">
        <v>73</v>
      </c>
    </row>
    <row r="10" spans="1:23" s="21" customFormat="1" hidden="1" x14ac:dyDescent="0.3">
      <c r="A10" s="21">
        <v>10</v>
      </c>
      <c r="B10" s="15" t="s">
        <v>49</v>
      </c>
      <c r="C10" s="22">
        <v>45440</v>
      </c>
      <c r="D10" s="22" t="s">
        <v>57</v>
      </c>
      <c r="E10" s="21" t="s">
        <v>38</v>
      </c>
      <c r="F10" s="21">
        <v>9025368773</v>
      </c>
      <c r="G10" s="21" t="s">
        <v>41</v>
      </c>
      <c r="H10" s="21" t="s">
        <v>44</v>
      </c>
      <c r="I10" s="21" t="s">
        <v>45</v>
      </c>
      <c r="J10" s="21" t="s">
        <v>37</v>
      </c>
      <c r="K10" s="23"/>
      <c r="L10" s="23">
        <v>6300</v>
      </c>
      <c r="M10" s="17">
        <f>Table1[[#This Row],[Billing Rate Charges]]-Table1[[#This Row],[ LORRY RATE ]]</f>
        <v>6300</v>
      </c>
      <c r="N10" s="17"/>
      <c r="O10" s="17"/>
      <c r="P10" s="17" t="s">
        <v>102</v>
      </c>
      <c r="Q10" s="18" t="s">
        <v>119</v>
      </c>
      <c r="R10" s="17" t="s">
        <v>113</v>
      </c>
      <c r="S10" s="21" t="s">
        <v>83</v>
      </c>
      <c r="U10" s="15" t="s">
        <v>54</v>
      </c>
      <c r="V10" s="21" t="s">
        <v>56</v>
      </c>
    </row>
    <row r="11" spans="1:23" s="21" customFormat="1" hidden="1" x14ac:dyDescent="0.3">
      <c r="A11" s="21">
        <v>11</v>
      </c>
      <c r="B11" s="15" t="s">
        <v>49</v>
      </c>
      <c r="C11" s="22">
        <v>45442</v>
      </c>
      <c r="D11" s="22" t="s">
        <v>57</v>
      </c>
      <c r="E11" s="21" t="s">
        <v>38</v>
      </c>
      <c r="F11" s="21">
        <v>9025368773</v>
      </c>
      <c r="G11" s="21" t="s">
        <v>45</v>
      </c>
      <c r="H11" s="21" t="s">
        <v>26</v>
      </c>
      <c r="I11" s="21" t="s">
        <v>93</v>
      </c>
      <c r="J11" s="21" t="s">
        <v>37</v>
      </c>
      <c r="K11" s="23">
        <v>48290</v>
      </c>
      <c r="L11" s="23">
        <v>67410</v>
      </c>
      <c r="M11" s="17">
        <f>Table1[[#This Row],[Billing Rate Charges]]-Table1[[#This Row],[ LORRY RATE ]]</f>
        <v>19120</v>
      </c>
      <c r="N11" s="17"/>
      <c r="O11" s="17"/>
      <c r="P11" s="17" t="s">
        <v>102</v>
      </c>
      <c r="Q11" s="18" t="s">
        <v>119</v>
      </c>
      <c r="R11" s="17" t="s">
        <v>113</v>
      </c>
      <c r="S11" s="22">
        <v>45445</v>
      </c>
      <c r="T11" s="22">
        <v>45446</v>
      </c>
      <c r="U11" s="15" t="s">
        <v>54</v>
      </c>
      <c r="V11" s="21" t="s">
        <v>56</v>
      </c>
    </row>
    <row r="12" spans="1:23" s="21" customFormat="1" hidden="1" x14ac:dyDescent="0.3">
      <c r="A12" s="21">
        <v>12</v>
      </c>
      <c r="B12" s="15" t="s">
        <v>49</v>
      </c>
      <c r="C12" s="22">
        <v>45436</v>
      </c>
      <c r="D12" s="22" t="s">
        <v>57</v>
      </c>
      <c r="E12" s="21" t="s">
        <v>60</v>
      </c>
      <c r="F12" s="21">
        <v>9589264337</v>
      </c>
      <c r="G12" s="21" t="s">
        <v>6</v>
      </c>
      <c r="H12" s="21" t="s">
        <v>26</v>
      </c>
      <c r="I12" s="21" t="s">
        <v>85</v>
      </c>
      <c r="J12" s="21" t="s">
        <v>7</v>
      </c>
      <c r="K12" s="23">
        <v>44220</v>
      </c>
      <c r="L12" s="23">
        <v>40320</v>
      </c>
      <c r="M12" s="26">
        <f>L12-K12</f>
        <v>-3900</v>
      </c>
      <c r="N12" s="27"/>
      <c r="O12" s="27"/>
      <c r="P12" s="27" t="s">
        <v>102</v>
      </c>
      <c r="Q12" s="28" t="s">
        <v>135</v>
      </c>
      <c r="R12" s="17" t="s">
        <v>113</v>
      </c>
      <c r="S12" s="22">
        <v>45439</v>
      </c>
      <c r="T12" s="22">
        <v>45439</v>
      </c>
      <c r="U12" s="29" t="s">
        <v>54</v>
      </c>
      <c r="V12" s="30" t="s">
        <v>56</v>
      </c>
      <c r="W12" s="30"/>
    </row>
    <row r="13" spans="1:23" s="31" customFormat="1" hidden="1" x14ac:dyDescent="0.3">
      <c r="A13" s="31">
        <v>13</v>
      </c>
      <c r="B13" s="15" t="s">
        <v>49</v>
      </c>
      <c r="C13" s="32">
        <v>45439</v>
      </c>
      <c r="D13" s="22" t="s">
        <v>57</v>
      </c>
      <c r="E13" s="31" t="s">
        <v>60</v>
      </c>
      <c r="F13" s="31">
        <v>9589264337</v>
      </c>
      <c r="G13" s="31" t="s">
        <v>42</v>
      </c>
      <c r="H13" s="31" t="s">
        <v>26</v>
      </c>
      <c r="I13" s="31" t="s">
        <v>95</v>
      </c>
      <c r="J13" s="31" t="s">
        <v>7</v>
      </c>
      <c r="K13" s="33">
        <v>51030</v>
      </c>
      <c r="L13" s="33">
        <v>85680</v>
      </c>
      <c r="M13" s="34">
        <f>L13-K13</f>
        <v>34650</v>
      </c>
      <c r="N13" s="34"/>
      <c r="O13" s="34"/>
      <c r="P13" s="34" t="s">
        <v>102</v>
      </c>
      <c r="Q13" s="35" t="s">
        <v>120</v>
      </c>
      <c r="R13" s="17" t="s">
        <v>113</v>
      </c>
      <c r="S13" s="22">
        <v>45443</v>
      </c>
      <c r="T13" s="22">
        <v>45443</v>
      </c>
      <c r="U13" s="36" t="s">
        <v>54</v>
      </c>
      <c r="V13" s="37" t="s">
        <v>56</v>
      </c>
      <c r="W13" s="37"/>
    </row>
    <row r="14" spans="1:23" s="21" customFormat="1" hidden="1" x14ac:dyDescent="0.3">
      <c r="A14" s="21">
        <v>14</v>
      </c>
      <c r="B14" s="21" t="s">
        <v>76</v>
      </c>
      <c r="C14" s="22">
        <v>45444</v>
      </c>
      <c r="D14" s="22" t="s">
        <v>74</v>
      </c>
      <c r="E14" s="21" t="s">
        <v>47</v>
      </c>
      <c r="F14" s="21">
        <v>9198923795</v>
      </c>
      <c r="G14" s="21" t="s">
        <v>46</v>
      </c>
      <c r="H14" s="21" t="s">
        <v>26</v>
      </c>
      <c r="I14" s="21" t="s">
        <v>94</v>
      </c>
      <c r="J14" s="21" t="s">
        <v>75</v>
      </c>
      <c r="K14" s="23">
        <v>27290</v>
      </c>
      <c r="L14" s="23">
        <v>35600</v>
      </c>
      <c r="M14" s="38">
        <v>8310</v>
      </c>
      <c r="N14" s="38">
        <v>27290</v>
      </c>
      <c r="O14" s="38">
        <f>Table1[[#This Row],[ LORRY RATE ]]-Table1[[#This Row],[Adance Paid (INR)]]</f>
        <v>0</v>
      </c>
      <c r="P14" s="38" t="s">
        <v>102</v>
      </c>
      <c r="Q14" s="28" t="s">
        <v>121</v>
      </c>
      <c r="R14" s="17" t="s">
        <v>113</v>
      </c>
      <c r="S14" s="19">
        <v>45447</v>
      </c>
      <c r="T14" s="19">
        <v>45447</v>
      </c>
      <c r="U14" s="21" t="s">
        <v>97</v>
      </c>
      <c r="V14" s="15" t="s">
        <v>12</v>
      </c>
      <c r="W14" s="15"/>
    </row>
    <row r="15" spans="1:23" hidden="1" x14ac:dyDescent="0.3">
      <c r="A15" s="15">
        <v>15</v>
      </c>
      <c r="B15" s="15" t="s">
        <v>76</v>
      </c>
      <c r="C15" s="19">
        <v>45444</v>
      </c>
      <c r="D15" s="19" t="s">
        <v>74</v>
      </c>
      <c r="E15" s="15" t="s">
        <v>81</v>
      </c>
      <c r="F15" s="15">
        <v>9295512602</v>
      </c>
      <c r="G15" s="15" t="s">
        <v>6</v>
      </c>
      <c r="H15" s="15" t="s">
        <v>26</v>
      </c>
      <c r="I15" s="15" t="s">
        <v>90</v>
      </c>
      <c r="J15" s="15" t="s">
        <v>59</v>
      </c>
      <c r="K15" s="16">
        <v>29110</v>
      </c>
      <c r="L15" s="16">
        <v>38740</v>
      </c>
      <c r="M15" s="17">
        <f>Table1[[#This Row],[Billing Rate Charges]]-Table1[[#This Row],[ LORRY RATE ]]</f>
        <v>9630</v>
      </c>
      <c r="N15" s="17">
        <v>29110</v>
      </c>
      <c r="O15" s="17">
        <f>Table1[[#This Row],[ LORRY RATE ]]-Table1[[#This Row],[Adance Paid (INR)]]</f>
        <v>0</v>
      </c>
      <c r="P15" s="17" t="s">
        <v>102</v>
      </c>
      <c r="Q15" s="18" t="s">
        <v>122</v>
      </c>
      <c r="R15" s="17" t="s">
        <v>113</v>
      </c>
      <c r="S15" s="19">
        <v>45447</v>
      </c>
      <c r="T15" s="19">
        <v>45447</v>
      </c>
      <c r="U15" s="15" t="s">
        <v>97</v>
      </c>
      <c r="V15" s="15" t="s">
        <v>12</v>
      </c>
      <c r="W15" s="15"/>
    </row>
    <row r="16" spans="1:23" hidden="1" x14ac:dyDescent="0.3">
      <c r="A16" s="15">
        <v>16</v>
      </c>
      <c r="B16" s="15" t="s">
        <v>76</v>
      </c>
      <c r="C16" s="19">
        <v>45444</v>
      </c>
      <c r="D16" s="19" t="s">
        <v>57</v>
      </c>
      <c r="E16" s="15" t="s">
        <v>60</v>
      </c>
      <c r="F16" s="15">
        <v>9589264337</v>
      </c>
      <c r="G16" s="15" t="s">
        <v>6</v>
      </c>
      <c r="H16" s="15" t="s">
        <v>26</v>
      </c>
      <c r="I16" s="15" t="s">
        <v>89</v>
      </c>
      <c r="J16" s="15" t="s">
        <v>7</v>
      </c>
      <c r="K16" s="16">
        <v>44220</v>
      </c>
      <c r="L16" s="16">
        <v>40320</v>
      </c>
      <c r="M16" s="17">
        <f>Table1[[#This Row],[Billing Rate Charges]]-Table1[[#This Row],[ LORRY RATE ]]</f>
        <v>-3900</v>
      </c>
      <c r="N16" s="17"/>
      <c r="O16" s="17"/>
      <c r="P16" s="17" t="s">
        <v>102</v>
      </c>
      <c r="Q16" s="18" t="s">
        <v>123</v>
      </c>
      <c r="R16" s="17" t="s">
        <v>113</v>
      </c>
      <c r="S16" s="22">
        <v>45448</v>
      </c>
      <c r="T16" s="22">
        <v>45448</v>
      </c>
      <c r="U16" s="15" t="s">
        <v>98</v>
      </c>
      <c r="V16" s="15" t="s">
        <v>56</v>
      </c>
      <c r="W16" s="15"/>
    </row>
    <row r="17" spans="1:23" hidden="1" x14ac:dyDescent="0.3">
      <c r="A17" s="15">
        <v>17</v>
      </c>
      <c r="B17" s="15" t="s">
        <v>76</v>
      </c>
      <c r="C17" s="19">
        <v>45446</v>
      </c>
      <c r="D17" s="19" t="s">
        <v>57</v>
      </c>
      <c r="E17" s="15" t="s">
        <v>38</v>
      </c>
      <c r="F17" s="15">
        <v>9025368773</v>
      </c>
      <c r="G17" s="15" t="s">
        <v>6</v>
      </c>
      <c r="H17" s="15" t="s">
        <v>92</v>
      </c>
      <c r="I17" s="15" t="s">
        <v>91</v>
      </c>
      <c r="J17" s="15" t="s">
        <v>82</v>
      </c>
      <c r="K17" s="16">
        <v>45880</v>
      </c>
      <c r="L17" s="16">
        <v>51340</v>
      </c>
      <c r="M17" s="17">
        <f>Table1[[#This Row],[Billing Rate Charges]]-Table1[[#This Row],[ LORRY RATE ]]</f>
        <v>5460</v>
      </c>
      <c r="N17" s="17"/>
      <c r="O17" s="17"/>
      <c r="P17" s="17" t="s">
        <v>102</v>
      </c>
      <c r="Q17" s="18" t="s">
        <v>124</v>
      </c>
      <c r="R17" s="17" t="s">
        <v>113</v>
      </c>
      <c r="S17" s="22">
        <v>45449</v>
      </c>
      <c r="T17" s="22">
        <v>45450</v>
      </c>
      <c r="U17" s="15" t="s">
        <v>98</v>
      </c>
      <c r="V17" s="15" t="s">
        <v>56</v>
      </c>
      <c r="W17" s="15"/>
    </row>
    <row r="18" spans="1:23" hidden="1" x14ac:dyDescent="0.3">
      <c r="A18" s="15">
        <v>18</v>
      </c>
      <c r="B18" s="15" t="s">
        <v>76</v>
      </c>
      <c r="C18" s="19">
        <v>45449</v>
      </c>
      <c r="D18" s="19" t="s">
        <v>57</v>
      </c>
      <c r="E18" s="15" t="s">
        <v>99</v>
      </c>
      <c r="F18" s="15">
        <v>9589264337</v>
      </c>
      <c r="G18" s="15" t="s">
        <v>42</v>
      </c>
      <c r="H18" s="15" t="s">
        <v>26</v>
      </c>
      <c r="I18" s="15" t="s">
        <v>139</v>
      </c>
      <c r="J18" s="15" t="s">
        <v>100</v>
      </c>
      <c r="K18" s="16">
        <v>51690</v>
      </c>
      <c r="L18" s="16">
        <v>90090</v>
      </c>
      <c r="M18" s="17">
        <f>Table1[[#This Row],[Billing Rate Charges]]-Table1[[#This Row],[ LORRY RATE ]]</f>
        <v>38400</v>
      </c>
      <c r="N18" s="17"/>
      <c r="O18" s="17"/>
      <c r="P18" s="17" t="s">
        <v>147</v>
      </c>
      <c r="Q18" s="18" t="s">
        <v>125</v>
      </c>
      <c r="R18" s="17" t="s">
        <v>113</v>
      </c>
      <c r="S18" s="22">
        <v>45452</v>
      </c>
      <c r="T18" s="22">
        <v>45453</v>
      </c>
      <c r="U18" s="15" t="s">
        <v>97</v>
      </c>
      <c r="V18" s="15" t="s">
        <v>56</v>
      </c>
      <c r="W18" s="15"/>
    </row>
    <row r="19" spans="1:23" hidden="1" x14ac:dyDescent="0.3">
      <c r="A19" s="15">
        <v>19</v>
      </c>
      <c r="B19" s="15" t="s">
        <v>76</v>
      </c>
      <c r="C19" s="19">
        <v>45450</v>
      </c>
      <c r="D19" s="19" t="s">
        <v>74</v>
      </c>
      <c r="E19" s="15" t="s">
        <v>19</v>
      </c>
      <c r="F19" s="15">
        <v>9149905009</v>
      </c>
      <c r="G19" s="15" t="s">
        <v>6</v>
      </c>
      <c r="H19" s="15" t="s">
        <v>136</v>
      </c>
      <c r="I19" s="15" t="s">
        <v>137</v>
      </c>
      <c r="J19" s="15" t="s">
        <v>28</v>
      </c>
      <c r="K19" s="16">
        <v>27640</v>
      </c>
      <c r="L19" s="16">
        <v>45040</v>
      </c>
      <c r="M19" s="17">
        <f>Table1[[#This Row],[Billing Rate Charges]]-Table1[[#This Row],[ LORRY RATE ]]</f>
        <v>17400</v>
      </c>
      <c r="N19" s="17">
        <v>27640</v>
      </c>
      <c r="O19" s="17">
        <f>Table1[[#This Row],[ LORRY RATE ]]-Table1[[#This Row],[Adance Paid (INR)]]</f>
        <v>0</v>
      </c>
      <c r="P19" s="17" t="s">
        <v>147</v>
      </c>
      <c r="Q19" s="18" t="s">
        <v>126</v>
      </c>
      <c r="R19" s="17" t="s">
        <v>113</v>
      </c>
      <c r="S19" s="22">
        <v>45454</v>
      </c>
      <c r="T19" s="22">
        <v>45454</v>
      </c>
      <c r="U19" s="15" t="s">
        <v>97</v>
      </c>
      <c r="V19" s="15" t="s">
        <v>12</v>
      </c>
      <c r="W19" s="15"/>
    </row>
    <row r="20" spans="1:23" hidden="1" x14ac:dyDescent="0.3">
      <c r="A20" s="15">
        <v>20</v>
      </c>
      <c r="B20" s="15" t="s">
        <v>76</v>
      </c>
      <c r="C20" s="19">
        <v>45450</v>
      </c>
      <c r="D20" s="19" t="s">
        <v>57</v>
      </c>
      <c r="E20" s="15" t="s">
        <v>38</v>
      </c>
      <c r="F20" s="15">
        <v>9025368773</v>
      </c>
      <c r="G20" s="15" t="s">
        <v>105</v>
      </c>
      <c r="H20" s="15" t="s">
        <v>26</v>
      </c>
      <c r="I20" s="15" t="s">
        <v>145</v>
      </c>
      <c r="J20" s="15" t="s">
        <v>59</v>
      </c>
      <c r="K20" s="16">
        <v>48290</v>
      </c>
      <c r="L20" s="16">
        <v>67410</v>
      </c>
      <c r="M20" s="17">
        <f>Table1[[#This Row],[Billing Rate Charges]]-Table1[[#This Row],[ LORRY RATE ]]</f>
        <v>19120</v>
      </c>
      <c r="N20" s="17"/>
      <c r="O20" s="17"/>
      <c r="P20" s="17" t="s">
        <v>147</v>
      </c>
      <c r="Q20" s="18" t="s">
        <v>127</v>
      </c>
      <c r="R20" s="17" t="s">
        <v>113</v>
      </c>
      <c r="S20" s="22">
        <v>45452</v>
      </c>
      <c r="T20" s="22">
        <v>45453</v>
      </c>
      <c r="U20" s="15" t="s">
        <v>98</v>
      </c>
      <c r="V20" s="15" t="s">
        <v>56</v>
      </c>
      <c r="W20" s="15"/>
    </row>
    <row r="21" spans="1:23" hidden="1" x14ac:dyDescent="0.3">
      <c r="A21" s="15">
        <v>21</v>
      </c>
      <c r="B21" s="15" t="s">
        <v>76</v>
      </c>
      <c r="C21" s="19">
        <v>45455</v>
      </c>
      <c r="D21" s="19" t="s">
        <v>57</v>
      </c>
      <c r="E21" s="15" t="s">
        <v>38</v>
      </c>
      <c r="F21" s="15">
        <v>9025368773</v>
      </c>
      <c r="G21" s="15" t="s">
        <v>6</v>
      </c>
      <c r="H21" s="15" t="s">
        <v>138</v>
      </c>
      <c r="I21" s="15" t="s">
        <v>140</v>
      </c>
      <c r="J21" s="15" t="s">
        <v>59</v>
      </c>
      <c r="K21" s="16">
        <v>44930</v>
      </c>
      <c r="L21" s="16">
        <v>45040</v>
      </c>
      <c r="M21" s="17">
        <f>Table1[[#This Row],[Billing Rate Charges]]-Table1[[#This Row],[ LORRY RATE ]]</f>
        <v>110</v>
      </c>
      <c r="N21" s="17"/>
      <c r="O21" s="17"/>
      <c r="P21" s="17" t="s">
        <v>147</v>
      </c>
      <c r="Q21" s="18" t="s">
        <v>128</v>
      </c>
      <c r="R21" s="17" t="s">
        <v>113</v>
      </c>
      <c r="S21" s="22">
        <v>45458</v>
      </c>
      <c r="T21" s="22">
        <v>45458</v>
      </c>
      <c r="U21" s="15" t="s">
        <v>97</v>
      </c>
      <c r="V21" s="15" t="s">
        <v>73</v>
      </c>
      <c r="W21" s="15"/>
    </row>
    <row r="22" spans="1:23" hidden="1" x14ac:dyDescent="0.3">
      <c r="A22" s="15">
        <v>22</v>
      </c>
      <c r="B22" s="15" t="s">
        <v>76</v>
      </c>
      <c r="C22" s="19">
        <v>45456</v>
      </c>
      <c r="D22" s="19" t="s">
        <v>57</v>
      </c>
      <c r="E22" s="15" t="s">
        <v>60</v>
      </c>
      <c r="F22" s="15">
        <v>9589264337</v>
      </c>
      <c r="G22" s="15" t="s">
        <v>6</v>
      </c>
      <c r="H22" s="15" t="s">
        <v>141</v>
      </c>
      <c r="I22" s="15" t="s">
        <v>142</v>
      </c>
      <c r="J22" s="15" t="s">
        <v>7</v>
      </c>
      <c r="K22" s="16">
        <v>45170</v>
      </c>
      <c r="L22" s="16">
        <v>46620</v>
      </c>
      <c r="M22" s="17">
        <f>Table1[[#This Row],[Billing Rate Charges]]-Table1[[#This Row],[ LORRY RATE ]]</f>
        <v>1450</v>
      </c>
      <c r="N22" s="17"/>
      <c r="O22" s="17"/>
      <c r="P22" s="17" t="s">
        <v>147</v>
      </c>
      <c r="Q22" s="18" t="s">
        <v>129</v>
      </c>
      <c r="R22" s="17" t="s">
        <v>113</v>
      </c>
      <c r="S22" s="22">
        <v>45459</v>
      </c>
      <c r="T22" s="22">
        <v>45462</v>
      </c>
      <c r="U22" s="15" t="s">
        <v>98</v>
      </c>
      <c r="V22" s="15" t="s">
        <v>56</v>
      </c>
      <c r="W22" s="15" t="s">
        <v>151</v>
      </c>
    </row>
    <row r="23" spans="1:23" hidden="1" x14ac:dyDescent="0.3">
      <c r="A23" s="15">
        <v>23</v>
      </c>
      <c r="B23" s="15" t="s">
        <v>76</v>
      </c>
      <c r="C23" s="19">
        <v>45457</v>
      </c>
      <c r="D23" s="19" t="s">
        <v>74</v>
      </c>
      <c r="E23" s="15" t="s">
        <v>106</v>
      </c>
      <c r="F23" s="15">
        <v>9372267009</v>
      </c>
      <c r="G23" s="15" t="s">
        <v>105</v>
      </c>
      <c r="H23" s="15" t="s">
        <v>26</v>
      </c>
      <c r="I23" s="15" t="s">
        <v>146</v>
      </c>
      <c r="J23" s="15" t="s">
        <v>107</v>
      </c>
      <c r="K23" s="16">
        <v>75570</v>
      </c>
      <c r="L23" s="16">
        <v>93240</v>
      </c>
      <c r="M23" s="17">
        <f>Table1[[#This Row],[Billing Rate Charges]]-Table1[[#This Row],[ LORRY RATE ]]</f>
        <v>17670</v>
      </c>
      <c r="N23" s="17">
        <v>75570</v>
      </c>
      <c r="O23" s="17">
        <f>Table1[[#This Row],[ LORRY RATE ]]-Table1[[#This Row],[Adance Paid (INR)]]</f>
        <v>0</v>
      </c>
      <c r="P23" s="17" t="s">
        <v>147</v>
      </c>
      <c r="Q23" s="18" t="s">
        <v>130</v>
      </c>
      <c r="R23" s="17" t="s">
        <v>113</v>
      </c>
      <c r="S23" s="18" t="s">
        <v>150</v>
      </c>
      <c r="T23" s="18" t="s">
        <v>150</v>
      </c>
      <c r="U23" s="15" t="s">
        <v>97</v>
      </c>
      <c r="V23" s="15" t="s">
        <v>108</v>
      </c>
      <c r="W23" s="15"/>
    </row>
    <row r="24" spans="1:23" hidden="1" x14ac:dyDescent="0.3">
      <c r="A24" s="15">
        <v>24</v>
      </c>
      <c r="B24" s="15" t="s">
        <v>76</v>
      </c>
      <c r="C24" s="19">
        <v>45458</v>
      </c>
      <c r="D24" s="19" t="s">
        <v>74</v>
      </c>
      <c r="E24" s="15" t="s">
        <v>18</v>
      </c>
      <c r="F24" s="15">
        <v>9295512602</v>
      </c>
      <c r="G24" s="15" t="s">
        <v>6</v>
      </c>
      <c r="H24" s="15" t="s">
        <v>26</v>
      </c>
      <c r="I24" s="15" t="s">
        <v>143</v>
      </c>
      <c r="J24" s="15" t="s">
        <v>59</v>
      </c>
      <c r="K24" s="16">
        <v>27770</v>
      </c>
      <c r="L24" s="16">
        <v>38740</v>
      </c>
      <c r="M24" s="17">
        <f>Table1[[#This Row],[Billing Rate Charges]]-Table1[[#This Row],[ LORRY RATE ]]</f>
        <v>10970</v>
      </c>
      <c r="N24" s="17">
        <v>27770</v>
      </c>
      <c r="O24" s="17">
        <f>Table1[[#This Row],[ LORRY RATE ]]-Table1[[#This Row],[Adance Paid (INR)]]</f>
        <v>0</v>
      </c>
      <c r="P24" s="17" t="s">
        <v>147</v>
      </c>
      <c r="Q24" s="18" t="s">
        <v>131</v>
      </c>
      <c r="R24" s="17" t="s">
        <v>113</v>
      </c>
      <c r="S24" s="18" t="s">
        <v>150</v>
      </c>
      <c r="T24" s="18" t="s">
        <v>150</v>
      </c>
      <c r="U24" s="15" t="s">
        <v>97</v>
      </c>
      <c r="V24" s="15" t="s">
        <v>12</v>
      </c>
      <c r="W24" s="15"/>
    </row>
    <row r="25" spans="1:23" hidden="1" x14ac:dyDescent="0.3">
      <c r="A25" s="15">
        <v>25</v>
      </c>
      <c r="B25" s="15" t="s">
        <v>76</v>
      </c>
      <c r="C25" s="19">
        <v>45459</v>
      </c>
      <c r="D25" s="19" t="s">
        <v>57</v>
      </c>
      <c r="E25" s="15" t="s">
        <v>38</v>
      </c>
      <c r="F25" s="15">
        <v>9025368773</v>
      </c>
      <c r="G25" s="15" t="s">
        <v>109</v>
      </c>
      <c r="H25" s="15" t="s">
        <v>26</v>
      </c>
      <c r="I25" s="15" t="s">
        <v>144</v>
      </c>
      <c r="J25" s="15" t="s">
        <v>59</v>
      </c>
      <c r="K25" s="16">
        <v>48290</v>
      </c>
      <c r="L25" s="16">
        <v>67410</v>
      </c>
      <c r="M25" s="17">
        <f>Table1[[#This Row],[Billing Rate Charges]]-Table1[[#This Row],[ LORRY RATE ]]</f>
        <v>19120</v>
      </c>
      <c r="N25" s="17"/>
      <c r="O25" s="17"/>
      <c r="P25" s="17" t="s">
        <v>147</v>
      </c>
      <c r="Q25" s="18" t="s">
        <v>132</v>
      </c>
      <c r="R25" s="17" t="s">
        <v>113</v>
      </c>
      <c r="S25" s="18" t="s">
        <v>152</v>
      </c>
      <c r="T25" s="18" t="s">
        <v>152</v>
      </c>
      <c r="U25" s="15" t="s">
        <v>97</v>
      </c>
      <c r="V25" s="15" t="s">
        <v>56</v>
      </c>
      <c r="W25" s="15" t="s">
        <v>149</v>
      </c>
    </row>
    <row r="26" spans="1:23" hidden="1" x14ac:dyDescent="0.3">
      <c r="A26" s="15">
        <v>26</v>
      </c>
      <c r="B26" s="15" t="s">
        <v>76</v>
      </c>
      <c r="C26" s="19">
        <v>45460</v>
      </c>
      <c r="D26" s="19" t="s">
        <v>74</v>
      </c>
      <c r="E26" s="15" t="s">
        <v>148</v>
      </c>
      <c r="F26" s="15">
        <v>9684865656</v>
      </c>
      <c r="G26" s="15" t="s">
        <v>6</v>
      </c>
      <c r="H26" s="15" t="s">
        <v>190</v>
      </c>
      <c r="I26" s="15" t="s">
        <v>143</v>
      </c>
      <c r="J26" s="15" t="s">
        <v>75</v>
      </c>
      <c r="K26" s="16">
        <v>26100</v>
      </c>
      <c r="L26" s="16">
        <v>41900</v>
      </c>
      <c r="M26" s="17">
        <f>Table1[[#This Row],[Billing Rate Charges]]-Table1[[#This Row],[ LORRY RATE ]]</f>
        <v>15800</v>
      </c>
      <c r="N26" s="17">
        <v>26100</v>
      </c>
      <c r="O26" s="17">
        <f>Table1[[#This Row],[ LORRY RATE ]]-Table1[[#This Row],[Adance Paid (INR)]]</f>
        <v>0</v>
      </c>
      <c r="P26" s="17" t="s">
        <v>147</v>
      </c>
      <c r="Q26" s="39" t="s">
        <v>191</v>
      </c>
      <c r="R26" s="17" t="s">
        <v>113</v>
      </c>
      <c r="S26" s="18" t="s">
        <v>155</v>
      </c>
      <c r="T26" s="18" t="s">
        <v>156</v>
      </c>
      <c r="U26" s="15" t="s">
        <v>97</v>
      </c>
      <c r="V26" s="15" t="s">
        <v>12</v>
      </c>
      <c r="W26" s="15"/>
    </row>
    <row r="27" spans="1:23" hidden="1" x14ac:dyDescent="0.3">
      <c r="A27" s="15">
        <v>27</v>
      </c>
      <c r="B27" s="15" t="s">
        <v>76</v>
      </c>
      <c r="C27" s="19">
        <v>45462</v>
      </c>
      <c r="D27" s="19" t="s">
        <v>57</v>
      </c>
      <c r="E27" s="15" t="s">
        <v>38</v>
      </c>
      <c r="F27" s="15">
        <v>9025368773</v>
      </c>
      <c r="G27" s="15" t="s">
        <v>6</v>
      </c>
      <c r="H27" s="15" t="s">
        <v>26</v>
      </c>
      <c r="I27" s="15" t="s">
        <v>176</v>
      </c>
      <c r="J27" s="15" t="s">
        <v>25</v>
      </c>
      <c r="K27" s="16">
        <v>46520</v>
      </c>
      <c r="L27" s="16">
        <v>55600</v>
      </c>
      <c r="M27" s="17">
        <f>Table1[[#This Row],[Billing Rate Charges]]-Table1[[#This Row],[ LORRY RATE ]]</f>
        <v>9080</v>
      </c>
      <c r="N27" s="17"/>
      <c r="O27" s="17"/>
      <c r="P27" s="17" t="s">
        <v>147</v>
      </c>
      <c r="Q27" s="39" t="s">
        <v>194</v>
      </c>
      <c r="R27" s="17" t="s">
        <v>113</v>
      </c>
      <c r="S27" s="18" t="s">
        <v>156</v>
      </c>
      <c r="T27" s="18" t="s">
        <v>156</v>
      </c>
      <c r="U27" s="15" t="s">
        <v>97</v>
      </c>
      <c r="V27" s="15" t="s">
        <v>56</v>
      </c>
      <c r="W27" s="15"/>
    </row>
    <row r="28" spans="1:23" hidden="1" x14ac:dyDescent="0.3">
      <c r="A28" s="15">
        <v>28</v>
      </c>
      <c r="B28" s="15" t="s">
        <v>76</v>
      </c>
      <c r="C28" s="19">
        <v>45463</v>
      </c>
      <c r="D28" s="19" t="s">
        <v>57</v>
      </c>
      <c r="E28" s="15" t="s">
        <v>60</v>
      </c>
      <c r="F28" s="15">
        <v>9589264337</v>
      </c>
      <c r="G28" s="15" t="s">
        <v>186</v>
      </c>
      <c r="H28" s="15" t="s">
        <v>187</v>
      </c>
      <c r="I28" s="15" t="s">
        <v>6</v>
      </c>
      <c r="J28" s="15" t="s">
        <v>7</v>
      </c>
      <c r="K28" s="16">
        <v>52820</v>
      </c>
      <c r="L28" s="16">
        <v>97650</v>
      </c>
      <c r="M28" s="17">
        <f>Table1[[#This Row],[Billing Rate Charges]]-Table1[[#This Row],[ LORRY RATE ]]</f>
        <v>44830</v>
      </c>
      <c r="N28" s="17"/>
      <c r="O28" s="17"/>
      <c r="P28" s="17" t="s">
        <v>147</v>
      </c>
      <c r="Q28" s="39" t="s">
        <v>192</v>
      </c>
      <c r="R28" s="17" t="s">
        <v>113</v>
      </c>
      <c r="S28" s="18" t="s">
        <v>157</v>
      </c>
      <c r="T28" s="18" t="s">
        <v>157</v>
      </c>
      <c r="U28" s="15" t="s">
        <v>97</v>
      </c>
      <c r="V28" s="15" t="s">
        <v>56</v>
      </c>
      <c r="W28" s="15" t="s">
        <v>154</v>
      </c>
    </row>
    <row r="29" spans="1:23" hidden="1" x14ac:dyDescent="0.3">
      <c r="A29" s="15">
        <v>29</v>
      </c>
      <c r="B29" s="15" t="s">
        <v>76</v>
      </c>
      <c r="C29" s="19">
        <v>45464</v>
      </c>
      <c r="D29" s="19" t="s">
        <v>74</v>
      </c>
      <c r="E29" s="15" t="s">
        <v>153</v>
      </c>
      <c r="F29" s="15">
        <v>9754088991</v>
      </c>
      <c r="G29" s="15" t="s">
        <v>6</v>
      </c>
      <c r="H29" s="15" t="s">
        <v>178</v>
      </c>
      <c r="I29" s="15" t="s">
        <v>177</v>
      </c>
      <c r="J29" s="15" t="s">
        <v>7</v>
      </c>
      <c r="K29" s="16">
        <v>33110</v>
      </c>
      <c r="L29" s="16">
        <v>52920</v>
      </c>
      <c r="M29" s="17">
        <f>Table1[[#This Row],[Billing Rate Charges]]-Table1[[#This Row],[ LORRY RATE ]]</f>
        <v>19810</v>
      </c>
      <c r="N29" s="17">
        <v>33110</v>
      </c>
      <c r="O29" s="17">
        <f>Table1[[#This Row],[ LORRY RATE ]]-Table1[[#This Row],[Adance Paid (INR)]]</f>
        <v>0</v>
      </c>
      <c r="P29" s="17" t="s">
        <v>147</v>
      </c>
      <c r="Q29" s="39" t="s">
        <v>193</v>
      </c>
      <c r="R29" s="17" t="s">
        <v>113</v>
      </c>
      <c r="S29" s="18" t="s">
        <v>159</v>
      </c>
      <c r="T29" s="18" t="s">
        <v>160</v>
      </c>
      <c r="U29" s="15" t="s">
        <v>98</v>
      </c>
      <c r="V29" s="15" t="s">
        <v>12</v>
      </c>
      <c r="W29" s="15" t="s">
        <v>161</v>
      </c>
    </row>
    <row r="30" spans="1:23" hidden="1" x14ac:dyDescent="0.3">
      <c r="A30" s="15">
        <v>30</v>
      </c>
      <c r="B30" s="15" t="s">
        <v>76</v>
      </c>
      <c r="C30" s="19">
        <v>45467</v>
      </c>
      <c r="D30" s="19" t="s">
        <v>57</v>
      </c>
      <c r="E30" s="15" t="s">
        <v>60</v>
      </c>
      <c r="F30" s="15">
        <v>9589264337</v>
      </c>
      <c r="G30" s="15" t="s">
        <v>6</v>
      </c>
      <c r="H30" s="15" t="s">
        <v>180</v>
      </c>
      <c r="I30" s="15" t="s">
        <v>179</v>
      </c>
      <c r="J30" s="15" t="s">
        <v>100</v>
      </c>
      <c r="K30" s="16">
        <v>45170</v>
      </c>
      <c r="L30" s="16">
        <v>46620</v>
      </c>
      <c r="M30" s="17">
        <f>Table1[[#This Row],[Billing Rate Charges]]-Table1[[#This Row],[ LORRY RATE ]]</f>
        <v>1450</v>
      </c>
      <c r="N30" s="17"/>
      <c r="O30" s="17">
        <v>0</v>
      </c>
      <c r="P30" s="17" t="s">
        <v>147</v>
      </c>
      <c r="Q30" s="39" t="s">
        <v>195</v>
      </c>
      <c r="R30" s="17" t="s">
        <v>113</v>
      </c>
      <c r="S30" s="18" t="s">
        <v>163</v>
      </c>
      <c r="T30" s="18" t="s">
        <v>163</v>
      </c>
      <c r="U30" s="15" t="s">
        <v>98</v>
      </c>
      <c r="V30" s="15" t="s">
        <v>56</v>
      </c>
      <c r="W30" s="15"/>
    </row>
    <row r="31" spans="1:23" hidden="1" x14ac:dyDescent="0.3">
      <c r="A31" s="15">
        <v>31</v>
      </c>
      <c r="B31" s="15" t="s">
        <v>76</v>
      </c>
      <c r="C31" s="19">
        <v>45468</v>
      </c>
      <c r="D31" s="19" t="s">
        <v>57</v>
      </c>
      <c r="E31" s="15" t="s">
        <v>38</v>
      </c>
      <c r="F31" s="15">
        <v>9025368773</v>
      </c>
      <c r="G31" s="15" t="s">
        <v>158</v>
      </c>
      <c r="H31" s="15" t="s">
        <v>26</v>
      </c>
      <c r="I31" s="15" t="s">
        <v>181</v>
      </c>
      <c r="J31" s="15" t="s">
        <v>25</v>
      </c>
      <c r="K31" s="16">
        <v>48290</v>
      </c>
      <c r="L31" s="16">
        <v>67410</v>
      </c>
      <c r="M31" s="17">
        <f>Table1[[#This Row],[Billing Rate Charges]]-Table1[[#This Row],[ LORRY RATE ]]</f>
        <v>19120</v>
      </c>
      <c r="N31" s="17"/>
      <c r="O31" s="17">
        <v>0</v>
      </c>
      <c r="P31" s="17" t="s">
        <v>147</v>
      </c>
      <c r="Q31" s="39" t="s">
        <v>196</v>
      </c>
      <c r="R31" s="17" t="s">
        <v>113</v>
      </c>
      <c r="S31" s="18" t="s">
        <v>169</v>
      </c>
      <c r="T31" s="18" t="s">
        <v>169</v>
      </c>
      <c r="U31" s="15" t="s">
        <v>97</v>
      </c>
      <c r="V31" s="15" t="s">
        <v>56</v>
      </c>
      <c r="W31" s="15"/>
    </row>
    <row r="32" spans="1:23" hidden="1" x14ac:dyDescent="0.3">
      <c r="A32" s="15">
        <v>32</v>
      </c>
      <c r="B32" s="15" t="s">
        <v>76</v>
      </c>
      <c r="C32" s="19">
        <v>45469</v>
      </c>
      <c r="D32" s="19" t="s">
        <v>51</v>
      </c>
      <c r="E32" s="15" t="s">
        <v>11</v>
      </c>
      <c r="F32" s="15">
        <v>9941053951</v>
      </c>
      <c r="G32" s="15" t="s">
        <v>6</v>
      </c>
      <c r="H32" s="15" t="s">
        <v>26</v>
      </c>
      <c r="I32" s="15" t="s">
        <v>182</v>
      </c>
      <c r="J32" s="15" t="s">
        <v>7</v>
      </c>
      <c r="K32" s="16">
        <v>33890</v>
      </c>
      <c r="L32" s="16">
        <v>40320</v>
      </c>
      <c r="M32" s="17">
        <f>Table1[[#This Row],[Billing Rate Charges]]-Table1[[#This Row],[ LORRY RATE ]]</f>
        <v>6430</v>
      </c>
      <c r="N32" s="17">
        <v>33890</v>
      </c>
      <c r="O32" s="17">
        <f>Table1[[#This Row],[ LORRY RATE ]]-Table1[[#This Row],[Adance Paid (INR)]]</f>
        <v>0</v>
      </c>
      <c r="P32" s="17" t="s">
        <v>147</v>
      </c>
      <c r="Q32" s="39" t="s">
        <v>197</v>
      </c>
      <c r="R32" s="17" t="s">
        <v>113</v>
      </c>
      <c r="S32" s="18" t="s">
        <v>165</v>
      </c>
      <c r="T32" s="18" t="s">
        <v>171</v>
      </c>
      <c r="U32" s="15" t="s">
        <v>98</v>
      </c>
      <c r="V32" s="15" t="s">
        <v>12</v>
      </c>
      <c r="W32" s="15"/>
    </row>
    <row r="33" spans="1:23" hidden="1" x14ac:dyDescent="0.3">
      <c r="A33" s="15">
        <v>33</v>
      </c>
      <c r="B33" s="15" t="s">
        <v>76</v>
      </c>
      <c r="C33" s="19">
        <v>45470</v>
      </c>
      <c r="D33" s="19" t="s">
        <v>51</v>
      </c>
      <c r="E33" s="15" t="s">
        <v>162</v>
      </c>
      <c r="F33" s="15">
        <v>9834816284</v>
      </c>
      <c r="G33" s="15" t="s">
        <v>6</v>
      </c>
      <c r="H33" s="15" t="s">
        <v>26</v>
      </c>
      <c r="I33" s="15" t="s">
        <v>183</v>
      </c>
      <c r="J33" s="15" t="s">
        <v>7</v>
      </c>
      <c r="K33" s="16">
        <v>34840</v>
      </c>
      <c r="L33" s="16">
        <v>46620</v>
      </c>
      <c r="M33" s="17">
        <f>Table1[[#This Row],[Billing Rate Charges]]-Table1[[#This Row],[ LORRY RATE ]]</f>
        <v>11780</v>
      </c>
      <c r="N33" s="17">
        <v>34840</v>
      </c>
      <c r="O33" s="17">
        <f>Table1[[#This Row],[ LORRY RATE ]]-Table1[[#This Row],[Adance Paid (INR)]]</f>
        <v>0</v>
      </c>
      <c r="P33" s="17" t="s">
        <v>147</v>
      </c>
      <c r="Q33" s="18" t="s">
        <v>201</v>
      </c>
      <c r="R33" s="17" t="s">
        <v>113</v>
      </c>
      <c r="S33" s="18" t="s">
        <v>200</v>
      </c>
      <c r="T33" s="18" t="s">
        <v>200</v>
      </c>
      <c r="U33" s="15" t="s">
        <v>97</v>
      </c>
      <c r="V33" s="15" t="s">
        <v>12</v>
      </c>
      <c r="W33" s="15" t="s">
        <v>164</v>
      </c>
    </row>
    <row r="34" spans="1:23" hidden="1" x14ac:dyDescent="0.3">
      <c r="A34" s="15">
        <v>34</v>
      </c>
      <c r="B34" s="15" t="s">
        <v>237</v>
      </c>
      <c r="C34" s="19">
        <v>45474</v>
      </c>
      <c r="D34" s="19" t="s">
        <v>74</v>
      </c>
      <c r="E34" s="15" t="s">
        <v>166</v>
      </c>
      <c r="F34" s="15">
        <v>9660512245</v>
      </c>
      <c r="G34" s="15" t="s">
        <v>167</v>
      </c>
      <c r="H34" s="15" t="s">
        <v>26</v>
      </c>
      <c r="I34" s="15" t="s">
        <v>240</v>
      </c>
      <c r="J34" s="15" t="s">
        <v>168</v>
      </c>
      <c r="K34" s="16">
        <v>44920</v>
      </c>
      <c r="L34" s="16">
        <v>56700</v>
      </c>
      <c r="M34" s="17">
        <f>Table1[[#This Row],[Billing Rate Charges]]-Table1[[#This Row],[ LORRY RATE ]]</f>
        <v>11780</v>
      </c>
      <c r="N34" s="17">
        <v>41620</v>
      </c>
      <c r="O34" s="17">
        <f>Table1[[#This Row],[ LORRY RATE ]]-Table1[[#This Row],[Adance Paid (INR)]]</f>
        <v>3300</v>
      </c>
      <c r="P34" s="17" t="s">
        <v>147</v>
      </c>
      <c r="Q34" s="18" t="s">
        <v>241</v>
      </c>
      <c r="R34" s="17" t="s">
        <v>267</v>
      </c>
      <c r="S34" s="18" t="s">
        <v>216</v>
      </c>
      <c r="T34" s="18" t="s">
        <v>216</v>
      </c>
      <c r="U34" s="15" t="s">
        <v>97</v>
      </c>
      <c r="V34" s="15" t="s">
        <v>170</v>
      </c>
      <c r="W34" s="15" t="s">
        <v>173</v>
      </c>
    </row>
    <row r="35" spans="1:23" hidden="1" x14ac:dyDescent="0.3">
      <c r="A35" s="15">
        <v>35</v>
      </c>
      <c r="B35" s="15" t="s">
        <v>237</v>
      </c>
      <c r="C35" s="19">
        <v>45474</v>
      </c>
      <c r="D35" s="19" t="s">
        <v>57</v>
      </c>
      <c r="E35" s="15" t="s">
        <v>38</v>
      </c>
      <c r="F35" s="15">
        <v>9025368773</v>
      </c>
      <c r="G35" s="15" t="s">
        <v>6</v>
      </c>
      <c r="H35" s="15" t="s">
        <v>184</v>
      </c>
      <c r="I35" s="15" t="s">
        <v>185</v>
      </c>
      <c r="J35" s="15" t="s">
        <v>59</v>
      </c>
      <c r="K35" s="16">
        <v>45740</v>
      </c>
      <c r="L35" s="16">
        <v>50400</v>
      </c>
      <c r="M35" s="17">
        <f>Table1[[#This Row],[Billing Rate Charges]]-Table1[[#This Row],[ LORRY RATE ]]</f>
        <v>4660</v>
      </c>
      <c r="N35" s="17"/>
      <c r="O35" s="17">
        <v>0</v>
      </c>
      <c r="P35" s="17" t="s">
        <v>147</v>
      </c>
      <c r="Q35" s="18" t="s">
        <v>202</v>
      </c>
      <c r="R35" s="17" t="s">
        <v>113</v>
      </c>
      <c r="S35" s="18" t="s">
        <v>217</v>
      </c>
      <c r="T35" s="18" t="s">
        <v>216</v>
      </c>
      <c r="U35" s="15" t="s">
        <v>97</v>
      </c>
      <c r="V35" s="15" t="s">
        <v>56</v>
      </c>
      <c r="W35" s="15"/>
    </row>
    <row r="36" spans="1:23" hidden="1" x14ac:dyDescent="0.3">
      <c r="A36" s="15">
        <v>36</v>
      </c>
      <c r="B36" s="15" t="s">
        <v>237</v>
      </c>
      <c r="C36" s="19">
        <v>45474</v>
      </c>
      <c r="D36" s="19" t="s">
        <v>57</v>
      </c>
      <c r="E36" s="15" t="s">
        <v>60</v>
      </c>
      <c r="F36" s="15">
        <v>9025368773</v>
      </c>
      <c r="G36" s="15" t="s">
        <v>188</v>
      </c>
      <c r="H36" s="15" t="s">
        <v>189</v>
      </c>
      <c r="I36" s="15" t="s">
        <v>6</v>
      </c>
      <c r="J36" s="15" t="s">
        <v>172</v>
      </c>
      <c r="K36" s="16">
        <v>53580</v>
      </c>
      <c r="L36" s="16">
        <v>102690</v>
      </c>
      <c r="M36" s="17">
        <f>Table1[[#This Row],[Billing Rate Charges]]-Table1[[#This Row],[ LORRY RATE ]]</f>
        <v>49110</v>
      </c>
      <c r="N36" s="17"/>
      <c r="O36" s="17">
        <v>0</v>
      </c>
      <c r="P36" s="17" t="s">
        <v>147</v>
      </c>
      <c r="Q36" s="18" t="s">
        <v>203</v>
      </c>
      <c r="R36" s="17" t="s">
        <v>113</v>
      </c>
      <c r="S36" s="18" t="s">
        <v>217</v>
      </c>
      <c r="T36" s="18" t="s">
        <v>216</v>
      </c>
      <c r="U36" s="15" t="s">
        <v>97</v>
      </c>
      <c r="V36" s="15" t="s">
        <v>56</v>
      </c>
      <c r="W36" s="15"/>
    </row>
    <row r="37" spans="1:23" hidden="1" x14ac:dyDescent="0.3">
      <c r="A37" s="15">
        <v>37</v>
      </c>
      <c r="B37" s="15" t="s">
        <v>237</v>
      </c>
      <c r="C37" s="19">
        <v>45475</v>
      </c>
      <c r="D37" s="19" t="s">
        <v>51</v>
      </c>
      <c r="E37" s="15" t="s">
        <v>174</v>
      </c>
      <c r="F37" s="15">
        <v>9578386887</v>
      </c>
      <c r="G37" s="15" t="s">
        <v>6</v>
      </c>
      <c r="H37" s="15" t="s">
        <v>204</v>
      </c>
      <c r="I37" s="15" t="s">
        <v>205</v>
      </c>
      <c r="J37" s="15" t="s">
        <v>59</v>
      </c>
      <c r="K37" s="16">
        <v>29180</v>
      </c>
      <c r="L37" s="16">
        <v>48200</v>
      </c>
      <c r="M37" s="17">
        <f>Table1[[#This Row],[Billing Rate Charges]]-Table1[[#This Row],[ LORRY RATE ]]</f>
        <v>19020</v>
      </c>
      <c r="N37" s="17">
        <v>29180</v>
      </c>
      <c r="O37" s="17">
        <f>Table1[[#This Row],[ LORRY RATE ]]-Table1[[#This Row],[Adance Paid (INR)]]</f>
        <v>0</v>
      </c>
      <c r="P37" s="17" t="s">
        <v>147</v>
      </c>
      <c r="Q37" s="18" t="s">
        <v>206</v>
      </c>
      <c r="R37" s="17" t="s">
        <v>113</v>
      </c>
      <c r="S37" s="18" t="s">
        <v>216</v>
      </c>
      <c r="T37" s="18" t="s">
        <v>223</v>
      </c>
      <c r="U37" s="15" t="s">
        <v>97</v>
      </c>
      <c r="V37" s="15" t="s">
        <v>12</v>
      </c>
      <c r="W37" s="15" t="s">
        <v>175</v>
      </c>
    </row>
    <row r="38" spans="1:23" hidden="1" x14ac:dyDescent="0.3">
      <c r="A38" s="15">
        <v>38</v>
      </c>
      <c r="B38" s="15" t="s">
        <v>237</v>
      </c>
      <c r="C38" s="19">
        <v>45475</v>
      </c>
      <c r="D38" s="19" t="s">
        <v>51</v>
      </c>
      <c r="E38" s="15" t="s">
        <v>198</v>
      </c>
      <c r="F38" s="15">
        <v>9678275995</v>
      </c>
      <c r="G38" s="15" t="s">
        <v>6</v>
      </c>
      <c r="H38" s="15" t="s">
        <v>26</v>
      </c>
      <c r="I38" s="15" t="s">
        <v>208</v>
      </c>
      <c r="J38" s="15" t="s">
        <v>168</v>
      </c>
      <c r="K38" s="16">
        <v>25150</v>
      </c>
      <c r="L38" s="16">
        <v>35600</v>
      </c>
      <c r="M38" s="17">
        <f>Table1[[#This Row],[Billing Rate Charges]]-Table1[[#This Row],[ LORRY RATE ]]</f>
        <v>10450</v>
      </c>
      <c r="N38" s="17">
        <v>25150</v>
      </c>
      <c r="O38" s="17">
        <f>Table1[[#This Row],[ LORRY RATE ]]-Table1[[#This Row],[Adance Paid (INR)]]</f>
        <v>0</v>
      </c>
      <c r="P38" s="17" t="s">
        <v>147</v>
      </c>
      <c r="Q38" s="18" t="s">
        <v>209</v>
      </c>
      <c r="R38" s="17" t="s">
        <v>113</v>
      </c>
      <c r="S38" s="18" t="s">
        <v>226</v>
      </c>
      <c r="T38" s="18" t="s">
        <v>226</v>
      </c>
      <c r="U38" s="15" t="s">
        <v>97</v>
      </c>
      <c r="V38" s="15" t="s">
        <v>12</v>
      </c>
      <c r="W38" s="15"/>
    </row>
    <row r="39" spans="1:23" hidden="1" x14ac:dyDescent="0.3">
      <c r="A39" s="15">
        <v>39</v>
      </c>
      <c r="B39" s="15" t="s">
        <v>237</v>
      </c>
      <c r="C39" s="19">
        <v>45475</v>
      </c>
      <c r="D39" s="19" t="s">
        <v>51</v>
      </c>
      <c r="E39" s="15" t="s">
        <v>198</v>
      </c>
      <c r="F39" s="15">
        <v>9678275995</v>
      </c>
      <c r="G39" s="15" t="s">
        <v>6</v>
      </c>
      <c r="H39" s="15" t="s">
        <v>199</v>
      </c>
      <c r="I39" s="15" t="s">
        <v>207</v>
      </c>
      <c r="J39" s="15" t="s">
        <v>168</v>
      </c>
      <c r="K39" s="16">
        <v>0</v>
      </c>
      <c r="L39" s="16">
        <v>11500</v>
      </c>
      <c r="M39" s="17">
        <f>Table1[[#This Row],[Billing Rate Charges]]-Table1[[#This Row],[ LORRY RATE ]]</f>
        <v>11500</v>
      </c>
      <c r="N39" s="17"/>
      <c r="O39" s="17">
        <f>Table1[[#This Row],[ LORRY RATE ]]-Table1[[#This Row],[Adance Paid (INR)]]</f>
        <v>0</v>
      </c>
      <c r="P39" s="17" t="s">
        <v>147</v>
      </c>
      <c r="Q39" s="18" t="s">
        <v>211</v>
      </c>
      <c r="R39" s="17" t="s">
        <v>113</v>
      </c>
      <c r="S39" s="18" t="s">
        <v>226</v>
      </c>
      <c r="T39" s="18" t="s">
        <v>226</v>
      </c>
      <c r="U39" s="15" t="s">
        <v>97</v>
      </c>
      <c r="V39" s="15" t="s">
        <v>12</v>
      </c>
      <c r="W39" s="15" t="s">
        <v>210</v>
      </c>
    </row>
    <row r="40" spans="1:23" hidden="1" x14ac:dyDescent="0.3">
      <c r="A40" s="15">
        <v>40</v>
      </c>
      <c r="B40" s="15" t="s">
        <v>237</v>
      </c>
      <c r="C40" s="19">
        <v>45476</v>
      </c>
      <c r="D40" s="19" t="s">
        <v>51</v>
      </c>
      <c r="E40" s="15" t="s">
        <v>212</v>
      </c>
      <c r="F40" s="15">
        <v>9513184912</v>
      </c>
      <c r="G40" s="15" t="s">
        <v>6</v>
      </c>
      <c r="H40" s="15" t="s">
        <v>242</v>
      </c>
      <c r="I40" s="15" t="s">
        <v>243</v>
      </c>
      <c r="J40" s="15" t="s">
        <v>100</v>
      </c>
      <c r="K40" s="16">
        <v>35310</v>
      </c>
      <c r="L40" s="16">
        <v>49770</v>
      </c>
      <c r="M40" s="17">
        <f>Table1[[#This Row],[Billing Rate Charges]]-Table1[[#This Row],[ LORRY RATE ]]</f>
        <v>14460</v>
      </c>
      <c r="N40" s="17">
        <v>35310</v>
      </c>
      <c r="O40" s="17">
        <f>Table1[[#This Row],[ LORRY RATE ]]-Table1[[#This Row],[Adance Paid (INR)]]</f>
        <v>0</v>
      </c>
      <c r="P40" s="17" t="s">
        <v>147</v>
      </c>
      <c r="Q40" s="18" t="s">
        <v>248</v>
      </c>
      <c r="R40" s="17" t="s">
        <v>113</v>
      </c>
      <c r="S40" s="18" t="s">
        <v>226</v>
      </c>
      <c r="T40" s="18" t="s">
        <v>227</v>
      </c>
      <c r="U40" s="15" t="s">
        <v>97</v>
      </c>
      <c r="V40" s="15" t="s">
        <v>213</v>
      </c>
      <c r="W40" s="15" t="s">
        <v>214</v>
      </c>
    </row>
    <row r="41" spans="1:23" hidden="1" x14ac:dyDescent="0.3">
      <c r="A41" s="15">
        <v>41</v>
      </c>
      <c r="B41" s="15" t="s">
        <v>237</v>
      </c>
      <c r="C41" s="19">
        <v>45477</v>
      </c>
      <c r="D41" s="19" t="s">
        <v>51</v>
      </c>
      <c r="E41" s="15" t="s">
        <v>215</v>
      </c>
      <c r="F41" s="15">
        <v>9593083336</v>
      </c>
      <c r="G41" s="15" t="s">
        <v>6</v>
      </c>
      <c r="H41" s="15" t="s">
        <v>244</v>
      </c>
      <c r="I41" s="15" t="s">
        <v>245</v>
      </c>
      <c r="J41" s="15" t="s">
        <v>7</v>
      </c>
      <c r="K41" s="16">
        <v>34810</v>
      </c>
      <c r="L41" s="16">
        <v>53550</v>
      </c>
      <c r="M41" s="17">
        <f>Table1[[#This Row],[Billing Rate Charges]]-Table1[[#This Row],[ LORRY RATE ]]</f>
        <v>18740</v>
      </c>
      <c r="N41" s="17">
        <v>34810</v>
      </c>
      <c r="O41" s="17">
        <f>Table1[[#This Row],[ LORRY RATE ]]-Table1[[#This Row],[Adance Paid (INR)]]</f>
        <v>0</v>
      </c>
      <c r="P41" s="17" t="s">
        <v>147</v>
      </c>
      <c r="Q41" s="18" t="s">
        <v>249</v>
      </c>
      <c r="R41" s="17" t="s">
        <v>113</v>
      </c>
      <c r="S41" s="18" t="s">
        <v>226</v>
      </c>
      <c r="T41" s="18" t="s">
        <v>227</v>
      </c>
      <c r="U41" s="15" t="s">
        <v>97</v>
      </c>
      <c r="V41" s="15" t="s">
        <v>12</v>
      </c>
      <c r="W41" s="15"/>
    </row>
    <row r="42" spans="1:23" hidden="1" x14ac:dyDescent="0.3">
      <c r="A42" s="15">
        <v>42</v>
      </c>
      <c r="B42" s="15" t="s">
        <v>237</v>
      </c>
      <c r="C42" s="19">
        <v>45478</v>
      </c>
      <c r="D42" s="19" t="s">
        <v>51</v>
      </c>
      <c r="E42" s="15" t="s">
        <v>218</v>
      </c>
      <c r="F42" s="15">
        <v>9137963915</v>
      </c>
      <c r="G42" s="15" t="s">
        <v>6</v>
      </c>
      <c r="H42" s="15" t="s">
        <v>233</v>
      </c>
      <c r="I42" s="15" t="s">
        <v>6</v>
      </c>
      <c r="J42" s="15" t="s">
        <v>222</v>
      </c>
      <c r="K42" s="16">
        <v>1870</v>
      </c>
      <c r="L42" s="16">
        <v>2840</v>
      </c>
      <c r="M42" s="17">
        <f>Table1[[#This Row],[Billing Rate Charges]]-Table1[[#This Row],[ LORRY RATE ]]</f>
        <v>970</v>
      </c>
      <c r="N42" s="17">
        <v>1870</v>
      </c>
      <c r="O42" s="17">
        <f>Table1[[#This Row],[ LORRY RATE ]]-Table1[[#This Row],[Adance Paid (INR)]]</f>
        <v>0</v>
      </c>
      <c r="P42" s="17" t="s">
        <v>147</v>
      </c>
      <c r="Q42" s="18" t="s">
        <v>253</v>
      </c>
      <c r="R42" s="17" t="s">
        <v>113</v>
      </c>
      <c r="S42" s="18" t="s">
        <v>216</v>
      </c>
      <c r="T42" s="18" t="s">
        <v>216</v>
      </c>
      <c r="U42" s="15" t="s">
        <v>97</v>
      </c>
      <c r="V42" s="15" t="s">
        <v>219</v>
      </c>
      <c r="W42" s="15" t="s">
        <v>220</v>
      </c>
    </row>
    <row r="43" spans="1:23" hidden="1" x14ac:dyDescent="0.3">
      <c r="A43" s="15">
        <v>43</v>
      </c>
      <c r="B43" s="15" t="s">
        <v>237</v>
      </c>
      <c r="C43" s="19">
        <v>45478</v>
      </c>
      <c r="D43" s="19" t="s">
        <v>51</v>
      </c>
      <c r="E43" s="15" t="s">
        <v>221</v>
      </c>
      <c r="F43" s="15">
        <v>9599281983</v>
      </c>
      <c r="G43" s="15" t="s">
        <v>6</v>
      </c>
      <c r="H43" s="15" t="s">
        <v>26</v>
      </c>
      <c r="I43" s="15" t="s">
        <v>250</v>
      </c>
      <c r="J43" s="15" t="s">
        <v>168</v>
      </c>
      <c r="K43" s="16">
        <v>25150</v>
      </c>
      <c r="L43" s="16">
        <v>35600</v>
      </c>
      <c r="M43" s="17">
        <f>Table1[[#This Row],[Billing Rate Charges]]-Table1[[#This Row],[ LORRY RATE ]]</f>
        <v>10450</v>
      </c>
      <c r="N43" s="17">
        <v>25150</v>
      </c>
      <c r="O43" s="17">
        <f>Table1[[#This Row],[ LORRY RATE ]]-Table1[[#This Row],[Adance Paid (INR)]]</f>
        <v>0</v>
      </c>
      <c r="P43" s="17" t="s">
        <v>147</v>
      </c>
      <c r="Q43" s="18" t="s">
        <v>254</v>
      </c>
      <c r="R43" s="17" t="s">
        <v>113</v>
      </c>
      <c r="S43" s="18" t="s">
        <v>226</v>
      </c>
      <c r="T43" s="18" t="s">
        <v>226</v>
      </c>
      <c r="U43" s="15" t="s">
        <v>97</v>
      </c>
      <c r="V43" s="15" t="s">
        <v>12</v>
      </c>
      <c r="W43" s="15"/>
    </row>
    <row r="44" spans="1:23" hidden="1" x14ac:dyDescent="0.3">
      <c r="A44" s="15">
        <v>44</v>
      </c>
      <c r="B44" s="15" t="s">
        <v>237</v>
      </c>
      <c r="C44" s="19">
        <v>45479</v>
      </c>
      <c r="D44" s="19" t="s">
        <v>57</v>
      </c>
      <c r="E44" s="15" t="s">
        <v>60</v>
      </c>
      <c r="F44" s="15">
        <v>9589264337</v>
      </c>
      <c r="G44" s="15" t="s">
        <v>6</v>
      </c>
      <c r="H44" s="15" t="s">
        <v>246</v>
      </c>
      <c r="I44" s="15" t="s">
        <v>247</v>
      </c>
      <c r="J44" s="15" t="s">
        <v>7</v>
      </c>
      <c r="K44" s="16">
        <v>47150</v>
      </c>
      <c r="L44" s="16">
        <v>59850</v>
      </c>
      <c r="M44" s="17">
        <f>Table1[[#This Row],[Billing Rate Charges]]-Table1[[#This Row],[ LORRY RATE ]]</f>
        <v>12700</v>
      </c>
      <c r="N44" s="17"/>
      <c r="O44" s="17">
        <v>0</v>
      </c>
      <c r="P44" s="17" t="s">
        <v>147</v>
      </c>
      <c r="Q44" s="18" t="s">
        <v>255</v>
      </c>
      <c r="R44" s="17" t="s">
        <v>113</v>
      </c>
      <c r="S44" s="18" t="s">
        <v>226</v>
      </c>
      <c r="T44" s="18" t="s">
        <v>227</v>
      </c>
      <c r="U44" s="15" t="s">
        <v>97</v>
      </c>
      <c r="V44" s="15" t="s">
        <v>56</v>
      </c>
      <c r="W44" s="15"/>
    </row>
    <row r="45" spans="1:23" hidden="1" x14ac:dyDescent="0.3">
      <c r="A45" s="15">
        <v>45</v>
      </c>
      <c r="B45" s="15" t="s">
        <v>237</v>
      </c>
      <c r="C45" s="19">
        <v>45479</v>
      </c>
      <c r="D45" s="19" t="s">
        <v>51</v>
      </c>
      <c r="E45" s="15" t="s">
        <v>224</v>
      </c>
      <c r="F45" s="15">
        <v>9343626927</v>
      </c>
      <c r="G45" s="15" t="s">
        <v>6</v>
      </c>
      <c r="H45" s="15" t="s">
        <v>252</v>
      </c>
      <c r="I45" s="15" t="s">
        <v>251</v>
      </c>
      <c r="J45" s="15" t="s">
        <v>7</v>
      </c>
      <c r="K45" s="16">
        <v>33770</v>
      </c>
      <c r="L45" s="16">
        <v>46620</v>
      </c>
      <c r="M45" s="17">
        <f>Table1[[#This Row],[Billing Rate Charges]]-Table1[[#This Row],[ LORRY RATE ]]</f>
        <v>12850</v>
      </c>
      <c r="N45" s="17">
        <v>33770</v>
      </c>
      <c r="O45" s="17">
        <f>Table1[[#This Row],[ LORRY RATE ]]-Table1[[#This Row],[Adance Paid (INR)]]</f>
        <v>0</v>
      </c>
      <c r="P45" s="17" t="s">
        <v>147</v>
      </c>
      <c r="Q45" s="18" t="s">
        <v>256</v>
      </c>
      <c r="R45" s="17" t="s">
        <v>113</v>
      </c>
      <c r="S45" s="18" t="s">
        <v>231</v>
      </c>
      <c r="T45" s="18" t="s">
        <v>232</v>
      </c>
      <c r="U45" s="15" t="s">
        <v>97</v>
      </c>
      <c r="V45" s="15" t="s">
        <v>225</v>
      </c>
      <c r="W45" s="15" t="s">
        <v>230</v>
      </c>
    </row>
    <row r="46" spans="1:23" hidden="1" x14ac:dyDescent="0.3">
      <c r="A46" s="15">
        <v>46</v>
      </c>
      <c r="B46" s="15" t="s">
        <v>237</v>
      </c>
      <c r="C46" s="19">
        <v>45481</v>
      </c>
      <c r="D46" s="19" t="s">
        <v>57</v>
      </c>
      <c r="E46" s="15" t="s">
        <v>38</v>
      </c>
      <c r="F46" s="15">
        <v>9097762415</v>
      </c>
      <c r="G46" s="15" t="s">
        <v>105</v>
      </c>
      <c r="H46" s="15" t="s">
        <v>26</v>
      </c>
      <c r="I46" s="15" t="s">
        <v>6</v>
      </c>
      <c r="J46" s="15" t="s">
        <v>59</v>
      </c>
      <c r="K46" s="16">
        <v>49140</v>
      </c>
      <c r="L46" s="16">
        <v>73080</v>
      </c>
      <c r="M46" s="17">
        <v>23940</v>
      </c>
      <c r="N46" s="17"/>
      <c r="O46" s="17">
        <v>0</v>
      </c>
      <c r="P46" s="17" t="s">
        <v>147</v>
      </c>
      <c r="Q46" s="18" t="s">
        <v>260</v>
      </c>
      <c r="R46" s="17" t="s">
        <v>113</v>
      </c>
      <c r="S46" s="18" t="s">
        <v>227</v>
      </c>
      <c r="T46" s="18" t="s">
        <v>231</v>
      </c>
      <c r="U46" s="15" t="s">
        <v>97</v>
      </c>
      <c r="V46" s="15" t="s">
        <v>56</v>
      </c>
      <c r="W46" s="15" t="s">
        <v>154</v>
      </c>
    </row>
    <row r="47" spans="1:23" hidden="1" x14ac:dyDescent="0.3">
      <c r="A47" s="15">
        <v>47</v>
      </c>
      <c r="B47" s="15" t="s">
        <v>237</v>
      </c>
      <c r="C47" s="19">
        <v>45482</v>
      </c>
      <c r="D47" s="19" t="s">
        <v>51</v>
      </c>
      <c r="E47" s="15" t="s">
        <v>228</v>
      </c>
      <c r="F47" s="15">
        <v>9457796730</v>
      </c>
      <c r="G47" s="15" t="s">
        <v>6</v>
      </c>
      <c r="H47" s="15" t="s">
        <v>26</v>
      </c>
      <c r="I47" s="15" t="s">
        <v>257</v>
      </c>
      <c r="J47" s="15" t="s">
        <v>7</v>
      </c>
      <c r="K47" s="16">
        <v>33860</v>
      </c>
      <c r="L47" s="16">
        <v>47250</v>
      </c>
      <c r="M47" s="17">
        <f>Table1[[#This Row],[Billing Rate Charges]]-Table1[[#This Row],[ LORRY RATE ]]</f>
        <v>13390</v>
      </c>
      <c r="N47" s="17">
        <v>33860</v>
      </c>
      <c r="O47" s="17">
        <f>Table1[[#This Row],[ LORRY RATE ]]-Table1[[#This Row],[Adance Paid (INR)]]</f>
        <v>0</v>
      </c>
      <c r="P47" s="17" t="s">
        <v>147</v>
      </c>
      <c r="Q47" s="18" t="s">
        <v>261</v>
      </c>
      <c r="R47" s="17" t="s">
        <v>113</v>
      </c>
      <c r="S47" s="18" t="s">
        <v>232</v>
      </c>
      <c r="T47" s="18" t="s">
        <v>232</v>
      </c>
      <c r="U47" s="15" t="s">
        <v>97</v>
      </c>
      <c r="V47" s="15" t="s">
        <v>12</v>
      </c>
      <c r="W47" s="15"/>
    </row>
    <row r="48" spans="1:23" hidden="1" x14ac:dyDescent="0.3">
      <c r="A48" s="15">
        <v>48</v>
      </c>
      <c r="B48" s="15" t="s">
        <v>237</v>
      </c>
      <c r="C48" s="19">
        <v>45483</v>
      </c>
      <c r="D48" s="19" t="s">
        <v>51</v>
      </c>
      <c r="E48" s="15" t="s">
        <v>229</v>
      </c>
      <c r="F48" s="15">
        <v>9291434058</v>
      </c>
      <c r="G48" s="15" t="s">
        <v>6</v>
      </c>
      <c r="H48" s="15" t="s">
        <v>258</v>
      </c>
      <c r="I48" s="15" t="s">
        <v>259</v>
      </c>
      <c r="J48" s="15" t="s">
        <v>59</v>
      </c>
      <c r="K48" s="16">
        <v>28710</v>
      </c>
      <c r="L48" s="16">
        <v>45040</v>
      </c>
      <c r="M48" s="17">
        <f>Table1[[#This Row],[Billing Rate Charges]]-Table1[[#This Row],[ LORRY RATE ]]</f>
        <v>16330</v>
      </c>
      <c r="N48" s="17">
        <v>28710</v>
      </c>
      <c r="O48" s="17">
        <f>Table1[[#This Row],[ LORRY RATE ]]-Table1[[#This Row],[Adance Paid (INR)]]</f>
        <v>0</v>
      </c>
      <c r="P48" s="17" t="s">
        <v>147</v>
      </c>
      <c r="Q48" s="18" t="s">
        <v>262</v>
      </c>
      <c r="R48" s="17" t="s">
        <v>113</v>
      </c>
      <c r="S48" s="18" t="s">
        <v>268</v>
      </c>
      <c r="T48" s="18" t="s">
        <v>268</v>
      </c>
      <c r="U48" s="15" t="s">
        <v>97</v>
      </c>
      <c r="V48" s="15" t="s">
        <v>12</v>
      </c>
      <c r="W48" s="15"/>
    </row>
    <row r="49" spans="1:23" hidden="1" x14ac:dyDescent="0.3">
      <c r="A49" s="15">
        <v>49</v>
      </c>
      <c r="B49" s="15" t="s">
        <v>237</v>
      </c>
      <c r="C49" s="19">
        <v>45484</v>
      </c>
      <c r="D49" s="19" t="s">
        <v>57</v>
      </c>
      <c r="E49" s="15" t="s">
        <v>38</v>
      </c>
      <c r="F49" s="15">
        <v>9097762415</v>
      </c>
      <c r="G49" s="15" t="s">
        <v>6</v>
      </c>
      <c r="H49" s="15" t="s">
        <v>264</v>
      </c>
      <c r="I49" s="15" t="s">
        <v>263</v>
      </c>
      <c r="J49" s="15" t="s">
        <v>59</v>
      </c>
      <c r="K49" s="16">
        <v>47630</v>
      </c>
      <c r="L49" s="16">
        <v>63000</v>
      </c>
      <c r="M49" s="17">
        <f>Table1[[#This Row],[Billing Rate Charges]]-Table1[[#This Row],[ LORRY RATE ]]</f>
        <v>15370</v>
      </c>
      <c r="N49" s="17"/>
      <c r="O49" s="17">
        <v>0</v>
      </c>
      <c r="P49" s="17" t="s">
        <v>147</v>
      </c>
      <c r="Q49" s="18" t="s">
        <v>280</v>
      </c>
      <c r="R49" s="17" t="s">
        <v>113</v>
      </c>
      <c r="S49" s="18" t="s">
        <v>269</v>
      </c>
      <c r="T49" s="18" t="s">
        <v>269</v>
      </c>
      <c r="U49" s="15" t="s">
        <v>97</v>
      </c>
      <c r="V49" s="15" t="s">
        <v>56</v>
      </c>
      <c r="W49" s="15"/>
    </row>
    <row r="50" spans="1:23" hidden="1" x14ac:dyDescent="0.3">
      <c r="A50" s="15">
        <v>50</v>
      </c>
      <c r="B50" s="15" t="s">
        <v>237</v>
      </c>
      <c r="C50" s="19">
        <v>45486</v>
      </c>
      <c r="D50" s="19" t="s">
        <v>57</v>
      </c>
      <c r="E50" s="15" t="s">
        <v>99</v>
      </c>
      <c r="F50" s="15">
        <v>9589264337</v>
      </c>
      <c r="G50" s="15" t="s">
        <v>42</v>
      </c>
      <c r="H50" s="15" t="s">
        <v>274</v>
      </c>
      <c r="I50" s="15" t="s">
        <v>275</v>
      </c>
      <c r="J50" s="15" t="s">
        <v>7</v>
      </c>
      <c r="K50" s="16">
        <v>53580</v>
      </c>
      <c r="L50" s="16">
        <v>102690</v>
      </c>
      <c r="M50" s="17">
        <f>Table1[[#This Row],[Billing Rate Charges]]-Table1[[#This Row],[ LORRY RATE ]]</f>
        <v>49110</v>
      </c>
      <c r="N50" s="17"/>
      <c r="O50" s="17">
        <v>0</v>
      </c>
      <c r="P50" s="17" t="s">
        <v>147</v>
      </c>
      <c r="Q50" s="18" t="s">
        <v>281</v>
      </c>
      <c r="R50" s="17" t="s">
        <v>113</v>
      </c>
      <c r="S50" s="18" t="s">
        <v>269</v>
      </c>
      <c r="T50" s="18" t="s">
        <v>269</v>
      </c>
      <c r="U50" s="15" t="s">
        <v>97</v>
      </c>
      <c r="V50" s="15" t="s">
        <v>56</v>
      </c>
      <c r="W50" s="15"/>
    </row>
    <row r="51" spans="1:23" hidden="1" x14ac:dyDescent="0.3">
      <c r="A51" s="15">
        <v>51</v>
      </c>
      <c r="B51" s="15" t="s">
        <v>237</v>
      </c>
      <c r="C51" s="19">
        <v>45486</v>
      </c>
      <c r="D51" s="19" t="s">
        <v>51</v>
      </c>
      <c r="E51" s="15" t="s">
        <v>234</v>
      </c>
      <c r="F51" s="15">
        <v>9057895037</v>
      </c>
      <c r="G51" s="15" t="s">
        <v>235</v>
      </c>
      <c r="H51" s="15" t="s">
        <v>26</v>
      </c>
      <c r="I51" s="15" t="s">
        <v>276</v>
      </c>
      <c r="J51" s="15" t="s">
        <v>7</v>
      </c>
      <c r="K51" s="16">
        <v>63160</v>
      </c>
      <c r="L51" s="16">
        <v>81900</v>
      </c>
      <c r="M51" s="17">
        <f>Table1[[#This Row],[Billing Rate Charges]]-Table1[[#This Row],[ LORRY RATE ]]</f>
        <v>18740</v>
      </c>
      <c r="N51" s="17">
        <v>63160</v>
      </c>
      <c r="O51" s="17">
        <f>Table1[[#This Row],[ LORRY RATE ]]-Table1[[#This Row],[Adance Paid (INR)]]</f>
        <v>0</v>
      </c>
      <c r="P51" s="17" t="s">
        <v>147</v>
      </c>
      <c r="Q51" s="18" t="s">
        <v>282</v>
      </c>
      <c r="R51" s="17" t="s">
        <v>113</v>
      </c>
      <c r="S51" s="18" t="s">
        <v>271</v>
      </c>
      <c r="T51" s="18" t="s">
        <v>271</v>
      </c>
      <c r="U51" s="15" t="s">
        <v>97</v>
      </c>
      <c r="V51" s="15" t="s">
        <v>236</v>
      </c>
      <c r="W51" s="15"/>
    </row>
    <row r="52" spans="1:23" hidden="1" x14ac:dyDescent="0.3">
      <c r="A52" s="15">
        <v>52</v>
      </c>
      <c r="B52" s="15" t="s">
        <v>237</v>
      </c>
      <c r="C52" s="19">
        <v>45486</v>
      </c>
      <c r="D52" s="19" t="s">
        <v>51</v>
      </c>
      <c r="E52" s="15" t="s">
        <v>239</v>
      </c>
      <c r="F52" s="15">
        <v>9237773119</v>
      </c>
      <c r="G52" s="15" t="s">
        <v>6</v>
      </c>
      <c r="H52" s="15" t="s">
        <v>265</v>
      </c>
      <c r="I52" s="15" t="s">
        <v>266</v>
      </c>
      <c r="J52" s="15" t="s">
        <v>7</v>
      </c>
      <c r="K52" s="16">
        <v>33640</v>
      </c>
      <c r="L52" s="16">
        <v>52920</v>
      </c>
      <c r="M52" s="17">
        <f>Table1[[#This Row],[Billing Rate Charges]]-Table1[[#This Row],[ LORRY RATE ]]</f>
        <v>19280</v>
      </c>
      <c r="N52" s="17">
        <v>33640</v>
      </c>
      <c r="O52" s="17">
        <f>Table1[[#This Row],[ LORRY RATE ]]-Table1[[#This Row],[Adance Paid (INR)]]</f>
        <v>0</v>
      </c>
      <c r="P52" s="17" t="s">
        <v>147</v>
      </c>
      <c r="Q52" s="18" t="s">
        <v>283</v>
      </c>
      <c r="R52" s="17" t="s">
        <v>113</v>
      </c>
      <c r="S52" s="18" t="s">
        <v>272</v>
      </c>
      <c r="T52" s="18" t="s">
        <v>272</v>
      </c>
      <c r="U52" s="15" t="s">
        <v>97</v>
      </c>
      <c r="V52" s="15" t="s">
        <v>12</v>
      </c>
      <c r="W52" s="15"/>
    </row>
    <row r="53" spans="1:23" hidden="1" x14ac:dyDescent="0.3">
      <c r="A53" s="15">
        <v>53</v>
      </c>
      <c r="B53" s="15" t="s">
        <v>237</v>
      </c>
      <c r="C53" s="19">
        <v>45489</v>
      </c>
      <c r="D53" s="19" t="s">
        <v>57</v>
      </c>
      <c r="E53" s="15" t="s">
        <v>60</v>
      </c>
      <c r="F53" s="15">
        <v>9589264337</v>
      </c>
      <c r="G53" s="15" t="s">
        <v>6</v>
      </c>
      <c r="H53" s="15" t="s">
        <v>278</v>
      </c>
      <c r="I53" s="15" t="s">
        <v>277</v>
      </c>
      <c r="J53" s="15" t="s">
        <v>7</v>
      </c>
      <c r="K53" s="16">
        <v>46960</v>
      </c>
      <c r="L53" s="16">
        <v>58590</v>
      </c>
      <c r="M53" s="17">
        <f>Table1[[#This Row],[Billing Rate Charges]]-Table1[[#This Row],[ LORRY RATE ]]</f>
        <v>11630</v>
      </c>
      <c r="N53" s="17"/>
      <c r="O53" s="17">
        <v>0</v>
      </c>
      <c r="P53" s="17" t="s">
        <v>147</v>
      </c>
      <c r="Q53" s="18" t="s">
        <v>284</v>
      </c>
      <c r="R53" s="17" t="s">
        <v>113</v>
      </c>
      <c r="S53" s="18" t="s">
        <v>286</v>
      </c>
      <c r="T53" s="18" t="s">
        <v>286</v>
      </c>
      <c r="U53" s="15" t="s">
        <v>97</v>
      </c>
      <c r="V53" s="15" t="s">
        <v>56</v>
      </c>
      <c r="W53" s="15" t="s">
        <v>154</v>
      </c>
    </row>
    <row r="54" spans="1:23" hidden="1" x14ac:dyDescent="0.3">
      <c r="A54" s="15">
        <v>54</v>
      </c>
      <c r="B54" s="15" t="s">
        <v>237</v>
      </c>
      <c r="C54" s="19">
        <v>45489</v>
      </c>
      <c r="D54" s="19" t="s">
        <v>51</v>
      </c>
      <c r="E54" s="21" t="s">
        <v>270</v>
      </c>
      <c r="F54" s="21">
        <v>9124137850</v>
      </c>
      <c r="G54" s="15" t="s">
        <v>6</v>
      </c>
      <c r="H54" s="15" t="s">
        <v>26</v>
      </c>
      <c r="I54" s="15" t="s">
        <v>279</v>
      </c>
      <c r="J54" s="15" t="s">
        <v>7</v>
      </c>
      <c r="K54" s="16">
        <v>35740</v>
      </c>
      <c r="L54" s="16">
        <v>47250</v>
      </c>
      <c r="M54" s="17">
        <f>Table1[[#This Row],[Billing Rate Charges]]-Table1[[#This Row],[ LORRY RATE ]]</f>
        <v>11510</v>
      </c>
      <c r="N54" s="17">
        <v>35740</v>
      </c>
      <c r="O54" s="17">
        <f>Table1[[#This Row],[ LORRY RATE ]]-Table1[[#This Row],[Adance Paid (INR)]]</f>
        <v>0</v>
      </c>
      <c r="P54" s="17" t="s">
        <v>147</v>
      </c>
      <c r="Q54" s="18" t="s">
        <v>285</v>
      </c>
      <c r="R54" s="17" t="s">
        <v>113</v>
      </c>
      <c r="S54" s="18" t="s">
        <v>286</v>
      </c>
      <c r="T54" s="18" t="s">
        <v>286</v>
      </c>
      <c r="U54" s="15" t="s">
        <v>97</v>
      </c>
      <c r="V54" s="15" t="s">
        <v>213</v>
      </c>
      <c r="W54" s="15"/>
    </row>
    <row r="55" spans="1:23" hidden="1" x14ac:dyDescent="0.3">
      <c r="A55" s="15">
        <v>55</v>
      </c>
      <c r="B55" s="15" t="s">
        <v>237</v>
      </c>
      <c r="C55" s="19">
        <v>45492</v>
      </c>
      <c r="D55" s="19" t="s">
        <v>57</v>
      </c>
      <c r="E55" s="15" t="s">
        <v>38</v>
      </c>
      <c r="F55" s="15">
        <v>9097762415</v>
      </c>
      <c r="G55" s="15" t="s">
        <v>105</v>
      </c>
      <c r="H55" s="15" t="s">
        <v>26</v>
      </c>
      <c r="I55" s="15" t="s">
        <v>303</v>
      </c>
      <c r="J55" s="15" t="s">
        <v>59</v>
      </c>
      <c r="K55" s="16">
        <v>48290</v>
      </c>
      <c r="L55" s="16">
        <v>67410</v>
      </c>
      <c r="M55" s="17">
        <f>Table1[[#This Row],[Billing Rate Charges]]-Table1[[#This Row],[ LORRY RATE ]]</f>
        <v>19120</v>
      </c>
      <c r="N55" s="17"/>
      <c r="O55" s="17">
        <v>0</v>
      </c>
      <c r="P55" s="17" t="s">
        <v>147</v>
      </c>
      <c r="Q55" s="18" t="s">
        <v>306</v>
      </c>
      <c r="R55" s="17" t="s">
        <v>113</v>
      </c>
      <c r="S55" s="18" t="s">
        <v>287</v>
      </c>
      <c r="T55" s="18" t="s">
        <v>288</v>
      </c>
      <c r="U55" s="15" t="s">
        <v>97</v>
      </c>
      <c r="V55" s="15" t="s">
        <v>56</v>
      </c>
      <c r="W55" s="15"/>
    </row>
    <row r="56" spans="1:23" hidden="1" x14ac:dyDescent="0.3">
      <c r="A56" s="15">
        <v>56</v>
      </c>
      <c r="B56" s="15" t="s">
        <v>237</v>
      </c>
      <c r="C56" s="19">
        <v>45492</v>
      </c>
      <c r="D56" s="19" t="s">
        <v>74</v>
      </c>
      <c r="E56" s="15" t="s">
        <v>273</v>
      </c>
      <c r="F56" s="15">
        <v>9045944352</v>
      </c>
      <c r="G56" s="15" t="s">
        <v>6</v>
      </c>
      <c r="H56" s="15" t="s">
        <v>295</v>
      </c>
      <c r="I56" s="15" t="s">
        <v>296</v>
      </c>
      <c r="J56" s="15" t="s">
        <v>7</v>
      </c>
      <c r="K56" s="16">
        <v>33230</v>
      </c>
      <c r="L56" s="16">
        <v>46620</v>
      </c>
      <c r="M56" s="17">
        <f>Table1[[#This Row],[Billing Rate Charges]]-Table1[[#This Row],[ LORRY RATE ]]</f>
        <v>13390</v>
      </c>
      <c r="N56" s="17">
        <v>33230</v>
      </c>
      <c r="O56" s="17">
        <f>Table1[[#This Row],[ LORRY RATE ]]-Table1[[#This Row],[Adance Paid (INR)]]</f>
        <v>0</v>
      </c>
      <c r="P56" s="17" t="s">
        <v>147</v>
      </c>
      <c r="Q56" s="18" t="s">
        <v>307</v>
      </c>
      <c r="R56" s="17" t="s">
        <v>113</v>
      </c>
      <c r="S56" s="18" t="s">
        <v>292</v>
      </c>
      <c r="T56" s="18" t="s">
        <v>292</v>
      </c>
      <c r="U56" s="15" t="s">
        <v>97</v>
      </c>
      <c r="V56" s="15" t="s">
        <v>12</v>
      </c>
      <c r="W56" s="15" t="s">
        <v>290</v>
      </c>
    </row>
    <row r="57" spans="1:23" hidden="1" x14ac:dyDescent="0.3">
      <c r="A57" s="15">
        <v>57</v>
      </c>
      <c r="B57" s="15" t="s">
        <v>237</v>
      </c>
      <c r="C57" s="19">
        <v>45494</v>
      </c>
      <c r="D57" s="19" t="s">
        <v>51</v>
      </c>
      <c r="E57" s="15" t="s">
        <v>224</v>
      </c>
      <c r="F57" s="15">
        <v>9343626927</v>
      </c>
      <c r="G57" s="15" t="s">
        <v>6</v>
      </c>
      <c r="H57" s="15" t="s">
        <v>26</v>
      </c>
      <c r="I57" s="15" t="s">
        <v>297</v>
      </c>
      <c r="J57" s="15" t="s">
        <v>7</v>
      </c>
      <c r="K57" s="16">
        <v>34930</v>
      </c>
      <c r="L57" s="16">
        <v>47250</v>
      </c>
      <c r="M57" s="17">
        <f>Table1[[#This Row],[Billing Rate Charges]]-Table1[[#This Row],[ LORRY RATE ]]</f>
        <v>12320</v>
      </c>
      <c r="N57" s="17">
        <v>34930</v>
      </c>
      <c r="O57" s="17">
        <f>Table1[[#This Row],[ LORRY RATE ]]-Table1[[#This Row],[Adance Paid (INR)]]</f>
        <v>0</v>
      </c>
      <c r="P57" s="17" t="s">
        <v>147</v>
      </c>
      <c r="Q57" s="18" t="s">
        <v>308</v>
      </c>
      <c r="R57" s="17" t="s">
        <v>113</v>
      </c>
      <c r="S57" s="18" t="s">
        <v>292</v>
      </c>
      <c r="T57" s="18" t="s">
        <v>292</v>
      </c>
      <c r="U57" s="15" t="s">
        <v>97</v>
      </c>
      <c r="V57" s="15" t="s">
        <v>225</v>
      </c>
      <c r="W57" s="15"/>
    </row>
    <row r="58" spans="1:23" hidden="1" x14ac:dyDescent="0.3">
      <c r="A58" s="15">
        <v>58</v>
      </c>
      <c r="B58" s="15" t="s">
        <v>237</v>
      </c>
      <c r="C58" s="19">
        <v>45495</v>
      </c>
      <c r="D58" s="19" t="s">
        <v>57</v>
      </c>
      <c r="E58" s="15" t="s">
        <v>38</v>
      </c>
      <c r="F58" s="15">
        <v>9097762415</v>
      </c>
      <c r="G58" s="15" t="s">
        <v>6</v>
      </c>
      <c r="H58" s="15" t="s">
        <v>26</v>
      </c>
      <c r="I58" s="15" t="s">
        <v>298</v>
      </c>
      <c r="J58" s="15" t="s">
        <v>59</v>
      </c>
      <c r="K58" s="16">
        <v>44930</v>
      </c>
      <c r="L58" s="16">
        <v>45040</v>
      </c>
      <c r="M58" s="17">
        <f>Table1[[#This Row],[Billing Rate Charges]]-Table1[[#This Row],[ LORRY RATE ]]</f>
        <v>110</v>
      </c>
      <c r="N58" s="17"/>
      <c r="O58" s="17">
        <v>0</v>
      </c>
      <c r="P58" s="17" t="s">
        <v>147</v>
      </c>
      <c r="Q58" s="18" t="s">
        <v>309</v>
      </c>
      <c r="R58" s="17" t="s">
        <v>113</v>
      </c>
      <c r="S58" s="18" t="s">
        <v>292</v>
      </c>
      <c r="T58" s="18" t="s">
        <v>292</v>
      </c>
      <c r="U58" s="15" t="s">
        <v>97</v>
      </c>
      <c r="V58" s="15" t="s">
        <v>56</v>
      </c>
      <c r="W58" s="15" t="s">
        <v>154</v>
      </c>
    </row>
    <row r="59" spans="1:23" hidden="1" x14ac:dyDescent="0.3">
      <c r="A59" s="15">
        <v>59</v>
      </c>
      <c r="B59" s="15" t="s">
        <v>237</v>
      </c>
      <c r="C59" s="19">
        <v>45496</v>
      </c>
      <c r="D59" s="19" t="s">
        <v>74</v>
      </c>
      <c r="E59" s="15" t="s">
        <v>289</v>
      </c>
      <c r="F59" s="15">
        <v>9062194812</v>
      </c>
      <c r="G59" s="15" t="s">
        <v>6</v>
      </c>
      <c r="H59" s="15" t="s">
        <v>299</v>
      </c>
      <c r="I59" s="15" t="s">
        <v>300</v>
      </c>
      <c r="J59" s="15" t="s">
        <v>7</v>
      </c>
      <c r="K59" s="16">
        <v>31090</v>
      </c>
      <c r="L59" s="16">
        <v>46620</v>
      </c>
      <c r="M59" s="17">
        <f>Table1[[#This Row],[Billing Rate Charges]]-Table1[[#This Row],[ LORRY RATE ]]</f>
        <v>15530</v>
      </c>
      <c r="N59" s="17">
        <v>31090</v>
      </c>
      <c r="O59" s="17">
        <f>Table1[[#This Row],[ LORRY RATE ]]-Table1[[#This Row],[Adance Paid (INR)]]</f>
        <v>0</v>
      </c>
      <c r="P59" s="17" t="s">
        <v>147</v>
      </c>
      <c r="Q59" s="18" t="s">
        <v>310</v>
      </c>
      <c r="R59" s="17" t="s">
        <v>113</v>
      </c>
      <c r="S59" s="18" t="s">
        <v>293</v>
      </c>
      <c r="T59" s="18" t="s">
        <v>294</v>
      </c>
      <c r="U59" s="15" t="s">
        <v>97</v>
      </c>
      <c r="V59" s="15" t="s">
        <v>12</v>
      </c>
      <c r="W59" s="15"/>
    </row>
    <row r="60" spans="1:23" hidden="1" x14ac:dyDescent="0.3">
      <c r="A60" s="15">
        <v>60</v>
      </c>
      <c r="B60" s="15" t="s">
        <v>237</v>
      </c>
      <c r="C60" s="19">
        <v>45496</v>
      </c>
      <c r="D60" s="19" t="s">
        <v>57</v>
      </c>
      <c r="E60" s="15" t="s">
        <v>60</v>
      </c>
      <c r="F60" s="15">
        <v>9589264337</v>
      </c>
      <c r="G60" s="15" t="s">
        <v>305</v>
      </c>
      <c r="H60" s="15" t="s">
        <v>304</v>
      </c>
      <c r="I60" s="15" t="s">
        <v>6</v>
      </c>
      <c r="J60" s="15" t="s">
        <v>7</v>
      </c>
      <c r="K60" s="16">
        <v>53580</v>
      </c>
      <c r="L60" s="16">
        <v>102690</v>
      </c>
      <c r="M60" s="17">
        <f>Table1[[#This Row],[Billing Rate Charges]]-Table1[[#This Row],[ LORRY RATE ]]</f>
        <v>49110</v>
      </c>
      <c r="N60" s="17"/>
      <c r="O60" s="17">
        <v>0</v>
      </c>
      <c r="P60" s="17" t="s">
        <v>147</v>
      </c>
      <c r="Q60" s="18" t="s">
        <v>311</v>
      </c>
      <c r="R60" s="17" t="s">
        <v>113</v>
      </c>
      <c r="S60" s="18" t="s">
        <v>294</v>
      </c>
      <c r="T60" s="18" t="s">
        <v>294</v>
      </c>
      <c r="U60" s="15" t="s">
        <v>97</v>
      </c>
      <c r="V60" s="15" t="s">
        <v>56</v>
      </c>
      <c r="W60" s="15"/>
    </row>
    <row r="61" spans="1:23" hidden="1" x14ac:dyDescent="0.3">
      <c r="A61" s="15">
        <v>61</v>
      </c>
      <c r="B61" s="15" t="s">
        <v>237</v>
      </c>
      <c r="C61" s="19">
        <v>45497</v>
      </c>
      <c r="D61" s="19" t="s">
        <v>51</v>
      </c>
      <c r="E61" s="15" t="s">
        <v>291</v>
      </c>
      <c r="F61" s="15">
        <v>9564370374</v>
      </c>
      <c r="G61" s="15" t="s">
        <v>6</v>
      </c>
      <c r="H61" s="15" t="s">
        <v>301</v>
      </c>
      <c r="I61" s="15" t="s">
        <v>302</v>
      </c>
      <c r="J61" s="15" t="s">
        <v>25</v>
      </c>
      <c r="K61" s="16">
        <v>28710</v>
      </c>
      <c r="L61" s="16">
        <v>45040</v>
      </c>
      <c r="M61" s="17">
        <f>Table1[[#This Row],[Billing Rate Charges]]-Table1[[#This Row],[ LORRY RATE ]]</f>
        <v>16330</v>
      </c>
      <c r="N61" s="17">
        <v>28710</v>
      </c>
      <c r="O61" s="17">
        <f>Table1[[#This Row],[ LORRY RATE ]]-Table1[[#This Row],[Adance Paid (INR)]]</f>
        <v>0</v>
      </c>
      <c r="P61" s="17" t="s">
        <v>147</v>
      </c>
      <c r="Q61" s="18" t="s">
        <v>335</v>
      </c>
      <c r="R61" s="17" t="s">
        <v>113</v>
      </c>
      <c r="S61" s="18" t="s">
        <v>314</v>
      </c>
      <c r="T61" s="18" t="s">
        <v>315</v>
      </c>
      <c r="U61" s="15" t="s">
        <v>97</v>
      </c>
      <c r="V61" s="15" t="s">
        <v>12</v>
      </c>
      <c r="W61" s="15"/>
    </row>
    <row r="62" spans="1:23" hidden="1" x14ac:dyDescent="0.3">
      <c r="A62" s="15">
        <v>62</v>
      </c>
      <c r="B62" s="15" t="s">
        <v>237</v>
      </c>
      <c r="C62" s="19">
        <v>45500</v>
      </c>
      <c r="D62" s="19" t="s">
        <v>51</v>
      </c>
      <c r="E62" s="15" t="s">
        <v>312</v>
      </c>
      <c r="F62" s="21">
        <v>9124747909</v>
      </c>
      <c r="G62" s="15" t="s">
        <v>6</v>
      </c>
      <c r="H62" s="15" t="s">
        <v>329</v>
      </c>
      <c r="I62" s="15" t="s">
        <v>330</v>
      </c>
      <c r="J62" s="15" t="s">
        <v>7</v>
      </c>
      <c r="K62" s="16">
        <v>37220</v>
      </c>
      <c r="L62" s="16">
        <v>53550</v>
      </c>
      <c r="M62" s="17">
        <f>Table1[[#This Row],[Billing Rate Charges]]-Table1[[#This Row],[ LORRY RATE ]]</f>
        <v>16330</v>
      </c>
      <c r="N62" s="17">
        <v>37220</v>
      </c>
      <c r="O62" s="17">
        <f>Table1[[#This Row],[ LORRY RATE ]]-Table1[[#This Row],[Adance Paid (INR)]]</f>
        <v>0</v>
      </c>
      <c r="P62" s="17" t="s">
        <v>147</v>
      </c>
      <c r="Q62" s="18" t="s">
        <v>336</v>
      </c>
      <c r="R62" s="17" t="s">
        <v>113</v>
      </c>
      <c r="S62" s="18" t="s">
        <v>322</v>
      </c>
      <c r="T62" s="18" t="s">
        <v>317</v>
      </c>
      <c r="U62" s="15" t="s">
        <v>97</v>
      </c>
      <c r="V62" s="15" t="s">
        <v>213</v>
      </c>
      <c r="W62" s="15"/>
    </row>
    <row r="63" spans="1:23" hidden="1" x14ac:dyDescent="0.3">
      <c r="A63" s="15">
        <v>63</v>
      </c>
      <c r="B63" s="15" t="s">
        <v>237</v>
      </c>
      <c r="C63" s="19">
        <v>45501</v>
      </c>
      <c r="D63" s="19" t="s">
        <v>51</v>
      </c>
      <c r="E63" s="15" t="s">
        <v>60</v>
      </c>
      <c r="F63" s="15">
        <v>9589264337</v>
      </c>
      <c r="G63" s="15" t="s">
        <v>6</v>
      </c>
      <c r="H63" s="15" t="s">
        <v>326</v>
      </c>
      <c r="I63" s="15" t="s">
        <v>327</v>
      </c>
      <c r="J63" s="15" t="s">
        <v>7</v>
      </c>
      <c r="K63" s="16">
        <v>47910</v>
      </c>
      <c r="L63" s="16">
        <v>64890</v>
      </c>
      <c r="M63" s="17">
        <f>Table1[[#This Row],[Billing Rate Charges]]-Table1[[#This Row],[ LORRY RATE ]]</f>
        <v>16980</v>
      </c>
      <c r="N63" s="17"/>
      <c r="O63" s="17">
        <v>0</v>
      </c>
      <c r="P63" s="17" t="s">
        <v>147</v>
      </c>
      <c r="Q63" s="18" t="s">
        <v>337</v>
      </c>
      <c r="R63" s="17" t="s">
        <v>113</v>
      </c>
      <c r="S63" s="18" t="s">
        <v>317</v>
      </c>
      <c r="T63" s="18" t="s">
        <v>318</v>
      </c>
      <c r="U63" s="15" t="s">
        <v>97</v>
      </c>
      <c r="V63" s="15" t="s">
        <v>56</v>
      </c>
      <c r="W63" s="15" t="s">
        <v>154</v>
      </c>
    </row>
    <row r="64" spans="1:23" hidden="1" x14ac:dyDescent="0.3">
      <c r="A64" s="15">
        <v>64</v>
      </c>
      <c r="B64" s="15" t="s">
        <v>237</v>
      </c>
      <c r="C64" s="19">
        <v>45502</v>
      </c>
      <c r="D64" s="19" t="s">
        <v>51</v>
      </c>
      <c r="E64" s="15" t="s">
        <v>38</v>
      </c>
      <c r="F64" s="15">
        <v>9097762415</v>
      </c>
      <c r="G64" s="15" t="s">
        <v>105</v>
      </c>
      <c r="H64" s="15" t="s">
        <v>26</v>
      </c>
      <c r="I64" s="15" t="s">
        <v>328</v>
      </c>
      <c r="J64" s="15" t="s">
        <v>25</v>
      </c>
      <c r="K64" s="16">
        <v>48290</v>
      </c>
      <c r="L64" s="16">
        <v>67410</v>
      </c>
      <c r="M64" s="17">
        <f>Table1[[#This Row],[Billing Rate Charges]]-Table1[[#This Row],[ LORRY RATE ]]</f>
        <v>19120</v>
      </c>
      <c r="N64" s="17"/>
      <c r="O64" s="17">
        <v>0</v>
      </c>
      <c r="P64" s="17" t="s">
        <v>147</v>
      </c>
      <c r="Q64" s="18" t="s">
        <v>338</v>
      </c>
      <c r="R64" s="17" t="s">
        <v>113</v>
      </c>
      <c r="S64" s="18" t="s">
        <v>323</v>
      </c>
      <c r="T64" s="18" t="s">
        <v>323</v>
      </c>
      <c r="U64" s="15" t="s">
        <v>97</v>
      </c>
      <c r="V64" s="15" t="s">
        <v>56</v>
      </c>
      <c r="W64" s="15"/>
    </row>
    <row r="65" spans="1:23" hidden="1" x14ac:dyDescent="0.3">
      <c r="A65" s="15">
        <v>65</v>
      </c>
      <c r="B65" s="15" t="s">
        <v>237</v>
      </c>
      <c r="C65" s="19">
        <v>45503</v>
      </c>
      <c r="D65" s="19" t="s">
        <v>74</v>
      </c>
      <c r="E65" s="15" t="s">
        <v>313</v>
      </c>
      <c r="F65" s="15">
        <v>9021782276</v>
      </c>
      <c r="G65" s="15" t="s">
        <v>6</v>
      </c>
      <c r="H65" s="15" t="s">
        <v>331</v>
      </c>
      <c r="I65" s="15" t="s">
        <v>332</v>
      </c>
      <c r="J65" s="15" t="s">
        <v>168</v>
      </c>
      <c r="K65" s="16">
        <v>29110</v>
      </c>
      <c r="L65" s="16">
        <v>44100</v>
      </c>
      <c r="M65" s="17">
        <f>Table1[[#This Row],[Billing Rate Charges]]-Table1[[#This Row],[ LORRY RATE ]]</f>
        <v>14990</v>
      </c>
      <c r="N65" s="17">
        <v>29110</v>
      </c>
      <c r="O65" s="17">
        <f>Table1[[#This Row],[ LORRY RATE ]]-Table1[[#This Row],[Adance Paid (INR)]]</f>
        <v>0</v>
      </c>
      <c r="P65" s="17" t="s">
        <v>147</v>
      </c>
      <c r="Q65" s="18" t="s">
        <v>361</v>
      </c>
      <c r="R65" s="17" t="s">
        <v>113</v>
      </c>
      <c r="S65" s="18" t="s">
        <v>346</v>
      </c>
      <c r="T65" s="18" t="s">
        <v>346</v>
      </c>
      <c r="U65" s="15" t="s">
        <v>97</v>
      </c>
      <c r="V65" s="15" t="s">
        <v>12</v>
      </c>
      <c r="W65" s="15"/>
    </row>
    <row r="66" spans="1:23" hidden="1" x14ac:dyDescent="0.3">
      <c r="A66" s="15">
        <v>66</v>
      </c>
      <c r="B66" s="15" t="s">
        <v>237</v>
      </c>
      <c r="C66" s="19">
        <v>45504</v>
      </c>
      <c r="D66" s="19" t="s">
        <v>51</v>
      </c>
      <c r="E66" s="21" t="s">
        <v>316</v>
      </c>
      <c r="F66" s="21">
        <v>9926313971</v>
      </c>
      <c r="G66" s="15" t="s">
        <v>6</v>
      </c>
      <c r="H66" s="15" t="s">
        <v>333</v>
      </c>
      <c r="I66" s="15" t="s">
        <v>334</v>
      </c>
      <c r="J66" s="15" t="s">
        <v>28</v>
      </c>
      <c r="K66" s="16">
        <v>30180</v>
      </c>
      <c r="L66" s="16">
        <v>44100</v>
      </c>
      <c r="M66" s="17">
        <f>Table1[[#This Row],[Billing Rate Charges]]-Table1[[#This Row],[ LORRY RATE ]]</f>
        <v>13920</v>
      </c>
      <c r="N66" s="17">
        <v>30180</v>
      </c>
      <c r="O66" s="17">
        <f>Table1[[#This Row],[ LORRY RATE ]]-Table1[[#This Row],[Adance Paid (INR)]]</f>
        <v>0</v>
      </c>
      <c r="P66" s="17" t="s">
        <v>147</v>
      </c>
      <c r="Q66" s="18" t="s">
        <v>362</v>
      </c>
      <c r="R66" s="17" t="s">
        <v>113</v>
      </c>
      <c r="S66" s="18" t="s">
        <v>347</v>
      </c>
      <c r="T66" s="18" t="s">
        <v>348</v>
      </c>
      <c r="U66" s="15" t="s">
        <v>97</v>
      </c>
      <c r="V66" s="15" t="s">
        <v>12</v>
      </c>
      <c r="W66" s="15"/>
    </row>
    <row r="67" spans="1:23" hidden="1" x14ac:dyDescent="0.3">
      <c r="A67" s="15">
        <v>67</v>
      </c>
      <c r="B67" s="15" t="s">
        <v>324</v>
      </c>
      <c r="C67" s="19">
        <v>45505</v>
      </c>
      <c r="D67" s="19" t="s">
        <v>51</v>
      </c>
      <c r="E67" s="15" t="s">
        <v>319</v>
      </c>
      <c r="F67" s="15">
        <v>9286629206</v>
      </c>
      <c r="G67" s="15" t="s">
        <v>158</v>
      </c>
      <c r="H67" s="15" t="s">
        <v>26</v>
      </c>
      <c r="I67" s="15" t="s">
        <v>350</v>
      </c>
      <c r="J67" s="15" t="s">
        <v>107</v>
      </c>
      <c r="K67" s="16">
        <v>82150</v>
      </c>
      <c r="L67" s="16">
        <v>112140</v>
      </c>
      <c r="M67" s="17">
        <f>Table1[[#This Row],[Billing Rate Charges]]-Table1[[#This Row],[ LORRY RATE ]]</f>
        <v>29990</v>
      </c>
      <c r="N67" s="17">
        <v>82150</v>
      </c>
      <c r="O67" s="17">
        <f>Table1[[#This Row],[ LORRY RATE ]]-Table1[[#This Row],[Adance Paid (INR)]]</f>
        <v>0</v>
      </c>
      <c r="P67" s="17" t="s">
        <v>147</v>
      </c>
      <c r="Q67" s="18" t="s">
        <v>363</v>
      </c>
      <c r="R67" s="17" t="s">
        <v>113</v>
      </c>
      <c r="S67" s="18" t="s">
        <v>347</v>
      </c>
      <c r="T67" s="18" t="s">
        <v>347</v>
      </c>
      <c r="U67" s="15" t="s">
        <v>97</v>
      </c>
      <c r="V67" s="15" t="s">
        <v>320</v>
      </c>
      <c r="W67" s="15" t="s">
        <v>321</v>
      </c>
    </row>
    <row r="68" spans="1:23" hidden="1" x14ac:dyDescent="0.3">
      <c r="A68" s="15">
        <v>68</v>
      </c>
      <c r="B68" s="15" t="s">
        <v>324</v>
      </c>
      <c r="C68" s="19">
        <v>45506</v>
      </c>
      <c r="D68" s="19" t="s">
        <v>57</v>
      </c>
      <c r="E68" s="15" t="s">
        <v>60</v>
      </c>
      <c r="F68" s="15">
        <v>9589264337</v>
      </c>
      <c r="G68" s="15" t="s">
        <v>42</v>
      </c>
      <c r="H68" s="15" t="s">
        <v>351</v>
      </c>
      <c r="I68" s="15" t="s">
        <v>352</v>
      </c>
      <c r="J68" s="15" t="s">
        <v>7</v>
      </c>
      <c r="K68" s="16">
        <v>53580</v>
      </c>
      <c r="L68" s="16">
        <v>102690</v>
      </c>
      <c r="M68" s="17">
        <f>Table1[[#This Row],[Billing Rate Charges]]-Table1[[#This Row],[ LORRY RATE ]]</f>
        <v>49110</v>
      </c>
      <c r="N68" s="17"/>
      <c r="O68" s="17">
        <v>0</v>
      </c>
      <c r="P68" s="17" t="s">
        <v>147</v>
      </c>
      <c r="Q68" s="18" t="s">
        <v>364</v>
      </c>
      <c r="R68" s="17" t="s">
        <v>113</v>
      </c>
      <c r="S68" s="18" t="s">
        <v>347</v>
      </c>
      <c r="T68" s="18" t="s">
        <v>348</v>
      </c>
      <c r="U68" s="15" t="s">
        <v>97</v>
      </c>
      <c r="V68" s="15" t="s">
        <v>56</v>
      </c>
      <c r="W68" s="15"/>
    </row>
    <row r="69" spans="1:23" hidden="1" x14ac:dyDescent="0.3">
      <c r="A69" s="15">
        <v>69</v>
      </c>
      <c r="B69" s="15" t="s">
        <v>324</v>
      </c>
      <c r="C69" s="19">
        <v>45507</v>
      </c>
      <c r="D69" s="19" t="s">
        <v>51</v>
      </c>
      <c r="E69" s="15" t="s">
        <v>339</v>
      </c>
      <c r="F69" s="15">
        <v>9976081007</v>
      </c>
      <c r="G69" s="15" t="s">
        <v>235</v>
      </c>
      <c r="H69" s="15" t="s">
        <v>26</v>
      </c>
      <c r="I69" s="15" t="s">
        <v>353</v>
      </c>
      <c r="J69" s="15" t="s">
        <v>7</v>
      </c>
      <c r="K69" s="16">
        <v>64230</v>
      </c>
      <c r="L69" s="16">
        <v>81900</v>
      </c>
      <c r="M69" s="17">
        <f>Table1[[#This Row],[Billing Rate Charges]]-Table1[[#This Row],[ LORRY RATE ]]</f>
        <v>17670</v>
      </c>
      <c r="N69" s="17">
        <v>64230</v>
      </c>
      <c r="O69" s="17">
        <f>Table1[[#This Row],[ LORRY RATE ]]-Table1[[#This Row],[Adance Paid (INR)]]</f>
        <v>0</v>
      </c>
      <c r="P69" s="17" t="s">
        <v>147</v>
      </c>
      <c r="Q69" s="18" t="s">
        <v>365</v>
      </c>
      <c r="R69" s="17" t="s">
        <v>113</v>
      </c>
      <c r="S69" s="18" t="s">
        <v>349</v>
      </c>
      <c r="T69" s="18" t="s">
        <v>349</v>
      </c>
      <c r="U69" s="15" t="s">
        <v>97</v>
      </c>
      <c r="V69" s="15" t="s">
        <v>340</v>
      </c>
      <c r="W69" s="15"/>
    </row>
    <row r="70" spans="1:23" hidden="1" x14ac:dyDescent="0.3">
      <c r="A70" s="15">
        <v>70</v>
      </c>
      <c r="B70" s="15" t="s">
        <v>324</v>
      </c>
      <c r="C70" s="19">
        <v>45508</v>
      </c>
      <c r="D70" s="19" t="s">
        <v>57</v>
      </c>
      <c r="E70" s="15" t="s">
        <v>38</v>
      </c>
      <c r="F70" s="15">
        <v>9515412075</v>
      </c>
      <c r="G70" s="15" t="s">
        <v>6</v>
      </c>
      <c r="H70" s="15" t="s">
        <v>354</v>
      </c>
      <c r="I70" s="15" t="s">
        <v>355</v>
      </c>
      <c r="J70" s="15" t="s">
        <v>37</v>
      </c>
      <c r="K70" s="16">
        <v>47630</v>
      </c>
      <c r="L70" s="16">
        <v>63000</v>
      </c>
      <c r="M70" s="17">
        <f>Table1[[#This Row],[Billing Rate Charges]]-Table1[[#This Row],[ LORRY RATE ]]</f>
        <v>15370</v>
      </c>
      <c r="N70" s="17"/>
      <c r="O70" s="17">
        <v>0</v>
      </c>
      <c r="P70" s="17" t="s">
        <v>147</v>
      </c>
      <c r="Q70" s="18" t="s">
        <v>366</v>
      </c>
      <c r="R70" s="17" t="s">
        <v>113</v>
      </c>
      <c r="S70" s="18" t="s">
        <v>346</v>
      </c>
      <c r="T70" s="18" t="s">
        <v>346</v>
      </c>
      <c r="U70" s="15" t="s">
        <v>97</v>
      </c>
      <c r="V70" s="15" t="s">
        <v>56</v>
      </c>
      <c r="W70" s="15"/>
    </row>
    <row r="71" spans="1:23" hidden="1" x14ac:dyDescent="0.3">
      <c r="A71" s="15">
        <v>71</v>
      </c>
      <c r="B71" s="15" t="s">
        <v>324</v>
      </c>
      <c r="C71" s="19">
        <v>45510</v>
      </c>
      <c r="D71" s="19" t="s">
        <v>57</v>
      </c>
      <c r="E71" s="15" t="s">
        <v>60</v>
      </c>
      <c r="F71" s="15">
        <v>9589264337</v>
      </c>
      <c r="G71" s="15" t="s">
        <v>6</v>
      </c>
      <c r="H71" s="15" t="s">
        <v>356</v>
      </c>
      <c r="I71" s="15" t="s">
        <v>357</v>
      </c>
      <c r="J71" s="15" t="s">
        <v>341</v>
      </c>
      <c r="K71" s="16">
        <v>48100</v>
      </c>
      <c r="L71" s="16">
        <v>66150</v>
      </c>
      <c r="M71" s="17">
        <f>Table1[[#This Row],[Billing Rate Charges]]-Table1[[#This Row],[ LORRY RATE ]]</f>
        <v>18050</v>
      </c>
      <c r="N71" s="17"/>
      <c r="O71" s="17">
        <v>0</v>
      </c>
      <c r="P71" s="17" t="s">
        <v>147</v>
      </c>
      <c r="Q71" s="18" t="s">
        <v>367</v>
      </c>
      <c r="R71" s="17" t="s">
        <v>113</v>
      </c>
      <c r="S71" s="18" t="s">
        <v>373</v>
      </c>
      <c r="T71" s="18" t="s">
        <v>374</v>
      </c>
      <c r="U71" s="15" t="s">
        <v>97</v>
      </c>
      <c r="V71" s="15" t="s">
        <v>56</v>
      </c>
      <c r="W71" s="15"/>
    </row>
    <row r="72" spans="1:23" hidden="1" x14ac:dyDescent="0.3">
      <c r="A72" s="15">
        <v>72</v>
      </c>
      <c r="B72" s="15" t="s">
        <v>324</v>
      </c>
      <c r="C72" s="19">
        <v>45510</v>
      </c>
      <c r="D72" s="19" t="s">
        <v>51</v>
      </c>
      <c r="E72" s="15" t="s">
        <v>342</v>
      </c>
      <c r="F72" s="21">
        <v>9663777426</v>
      </c>
      <c r="G72" s="15" t="s">
        <v>6</v>
      </c>
      <c r="H72" s="15" t="s">
        <v>358</v>
      </c>
      <c r="I72" s="15" t="s">
        <v>427</v>
      </c>
      <c r="J72" s="15" t="s">
        <v>28</v>
      </c>
      <c r="K72" s="16">
        <v>29590</v>
      </c>
      <c r="L72" s="16">
        <v>54500</v>
      </c>
      <c r="M72" s="17">
        <f>Table1[[#This Row],[Billing Rate Charges]]-Table1[[#This Row],[ LORRY RATE ]]</f>
        <v>24910</v>
      </c>
      <c r="N72" s="17">
        <v>29590</v>
      </c>
      <c r="O72" s="17">
        <f>Table1[[#This Row],[ LORRY RATE ]]-Table1[[#This Row],[Adance Paid (INR)]]</f>
        <v>0</v>
      </c>
      <c r="P72" s="17" t="s">
        <v>147</v>
      </c>
      <c r="Q72" s="40">
        <v>82</v>
      </c>
      <c r="R72" s="17" t="s">
        <v>267</v>
      </c>
      <c r="S72" s="18" t="s">
        <v>373</v>
      </c>
      <c r="T72" s="18" t="s">
        <v>374</v>
      </c>
      <c r="U72" s="15" t="s">
        <v>97</v>
      </c>
      <c r="V72" s="15" t="s">
        <v>12</v>
      </c>
      <c r="W72" s="15"/>
    </row>
    <row r="73" spans="1:23" hidden="1" x14ac:dyDescent="0.3">
      <c r="A73" s="15">
        <v>73</v>
      </c>
      <c r="B73" s="15" t="s">
        <v>324</v>
      </c>
      <c r="C73" s="19">
        <v>45513</v>
      </c>
      <c r="D73" s="19" t="s">
        <v>51</v>
      </c>
      <c r="E73" s="15" t="s">
        <v>343</v>
      </c>
      <c r="F73" s="15">
        <v>9946150873</v>
      </c>
      <c r="G73" s="15" t="s">
        <v>105</v>
      </c>
      <c r="H73" s="15" t="s">
        <v>26</v>
      </c>
      <c r="I73" s="15" t="s">
        <v>6</v>
      </c>
      <c r="J73" s="15" t="s">
        <v>7</v>
      </c>
      <c r="K73" s="16">
        <v>69080</v>
      </c>
      <c r="L73" s="16">
        <v>96390</v>
      </c>
      <c r="M73" s="17">
        <f>Table1[[#This Row],[Billing Rate Charges]]-Table1[[#This Row],[ LORRY RATE ]]</f>
        <v>27310</v>
      </c>
      <c r="N73" s="17">
        <v>69080</v>
      </c>
      <c r="O73" s="17">
        <f>Table1[[#This Row],[ LORRY RATE ]]-Table1[[#This Row],[Adance Paid (INR)]]</f>
        <v>0</v>
      </c>
      <c r="P73" s="17" t="s">
        <v>147</v>
      </c>
      <c r="Q73" s="40">
        <v>83</v>
      </c>
      <c r="R73" s="17" t="s">
        <v>267</v>
      </c>
      <c r="S73" s="18" t="s">
        <v>378</v>
      </c>
      <c r="T73" s="18" t="s">
        <v>378</v>
      </c>
      <c r="U73" s="15" t="s">
        <v>97</v>
      </c>
      <c r="V73" s="15" t="s">
        <v>344</v>
      </c>
      <c r="W73" s="15"/>
    </row>
    <row r="74" spans="1:23" hidden="1" x14ac:dyDescent="0.3">
      <c r="A74" s="15">
        <v>74</v>
      </c>
      <c r="B74" s="15" t="s">
        <v>324</v>
      </c>
      <c r="C74" s="19">
        <v>45513</v>
      </c>
      <c r="D74" s="19" t="s">
        <v>51</v>
      </c>
      <c r="E74" s="21" t="s">
        <v>345</v>
      </c>
      <c r="F74" s="21">
        <v>9493729110</v>
      </c>
      <c r="G74" s="15" t="s">
        <v>6</v>
      </c>
      <c r="H74" s="15" t="s">
        <v>360</v>
      </c>
      <c r="I74" s="15" t="s">
        <v>359</v>
      </c>
      <c r="J74" s="15" t="s">
        <v>28</v>
      </c>
      <c r="K74" s="16">
        <v>30590</v>
      </c>
      <c r="L74" s="16">
        <v>50400</v>
      </c>
      <c r="M74" s="17">
        <f>Table1[[#This Row],[Billing Rate Charges]]-Table1[[#This Row],[ LORRY RATE ]]</f>
        <v>19810</v>
      </c>
      <c r="N74" s="17">
        <v>30590</v>
      </c>
      <c r="O74" s="17">
        <f>Table1[[#This Row],[ LORRY RATE ]]-Table1[[#This Row],[Adance Paid (INR)]]</f>
        <v>0</v>
      </c>
      <c r="P74" s="17" t="s">
        <v>147</v>
      </c>
      <c r="Q74" s="40">
        <v>84</v>
      </c>
      <c r="R74" s="17" t="s">
        <v>267</v>
      </c>
      <c r="S74" s="18" t="s">
        <v>386</v>
      </c>
      <c r="T74" s="18" t="s">
        <v>386</v>
      </c>
      <c r="U74" s="15" t="s">
        <v>97</v>
      </c>
      <c r="V74" s="15" t="s">
        <v>12</v>
      </c>
      <c r="W74" s="15"/>
    </row>
    <row r="75" spans="1:23" hidden="1" x14ac:dyDescent="0.3">
      <c r="A75" s="15">
        <v>75</v>
      </c>
      <c r="B75" s="15" t="s">
        <v>324</v>
      </c>
      <c r="C75" s="19">
        <v>45514</v>
      </c>
      <c r="D75" s="19" t="s">
        <v>51</v>
      </c>
      <c r="E75" s="21" t="s">
        <v>368</v>
      </c>
      <c r="F75" s="21">
        <v>9065465756</v>
      </c>
      <c r="G75" s="15" t="s">
        <v>6</v>
      </c>
      <c r="H75" s="15" t="s">
        <v>404</v>
      </c>
      <c r="I75" s="15" t="s">
        <v>405</v>
      </c>
      <c r="J75" s="15" t="s">
        <v>7</v>
      </c>
      <c r="K75" s="16">
        <v>32570</v>
      </c>
      <c r="L75" s="16">
        <v>52920</v>
      </c>
      <c r="M75" s="17">
        <f>Table1[[#This Row],[Billing Rate Charges]]-Table1[[#This Row],[ LORRY RATE ]]</f>
        <v>20350</v>
      </c>
      <c r="N75" s="17">
        <v>32570</v>
      </c>
      <c r="O75" s="17">
        <f>Table1[[#This Row],[ LORRY RATE ]]-Table1[[#This Row],[Adance Paid (INR)]]</f>
        <v>0</v>
      </c>
      <c r="P75" s="17" t="s">
        <v>147</v>
      </c>
      <c r="Q75" s="40">
        <v>85</v>
      </c>
      <c r="R75" s="17" t="s">
        <v>267</v>
      </c>
      <c r="S75" s="18" t="s">
        <v>387</v>
      </c>
      <c r="T75" s="18" t="s">
        <v>387</v>
      </c>
      <c r="U75" s="15" t="s">
        <v>97</v>
      </c>
      <c r="V75" s="15" t="s">
        <v>370</v>
      </c>
      <c r="W75" s="15"/>
    </row>
    <row r="76" spans="1:23" hidden="1" x14ac:dyDescent="0.3">
      <c r="A76" s="15">
        <v>76</v>
      </c>
      <c r="B76" s="15" t="s">
        <v>324</v>
      </c>
      <c r="C76" s="22">
        <v>45515</v>
      </c>
      <c r="D76" s="19" t="s">
        <v>372</v>
      </c>
      <c r="E76" s="21" t="s">
        <v>371</v>
      </c>
      <c r="F76" s="21">
        <v>9892288874</v>
      </c>
      <c r="G76" s="15" t="s">
        <v>6</v>
      </c>
      <c r="H76" s="15" t="s">
        <v>406</v>
      </c>
      <c r="I76" s="15" t="s">
        <v>407</v>
      </c>
      <c r="J76" s="15" t="s">
        <v>7</v>
      </c>
      <c r="K76" s="16">
        <v>31630</v>
      </c>
      <c r="L76" s="16">
        <v>46620</v>
      </c>
      <c r="M76" s="17">
        <f>Table1[[#This Row],[Billing Rate Charges]]-Table1[[#This Row],[ LORRY RATE ]]</f>
        <v>14990</v>
      </c>
      <c r="N76" s="17">
        <v>31630</v>
      </c>
      <c r="O76" s="17">
        <f>Table1[[#This Row],[ LORRY RATE ]]-Table1[[#This Row],[Adance Paid (INR)]]</f>
        <v>0</v>
      </c>
      <c r="P76" s="17" t="s">
        <v>147</v>
      </c>
      <c r="Q76" s="40">
        <v>86</v>
      </c>
      <c r="R76" s="17" t="s">
        <v>267</v>
      </c>
      <c r="S76" s="18" t="s">
        <v>387</v>
      </c>
      <c r="T76" s="18" t="s">
        <v>387</v>
      </c>
      <c r="U76" s="15" t="s">
        <v>97</v>
      </c>
      <c r="V76" s="15" t="s">
        <v>370</v>
      </c>
      <c r="W76" s="15"/>
    </row>
    <row r="77" spans="1:23" hidden="1" x14ac:dyDescent="0.3">
      <c r="A77" s="15">
        <v>77</v>
      </c>
      <c r="B77" s="15" t="s">
        <v>324</v>
      </c>
      <c r="C77" s="19">
        <v>45515</v>
      </c>
      <c r="D77" s="19" t="s">
        <v>57</v>
      </c>
      <c r="E77" s="15" t="s">
        <v>38</v>
      </c>
      <c r="F77" s="15">
        <v>9515412075</v>
      </c>
      <c r="G77" s="15" t="s">
        <v>105</v>
      </c>
      <c r="H77" s="15" t="s">
        <v>26</v>
      </c>
      <c r="I77" s="15" t="s">
        <v>408</v>
      </c>
      <c r="J77" s="15" t="s">
        <v>25</v>
      </c>
      <c r="K77" s="16">
        <v>49140</v>
      </c>
      <c r="L77" s="16">
        <v>73080</v>
      </c>
      <c r="M77" s="17">
        <f>Table1[[#This Row],[Billing Rate Charges]]-Table1[[#This Row],[ LORRY RATE ]]</f>
        <v>23940</v>
      </c>
      <c r="N77" s="17"/>
      <c r="O77" s="17">
        <v>0</v>
      </c>
      <c r="P77" s="17" t="s">
        <v>147</v>
      </c>
      <c r="Q77" s="40">
        <v>87</v>
      </c>
      <c r="R77" s="17" t="s">
        <v>267</v>
      </c>
      <c r="S77" s="18" t="s">
        <v>387</v>
      </c>
      <c r="T77" s="18" t="s">
        <v>387</v>
      </c>
      <c r="U77" s="15" t="s">
        <v>97</v>
      </c>
      <c r="V77" s="15" t="s">
        <v>56</v>
      </c>
      <c r="W77" s="15" t="s">
        <v>154</v>
      </c>
    </row>
    <row r="78" spans="1:23" hidden="1" x14ac:dyDescent="0.3">
      <c r="A78" s="15">
        <v>78</v>
      </c>
      <c r="B78" s="15" t="s">
        <v>324</v>
      </c>
      <c r="C78" s="19">
        <v>45517</v>
      </c>
      <c r="D78" s="19" t="s">
        <v>51</v>
      </c>
      <c r="E78" s="15" t="s">
        <v>376</v>
      </c>
      <c r="F78" s="15">
        <v>9139770277</v>
      </c>
      <c r="G78" s="15" t="s">
        <v>6</v>
      </c>
      <c r="H78" s="15" t="s">
        <v>409</v>
      </c>
      <c r="I78" s="15" t="s">
        <v>410</v>
      </c>
      <c r="J78" s="15" t="s">
        <v>168</v>
      </c>
      <c r="K78" s="16">
        <v>29520</v>
      </c>
      <c r="L78" s="16">
        <v>50400</v>
      </c>
      <c r="M78" s="17">
        <f>Table1[[#This Row],[Billing Rate Charges]]-Table1[[#This Row],[ LORRY RATE ]]</f>
        <v>20880</v>
      </c>
      <c r="N78" s="17">
        <v>29520</v>
      </c>
      <c r="O78" s="17">
        <f>Table1[[#This Row],[ LORRY RATE ]]-Table1[[#This Row],[Adance Paid (INR)]]</f>
        <v>0</v>
      </c>
      <c r="P78" s="17" t="s">
        <v>147</v>
      </c>
      <c r="Q78" s="40">
        <v>88</v>
      </c>
      <c r="R78" s="17" t="s">
        <v>267</v>
      </c>
      <c r="S78" s="18" t="s">
        <v>387</v>
      </c>
      <c r="T78" s="18" t="s">
        <v>387</v>
      </c>
      <c r="U78" s="15" t="s">
        <v>97</v>
      </c>
      <c r="V78" s="15" t="s">
        <v>12</v>
      </c>
      <c r="W78" s="15"/>
    </row>
    <row r="79" spans="1:23" hidden="1" x14ac:dyDescent="0.3">
      <c r="A79" s="15">
        <v>79</v>
      </c>
      <c r="B79" s="15" t="s">
        <v>324</v>
      </c>
      <c r="C79" s="19">
        <v>45518</v>
      </c>
      <c r="D79" s="19" t="s">
        <v>57</v>
      </c>
      <c r="E79" s="15" t="s">
        <v>38</v>
      </c>
      <c r="F79" s="15">
        <v>9515412075</v>
      </c>
      <c r="G79" s="15" t="s">
        <v>6</v>
      </c>
      <c r="H79" s="15" t="s">
        <v>411</v>
      </c>
      <c r="I79" s="15" t="s">
        <v>412</v>
      </c>
      <c r="J79" s="15" t="s">
        <v>59</v>
      </c>
      <c r="K79" s="16">
        <v>46590</v>
      </c>
      <c r="L79" s="16">
        <v>56070</v>
      </c>
      <c r="M79" s="17">
        <f>Table1[[#This Row],[Billing Rate Charges]]-Table1[[#This Row],[ LORRY RATE ]]</f>
        <v>9480</v>
      </c>
      <c r="N79" s="17">
        <v>46590</v>
      </c>
      <c r="O79" s="17">
        <f>Table1[[#This Row],[ LORRY RATE ]]-Table1[[#This Row],[Adance Paid (INR)]]</f>
        <v>0</v>
      </c>
      <c r="P79" s="17" t="s">
        <v>147</v>
      </c>
      <c r="Q79" s="40">
        <v>89</v>
      </c>
      <c r="R79" s="17" t="s">
        <v>267</v>
      </c>
      <c r="S79" s="18" t="s">
        <v>387</v>
      </c>
      <c r="T79" s="18" t="s">
        <v>387</v>
      </c>
      <c r="U79" s="15" t="s">
        <v>97</v>
      </c>
      <c r="V79" s="15" t="s">
        <v>56</v>
      </c>
      <c r="W79" s="15" t="s">
        <v>154</v>
      </c>
    </row>
    <row r="80" spans="1:23" hidden="1" x14ac:dyDescent="0.3">
      <c r="A80" s="15">
        <v>80</v>
      </c>
      <c r="B80" s="15" t="s">
        <v>324</v>
      </c>
      <c r="C80" s="19">
        <v>45518</v>
      </c>
      <c r="D80" s="19" t="s">
        <v>51</v>
      </c>
      <c r="E80" s="21" t="s">
        <v>379</v>
      </c>
      <c r="F80" s="21">
        <v>9577978275</v>
      </c>
      <c r="G80" s="15" t="s">
        <v>6</v>
      </c>
      <c r="H80" s="15" t="s">
        <v>413</v>
      </c>
      <c r="I80" s="15" t="s">
        <v>414</v>
      </c>
      <c r="J80" s="15" t="s">
        <v>7</v>
      </c>
      <c r="K80" s="16">
        <v>31630</v>
      </c>
      <c r="L80" s="16">
        <v>46620</v>
      </c>
      <c r="M80" s="17">
        <f>Table1[[#This Row],[Billing Rate Charges]]-Table1[[#This Row],[ LORRY RATE ]]</f>
        <v>14990</v>
      </c>
      <c r="N80" s="17">
        <v>31630</v>
      </c>
      <c r="O80" s="17">
        <f>Table1[[#This Row],[ LORRY RATE ]]-Table1[[#This Row],[Adance Paid (INR)]]</f>
        <v>0</v>
      </c>
      <c r="P80" s="17" t="s">
        <v>147</v>
      </c>
      <c r="Q80" s="40">
        <v>90</v>
      </c>
      <c r="R80" s="17" t="s">
        <v>267</v>
      </c>
      <c r="S80" s="18" t="s">
        <v>389</v>
      </c>
      <c r="T80" s="18" t="s">
        <v>389</v>
      </c>
      <c r="U80" s="15" t="s">
        <v>97</v>
      </c>
      <c r="V80" s="15" t="s">
        <v>12</v>
      </c>
      <c r="W80" s="15"/>
    </row>
    <row r="81" spans="1:23" hidden="1" x14ac:dyDescent="0.3">
      <c r="A81" s="15">
        <v>81</v>
      </c>
      <c r="B81" s="15" t="s">
        <v>324</v>
      </c>
      <c r="C81" s="19">
        <v>45518</v>
      </c>
      <c r="D81" s="19" t="s">
        <v>51</v>
      </c>
      <c r="E81" s="21" t="s">
        <v>382</v>
      </c>
      <c r="F81" s="21">
        <v>9573610475</v>
      </c>
      <c r="G81" s="15" t="s">
        <v>6</v>
      </c>
      <c r="H81" s="15" t="s">
        <v>26</v>
      </c>
      <c r="I81" s="15" t="s">
        <v>415</v>
      </c>
      <c r="J81" s="15" t="s">
        <v>7</v>
      </c>
      <c r="K81" s="16">
        <v>36540</v>
      </c>
      <c r="L81" s="16">
        <v>47250</v>
      </c>
      <c r="M81" s="17">
        <f>Table1[[#This Row],[Billing Rate Charges]]-Table1[[#This Row],[ LORRY RATE ]]</f>
        <v>10710</v>
      </c>
      <c r="N81" s="17">
        <v>36540</v>
      </c>
      <c r="O81" s="17">
        <f>Table1[[#This Row],[ LORRY RATE ]]-Table1[[#This Row],[Adance Paid (INR)]]</f>
        <v>0</v>
      </c>
      <c r="P81" s="17" t="s">
        <v>147</v>
      </c>
      <c r="Q81" s="40">
        <v>91</v>
      </c>
      <c r="R81" s="17" t="s">
        <v>267</v>
      </c>
      <c r="S81" s="18" t="s">
        <v>388</v>
      </c>
      <c r="T81" s="18" t="s">
        <v>388</v>
      </c>
      <c r="U81" s="15" t="s">
        <v>97</v>
      </c>
      <c r="V81" s="15" t="s">
        <v>12</v>
      </c>
      <c r="W81" s="15"/>
    </row>
    <row r="82" spans="1:23" hidden="1" x14ac:dyDescent="0.3">
      <c r="A82" s="15">
        <v>82</v>
      </c>
      <c r="B82" s="15" t="s">
        <v>324</v>
      </c>
      <c r="C82" s="19">
        <v>45518</v>
      </c>
      <c r="D82" s="19" t="s">
        <v>51</v>
      </c>
      <c r="E82" s="15" t="s">
        <v>380</v>
      </c>
      <c r="F82" s="15"/>
      <c r="G82" s="15" t="s">
        <v>6</v>
      </c>
      <c r="H82" s="15" t="s">
        <v>26</v>
      </c>
      <c r="I82" s="15" t="s">
        <v>416</v>
      </c>
      <c r="J82" s="15" t="s">
        <v>381</v>
      </c>
      <c r="K82" s="16">
        <v>209420</v>
      </c>
      <c r="L82" s="16">
        <v>264250</v>
      </c>
      <c r="M82" s="17">
        <f>Table1[[#This Row],[Billing Rate Charges]]-Table1[[#This Row],[ LORRY RATE ]]</f>
        <v>54830</v>
      </c>
      <c r="N82" s="17">
        <v>209420</v>
      </c>
      <c r="O82" s="17">
        <f>Table1[[#This Row],[ LORRY RATE ]]-Table1[[#This Row],[Adance Paid (INR)]]</f>
        <v>0</v>
      </c>
      <c r="P82" s="17" t="s">
        <v>104</v>
      </c>
      <c r="Q82" s="40"/>
      <c r="R82" s="17" t="s">
        <v>267</v>
      </c>
      <c r="S82" s="18" t="s">
        <v>387</v>
      </c>
      <c r="T82" s="18" t="s">
        <v>387</v>
      </c>
      <c r="U82" s="15" t="s">
        <v>97</v>
      </c>
      <c r="V82" s="15" t="s">
        <v>380</v>
      </c>
      <c r="W82" s="15"/>
    </row>
    <row r="83" spans="1:23" hidden="1" x14ac:dyDescent="0.3">
      <c r="A83" s="15">
        <v>83</v>
      </c>
      <c r="B83" s="15" t="s">
        <v>324</v>
      </c>
      <c r="C83" s="19">
        <v>45519</v>
      </c>
      <c r="D83" s="19" t="s">
        <v>57</v>
      </c>
      <c r="E83" s="21" t="s">
        <v>60</v>
      </c>
      <c r="F83" s="21">
        <v>9589264337</v>
      </c>
      <c r="G83" s="15" t="s">
        <v>105</v>
      </c>
      <c r="H83" s="15" t="s">
        <v>26</v>
      </c>
      <c r="I83" s="15" t="s">
        <v>417</v>
      </c>
      <c r="J83" s="15" t="s">
        <v>7</v>
      </c>
      <c r="K83" s="16">
        <v>52630</v>
      </c>
      <c r="L83" s="16">
        <v>96390</v>
      </c>
      <c r="M83" s="17">
        <f>Table1[[#This Row],[Billing Rate Charges]]-Table1[[#This Row],[ LORRY RATE ]]</f>
        <v>43760</v>
      </c>
      <c r="N83" s="17"/>
      <c r="O83" s="17">
        <v>0</v>
      </c>
      <c r="P83" s="17" t="s">
        <v>147</v>
      </c>
      <c r="Q83" s="40">
        <v>92</v>
      </c>
      <c r="R83" s="17" t="s">
        <v>267</v>
      </c>
      <c r="S83" s="18" t="s">
        <v>388</v>
      </c>
      <c r="T83" s="18" t="s">
        <v>388</v>
      </c>
      <c r="U83" s="15" t="s">
        <v>97</v>
      </c>
      <c r="V83" s="15" t="s">
        <v>56</v>
      </c>
      <c r="W83" s="15"/>
    </row>
    <row r="84" spans="1:23" hidden="1" x14ac:dyDescent="0.3">
      <c r="A84" s="15">
        <v>84</v>
      </c>
      <c r="B84" s="15" t="s">
        <v>324</v>
      </c>
      <c r="C84" s="19">
        <v>45520</v>
      </c>
      <c r="D84" s="19" t="s">
        <v>51</v>
      </c>
      <c r="E84" s="21" t="s">
        <v>383</v>
      </c>
      <c r="F84" s="21">
        <v>9316665035</v>
      </c>
      <c r="G84" s="15" t="s">
        <v>6</v>
      </c>
      <c r="H84" s="15" t="s">
        <v>26</v>
      </c>
      <c r="I84" s="15" t="s">
        <v>418</v>
      </c>
      <c r="J84" s="15" t="s">
        <v>384</v>
      </c>
      <c r="K84" s="16">
        <v>30710</v>
      </c>
      <c r="L84" s="16">
        <v>44100</v>
      </c>
      <c r="M84" s="17">
        <f>Table1[[#This Row],[Billing Rate Charges]]-Table1[[#This Row],[ LORRY RATE ]]</f>
        <v>13390</v>
      </c>
      <c r="N84" s="17">
        <v>30710</v>
      </c>
      <c r="O84" s="17">
        <f>Table1[[#This Row],[ LORRY RATE ]]-Table1[[#This Row],[Adance Paid (INR)]]</f>
        <v>0</v>
      </c>
      <c r="P84" s="17" t="s">
        <v>147</v>
      </c>
      <c r="Q84" s="40">
        <v>93</v>
      </c>
      <c r="R84" s="17" t="s">
        <v>267</v>
      </c>
      <c r="S84" s="18" t="s">
        <v>392</v>
      </c>
      <c r="T84" s="18" t="s">
        <v>392</v>
      </c>
      <c r="U84" s="15" t="s">
        <v>97</v>
      </c>
      <c r="V84" s="15" t="s">
        <v>12</v>
      </c>
      <c r="W84" s="15"/>
    </row>
    <row r="85" spans="1:23" hidden="1" x14ac:dyDescent="0.3">
      <c r="A85" s="15">
        <v>85</v>
      </c>
      <c r="B85" s="15" t="s">
        <v>324</v>
      </c>
      <c r="C85" s="19">
        <v>45520</v>
      </c>
      <c r="D85" s="19" t="s">
        <v>51</v>
      </c>
      <c r="E85" s="21" t="s">
        <v>385</v>
      </c>
      <c r="F85" s="21">
        <v>9742039597</v>
      </c>
      <c r="G85" s="15" t="s">
        <v>6</v>
      </c>
      <c r="H85" s="15" t="s">
        <v>419</v>
      </c>
      <c r="I85" s="15" t="s">
        <v>420</v>
      </c>
      <c r="J85" s="15" t="s">
        <v>59</v>
      </c>
      <c r="K85" s="16">
        <v>33140</v>
      </c>
      <c r="L85" s="16">
        <v>56700</v>
      </c>
      <c r="M85" s="17">
        <f>Table1[[#This Row],[Billing Rate Charges]]-Table1[[#This Row],[ LORRY RATE ]]</f>
        <v>23560</v>
      </c>
      <c r="N85" s="17">
        <v>33140</v>
      </c>
      <c r="O85" s="17">
        <f>Table1[[#This Row],[ LORRY RATE ]]-Table1[[#This Row],[Adance Paid (INR)]]</f>
        <v>0</v>
      </c>
      <c r="P85" s="17" t="s">
        <v>147</v>
      </c>
      <c r="Q85" s="40">
        <v>94</v>
      </c>
      <c r="R85" s="17" t="s">
        <v>267</v>
      </c>
      <c r="S85" s="18" t="s">
        <v>393</v>
      </c>
      <c r="T85" s="18" t="s">
        <v>393</v>
      </c>
      <c r="U85" s="15" t="s">
        <v>97</v>
      </c>
      <c r="V85" s="15" t="s">
        <v>12</v>
      </c>
      <c r="W85" s="15"/>
    </row>
    <row r="86" spans="1:23" hidden="1" x14ac:dyDescent="0.3">
      <c r="A86" s="15">
        <v>86</v>
      </c>
      <c r="B86" s="15" t="s">
        <v>324</v>
      </c>
      <c r="C86" s="19">
        <v>45524</v>
      </c>
      <c r="D86" s="19" t="s">
        <v>57</v>
      </c>
      <c r="E86" s="21" t="s">
        <v>38</v>
      </c>
      <c r="F86" s="15">
        <v>9515412075</v>
      </c>
      <c r="G86" s="15" t="s">
        <v>6</v>
      </c>
      <c r="H86" s="15" t="s">
        <v>26</v>
      </c>
      <c r="I86" s="15" t="s">
        <v>377</v>
      </c>
      <c r="J86" s="15" t="s">
        <v>59</v>
      </c>
      <c r="K86" s="16">
        <v>51880</v>
      </c>
      <c r="L86" s="16">
        <v>91350</v>
      </c>
      <c r="M86" s="17">
        <f>Table1[[#This Row],[Billing Rate Charges]]-Table1[[#This Row],[ LORRY RATE ]]</f>
        <v>39470</v>
      </c>
      <c r="N86" s="17"/>
      <c r="O86" s="17">
        <v>0</v>
      </c>
      <c r="P86" s="17" t="s">
        <v>147</v>
      </c>
      <c r="Q86" s="40">
        <v>95</v>
      </c>
      <c r="R86" s="17" t="s">
        <v>267</v>
      </c>
      <c r="S86" s="18" t="s">
        <v>390</v>
      </c>
      <c r="T86" s="18" t="s">
        <v>391</v>
      </c>
      <c r="U86" s="15" t="s">
        <v>97</v>
      </c>
      <c r="V86" s="15" t="s">
        <v>56</v>
      </c>
      <c r="W86" s="15"/>
    </row>
    <row r="87" spans="1:23" hidden="1" x14ac:dyDescent="0.3">
      <c r="A87" s="15">
        <v>87</v>
      </c>
      <c r="B87" s="15" t="s">
        <v>324</v>
      </c>
      <c r="C87" s="19">
        <v>45525</v>
      </c>
      <c r="D87" s="19" t="s">
        <v>57</v>
      </c>
      <c r="E87" s="15" t="s">
        <v>60</v>
      </c>
      <c r="F87" s="15">
        <v>9589264337</v>
      </c>
      <c r="G87" s="15" t="s">
        <v>6</v>
      </c>
      <c r="H87" s="15" t="s">
        <v>421</v>
      </c>
      <c r="I87" s="15" t="s">
        <v>428</v>
      </c>
      <c r="J87" s="15" t="s">
        <v>7</v>
      </c>
      <c r="K87" s="16">
        <v>45170</v>
      </c>
      <c r="L87" s="16">
        <v>46620</v>
      </c>
      <c r="M87" s="17">
        <f>Table1[[#This Row],[Billing Rate Charges]]-Table1[[#This Row],[ LORRY RATE ]]</f>
        <v>1450</v>
      </c>
      <c r="N87" s="17"/>
      <c r="O87" s="17">
        <v>0</v>
      </c>
      <c r="P87" s="17" t="s">
        <v>147</v>
      </c>
      <c r="Q87" s="40">
        <v>96</v>
      </c>
      <c r="R87" s="17" t="s">
        <v>267</v>
      </c>
      <c r="S87" s="18" t="s">
        <v>395</v>
      </c>
      <c r="T87" s="18" t="s">
        <v>398</v>
      </c>
      <c r="U87" s="15" t="s">
        <v>97</v>
      </c>
      <c r="V87" s="15" t="s">
        <v>56</v>
      </c>
      <c r="W87" s="15"/>
    </row>
    <row r="88" spans="1:23" hidden="1" x14ac:dyDescent="0.3">
      <c r="A88" s="15">
        <v>88</v>
      </c>
      <c r="B88" s="15" t="s">
        <v>324</v>
      </c>
      <c r="C88" s="19">
        <v>45528</v>
      </c>
      <c r="D88" s="19" t="s">
        <v>51</v>
      </c>
      <c r="E88" s="21" t="s">
        <v>396</v>
      </c>
      <c r="F88" s="21">
        <v>9772336065</v>
      </c>
      <c r="G88" s="15" t="s">
        <v>6</v>
      </c>
      <c r="H88" s="15" t="s">
        <v>422</v>
      </c>
      <c r="I88" s="15" t="s">
        <v>423</v>
      </c>
      <c r="J88" s="15" t="s">
        <v>7</v>
      </c>
      <c r="K88" s="16">
        <v>33770</v>
      </c>
      <c r="L88" s="16">
        <v>46620</v>
      </c>
      <c r="M88" s="17">
        <f>Table1[[#This Row],[Billing Rate Charges]]-Table1[[#This Row],[ LORRY RATE ]]</f>
        <v>12850</v>
      </c>
      <c r="N88" s="17">
        <v>33770</v>
      </c>
      <c r="O88" s="17">
        <f>Table1[[#This Row],[ LORRY RATE ]]-Table1[[#This Row],[Adance Paid (INR)]]</f>
        <v>0</v>
      </c>
      <c r="P88" s="17" t="s">
        <v>147</v>
      </c>
      <c r="Q88" s="40">
        <v>97</v>
      </c>
      <c r="R88" s="17" t="s">
        <v>267</v>
      </c>
      <c r="S88" s="18" t="s">
        <v>431</v>
      </c>
      <c r="T88" s="18" t="s">
        <v>431</v>
      </c>
      <c r="U88" s="15" t="s">
        <v>97</v>
      </c>
      <c r="V88" s="15" t="s">
        <v>12</v>
      </c>
      <c r="W88" s="15"/>
    </row>
    <row r="89" spans="1:23" hidden="1" x14ac:dyDescent="0.3">
      <c r="A89" s="15">
        <v>89</v>
      </c>
      <c r="B89" s="15" t="s">
        <v>324</v>
      </c>
      <c r="C89" s="19">
        <v>45528</v>
      </c>
      <c r="D89" s="19" t="s">
        <v>51</v>
      </c>
      <c r="E89" s="21" t="s">
        <v>397</v>
      </c>
      <c r="F89" s="21">
        <v>9788395365</v>
      </c>
      <c r="G89" s="15" t="s">
        <v>105</v>
      </c>
      <c r="H89" s="15" t="s">
        <v>26</v>
      </c>
      <c r="I89" s="15" t="s">
        <v>6</v>
      </c>
      <c r="J89" s="15" t="s">
        <v>7</v>
      </c>
      <c r="K89" s="16">
        <v>67210</v>
      </c>
      <c r="L89" s="16">
        <v>96390</v>
      </c>
      <c r="M89" s="17">
        <f>Table1[[#This Row],[Billing Rate Charges]]-Table1[[#This Row],[ LORRY RATE ]]</f>
        <v>29180</v>
      </c>
      <c r="N89" s="17">
        <v>67210</v>
      </c>
      <c r="O89" s="17">
        <f>Table1[[#This Row],[ LORRY RATE ]]-Table1[[#This Row],[Adance Paid (INR)]]</f>
        <v>0</v>
      </c>
      <c r="P89" s="17" t="s">
        <v>147</v>
      </c>
      <c r="Q89" s="40">
        <v>98</v>
      </c>
      <c r="R89" s="17" t="s">
        <v>267</v>
      </c>
      <c r="S89" s="18" t="s">
        <v>432</v>
      </c>
      <c r="T89" s="18" t="s">
        <v>432</v>
      </c>
      <c r="U89" s="15" t="s">
        <v>97</v>
      </c>
      <c r="V89" s="15" t="s">
        <v>400</v>
      </c>
      <c r="W89" s="15"/>
    </row>
    <row r="90" spans="1:23" hidden="1" x14ac:dyDescent="0.3">
      <c r="A90" s="15">
        <v>90</v>
      </c>
      <c r="B90" s="15" t="s">
        <v>324</v>
      </c>
      <c r="C90" s="19">
        <v>45528</v>
      </c>
      <c r="D90" s="19" t="s">
        <v>51</v>
      </c>
      <c r="E90" s="21" t="s">
        <v>368</v>
      </c>
      <c r="F90" s="21">
        <v>9065465756</v>
      </c>
      <c r="G90" s="15" t="s">
        <v>6</v>
      </c>
      <c r="H90" s="15" t="s">
        <v>26</v>
      </c>
      <c r="I90" s="15" t="s">
        <v>424</v>
      </c>
      <c r="J90" s="15" t="s">
        <v>7</v>
      </c>
      <c r="K90" s="16">
        <v>40160</v>
      </c>
      <c r="L90" s="16">
        <v>53550</v>
      </c>
      <c r="M90" s="17">
        <f>Table1[[#This Row],[Billing Rate Charges]]-Table1[[#This Row],[ LORRY RATE ]]</f>
        <v>13390</v>
      </c>
      <c r="N90" s="17">
        <v>40160</v>
      </c>
      <c r="O90" s="17">
        <f>Table1[[#This Row],[ LORRY RATE ]]-Table1[[#This Row],[Adance Paid (INR)]]</f>
        <v>0</v>
      </c>
      <c r="P90" s="17" t="s">
        <v>147</v>
      </c>
      <c r="Q90" s="40">
        <v>99</v>
      </c>
      <c r="R90" s="17" t="s">
        <v>267</v>
      </c>
      <c r="S90" s="18" t="s">
        <v>432</v>
      </c>
      <c r="T90" s="18" t="s">
        <v>432</v>
      </c>
      <c r="U90" s="15" t="s">
        <v>97</v>
      </c>
      <c r="V90" s="15" t="s">
        <v>370</v>
      </c>
      <c r="W90" s="15" t="s">
        <v>402</v>
      </c>
    </row>
    <row r="91" spans="1:23" hidden="1" x14ac:dyDescent="0.3">
      <c r="A91" s="15">
        <v>91</v>
      </c>
      <c r="B91" s="15" t="s">
        <v>324</v>
      </c>
      <c r="C91" s="19">
        <v>45528</v>
      </c>
      <c r="D91" s="19" t="s">
        <v>51</v>
      </c>
      <c r="E91" s="21" t="s">
        <v>399</v>
      </c>
      <c r="F91" s="21">
        <v>9748894966</v>
      </c>
      <c r="G91" s="15" t="s">
        <v>6</v>
      </c>
      <c r="H91" s="15" t="s">
        <v>26</v>
      </c>
      <c r="I91" s="15" t="s">
        <v>429</v>
      </c>
      <c r="J91" s="15" t="s">
        <v>168</v>
      </c>
      <c r="K91" s="16">
        <v>25690</v>
      </c>
      <c r="L91" s="16">
        <v>35600</v>
      </c>
      <c r="M91" s="17">
        <f>Table1[[#This Row],[Billing Rate Charges]]-Table1[[#This Row],[ LORRY RATE ]]</f>
        <v>9910</v>
      </c>
      <c r="N91" s="17">
        <v>25690</v>
      </c>
      <c r="O91" s="17">
        <f>Table1[[#This Row],[ LORRY RATE ]]-Table1[[#This Row],[Adance Paid (INR)]]</f>
        <v>0</v>
      </c>
      <c r="P91" s="17" t="s">
        <v>147</v>
      </c>
      <c r="Q91" s="40">
        <v>100</v>
      </c>
      <c r="R91" s="17" t="s">
        <v>267</v>
      </c>
      <c r="S91" s="18" t="s">
        <v>431</v>
      </c>
      <c r="T91" s="18" t="s">
        <v>431</v>
      </c>
      <c r="U91" s="15" t="s">
        <v>97</v>
      </c>
      <c r="V91" s="15" t="s">
        <v>12</v>
      </c>
      <c r="W91" s="15"/>
    </row>
    <row r="92" spans="1:23" hidden="1" x14ac:dyDescent="0.3">
      <c r="A92" s="15">
        <v>92</v>
      </c>
      <c r="B92" s="15" t="s">
        <v>324</v>
      </c>
      <c r="C92" s="19">
        <v>45528</v>
      </c>
      <c r="D92" s="19" t="s">
        <v>51</v>
      </c>
      <c r="E92" s="21" t="s">
        <v>153</v>
      </c>
      <c r="F92" s="21">
        <v>9950818773</v>
      </c>
      <c r="G92" s="15" t="s">
        <v>6</v>
      </c>
      <c r="H92" s="15" t="s">
        <v>425</v>
      </c>
      <c r="I92" s="15" t="s">
        <v>426</v>
      </c>
      <c r="J92" s="15" t="s">
        <v>7</v>
      </c>
      <c r="K92" s="16">
        <v>33640</v>
      </c>
      <c r="L92" s="16">
        <v>52920</v>
      </c>
      <c r="M92" s="17">
        <f>Table1[[#This Row],[Billing Rate Charges]]-Table1[[#This Row],[ LORRY RATE ]]</f>
        <v>19280</v>
      </c>
      <c r="N92" s="17">
        <v>33640</v>
      </c>
      <c r="O92" s="17">
        <f>Table1[[#This Row],[ LORRY RATE ]]-Table1[[#This Row],[Adance Paid (INR)]]</f>
        <v>0</v>
      </c>
      <c r="P92" s="17" t="s">
        <v>147</v>
      </c>
      <c r="Q92" s="40">
        <v>101</v>
      </c>
      <c r="R92" s="17" t="s">
        <v>267</v>
      </c>
      <c r="S92" s="18" t="s">
        <v>431</v>
      </c>
      <c r="T92" s="18" t="s">
        <v>431</v>
      </c>
      <c r="U92" s="15" t="s">
        <v>97</v>
      </c>
      <c r="V92" s="15" t="s">
        <v>12</v>
      </c>
      <c r="W92" s="15"/>
    </row>
    <row r="93" spans="1:23" hidden="1" x14ac:dyDescent="0.3">
      <c r="A93" s="15">
        <v>93</v>
      </c>
      <c r="B93" s="15" t="s">
        <v>324</v>
      </c>
      <c r="C93" s="19">
        <v>45531</v>
      </c>
      <c r="D93" s="19" t="s">
        <v>51</v>
      </c>
      <c r="E93" s="15" t="s">
        <v>401</v>
      </c>
      <c r="F93" s="15">
        <v>9923171297</v>
      </c>
      <c r="G93" s="15" t="s">
        <v>6</v>
      </c>
      <c r="H93" s="15" t="s">
        <v>26</v>
      </c>
      <c r="I93" s="15" t="s">
        <v>430</v>
      </c>
      <c r="J93" s="15" t="s">
        <v>28</v>
      </c>
      <c r="K93" s="16">
        <v>25690</v>
      </c>
      <c r="L93" s="16">
        <v>35600</v>
      </c>
      <c r="M93" s="17">
        <f>Table1[[#This Row],[Billing Rate Charges]]-Table1[[#This Row],[ LORRY RATE ]]</f>
        <v>9910</v>
      </c>
      <c r="N93" s="17">
        <v>25690</v>
      </c>
      <c r="O93" s="17">
        <f>Table1[[#This Row],[ LORRY RATE ]]-Table1[[#This Row],[Adance Paid (INR)]]</f>
        <v>0</v>
      </c>
      <c r="P93" s="17" t="s">
        <v>147</v>
      </c>
      <c r="Q93" s="40">
        <v>102</v>
      </c>
      <c r="R93" s="17" t="s">
        <v>267</v>
      </c>
      <c r="S93" s="18" t="s">
        <v>433</v>
      </c>
      <c r="T93" s="18" t="s">
        <v>433</v>
      </c>
      <c r="U93" s="15" t="s">
        <v>97</v>
      </c>
      <c r="V93" s="15" t="s">
        <v>12</v>
      </c>
      <c r="W93" s="15"/>
    </row>
    <row r="94" spans="1:23" hidden="1" x14ac:dyDescent="0.3">
      <c r="A94" s="15">
        <v>94</v>
      </c>
      <c r="B94" s="15" t="s">
        <v>324</v>
      </c>
      <c r="C94" s="19">
        <v>45531</v>
      </c>
      <c r="D94" s="19" t="s">
        <v>74</v>
      </c>
      <c r="E94" s="21" t="s">
        <v>224</v>
      </c>
      <c r="F94" s="21">
        <v>9358929187</v>
      </c>
      <c r="G94" s="15" t="s">
        <v>6</v>
      </c>
      <c r="H94" s="15" t="s">
        <v>26</v>
      </c>
      <c r="I94" s="15" t="s">
        <v>532</v>
      </c>
      <c r="J94" s="15" t="s">
        <v>7</v>
      </c>
      <c r="K94" s="16">
        <v>34300</v>
      </c>
      <c r="L94" s="16">
        <v>46620</v>
      </c>
      <c r="M94" s="17">
        <f>Table1[[#This Row],[Billing Rate Charges]]-Table1[[#This Row],[ LORRY RATE ]]</f>
        <v>12320</v>
      </c>
      <c r="N94" s="17">
        <v>34300</v>
      </c>
      <c r="O94" s="17">
        <f>Table1[[#This Row],[ LORRY RATE ]]-Table1[[#This Row],[Adance Paid (INR)]]</f>
        <v>0</v>
      </c>
      <c r="P94" s="17" t="s">
        <v>147</v>
      </c>
      <c r="Q94" s="40">
        <v>103</v>
      </c>
      <c r="R94" s="17" t="s">
        <v>267</v>
      </c>
      <c r="S94" s="18" t="s">
        <v>434</v>
      </c>
      <c r="T94" s="18" t="s">
        <v>434</v>
      </c>
      <c r="U94" s="15" t="s">
        <v>97</v>
      </c>
      <c r="V94" s="15" t="s">
        <v>225</v>
      </c>
      <c r="W94" s="15" t="s">
        <v>402</v>
      </c>
    </row>
    <row r="95" spans="1:23" hidden="1" x14ac:dyDescent="0.3">
      <c r="A95" s="15">
        <v>95</v>
      </c>
      <c r="B95" s="15" t="s">
        <v>324</v>
      </c>
      <c r="C95" s="19">
        <v>45531</v>
      </c>
      <c r="D95" s="19" t="s">
        <v>51</v>
      </c>
      <c r="E95" s="15" t="s">
        <v>403</v>
      </c>
      <c r="F95" s="15">
        <v>9165942602</v>
      </c>
      <c r="G95" s="15" t="s">
        <v>6</v>
      </c>
      <c r="H95" s="15" t="s">
        <v>369</v>
      </c>
      <c r="I95" s="15" t="s">
        <v>377</v>
      </c>
      <c r="J95" s="15" t="s">
        <v>28</v>
      </c>
      <c r="K95" s="16">
        <v>29550</v>
      </c>
      <c r="L95" s="16">
        <v>43470</v>
      </c>
      <c r="M95" s="17">
        <f>Table1[[#This Row],[Billing Rate Charges]]-Table1[[#This Row],[ LORRY RATE ]]</f>
        <v>13920</v>
      </c>
      <c r="N95" s="17">
        <v>29550</v>
      </c>
      <c r="O95" s="17">
        <f>Table1[[#This Row],[ LORRY RATE ]]-Table1[[#This Row],[Adance Paid (INR)]]</f>
        <v>0</v>
      </c>
      <c r="P95" s="17" t="s">
        <v>147</v>
      </c>
      <c r="Q95" s="40">
        <v>104</v>
      </c>
      <c r="R95" s="17" t="s">
        <v>267</v>
      </c>
      <c r="S95" s="18" t="s">
        <v>434</v>
      </c>
      <c r="T95" s="18" t="s">
        <v>434</v>
      </c>
      <c r="U95" s="15" t="s">
        <v>97</v>
      </c>
      <c r="V95" s="15" t="s">
        <v>12</v>
      </c>
      <c r="W95" s="15" t="s">
        <v>154</v>
      </c>
    </row>
    <row r="96" spans="1:23" hidden="1" x14ac:dyDescent="0.3">
      <c r="A96" s="15">
        <v>96</v>
      </c>
      <c r="B96" s="15" t="s">
        <v>324</v>
      </c>
      <c r="C96" s="19">
        <v>45531</v>
      </c>
      <c r="D96" s="19" t="s">
        <v>57</v>
      </c>
      <c r="E96" s="15" t="s">
        <v>38</v>
      </c>
      <c r="F96" s="15">
        <v>9515412075</v>
      </c>
      <c r="G96" s="15" t="s">
        <v>6</v>
      </c>
      <c r="H96" s="15" t="s">
        <v>41</v>
      </c>
      <c r="I96" s="15" t="s">
        <v>394</v>
      </c>
      <c r="J96" s="15" t="s">
        <v>59</v>
      </c>
      <c r="K96" s="16">
        <v>44930</v>
      </c>
      <c r="L96" s="16">
        <v>45040</v>
      </c>
      <c r="M96" s="17">
        <f>Table1[[#This Row],[Billing Rate Charges]]-Table1[[#This Row],[ LORRY RATE ]]</f>
        <v>110</v>
      </c>
      <c r="N96" s="17"/>
      <c r="O96" s="17">
        <v>0</v>
      </c>
      <c r="P96" s="17" t="s">
        <v>147</v>
      </c>
      <c r="Q96" s="40">
        <v>105</v>
      </c>
      <c r="R96" s="17" t="s">
        <v>267</v>
      </c>
      <c r="S96" s="18" t="s">
        <v>434</v>
      </c>
      <c r="T96" s="18" t="s">
        <v>434</v>
      </c>
      <c r="U96" s="15" t="s">
        <v>97</v>
      </c>
      <c r="V96" s="15" t="s">
        <v>56</v>
      </c>
      <c r="W96" s="15"/>
    </row>
    <row r="97" spans="1:23" hidden="1" x14ac:dyDescent="0.3">
      <c r="A97" s="15">
        <v>97</v>
      </c>
      <c r="B97" s="15" t="s">
        <v>324</v>
      </c>
      <c r="C97" s="19">
        <v>45533</v>
      </c>
      <c r="D97" s="19" t="s">
        <v>57</v>
      </c>
      <c r="E97" s="15" t="s">
        <v>60</v>
      </c>
      <c r="F97" s="15">
        <v>9589264337</v>
      </c>
      <c r="G97" s="15" t="s">
        <v>42</v>
      </c>
      <c r="H97" s="15" t="s">
        <v>105</v>
      </c>
      <c r="I97" s="15" t="s">
        <v>6</v>
      </c>
      <c r="J97" s="15" t="s">
        <v>7</v>
      </c>
      <c r="K97" s="16">
        <v>53580</v>
      </c>
      <c r="L97" s="16">
        <v>102690</v>
      </c>
      <c r="M97" s="17">
        <f>Table1[[#This Row],[Billing Rate Charges]]-Table1[[#This Row],[ LORRY RATE ]]</f>
        <v>49110</v>
      </c>
      <c r="N97" s="17"/>
      <c r="O97" s="17">
        <v>0</v>
      </c>
      <c r="P97" s="17" t="s">
        <v>147</v>
      </c>
      <c r="Q97" s="40">
        <v>106</v>
      </c>
      <c r="R97" s="17" t="s">
        <v>267</v>
      </c>
      <c r="S97" s="18" t="s">
        <v>436</v>
      </c>
      <c r="T97" s="18" t="s">
        <v>436</v>
      </c>
      <c r="U97" s="15" t="s">
        <v>97</v>
      </c>
      <c r="V97" s="15" t="s">
        <v>56</v>
      </c>
      <c r="W97" s="15"/>
    </row>
    <row r="98" spans="1:23" hidden="1" x14ac:dyDescent="0.3">
      <c r="A98" s="15">
        <v>98</v>
      </c>
      <c r="B98" s="15" t="s">
        <v>324</v>
      </c>
      <c r="C98" s="19">
        <v>45533</v>
      </c>
      <c r="D98" s="19" t="s">
        <v>51</v>
      </c>
      <c r="E98" s="21" t="s">
        <v>435</v>
      </c>
      <c r="F98" s="21">
        <v>9654538123</v>
      </c>
      <c r="G98" s="15" t="s">
        <v>6</v>
      </c>
      <c r="H98" s="15" t="s">
        <v>26</v>
      </c>
      <c r="I98" s="15" t="s">
        <v>533</v>
      </c>
      <c r="J98" s="15" t="s">
        <v>168</v>
      </c>
      <c r="K98" s="16">
        <v>27610</v>
      </c>
      <c r="L98" s="16">
        <v>41260</v>
      </c>
      <c r="M98" s="17">
        <f>Table1[[#This Row],[Billing Rate Charges]]-Table1[[#This Row],[ LORRY RATE ]]</f>
        <v>13650</v>
      </c>
      <c r="N98" s="17">
        <v>27610</v>
      </c>
      <c r="O98" s="17">
        <f>Table1[[#This Row],[ LORRY RATE ]]-Table1[[#This Row],[Adance Paid (INR)]]</f>
        <v>0</v>
      </c>
      <c r="P98" s="17" t="s">
        <v>147</v>
      </c>
      <c r="Q98" s="40">
        <v>107</v>
      </c>
      <c r="R98" s="17" t="s">
        <v>267</v>
      </c>
      <c r="S98" s="18" t="s">
        <v>434</v>
      </c>
      <c r="T98" s="18" t="s">
        <v>434</v>
      </c>
      <c r="U98" s="15" t="s">
        <v>97</v>
      </c>
      <c r="V98" s="15" t="s">
        <v>12</v>
      </c>
      <c r="W98" s="15" t="s">
        <v>154</v>
      </c>
    </row>
    <row r="99" spans="1:23" hidden="1" x14ac:dyDescent="0.3">
      <c r="A99" s="15">
        <v>99</v>
      </c>
      <c r="B99" s="15" t="s">
        <v>324</v>
      </c>
      <c r="C99" s="19">
        <v>45533</v>
      </c>
      <c r="D99" s="19" t="s">
        <v>51</v>
      </c>
      <c r="E99" s="21" t="s">
        <v>437</v>
      </c>
      <c r="F99" s="21">
        <v>9812468058</v>
      </c>
      <c r="G99" s="15" t="s">
        <v>6</v>
      </c>
      <c r="H99" s="15" t="s">
        <v>41</v>
      </c>
      <c r="I99" s="15" t="s">
        <v>394</v>
      </c>
      <c r="J99" s="15" t="s">
        <v>7</v>
      </c>
      <c r="K99" s="16">
        <v>34300</v>
      </c>
      <c r="L99" s="16">
        <v>46620</v>
      </c>
      <c r="M99" s="17">
        <f>Table1[[#This Row],[Billing Rate Charges]]-Table1[[#This Row],[ LORRY RATE ]]</f>
        <v>12320</v>
      </c>
      <c r="N99" s="17">
        <v>34300</v>
      </c>
      <c r="O99" s="17">
        <f>Table1[[#This Row],[ LORRY RATE ]]-Table1[[#This Row],[Adance Paid (INR)]]</f>
        <v>0</v>
      </c>
      <c r="P99" s="17" t="s">
        <v>147</v>
      </c>
      <c r="Q99" s="40">
        <v>108</v>
      </c>
      <c r="R99" s="17" t="s">
        <v>267</v>
      </c>
      <c r="S99" s="18" t="s">
        <v>436</v>
      </c>
      <c r="T99" s="18" t="s">
        <v>461</v>
      </c>
      <c r="U99" s="15" t="s">
        <v>97</v>
      </c>
      <c r="V99" s="15" t="s">
        <v>213</v>
      </c>
      <c r="W99" s="15"/>
    </row>
    <row r="100" spans="1:23" hidden="1" x14ac:dyDescent="0.3">
      <c r="A100" s="15">
        <v>100</v>
      </c>
      <c r="B100" s="15" t="s">
        <v>324</v>
      </c>
      <c r="C100" s="19">
        <v>45533</v>
      </c>
      <c r="D100" s="19" t="s">
        <v>51</v>
      </c>
      <c r="E100" s="21" t="s">
        <v>438</v>
      </c>
      <c r="F100" s="21">
        <v>9563961453</v>
      </c>
      <c r="G100" s="15" t="s">
        <v>6</v>
      </c>
      <c r="H100" s="15" t="s">
        <v>534</v>
      </c>
      <c r="I100" s="15" t="s">
        <v>377</v>
      </c>
      <c r="J100" s="15" t="s">
        <v>168</v>
      </c>
      <c r="K100" s="16">
        <v>30180</v>
      </c>
      <c r="L100" s="16">
        <v>44100</v>
      </c>
      <c r="M100" s="17">
        <f>Table1[[#This Row],[Billing Rate Charges]]-Table1[[#This Row],[ LORRY RATE ]]</f>
        <v>13920</v>
      </c>
      <c r="N100" s="17">
        <v>30180</v>
      </c>
      <c r="O100" s="17">
        <f>Table1[[#This Row],[ LORRY RATE ]]-Table1[[#This Row],[Adance Paid (INR)]]</f>
        <v>0</v>
      </c>
      <c r="P100" s="17" t="s">
        <v>147</v>
      </c>
      <c r="Q100" s="40">
        <v>109</v>
      </c>
      <c r="R100" s="17" t="s">
        <v>267</v>
      </c>
      <c r="S100" s="18" t="s">
        <v>436</v>
      </c>
      <c r="T100" s="18" t="s">
        <v>462</v>
      </c>
      <c r="U100" s="15" t="s">
        <v>97</v>
      </c>
      <c r="V100" s="15" t="s">
        <v>439</v>
      </c>
      <c r="W100" s="15"/>
    </row>
    <row r="101" spans="1:23" hidden="1" x14ac:dyDescent="0.3">
      <c r="A101" s="15">
        <v>101</v>
      </c>
      <c r="B101" s="15" t="s">
        <v>324</v>
      </c>
      <c r="C101" s="19">
        <v>45534</v>
      </c>
      <c r="D101" s="19" t="s">
        <v>51</v>
      </c>
      <c r="E101" s="21" t="s">
        <v>19</v>
      </c>
      <c r="F101" s="21">
        <v>9149905009</v>
      </c>
      <c r="G101" s="15" t="s">
        <v>6</v>
      </c>
      <c r="H101" s="15" t="s">
        <v>440</v>
      </c>
      <c r="I101" s="15" t="s">
        <v>41</v>
      </c>
      <c r="J101" s="15" t="s">
        <v>168</v>
      </c>
      <c r="K101" s="16">
        <v>26630</v>
      </c>
      <c r="L101" s="16">
        <v>41900</v>
      </c>
      <c r="M101" s="17">
        <f>Table1[[#This Row],[Billing Rate Charges]]-Table1[[#This Row],[ LORRY RATE ]]</f>
        <v>15270</v>
      </c>
      <c r="N101" s="17">
        <v>26630</v>
      </c>
      <c r="O101" s="17">
        <f>Table1[[#This Row],[ LORRY RATE ]]-Table1[[#This Row],[Adance Paid (INR)]]</f>
        <v>0</v>
      </c>
      <c r="P101" s="17" t="s">
        <v>147</v>
      </c>
      <c r="Q101" s="40">
        <v>110</v>
      </c>
      <c r="R101" s="17" t="s">
        <v>267</v>
      </c>
      <c r="S101" s="18" t="s">
        <v>461</v>
      </c>
      <c r="T101" s="18" t="s">
        <v>461</v>
      </c>
      <c r="U101" s="15" t="s">
        <v>97</v>
      </c>
      <c r="V101" s="15" t="s">
        <v>12</v>
      </c>
      <c r="W101" s="15"/>
    </row>
    <row r="102" spans="1:23" hidden="1" x14ac:dyDescent="0.3">
      <c r="A102" s="15">
        <v>102</v>
      </c>
      <c r="B102" s="15" t="s">
        <v>324</v>
      </c>
      <c r="C102" s="19">
        <v>45535</v>
      </c>
      <c r="D102" s="19" t="s">
        <v>51</v>
      </c>
      <c r="E102" s="15" t="s">
        <v>397</v>
      </c>
      <c r="F102" s="15">
        <v>9788395365</v>
      </c>
      <c r="G102" s="15" t="s">
        <v>6</v>
      </c>
      <c r="H102" s="15" t="s">
        <v>441</v>
      </c>
      <c r="I102" s="15" t="s">
        <v>377</v>
      </c>
      <c r="J102" s="15" t="s">
        <v>7</v>
      </c>
      <c r="K102" s="16">
        <v>40450</v>
      </c>
      <c r="L102" s="16">
        <v>66150</v>
      </c>
      <c r="M102" s="17">
        <f>Table1[[#This Row],[Billing Rate Charges]]-Table1[[#This Row],[ LORRY RATE ]]</f>
        <v>25700</v>
      </c>
      <c r="N102" s="17">
        <v>40450</v>
      </c>
      <c r="O102" s="17">
        <f>Table1[[#This Row],[ LORRY RATE ]]-Table1[[#This Row],[Adance Paid (INR)]]</f>
        <v>0</v>
      </c>
      <c r="P102" s="17" t="s">
        <v>147</v>
      </c>
      <c r="Q102" s="40">
        <v>111</v>
      </c>
      <c r="R102" s="17" t="s">
        <v>267</v>
      </c>
      <c r="S102" s="18" t="s">
        <v>456</v>
      </c>
      <c r="T102" s="18" t="s">
        <v>457</v>
      </c>
      <c r="U102" s="15" t="s">
        <v>97</v>
      </c>
      <c r="V102" s="15" t="s">
        <v>442</v>
      </c>
      <c r="W102" s="15"/>
    </row>
    <row r="103" spans="1:23" hidden="1" x14ac:dyDescent="0.3">
      <c r="A103" s="15">
        <v>103</v>
      </c>
      <c r="B103" s="15" t="s">
        <v>443</v>
      </c>
      <c r="C103" s="19">
        <v>45538</v>
      </c>
      <c r="D103" s="19" t="s">
        <v>57</v>
      </c>
      <c r="E103" s="15" t="s">
        <v>38</v>
      </c>
      <c r="F103" s="15">
        <v>9515412075</v>
      </c>
      <c r="G103" s="15" t="s">
        <v>42</v>
      </c>
      <c r="H103" s="15" t="s">
        <v>475</v>
      </c>
      <c r="I103" s="15" t="s">
        <v>6</v>
      </c>
      <c r="J103" s="15" t="s">
        <v>25</v>
      </c>
      <c r="K103" s="16">
        <v>53770</v>
      </c>
      <c r="L103" s="16">
        <v>103950</v>
      </c>
      <c r="M103" s="17">
        <f>Table1[[#This Row],[Billing Rate Charges]]-Table1[[#This Row],[ LORRY RATE ]]</f>
        <v>50180</v>
      </c>
      <c r="N103" s="17"/>
      <c r="O103" s="17">
        <v>0</v>
      </c>
      <c r="P103" s="17" t="s">
        <v>147</v>
      </c>
      <c r="Q103" s="18" t="s">
        <v>504</v>
      </c>
      <c r="R103" s="17" t="s">
        <v>267</v>
      </c>
      <c r="S103" s="18" t="s">
        <v>456</v>
      </c>
      <c r="T103" s="18" t="s">
        <v>456</v>
      </c>
      <c r="U103" s="15" t="s">
        <v>97</v>
      </c>
      <c r="V103" s="15" t="s">
        <v>56</v>
      </c>
      <c r="W103" s="15"/>
    </row>
    <row r="104" spans="1:23" hidden="1" x14ac:dyDescent="0.3">
      <c r="A104" s="15">
        <v>104</v>
      </c>
      <c r="B104" s="15" t="s">
        <v>443</v>
      </c>
      <c r="C104" s="19">
        <v>45538</v>
      </c>
      <c r="D104" s="19" t="s">
        <v>57</v>
      </c>
      <c r="E104" s="15" t="s">
        <v>60</v>
      </c>
      <c r="F104" s="15">
        <v>9589264337</v>
      </c>
      <c r="G104" s="15" t="s">
        <v>6</v>
      </c>
      <c r="H104" s="15" t="s">
        <v>477</v>
      </c>
      <c r="I104" s="15" t="s">
        <v>476</v>
      </c>
      <c r="J104" s="15" t="s">
        <v>7</v>
      </c>
      <c r="K104" s="16">
        <v>46110</v>
      </c>
      <c r="L104" s="16">
        <v>52920</v>
      </c>
      <c r="M104" s="17">
        <f>Table1[[#This Row],[Billing Rate Charges]]-Table1[[#This Row],[ LORRY RATE ]]</f>
        <v>6810</v>
      </c>
      <c r="N104" s="17"/>
      <c r="O104" s="17">
        <v>0</v>
      </c>
      <c r="P104" s="17" t="s">
        <v>147</v>
      </c>
      <c r="Q104" s="18" t="s">
        <v>505</v>
      </c>
      <c r="R104" s="17" t="s">
        <v>267</v>
      </c>
      <c r="S104" s="18" t="s">
        <v>456</v>
      </c>
      <c r="T104" s="18" t="s">
        <v>457</v>
      </c>
      <c r="U104" s="15" t="s">
        <v>97</v>
      </c>
      <c r="V104" s="15" t="s">
        <v>56</v>
      </c>
      <c r="W104" s="15"/>
    </row>
    <row r="105" spans="1:23" hidden="1" x14ac:dyDescent="0.3">
      <c r="A105" s="15">
        <v>105</v>
      </c>
      <c r="B105" s="15" t="s">
        <v>443</v>
      </c>
      <c r="C105" s="19">
        <v>45538</v>
      </c>
      <c r="D105" s="19" t="s">
        <v>51</v>
      </c>
      <c r="E105" s="15" t="s">
        <v>444</v>
      </c>
      <c r="F105" s="15">
        <v>9119138448</v>
      </c>
      <c r="G105" s="15" t="s">
        <v>6</v>
      </c>
      <c r="H105" s="15" t="s">
        <v>26</v>
      </c>
      <c r="I105" s="15" t="s">
        <v>6</v>
      </c>
      <c r="J105" s="15" t="s">
        <v>445</v>
      </c>
      <c r="K105" s="16">
        <v>1250</v>
      </c>
      <c r="L105" s="16">
        <v>1890</v>
      </c>
      <c r="M105" s="17">
        <f>Table1[[#This Row],[Billing Rate Charges]]-Table1[[#This Row],[ LORRY RATE ]]</f>
        <v>640</v>
      </c>
      <c r="N105" s="17">
        <v>1250</v>
      </c>
      <c r="O105" s="17">
        <f>Table1[[#This Row],[ LORRY RATE ]]-Table1[[#This Row],[Adance Paid (INR)]]</f>
        <v>0</v>
      </c>
      <c r="P105" s="17" t="s">
        <v>147</v>
      </c>
      <c r="Q105" s="18" t="s">
        <v>506</v>
      </c>
      <c r="R105" s="17" t="s">
        <v>267</v>
      </c>
      <c r="S105" s="18" t="s">
        <v>461</v>
      </c>
      <c r="T105" s="18" t="s">
        <v>461</v>
      </c>
      <c r="U105" s="15" t="s">
        <v>97</v>
      </c>
      <c r="V105" s="15" t="s">
        <v>446</v>
      </c>
      <c r="W105" s="15" t="s">
        <v>447</v>
      </c>
    </row>
    <row r="106" spans="1:23" hidden="1" x14ac:dyDescent="0.3">
      <c r="A106" s="15">
        <v>106</v>
      </c>
      <c r="B106" s="15" t="s">
        <v>443</v>
      </c>
      <c r="C106" s="19">
        <v>45539</v>
      </c>
      <c r="D106" s="19" t="s">
        <v>51</v>
      </c>
      <c r="E106" s="15" t="s">
        <v>449</v>
      </c>
      <c r="F106" s="15">
        <v>9497840280</v>
      </c>
      <c r="G106" s="15" t="s">
        <v>6</v>
      </c>
      <c r="H106" s="15" t="s">
        <v>26</v>
      </c>
      <c r="I106" s="15" t="s">
        <v>478</v>
      </c>
      <c r="J106" s="15" t="s">
        <v>168</v>
      </c>
      <c r="K106" s="16">
        <v>28160</v>
      </c>
      <c r="L106" s="16">
        <v>37800</v>
      </c>
      <c r="M106" s="17">
        <f>Table1[[#This Row],[Billing Rate Charges]]-Table1[[#This Row],[ LORRY RATE ]]</f>
        <v>9640</v>
      </c>
      <c r="N106" s="17">
        <v>28160</v>
      </c>
      <c r="O106" s="17">
        <f>Table1[[#This Row],[ LORRY RATE ]]-Table1[[#This Row],[Adance Paid (INR)]]</f>
        <v>0</v>
      </c>
      <c r="P106" s="17" t="s">
        <v>147</v>
      </c>
      <c r="Q106" s="18" t="s">
        <v>507</v>
      </c>
      <c r="R106" s="17" t="s">
        <v>267</v>
      </c>
      <c r="S106" s="18" t="s">
        <v>463</v>
      </c>
      <c r="T106" s="18" t="s">
        <v>457</v>
      </c>
      <c r="U106" s="15" t="s">
        <v>97</v>
      </c>
      <c r="V106" s="15" t="s">
        <v>12</v>
      </c>
      <c r="W106" s="15"/>
    </row>
    <row r="107" spans="1:23" hidden="1" x14ac:dyDescent="0.3">
      <c r="A107" s="15">
        <v>107</v>
      </c>
      <c r="B107" s="15" t="s">
        <v>443</v>
      </c>
      <c r="C107" s="19">
        <v>45540</v>
      </c>
      <c r="D107" s="19" t="s">
        <v>51</v>
      </c>
      <c r="E107" s="21" t="s">
        <v>403</v>
      </c>
      <c r="F107" s="21">
        <v>9165942602</v>
      </c>
      <c r="G107" s="15" t="s">
        <v>6</v>
      </c>
      <c r="H107" s="15" t="s">
        <v>479</v>
      </c>
      <c r="I107" s="15" t="s">
        <v>480</v>
      </c>
      <c r="J107" s="15" t="s">
        <v>28</v>
      </c>
      <c r="K107" s="16">
        <v>30590</v>
      </c>
      <c r="L107" s="16">
        <v>50400</v>
      </c>
      <c r="M107" s="17">
        <f>Table1[[#This Row],[Billing Rate Charges]]-Table1[[#This Row],[ LORRY RATE ]]</f>
        <v>19810</v>
      </c>
      <c r="N107" s="17">
        <v>30590</v>
      </c>
      <c r="O107" s="17">
        <f>Table1[[#This Row],[ LORRY RATE ]]-Table1[[#This Row],[Adance Paid (INR)]]</f>
        <v>0</v>
      </c>
      <c r="P107" s="17" t="s">
        <v>147</v>
      </c>
      <c r="Q107" s="18" t="s">
        <v>508</v>
      </c>
      <c r="R107" s="17" t="s">
        <v>267</v>
      </c>
      <c r="S107" s="18" t="s">
        <v>463</v>
      </c>
      <c r="T107" s="18" t="s">
        <v>464</v>
      </c>
      <c r="U107" s="15" t="s">
        <v>97</v>
      </c>
      <c r="V107" s="15" t="s">
        <v>12</v>
      </c>
      <c r="W107" s="15"/>
    </row>
    <row r="108" spans="1:23" hidden="1" x14ac:dyDescent="0.3">
      <c r="A108" s="15">
        <v>108</v>
      </c>
      <c r="B108" s="15" t="s">
        <v>443</v>
      </c>
      <c r="C108" s="19">
        <v>45541</v>
      </c>
      <c r="D108" s="19" t="s">
        <v>51</v>
      </c>
      <c r="E108" s="21" t="s">
        <v>450</v>
      </c>
      <c r="F108" s="21">
        <v>9260938100</v>
      </c>
      <c r="G108" s="15" t="s">
        <v>6</v>
      </c>
      <c r="H108" s="15" t="s">
        <v>481</v>
      </c>
      <c r="I108" s="15" t="s">
        <v>482</v>
      </c>
      <c r="J108" s="15" t="s">
        <v>28</v>
      </c>
      <c r="K108" s="16">
        <v>29720</v>
      </c>
      <c r="L108" s="16">
        <v>48200</v>
      </c>
      <c r="M108" s="17">
        <f>Table1[[#This Row],[Billing Rate Charges]]-Table1[[#This Row],[ LORRY RATE ]]</f>
        <v>18480</v>
      </c>
      <c r="N108" s="17">
        <v>29720</v>
      </c>
      <c r="O108" s="17">
        <f>Table1[[#This Row],[ LORRY RATE ]]-Table1[[#This Row],[Adance Paid (INR)]]</f>
        <v>0</v>
      </c>
      <c r="P108" s="17" t="s">
        <v>147</v>
      </c>
      <c r="Q108" s="18" t="s">
        <v>509</v>
      </c>
      <c r="R108" s="17" t="s">
        <v>267</v>
      </c>
      <c r="S108" s="18" t="s">
        <v>464</v>
      </c>
      <c r="T108" s="18" t="s">
        <v>465</v>
      </c>
      <c r="U108" s="15" t="s">
        <v>97</v>
      </c>
      <c r="V108" s="15" t="s">
        <v>12</v>
      </c>
      <c r="W108" s="15"/>
    </row>
    <row r="109" spans="1:23" hidden="1" x14ac:dyDescent="0.3">
      <c r="A109" s="15">
        <v>109</v>
      </c>
      <c r="B109" s="15" t="s">
        <v>443</v>
      </c>
      <c r="C109" s="19">
        <v>45542</v>
      </c>
      <c r="D109" s="19" t="s">
        <v>51</v>
      </c>
      <c r="E109" s="21" t="s">
        <v>451</v>
      </c>
      <c r="F109" s="21">
        <v>9031505300</v>
      </c>
      <c r="G109" s="15" t="s">
        <v>6</v>
      </c>
      <c r="H109" s="15" t="s">
        <v>497</v>
      </c>
      <c r="I109" s="15" t="s">
        <v>332</v>
      </c>
      <c r="J109" s="15" t="s">
        <v>28</v>
      </c>
      <c r="K109" s="16">
        <v>29640</v>
      </c>
      <c r="L109" s="16">
        <v>44100</v>
      </c>
      <c r="M109" s="17">
        <f>Table1[[#This Row],[Billing Rate Charges]]-Table1[[#This Row],[ LORRY RATE ]]</f>
        <v>14460</v>
      </c>
      <c r="N109" s="17">
        <v>29640</v>
      </c>
      <c r="O109" s="17">
        <f>Table1[[#This Row],[ LORRY RATE ]]-Table1[[#This Row],[Adance Paid (INR)]]</f>
        <v>0</v>
      </c>
      <c r="P109" s="17" t="s">
        <v>147</v>
      </c>
      <c r="Q109" s="18" t="s">
        <v>510</v>
      </c>
      <c r="R109" s="17" t="s">
        <v>267</v>
      </c>
      <c r="S109" s="18" t="s">
        <v>465</v>
      </c>
      <c r="T109" s="18" t="s">
        <v>469</v>
      </c>
      <c r="U109" s="15" t="s">
        <v>97</v>
      </c>
      <c r="V109" s="15" t="s">
        <v>12</v>
      </c>
      <c r="W109" s="15"/>
    </row>
    <row r="110" spans="1:23" hidden="1" x14ac:dyDescent="0.3">
      <c r="A110" s="15">
        <v>110</v>
      </c>
      <c r="B110" s="15" t="s">
        <v>443</v>
      </c>
      <c r="C110" s="19">
        <v>45542</v>
      </c>
      <c r="D110" s="19" t="s">
        <v>51</v>
      </c>
      <c r="E110" s="21" t="s">
        <v>452</v>
      </c>
      <c r="F110" s="21">
        <v>9397183067</v>
      </c>
      <c r="G110" s="15" t="s">
        <v>105</v>
      </c>
      <c r="H110" s="15" t="s">
        <v>26</v>
      </c>
      <c r="I110" s="15" t="s">
        <v>498</v>
      </c>
      <c r="J110" s="15" t="s">
        <v>7</v>
      </c>
      <c r="K110" s="16">
        <v>66400</v>
      </c>
      <c r="L110" s="16">
        <v>96390</v>
      </c>
      <c r="M110" s="17">
        <f>Table1[[#This Row],[Billing Rate Charges]]-Table1[[#This Row],[ LORRY RATE ]]</f>
        <v>29990</v>
      </c>
      <c r="N110" s="17">
        <v>66400</v>
      </c>
      <c r="O110" s="17">
        <f>Table1[[#This Row],[ LORRY RATE ]]-Table1[[#This Row],[Adance Paid (INR)]]</f>
        <v>0</v>
      </c>
      <c r="P110" s="17" t="s">
        <v>147</v>
      </c>
      <c r="Q110" s="18" t="s">
        <v>511</v>
      </c>
      <c r="R110" s="17" t="s">
        <v>267</v>
      </c>
      <c r="S110" s="18" t="s">
        <v>464</v>
      </c>
      <c r="T110" s="18" t="s">
        <v>464</v>
      </c>
      <c r="U110" s="15" t="s">
        <v>97</v>
      </c>
      <c r="V110" s="15" t="s">
        <v>453</v>
      </c>
      <c r="W110" s="15"/>
    </row>
    <row r="111" spans="1:23" hidden="1" x14ac:dyDescent="0.3">
      <c r="A111" s="15">
        <v>111</v>
      </c>
      <c r="B111" s="15" t="s">
        <v>443</v>
      </c>
      <c r="C111" s="19">
        <v>45542</v>
      </c>
      <c r="D111" s="19" t="s">
        <v>51</v>
      </c>
      <c r="E111" s="15" t="s">
        <v>454</v>
      </c>
      <c r="F111" s="21">
        <v>9401215642</v>
      </c>
      <c r="G111" s="15" t="s">
        <v>42</v>
      </c>
      <c r="H111" s="15" t="s">
        <v>105</v>
      </c>
      <c r="I111" s="15" t="s">
        <v>499</v>
      </c>
      <c r="J111" s="15" t="s">
        <v>455</v>
      </c>
      <c r="K111" s="16">
        <v>82940</v>
      </c>
      <c r="L111" s="16">
        <v>110250</v>
      </c>
      <c r="M111" s="17">
        <f>Table1[[#This Row],[Billing Rate Charges]]-Table1[[#This Row],[ LORRY RATE ]]</f>
        <v>27310</v>
      </c>
      <c r="N111" s="17">
        <v>82940</v>
      </c>
      <c r="O111" s="17">
        <f>Table1[[#This Row],[ LORRY RATE ]]-Table1[[#This Row],[Adance Paid (INR)]]</f>
        <v>0</v>
      </c>
      <c r="P111" s="17" t="s">
        <v>147</v>
      </c>
      <c r="Q111" s="18" t="s">
        <v>512</v>
      </c>
      <c r="R111" s="17" t="s">
        <v>267</v>
      </c>
      <c r="S111" s="18" t="s">
        <v>465</v>
      </c>
      <c r="T111" s="18" t="s">
        <v>465</v>
      </c>
      <c r="U111" s="15" t="s">
        <v>97</v>
      </c>
      <c r="V111" s="15" t="s">
        <v>453</v>
      </c>
      <c r="W111" s="15"/>
    </row>
    <row r="112" spans="1:23" hidden="1" x14ac:dyDescent="0.3">
      <c r="A112" s="15">
        <v>112</v>
      </c>
      <c r="B112" s="15" t="s">
        <v>443</v>
      </c>
      <c r="C112" s="19">
        <v>45542</v>
      </c>
      <c r="D112" s="19" t="s">
        <v>74</v>
      </c>
      <c r="E112" s="21" t="s">
        <v>500</v>
      </c>
      <c r="F112" s="21">
        <v>9535996826</v>
      </c>
      <c r="G112" s="15" t="s">
        <v>235</v>
      </c>
      <c r="H112" s="15" t="s">
        <v>26</v>
      </c>
      <c r="I112" s="15" t="s">
        <v>501</v>
      </c>
      <c r="J112" s="15" t="s">
        <v>168</v>
      </c>
      <c r="K112" s="16">
        <v>53240</v>
      </c>
      <c r="L112" s="16">
        <v>69300</v>
      </c>
      <c r="M112" s="17">
        <f>Table1[[#This Row],[Billing Rate Charges]]-Table1[[#This Row],[ LORRY RATE ]]</f>
        <v>16060</v>
      </c>
      <c r="N112" s="17">
        <v>49910</v>
      </c>
      <c r="O112" s="17">
        <f>Table1[[#This Row],[ LORRY RATE ]]-Table1[[#This Row],[Adance Paid (INR)]]</f>
        <v>3330</v>
      </c>
      <c r="P112" s="17" t="s">
        <v>147</v>
      </c>
      <c r="Q112" s="18" t="s">
        <v>513</v>
      </c>
      <c r="R112" s="17" t="s">
        <v>267</v>
      </c>
      <c r="S112" s="18" t="s">
        <v>469</v>
      </c>
      <c r="T112" s="18" t="s">
        <v>471</v>
      </c>
      <c r="U112" s="15" t="s">
        <v>97</v>
      </c>
      <c r="V112" s="15" t="s">
        <v>236</v>
      </c>
      <c r="W112" s="15"/>
    </row>
    <row r="113" spans="1:23" hidden="1" x14ac:dyDescent="0.3">
      <c r="A113" s="15">
        <v>113</v>
      </c>
      <c r="B113" s="15" t="s">
        <v>443</v>
      </c>
      <c r="C113" s="19">
        <v>45543</v>
      </c>
      <c r="D113" s="19" t="s">
        <v>51</v>
      </c>
      <c r="E113" s="21" t="s">
        <v>458</v>
      </c>
      <c r="F113" s="21">
        <v>9971707172</v>
      </c>
      <c r="G113" s="15" t="s">
        <v>6</v>
      </c>
      <c r="H113" s="15" t="s">
        <v>495</v>
      </c>
      <c r="I113" s="15" t="s">
        <v>496</v>
      </c>
      <c r="J113" s="15" t="s">
        <v>7</v>
      </c>
      <c r="K113" s="16">
        <v>29220</v>
      </c>
      <c r="L113" s="16">
        <v>46620</v>
      </c>
      <c r="M113" s="17">
        <f>Table1[[#This Row],[Billing Rate Charges]]-Table1[[#This Row],[ LORRY RATE ]]</f>
        <v>17400</v>
      </c>
      <c r="N113" s="17">
        <v>29220</v>
      </c>
      <c r="O113" s="17"/>
      <c r="P113" s="17" t="s">
        <v>147</v>
      </c>
      <c r="Q113" s="18" t="s">
        <v>514</v>
      </c>
      <c r="R113" s="17" t="s">
        <v>267</v>
      </c>
      <c r="S113" s="18" t="s">
        <v>465</v>
      </c>
      <c r="T113" s="18" t="s">
        <v>471</v>
      </c>
      <c r="U113" s="15" t="s">
        <v>97</v>
      </c>
      <c r="V113" s="15" t="s">
        <v>12</v>
      </c>
      <c r="W113" s="15"/>
    </row>
    <row r="114" spans="1:23" hidden="1" x14ac:dyDescent="0.3">
      <c r="A114" s="15">
        <v>114</v>
      </c>
      <c r="B114" s="15" t="s">
        <v>443</v>
      </c>
      <c r="C114" s="19">
        <v>45544</v>
      </c>
      <c r="D114" s="19" t="s">
        <v>51</v>
      </c>
      <c r="E114" s="21" t="s">
        <v>459</v>
      </c>
      <c r="F114" s="21">
        <v>9914789431</v>
      </c>
      <c r="G114" s="15" t="s">
        <v>6</v>
      </c>
      <c r="H114" s="15" t="s">
        <v>515</v>
      </c>
      <c r="I114" s="15" t="s">
        <v>492</v>
      </c>
      <c r="J114" s="15" t="s">
        <v>7</v>
      </c>
      <c r="K114" s="16">
        <v>32980</v>
      </c>
      <c r="L114" s="16">
        <v>69930</v>
      </c>
      <c r="M114" s="17">
        <f>Table1[[#This Row],[Billing Rate Charges]]-Table1[[#This Row],[ LORRY RATE ]]</f>
        <v>36950</v>
      </c>
      <c r="N114" s="17">
        <v>32980</v>
      </c>
      <c r="O114" s="17">
        <f>Table1[[#This Row],[ LORRY RATE ]]-Table1[[#This Row],[Adance Paid (INR)]]</f>
        <v>0</v>
      </c>
      <c r="P114" s="17" t="s">
        <v>147</v>
      </c>
      <c r="Q114" s="18" t="s">
        <v>518</v>
      </c>
      <c r="R114" s="17" t="s">
        <v>267</v>
      </c>
      <c r="S114" s="18" t="s">
        <v>469</v>
      </c>
      <c r="T114" s="18" t="s">
        <v>471</v>
      </c>
      <c r="U114" s="15" t="s">
        <v>97</v>
      </c>
      <c r="V114" s="15" t="s">
        <v>12</v>
      </c>
      <c r="W114" s="15" t="s">
        <v>154</v>
      </c>
    </row>
    <row r="115" spans="1:23" hidden="1" x14ac:dyDescent="0.3">
      <c r="A115" s="15">
        <v>115</v>
      </c>
      <c r="B115" s="15" t="s">
        <v>443</v>
      </c>
      <c r="C115" s="19">
        <v>45544</v>
      </c>
      <c r="D115" s="19" t="s">
        <v>51</v>
      </c>
      <c r="E115" s="21" t="s">
        <v>460</v>
      </c>
      <c r="F115" s="21">
        <v>9257903758</v>
      </c>
      <c r="G115" s="15" t="s">
        <v>6</v>
      </c>
      <c r="H115" s="15" t="s">
        <v>494</v>
      </c>
      <c r="I115" s="15" t="s">
        <v>493</v>
      </c>
      <c r="J115" s="15" t="s">
        <v>28</v>
      </c>
      <c r="K115" s="16">
        <v>30490</v>
      </c>
      <c r="L115" s="16">
        <v>49770</v>
      </c>
      <c r="M115" s="17">
        <f>Table1[[#This Row],[Billing Rate Charges]]-Table1[[#This Row],[ LORRY RATE ]]</f>
        <v>19280</v>
      </c>
      <c r="N115" s="17">
        <v>30490</v>
      </c>
      <c r="O115" s="17">
        <f>Table1[[#This Row],[ LORRY RATE ]]-Table1[[#This Row],[Adance Paid (INR)]]</f>
        <v>0</v>
      </c>
      <c r="P115" s="17" t="s">
        <v>147</v>
      </c>
      <c r="Q115" s="18" t="s">
        <v>516</v>
      </c>
      <c r="R115" s="17" t="s">
        <v>267</v>
      </c>
      <c r="S115" s="18" t="s">
        <v>469</v>
      </c>
      <c r="T115" s="18" t="s">
        <v>471</v>
      </c>
      <c r="U115" s="15" t="s">
        <v>97</v>
      </c>
      <c r="V115" s="15" t="s">
        <v>12</v>
      </c>
      <c r="W115" s="15" t="s">
        <v>154</v>
      </c>
    </row>
    <row r="116" spans="1:23" hidden="1" x14ac:dyDescent="0.3">
      <c r="A116" s="15">
        <v>116</v>
      </c>
      <c r="B116" s="15" t="s">
        <v>443</v>
      </c>
      <c r="C116" s="19">
        <v>45545</v>
      </c>
      <c r="D116" s="19" t="s">
        <v>51</v>
      </c>
      <c r="E116" s="21" t="s">
        <v>466</v>
      </c>
      <c r="F116" s="21">
        <v>9122555268</v>
      </c>
      <c r="G116" s="15" t="s">
        <v>6</v>
      </c>
      <c r="H116" s="15" t="s">
        <v>491</v>
      </c>
      <c r="I116" s="15" t="s">
        <v>490</v>
      </c>
      <c r="J116" s="15" t="s">
        <v>28</v>
      </c>
      <c r="K116" s="16">
        <v>27480</v>
      </c>
      <c r="L116" s="16">
        <v>47560</v>
      </c>
      <c r="M116" s="17">
        <f>Table1[[#This Row],[Billing Rate Charges]]-Table1[[#This Row],[ LORRY RATE ]]</f>
        <v>20080</v>
      </c>
      <c r="N116" s="17">
        <v>27480</v>
      </c>
      <c r="O116" s="17">
        <f>Table1[[#This Row],[ LORRY RATE ]]-Table1[[#This Row],[Adance Paid (INR)]]</f>
        <v>0</v>
      </c>
      <c r="P116" s="17" t="s">
        <v>147</v>
      </c>
      <c r="Q116" s="18" t="s">
        <v>519</v>
      </c>
      <c r="R116" s="17" t="s">
        <v>267</v>
      </c>
      <c r="S116" s="18" t="s">
        <v>471</v>
      </c>
      <c r="T116" s="18" t="s">
        <v>471</v>
      </c>
      <c r="U116" s="15" t="s">
        <v>97</v>
      </c>
      <c r="V116" s="15" t="s">
        <v>12</v>
      </c>
      <c r="W116" s="15" t="s">
        <v>154</v>
      </c>
    </row>
    <row r="117" spans="1:23" hidden="1" x14ac:dyDescent="0.3">
      <c r="A117" s="15">
        <v>117</v>
      </c>
      <c r="B117" s="15" t="s">
        <v>443</v>
      </c>
      <c r="C117" s="19">
        <v>45545</v>
      </c>
      <c r="D117" s="19" t="s">
        <v>51</v>
      </c>
      <c r="E117" s="15" t="s">
        <v>467</v>
      </c>
      <c r="F117" s="15">
        <v>9261969286</v>
      </c>
      <c r="G117" s="15" t="s">
        <v>6</v>
      </c>
      <c r="H117" s="15" t="s">
        <v>503</v>
      </c>
      <c r="I117" s="15" t="s">
        <v>502</v>
      </c>
      <c r="J117" s="15" t="s">
        <v>172</v>
      </c>
      <c r="K117" s="16">
        <v>31370</v>
      </c>
      <c r="L117" s="16">
        <v>59220</v>
      </c>
      <c r="M117" s="17">
        <f>Table1[[#This Row],[Billing Rate Charges]]-Table1[[#This Row],[ LORRY RATE ]]</f>
        <v>27850</v>
      </c>
      <c r="N117" s="17">
        <v>31370</v>
      </c>
      <c r="O117" s="17">
        <f>Table1[[#This Row],[ LORRY RATE ]]-Table1[[#This Row],[Adance Paid (INR)]]</f>
        <v>0</v>
      </c>
      <c r="P117" s="17" t="s">
        <v>147</v>
      </c>
      <c r="Q117" s="18" t="s">
        <v>521</v>
      </c>
      <c r="R117" s="17" t="s">
        <v>267</v>
      </c>
      <c r="S117" s="18" t="s">
        <v>471</v>
      </c>
      <c r="T117" s="18" t="s">
        <v>470</v>
      </c>
      <c r="U117" s="15" t="s">
        <v>97</v>
      </c>
      <c r="V117" s="15" t="s">
        <v>12</v>
      </c>
      <c r="W117" s="15" t="s">
        <v>154</v>
      </c>
    </row>
    <row r="118" spans="1:23" hidden="1" x14ac:dyDescent="0.3">
      <c r="A118" s="15">
        <v>118</v>
      </c>
      <c r="B118" s="15" t="s">
        <v>443</v>
      </c>
      <c r="C118" s="19">
        <v>45546</v>
      </c>
      <c r="D118" s="19" t="s">
        <v>57</v>
      </c>
      <c r="E118" s="15" t="s">
        <v>60</v>
      </c>
      <c r="F118" s="15">
        <v>9589264337</v>
      </c>
      <c r="G118" s="15" t="s">
        <v>42</v>
      </c>
      <c r="H118" s="15" t="s">
        <v>26</v>
      </c>
      <c r="I118" s="15" t="s">
        <v>488</v>
      </c>
      <c r="J118" s="15" t="s">
        <v>7</v>
      </c>
      <c r="K118" s="16">
        <v>52630</v>
      </c>
      <c r="L118" s="16">
        <v>96390</v>
      </c>
      <c r="M118" s="17">
        <f>Table1[[#This Row],[Billing Rate Charges]]-Table1[[#This Row],[ LORRY RATE ]]</f>
        <v>43760</v>
      </c>
      <c r="N118" s="17">
        <v>52630</v>
      </c>
      <c r="O118" s="17">
        <f>Table1[[#This Row],[ LORRY RATE ]]-Table1[[#This Row],[Adance Paid (INR)]]</f>
        <v>0</v>
      </c>
      <c r="P118" s="17" t="s">
        <v>147</v>
      </c>
      <c r="Q118" s="18" t="s">
        <v>520</v>
      </c>
      <c r="R118" s="17" t="s">
        <v>267</v>
      </c>
      <c r="S118" s="18" t="s">
        <v>486</v>
      </c>
      <c r="T118" s="18" t="s">
        <v>487</v>
      </c>
      <c r="U118" s="15" t="s">
        <v>97</v>
      </c>
      <c r="V118" s="15" t="s">
        <v>56</v>
      </c>
      <c r="W118" s="15"/>
    </row>
    <row r="119" spans="1:23" hidden="1" x14ac:dyDescent="0.3">
      <c r="A119" s="15">
        <v>119</v>
      </c>
      <c r="B119" s="15" t="s">
        <v>443</v>
      </c>
      <c r="C119" s="19">
        <v>45546</v>
      </c>
      <c r="D119" s="19" t="s">
        <v>51</v>
      </c>
      <c r="E119" s="15" t="s">
        <v>380</v>
      </c>
      <c r="F119" s="15"/>
      <c r="G119" s="15" t="s">
        <v>6</v>
      </c>
      <c r="H119" s="15" t="s">
        <v>26</v>
      </c>
      <c r="I119" s="15" t="s">
        <v>483</v>
      </c>
      <c r="J119" s="15" t="s">
        <v>381</v>
      </c>
      <c r="K119" s="16">
        <v>87430</v>
      </c>
      <c r="L119" s="16">
        <v>100520</v>
      </c>
      <c r="M119" s="17">
        <f>Table1[[#This Row],[Billing Rate Charges]]-Table1[[#This Row],[ LORRY RATE ]]</f>
        <v>13090</v>
      </c>
      <c r="N119" s="17">
        <v>87430</v>
      </c>
      <c r="O119" s="17"/>
      <c r="P119" s="17" t="s">
        <v>147</v>
      </c>
      <c r="Q119" s="18" t="s">
        <v>517</v>
      </c>
      <c r="R119" s="17" t="s">
        <v>267</v>
      </c>
      <c r="S119" s="18" t="s">
        <v>469</v>
      </c>
      <c r="T119" s="18" t="s">
        <v>471</v>
      </c>
      <c r="U119" s="15" t="s">
        <v>97</v>
      </c>
      <c r="V119" s="15" t="s">
        <v>380</v>
      </c>
      <c r="W119" s="15" t="s">
        <v>473</v>
      </c>
    </row>
    <row r="120" spans="1:23" hidden="1" x14ac:dyDescent="0.3">
      <c r="A120" s="15">
        <v>120</v>
      </c>
      <c r="B120" s="15" t="s">
        <v>443</v>
      </c>
      <c r="C120" s="19">
        <v>45547</v>
      </c>
      <c r="D120" s="19" t="s">
        <v>472</v>
      </c>
      <c r="E120" s="15" t="s">
        <v>401</v>
      </c>
      <c r="F120" s="15">
        <v>9923171297</v>
      </c>
      <c r="G120" s="15" t="s">
        <v>6</v>
      </c>
      <c r="H120" s="15" t="s">
        <v>484</v>
      </c>
      <c r="I120" s="15" t="s">
        <v>485</v>
      </c>
      <c r="J120" s="15" t="s">
        <v>59</v>
      </c>
      <c r="K120" s="16">
        <v>31660</v>
      </c>
      <c r="L120" s="16">
        <v>50400</v>
      </c>
      <c r="M120" s="17">
        <f>Table1[[#This Row],[Billing Rate Charges]]-Table1[[#This Row],[ LORRY RATE ]]</f>
        <v>18740</v>
      </c>
      <c r="N120" s="17">
        <v>31660</v>
      </c>
      <c r="O120" s="17">
        <v>0</v>
      </c>
      <c r="P120" s="17" t="s">
        <v>147</v>
      </c>
      <c r="Q120" s="18" t="s">
        <v>524</v>
      </c>
      <c r="R120" s="17" t="s">
        <v>267</v>
      </c>
      <c r="S120" s="18" t="s">
        <v>486</v>
      </c>
      <c r="T120" s="18" t="s">
        <v>487</v>
      </c>
      <c r="U120" s="15" t="s">
        <v>97</v>
      </c>
      <c r="V120" s="15" t="s">
        <v>12</v>
      </c>
      <c r="W120" s="15"/>
    </row>
    <row r="121" spans="1:23" hidden="1" x14ac:dyDescent="0.3">
      <c r="A121" s="21">
        <v>121</v>
      </c>
      <c r="B121" s="21" t="s">
        <v>443</v>
      </c>
      <c r="C121" s="22">
        <v>45547</v>
      </c>
      <c r="D121" s="22" t="s">
        <v>51</v>
      </c>
      <c r="E121" s="21" t="s">
        <v>380</v>
      </c>
      <c r="F121" s="21"/>
      <c r="G121" s="21" t="s">
        <v>6</v>
      </c>
      <c r="H121" s="21" t="s">
        <v>26</v>
      </c>
      <c r="I121" s="21" t="s">
        <v>489</v>
      </c>
      <c r="J121" s="21" t="s">
        <v>381</v>
      </c>
      <c r="K121" s="23">
        <v>17940</v>
      </c>
      <c r="L121" s="23">
        <v>19840</v>
      </c>
      <c r="M121" s="38">
        <v>1900</v>
      </c>
      <c r="N121" s="38">
        <v>17940</v>
      </c>
      <c r="O121" s="38">
        <v>0</v>
      </c>
      <c r="P121" s="38" t="s">
        <v>147</v>
      </c>
      <c r="Q121" s="41" t="s">
        <v>523</v>
      </c>
      <c r="R121" s="38" t="s">
        <v>267</v>
      </c>
      <c r="S121" s="41" t="s">
        <v>469</v>
      </c>
      <c r="T121" s="41" t="s">
        <v>470</v>
      </c>
      <c r="U121" s="21" t="s">
        <v>97</v>
      </c>
      <c r="V121" s="21" t="s">
        <v>380</v>
      </c>
      <c r="W121" s="21" t="s">
        <v>522</v>
      </c>
    </row>
    <row r="122" spans="1:23" hidden="1" x14ac:dyDescent="0.3">
      <c r="A122" s="21">
        <v>122</v>
      </c>
      <c r="B122" s="21" t="s">
        <v>443</v>
      </c>
      <c r="C122" s="22">
        <v>45548</v>
      </c>
      <c r="D122" s="21" t="s">
        <v>51</v>
      </c>
      <c r="E122" s="21" t="s">
        <v>468</v>
      </c>
      <c r="F122" s="21">
        <v>9764609779</v>
      </c>
      <c r="G122" s="21" t="s">
        <v>377</v>
      </c>
      <c r="H122" s="21" t="s">
        <v>26</v>
      </c>
      <c r="I122" s="21" t="s">
        <v>590</v>
      </c>
      <c r="J122" s="21" t="s">
        <v>7</v>
      </c>
      <c r="K122" s="42">
        <v>66400</v>
      </c>
      <c r="L122" s="42">
        <v>96390</v>
      </c>
      <c r="M122" s="42">
        <v>29990</v>
      </c>
      <c r="N122" s="42">
        <v>66400</v>
      </c>
      <c r="O122" s="42">
        <v>0</v>
      </c>
      <c r="P122" s="21" t="s">
        <v>147</v>
      </c>
      <c r="Q122" s="21">
        <v>133</v>
      </c>
      <c r="R122" s="21" t="s">
        <v>267</v>
      </c>
      <c r="S122" s="43" t="s">
        <v>525</v>
      </c>
      <c r="T122" s="43" t="s">
        <v>526</v>
      </c>
      <c r="U122" s="21" t="s">
        <v>97</v>
      </c>
      <c r="V122" s="21" t="s">
        <v>474</v>
      </c>
      <c r="W122" s="44"/>
    </row>
    <row r="123" spans="1:23" hidden="1" x14ac:dyDescent="0.3">
      <c r="A123" s="21">
        <v>123</v>
      </c>
      <c r="B123" s="21" t="s">
        <v>443</v>
      </c>
      <c r="C123" s="22">
        <v>45552</v>
      </c>
      <c r="D123" s="22" t="s">
        <v>56</v>
      </c>
      <c r="E123" s="21" t="s">
        <v>60</v>
      </c>
      <c r="F123" s="21">
        <v>9281983602</v>
      </c>
      <c r="G123" s="21" t="s">
        <v>6</v>
      </c>
      <c r="H123" s="21" t="s">
        <v>560</v>
      </c>
      <c r="I123" s="21" t="s">
        <v>561</v>
      </c>
      <c r="J123" s="21" t="s">
        <v>7</v>
      </c>
      <c r="K123" s="23">
        <v>47150</v>
      </c>
      <c r="L123" s="23">
        <v>59850</v>
      </c>
      <c r="M123" s="38">
        <v>12700</v>
      </c>
      <c r="N123" s="38">
        <v>47150</v>
      </c>
      <c r="O123" s="38"/>
      <c r="P123" s="38" t="s">
        <v>147</v>
      </c>
      <c r="Q123" s="41" t="s">
        <v>591</v>
      </c>
      <c r="R123" s="38" t="s">
        <v>267</v>
      </c>
      <c r="S123" s="41" t="s">
        <v>536</v>
      </c>
      <c r="T123" s="41" t="s">
        <v>537</v>
      </c>
      <c r="U123" s="21" t="s">
        <v>97</v>
      </c>
      <c r="V123" s="21" t="s">
        <v>56</v>
      </c>
      <c r="W123" s="21"/>
    </row>
    <row r="124" spans="1:23" hidden="1" x14ac:dyDescent="0.3">
      <c r="A124" s="21">
        <v>124</v>
      </c>
      <c r="B124" s="21" t="s">
        <v>443</v>
      </c>
      <c r="C124" s="22">
        <v>45552</v>
      </c>
      <c r="D124" s="21" t="s">
        <v>51</v>
      </c>
      <c r="E124" s="21" t="s">
        <v>527</v>
      </c>
      <c r="F124" s="21">
        <v>9795864855</v>
      </c>
      <c r="G124" s="21" t="s">
        <v>6</v>
      </c>
      <c r="H124" s="21" t="s">
        <v>528</v>
      </c>
      <c r="I124" s="21" t="s">
        <v>562</v>
      </c>
      <c r="J124" s="21" t="s">
        <v>7</v>
      </c>
      <c r="K124" s="44">
        <v>32180</v>
      </c>
      <c r="L124" s="44">
        <v>57460</v>
      </c>
      <c r="M124" s="44">
        <v>25280</v>
      </c>
      <c r="N124" s="44">
        <v>32180</v>
      </c>
      <c r="O124" s="44">
        <v>0</v>
      </c>
      <c r="P124" s="21" t="s">
        <v>147</v>
      </c>
      <c r="Q124" s="43" t="s">
        <v>593</v>
      </c>
      <c r="R124" s="21" t="s">
        <v>267</v>
      </c>
      <c r="S124" s="45">
        <v>45556</v>
      </c>
      <c r="T124" s="22">
        <v>45558</v>
      </c>
      <c r="U124" s="21" t="s">
        <v>97</v>
      </c>
      <c r="V124" s="21" t="s">
        <v>529</v>
      </c>
      <c r="W124" s="21" t="s">
        <v>538</v>
      </c>
    </row>
    <row r="125" spans="1:23" hidden="1" x14ac:dyDescent="0.3">
      <c r="A125" s="21">
        <v>125</v>
      </c>
      <c r="B125" s="21" t="s">
        <v>443</v>
      </c>
      <c r="C125" s="22">
        <v>45553</v>
      </c>
      <c r="D125" s="21" t="s">
        <v>51</v>
      </c>
      <c r="E125" s="21" t="s">
        <v>530</v>
      </c>
      <c r="F125" s="21">
        <v>9431087100</v>
      </c>
      <c r="G125" s="21" t="s">
        <v>105</v>
      </c>
      <c r="H125" s="21" t="s">
        <v>26</v>
      </c>
      <c r="I125" s="21" t="s">
        <v>573</v>
      </c>
      <c r="J125" s="21" t="s">
        <v>28</v>
      </c>
      <c r="K125" s="44">
        <v>53360</v>
      </c>
      <c r="L125" s="44">
        <v>63000</v>
      </c>
      <c r="M125" s="44">
        <v>9640</v>
      </c>
      <c r="N125" s="44">
        <v>53360</v>
      </c>
      <c r="O125" s="44">
        <v>0</v>
      </c>
      <c r="P125" s="21" t="s">
        <v>147</v>
      </c>
      <c r="Q125" s="21">
        <v>136</v>
      </c>
      <c r="R125" s="21" t="s">
        <v>267</v>
      </c>
      <c r="S125" s="22">
        <v>45557</v>
      </c>
      <c r="T125" s="22">
        <v>45557</v>
      </c>
      <c r="U125" s="21" t="s">
        <v>97</v>
      </c>
      <c r="V125" s="21" t="s">
        <v>474</v>
      </c>
      <c r="W125" s="44"/>
    </row>
    <row r="126" spans="1:23" hidden="1" x14ac:dyDescent="0.3">
      <c r="A126" s="21">
        <v>126</v>
      </c>
      <c r="B126" s="21" t="s">
        <v>443</v>
      </c>
      <c r="C126" s="22">
        <v>45554</v>
      </c>
      <c r="D126" s="21" t="s">
        <v>51</v>
      </c>
      <c r="E126" s="21" t="s">
        <v>535</v>
      </c>
      <c r="F126" s="21">
        <v>9790772397</v>
      </c>
      <c r="G126" s="21" t="s">
        <v>6</v>
      </c>
      <c r="H126" s="21" t="s">
        <v>563</v>
      </c>
      <c r="I126" s="21" t="s">
        <v>564</v>
      </c>
      <c r="J126" s="21" t="s">
        <v>28</v>
      </c>
      <c r="K126" s="44">
        <v>27700</v>
      </c>
      <c r="L126" s="44">
        <v>41900</v>
      </c>
      <c r="M126" s="44">
        <v>14200</v>
      </c>
      <c r="N126" s="44">
        <v>27700</v>
      </c>
      <c r="O126" s="44">
        <f ca="1">-Table1[[#This Row],[Balance To pay]]</f>
        <v>0</v>
      </c>
      <c r="P126" s="21" t="s">
        <v>147</v>
      </c>
      <c r="Q126" s="21">
        <v>137</v>
      </c>
      <c r="R126" s="21" t="s">
        <v>267</v>
      </c>
      <c r="S126" s="43" t="s">
        <v>545</v>
      </c>
      <c r="T126" s="43" t="s">
        <v>543</v>
      </c>
      <c r="U126" s="21" t="s">
        <v>97</v>
      </c>
      <c r="V126" s="21" t="s">
        <v>529</v>
      </c>
      <c r="W126" s="44"/>
    </row>
    <row r="127" spans="1:23" hidden="1" x14ac:dyDescent="0.3">
      <c r="A127" s="15">
        <v>127</v>
      </c>
      <c r="B127" s="15" t="s">
        <v>443</v>
      </c>
      <c r="C127" s="19">
        <v>45555</v>
      </c>
      <c r="D127" s="19" t="s">
        <v>51</v>
      </c>
      <c r="E127" s="46" t="s">
        <v>435</v>
      </c>
      <c r="F127" s="46">
        <v>9654538123</v>
      </c>
      <c r="G127" s="15" t="s">
        <v>6</v>
      </c>
      <c r="H127" s="15" t="s">
        <v>566</v>
      </c>
      <c r="I127" s="15" t="s">
        <v>565</v>
      </c>
      <c r="J127" s="15" t="s">
        <v>28</v>
      </c>
      <c r="K127" s="16">
        <v>29640</v>
      </c>
      <c r="L127" s="16">
        <v>44100</v>
      </c>
      <c r="M127" s="17">
        <f>Table1[[#This Row],[Billing Rate Charges]]-Table1[[#This Row],[ LORRY RATE ]]</f>
        <v>14460</v>
      </c>
      <c r="N127" s="17">
        <v>29640</v>
      </c>
      <c r="O127" s="17">
        <f>Table1[[#This Row],[ LORRY RATE ]]-Table1[[#This Row],[Adance Paid (INR)]]</f>
        <v>0</v>
      </c>
      <c r="P127" s="17" t="s">
        <v>147</v>
      </c>
      <c r="Q127" s="18" t="s">
        <v>594</v>
      </c>
      <c r="R127" s="17" t="s">
        <v>267</v>
      </c>
      <c r="S127" s="18" t="s">
        <v>543</v>
      </c>
      <c r="T127" s="18" t="s">
        <v>544</v>
      </c>
      <c r="U127" s="15" t="s">
        <v>97</v>
      </c>
      <c r="V127" s="15" t="s">
        <v>529</v>
      </c>
      <c r="W127" s="15"/>
    </row>
    <row r="128" spans="1:23" hidden="1" x14ac:dyDescent="0.3">
      <c r="A128" s="15">
        <v>128</v>
      </c>
      <c r="B128" s="15" t="s">
        <v>443</v>
      </c>
      <c r="C128" s="19">
        <v>45556</v>
      </c>
      <c r="D128" s="19" t="s">
        <v>56</v>
      </c>
      <c r="E128" s="15" t="s">
        <v>38</v>
      </c>
      <c r="F128" s="15">
        <v>9515412075</v>
      </c>
      <c r="G128" s="15" t="s">
        <v>6</v>
      </c>
      <c r="H128" s="15" t="s">
        <v>568</v>
      </c>
      <c r="I128" s="15" t="s">
        <v>567</v>
      </c>
      <c r="J128" s="15" t="s">
        <v>59</v>
      </c>
      <c r="K128" s="16">
        <v>45740</v>
      </c>
      <c r="L128" s="16">
        <v>50400</v>
      </c>
      <c r="M128" s="17">
        <f>Table1[[#This Row],[Billing Rate Charges]]-Table1[[#This Row],[ LORRY RATE ]]</f>
        <v>4660</v>
      </c>
      <c r="N128" s="17">
        <v>45740</v>
      </c>
      <c r="O128" s="17">
        <f>Table1[[#This Row],[ LORRY RATE ]]-Table1[[#This Row],[Adance Paid (INR)]]</f>
        <v>0</v>
      </c>
      <c r="P128" s="17" t="s">
        <v>147</v>
      </c>
      <c r="Q128" s="18" t="s">
        <v>595</v>
      </c>
      <c r="R128" s="17" t="s">
        <v>267</v>
      </c>
      <c r="S128" s="18" t="s">
        <v>546</v>
      </c>
      <c r="T128" s="18" t="s">
        <v>544</v>
      </c>
      <c r="U128" s="15" t="s">
        <v>97</v>
      </c>
      <c r="V128" s="15" t="s">
        <v>56</v>
      </c>
      <c r="W128" s="15"/>
    </row>
    <row r="129" spans="1:23" hidden="1" x14ac:dyDescent="0.3">
      <c r="A129" s="15">
        <v>129</v>
      </c>
      <c r="B129" s="15" t="s">
        <v>443</v>
      </c>
      <c r="C129" s="19">
        <v>45558</v>
      </c>
      <c r="D129" s="19" t="s">
        <v>51</v>
      </c>
      <c r="E129" s="21" t="s">
        <v>438</v>
      </c>
      <c r="F129" s="21">
        <v>9563961453</v>
      </c>
      <c r="G129" s="15" t="s">
        <v>6</v>
      </c>
      <c r="H129" s="15" t="s">
        <v>570</v>
      </c>
      <c r="I129" s="15" t="s">
        <v>569</v>
      </c>
      <c r="J129" s="15" t="s">
        <v>168</v>
      </c>
      <c r="K129" s="16">
        <v>27170</v>
      </c>
      <c r="L129" s="16">
        <v>41900</v>
      </c>
      <c r="M129" s="17">
        <f>Table1[[#This Row],[Billing Rate Charges]]-Table1[[#This Row],[ LORRY RATE ]]</f>
        <v>14730</v>
      </c>
      <c r="N129" s="17">
        <v>27170</v>
      </c>
      <c r="O129" s="17">
        <f>Table1[[#This Row],[ LORRY RATE ]]-Table1[[#This Row],[Adance Paid (INR)]]</f>
        <v>0</v>
      </c>
      <c r="P129" s="17" t="s">
        <v>147</v>
      </c>
      <c r="Q129" s="18" t="s">
        <v>596</v>
      </c>
      <c r="R129" s="17" t="s">
        <v>267</v>
      </c>
      <c r="S129" s="18" t="s">
        <v>550</v>
      </c>
      <c r="T129" s="18" t="s">
        <v>551</v>
      </c>
      <c r="U129" s="15" t="s">
        <v>97</v>
      </c>
      <c r="V129" s="15" t="s">
        <v>439</v>
      </c>
      <c r="W129" s="15"/>
    </row>
    <row r="130" spans="1:23" hidden="1" x14ac:dyDescent="0.3">
      <c r="A130" s="15">
        <v>130</v>
      </c>
      <c r="B130" s="15" t="s">
        <v>443</v>
      </c>
      <c r="C130" s="19">
        <v>45559</v>
      </c>
      <c r="D130" s="19" t="s">
        <v>51</v>
      </c>
      <c r="E130" s="21" t="s">
        <v>530</v>
      </c>
      <c r="F130" s="21">
        <v>9431087100</v>
      </c>
      <c r="G130" s="15" t="s">
        <v>6</v>
      </c>
      <c r="H130" s="15" t="s">
        <v>572</v>
      </c>
      <c r="I130" s="15" t="s">
        <v>571</v>
      </c>
      <c r="J130" s="15" t="s">
        <v>168</v>
      </c>
      <c r="K130" s="16">
        <v>26100</v>
      </c>
      <c r="L130" s="16">
        <v>41900</v>
      </c>
      <c r="M130" s="17">
        <f>Table1[[#This Row],[Billing Rate Charges]]-Table1[[#This Row],[ LORRY RATE ]]</f>
        <v>15800</v>
      </c>
      <c r="N130" s="17">
        <v>26100</v>
      </c>
      <c r="O130" s="17">
        <f>Table1[[#This Row],[ LORRY RATE ]]-Table1[[#This Row],[Adance Paid (INR)]]</f>
        <v>0</v>
      </c>
      <c r="P130" s="17" t="s">
        <v>147</v>
      </c>
      <c r="Q130" s="18" t="s">
        <v>597</v>
      </c>
      <c r="R130" s="17" t="s">
        <v>267</v>
      </c>
      <c r="S130" s="18" t="s">
        <v>550</v>
      </c>
      <c r="T130" s="18" t="s">
        <v>551</v>
      </c>
      <c r="U130" s="15" t="s">
        <v>97</v>
      </c>
      <c r="V130" s="15" t="s">
        <v>474</v>
      </c>
      <c r="W130" s="15"/>
    </row>
    <row r="131" spans="1:23" hidden="1" x14ac:dyDescent="0.3">
      <c r="A131" s="15">
        <v>131</v>
      </c>
      <c r="B131" s="15" t="s">
        <v>443</v>
      </c>
      <c r="C131" s="19">
        <v>45559</v>
      </c>
      <c r="D131" s="19" t="s">
        <v>51</v>
      </c>
      <c r="E131" s="21" t="s">
        <v>539</v>
      </c>
      <c r="F131" s="21">
        <v>9067390032</v>
      </c>
      <c r="G131" s="15" t="s">
        <v>6</v>
      </c>
      <c r="H131" s="15" t="s">
        <v>575</v>
      </c>
      <c r="I131" s="15" t="s">
        <v>574</v>
      </c>
      <c r="J131" s="15" t="s">
        <v>7</v>
      </c>
      <c r="K131" s="16">
        <v>33640</v>
      </c>
      <c r="L131" s="16">
        <v>52920</v>
      </c>
      <c r="M131" s="17">
        <f>Table1[[#This Row],[Billing Rate Charges]]-Table1[[#This Row],[ LORRY RATE ]]</f>
        <v>19280</v>
      </c>
      <c r="N131" s="17">
        <v>33640</v>
      </c>
      <c r="O131" s="17">
        <f>Table1[[#This Row],[ LORRY RATE ]]-Table1[[#This Row],[Adance Paid (INR)]]</f>
        <v>0</v>
      </c>
      <c r="P131" s="17" t="s">
        <v>147</v>
      </c>
      <c r="Q131" s="18" t="s">
        <v>598</v>
      </c>
      <c r="R131" s="17" t="s">
        <v>267</v>
      </c>
      <c r="S131" s="18" t="s">
        <v>551</v>
      </c>
      <c r="T131" s="18" t="s">
        <v>551</v>
      </c>
      <c r="U131" s="15" t="s">
        <v>97</v>
      </c>
      <c r="V131" s="15" t="s">
        <v>529</v>
      </c>
      <c r="W131" s="15"/>
    </row>
    <row r="132" spans="1:23" hidden="1" x14ac:dyDescent="0.3">
      <c r="A132" s="15">
        <v>132</v>
      </c>
      <c r="B132" s="15" t="s">
        <v>443</v>
      </c>
      <c r="C132" s="19">
        <v>45560</v>
      </c>
      <c r="D132" s="19" t="s">
        <v>51</v>
      </c>
      <c r="E132" s="21" t="s">
        <v>540</v>
      </c>
      <c r="F132" s="21">
        <v>9527621445</v>
      </c>
      <c r="G132" s="15" t="s">
        <v>6</v>
      </c>
      <c r="H132" s="15" t="s">
        <v>576</v>
      </c>
      <c r="I132" s="15" t="s">
        <v>577</v>
      </c>
      <c r="J132" s="15" t="s">
        <v>541</v>
      </c>
      <c r="K132" s="16">
        <v>31090</v>
      </c>
      <c r="L132" s="16">
        <v>46620</v>
      </c>
      <c r="M132" s="17">
        <f>Table1[[#This Row],[Billing Rate Charges]]-Table1[[#This Row],[ LORRY RATE ]]</f>
        <v>15530</v>
      </c>
      <c r="N132" s="17">
        <v>31090</v>
      </c>
      <c r="O132" s="17">
        <f>Table1[[#This Row],[ LORRY RATE ]]-Table1[[#This Row],[Adance Paid (INR)]]</f>
        <v>0</v>
      </c>
      <c r="P132" s="17" t="s">
        <v>147</v>
      </c>
      <c r="Q132" s="18" t="s">
        <v>599</v>
      </c>
      <c r="R132" s="17" t="s">
        <v>267</v>
      </c>
      <c r="S132" s="18" t="s">
        <v>553</v>
      </c>
      <c r="T132" s="18" t="s">
        <v>553</v>
      </c>
      <c r="U132" s="15" t="s">
        <v>97</v>
      </c>
      <c r="V132" s="15" t="s">
        <v>529</v>
      </c>
      <c r="W132" s="15"/>
    </row>
    <row r="133" spans="1:23" hidden="1" x14ac:dyDescent="0.3">
      <c r="A133" s="15">
        <v>133</v>
      </c>
      <c r="B133" s="15" t="s">
        <v>443</v>
      </c>
      <c r="C133" s="19">
        <v>45560</v>
      </c>
      <c r="D133" s="19" t="s">
        <v>51</v>
      </c>
      <c r="E133" s="21" t="s">
        <v>542</v>
      </c>
      <c r="F133" s="21">
        <v>9192627814</v>
      </c>
      <c r="G133" s="15" t="s">
        <v>6</v>
      </c>
      <c r="H133" s="15" t="s">
        <v>26</v>
      </c>
      <c r="I133" s="15" t="s">
        <v>586</v>
      </c>
      <c r="J133" s="15" t="s">
        <v>28</v>
      </c>
      <c r="K133" s="16">
        <v>25690</v>
      </c>
      <c r="L133" s="16">
        <v>35600</v>
      </c>
      <c r="M133" s="17">
        <f>Table1[[#This Row],[Billing Rate Charges]]-Table1[[#This Row],[ LORRY RATE ]]</f>
        <v>9910</v>
      </c>
      <c r="N133" s="17">
        <v>25690</v>
      </c>
      <c r="O133" s="17">
        <f>Table1[[#This Row],[ LORRY RATE ]]-Table1[[#This Row],[Adance Paid (INR)]]</f>
        <v>0</v>
      </c>
      <c r="P133" s="17" t="s">
        <v>147</v>
      </c>
      <c r="Q133" s="18" t="s">
        <v>592</v>
      </c>
      <c r="R133" s="17" t="s">
        <v>267</v>
      </c>
      <c r="S133" s="18" t="s">
        <v>553</v>
      </c>
      <c r="T133" s="18" t="s">
        <v>553</v>
      </c>
      <c r="U133" s="15" t="s">
        <v>97</v>
      </c>
      <c r="V133" s="15" t="s">
        <v>529</v>
      </c>
      <c r="W133" s="15"/>
    </row>
    <row r="134" spans="1:23" hidden="1" x14ac:dyDescent="0.3">
      <c r="A134" s="15">
        <v>134</v>
      </c>
      <c r="B134" s="15" t="s">
        <v>443</v>
      </c>
      <c r="C134" s="19">
        <v>45561</v>
      </c>
      <c r="D134" s="19" t="s">
        <v>51</v>
      </c>
      <c r="E134" s="21" t="s">
        <v>547</v>
      </c>
      <c r="F134" s="21">
        <v>9534445966</v>
      </c>
      <c r="G134" s="15" t="s">
        <v>6</v>
      </c>
      <c r="H134" s="15" t="s">
        <v>584</v>
      </c>
      <c r="I134" s="15" t="s">
        <v>585</v>
      </c>
      <c r="J134" s="15" t="s">
        <v>168</v>
      </c>
      <c r="K134" s="16">
        <v>27440</v>
      </c>
      <c r="L134" s="16">
        <v>41900</v>
      </c>
      <c r="M134" s="17">
        <f>Table1[[#This Row],[Billing Rate Charges]]-Table1[[#This Row],[ LORRY RATE ]]</f>
        <v>14460</v>
      </c>
      <c r="N134" s="17">
        <v>27440</v>
      </c>
      <c r="O134" s="17">
        <f>Table1[[#This Row],[ LORRY RATE ]]-Table1[[#This Row],[Adance Paid (INR)]]</f>
        <v>0</v>
      </c>
      <c r="P134" s="17" t="s">
        <v>147</v>
      </c>
      <c r="Q134" s="18" t="s">
        <v>600</v>
      </c>
      <c r="R134" s="17" t="s">
        <v>267</v>
      </c>
      <c r="S134" s="18" t="s">
        <v>553</v>
      </c>
      <c r="T134" s="18" t="s">
        <v>553</v>
      </c>
      <c r="U134" s="15" t="s">
        <v>97</v>
      </c>
      <c r="V134" s="15" t="s">
        <v>439</v>
      </c>
      <c r="W134" s="15"/>
    </row>
    <row r="135" spans="1:23" hidden="1" x14ac:dyDescent="0.3">
      <c r="A135" s="15">
        <v>135</v>
      </c>
      <c r="B135" s="15" t="s">
        <v>443</v>
      </c>
      <c r="C135" s="19">
        <v>45561</v>
      </c>
      <c r="D135" s="19" t="s">
        <v>56</v>
      </c>
      <c r="E135" s="21" t="s">
        <v>60</v>
      </c>
      <c r="F135" s="21">
        <v>9589264337</v>
      </c>
      <c r="G135" s="15" t="s">
        <v>42</v>
      </c>
      <c r="H135" s="15" t="s">
        <v>588</v>
      </c>
      <c r="I135" s="15" t="s">
        <v>589</v>
      </c>
      <c r="J135" s="15" t="s">
        <v>7</v>
      </c>
      <c r="K135" s="16">
        <v>53580</v>
      </c>
      <c r="L135" s="16">
        <v>102690</v>
      </c>
      <c r="M135" s="17">
        <f>Table1[[#This Row],[Billing Rate Charges]]-Table1[[#This Row],[ LORRY RATE ]]</f>
        <v>49110</v>
      </c>
      <c r="N135" s="17">
        <v>53580</v>
      </c>
      <c r="O135" s="17">
        <v>0</v>
      </c>
      <c r="P135" s="17" t="s">
        <v>147</v>
      </c>
      <c r="Q135" s="18" t="s">
        <v>601</v>
      </c>
      <c r="R135" s="17" t="s">
        <v>267</v>
      </c>
      <c r="S135" s="18" t="s">
        <v>555</v>
      </c>
      <c r="T135" s="18" t="s">
        <v>553</v>
      </c>
      <c r="U135" s="15" t="s">
        <v>97</v>
      </c>
      <c r="V135" s="15" t="s">
        <v>56</v>
      </c>
      <c r="W135" s="15"/>
    </row>
    <row r="136" spans="1:23" hidden="1" x14ac:dyDescent="0.3">
      <c r="A136" s="15">
        <v>136</v>
      </c>
      <c r="B136" s="15" t="s">
        <v>443</v>
      </c>
      <c r="C136" s="19">
        <v>45561</v>
      </c>
      <c r="D136" s="19" t="s">
        <v>51</v>
      </c>
      <c r="E136" s="21" t="s">
        <v>548</v>
      </c>
      <c r="F136" s="21">
        <v>9802258584</v>
      </c>
      <c r="G136" s="15" t="s">
        <v>6</v>
      </c>
      <c r="H136" s="15" t="s">
        <v>582</v>
      </c>
      <c r="I136" s="15" t="s">
        <v>583</v>
      </c>
      <c r="J136" s="15" t="s">
        <v>168</v>
      </c>
      <c r="K136" s="16">
        <v>29910</v>
      </c>
      <c r="L136" s="16">
        <v>44100</v>
      </c>
      <c r="M136" s="17">
        <f>Table1[[#This Row],[Billing Rate Charges]]-Table1[[#This Row],[ LORRY RATE ]]</f>
        <v>14190</v>
      </c>
      <c r="N136" s="17">
        <v>29910</v>
      </c>
      <c r="O136" s="17">
        <f>Table1[[#This Row],[ LORRY RATE ]]-Table1[[#This Row],[Adance Paid (INR)]]</f>
        <v>0</v>
      </c>
      <c r="P136" s="17" t="s">
        <v>147</v>
      </c>
      <c r="Q136" s="18" t="s">
        <v>602</v>
      </c>
      <c r="R136" s="17" t="s">
        <v>267</v>
      </c>
      <c r="S136" s="18" t="s">
        <v>553</v>
      </c>
      <c r="T136" s="18" t="s">
        <v>558</v>
      </c>
      <c r="U136" s="15" t="s">
        <v>97</v>
      </c>
      <c r="V136" s="15" t="s">
        <v>439</v>
      </c>
      <c r="W136" s="15"/>
    </row>
    <row r="137" spans="1:23" hidden="1" x14ac:dyDescent="0.3">
      <c r="A137" s="15">
        <v>137</v>
      </c>
      <c r="B137" s="15" t="s">
        <v>443</v>
      </c>
      <c r="C137" s="19">
        <v>45562</v>
      </c>
      <c r="D137" s="19" t="s">
        <v>56</v>
      </c>
      <c r="E137" s="21" t="s">
        <v>38</v>
      </c>
      <c r="F137" s="21">
        <v>9515412075</v>
      </c>
      <c r="G137" s="15" t="s">
        <v>42</v>
      </c>
      <c r="H137" s="15" t="s">
        <v>26</v>
      </c>
      <c r="I137" s="15" t="s">
        <v>587</v>
      </c>
      <c r="J137" s="15" t="s">
        <v>25</v>
      </c>
      <c r="K137" s="16">
        <v>51880</v>
      </c>
      <c r="L137" s="16">
        <v>91350</v>
      </c>
      <c r="M137" s="17">
        <f>Table1[[#This Row],[Billing Rate Charges]]-Table1[[#This Row],[ LORRY RATE ]]</f>
        <v>39470</v>
      </c>
      <c r="N137" s="17">
        <v>51880</v>
      </c>
      <c r="O137" s="17">
        <f>Table1[[#This Row],[ LORRY RATE ]]-Table1[[#This Row],[Adance Paid (INR)]]</f>
        <v>0</v>
      </c>
      <c r="P137" s="17" t="s">
        <v>147</v>
      </c>
      <c r="Q137" s="18" t="s">
        <v>603</v>
      </c>
      <c r="R137" s="17" t="s">
        <v>267</v>
      </c>
      <c r="S137" s="18" t="s">
        <v>553</v>
      </c>
      <c r="T137" s="18" t="s">
        <v>553</v>
      </c>
      <c r="U137" s="15" t="s">
        <v>97</v>
      </c>
      <c r="V137" s="15" t="s">
        <v>56</v>
      </c>
      <c r="W137" s="15"/>
    </row>
    <row r="138" spans="1:23" hidden="1" x14ac:dyDescent="0.3">
      <c r="A138" s="15">
        <v>138</v>
      </c>
      <c r="B138" s="15" t="s">
        <v>443</v>
      </c>
      <c r="C138" s="19">
        <v>45562</v>
      </c>
      <c r="D138" s="19" t="s">
        <v>51</v>
      </c>
      <c r="E138" s="21" t="s">
        <v>549</v>
      </c>
      <c r="F138" s="21">
        <v>9303752154</v>
      </c>
      <c r="G138" s="15" t="s">
        <v>6</v>
      </c>
      <c r="H138" s="15" t="s">
        <v>580</v>
      </c>
      <c r="I138" s="15" t="s">
        <v>581</v>
      </c>
      <c r="J138" s="15" t="s">
        <v>7</v>
      </c>
      <c r="K138" s="16">
        <v>34180</v>
      </c>
      <c r="L138" s="16">
        <v>52920</v>
      </c>
      <c r="M138" s="17">
        <f>Table1[[#This Row],[Billing Rate Charges]]-Table1[[#This Row],[ LORRY RATE ]]</f>
        <v>18740</v>
      </c>
      <c r="N138" s="17">
        <v>34180</v>
      </c>
      <c r="O138" s="17">
        <f>Table1[[#This Row],[ LORRY RATE ]]-Table1[[#This Row],[Adance Paid (INR)]]</f>
        <v>0</v>
      </c>
      <c r="P138" s="17" t="s">
        <v>147</v>
      </c>
      <c r="Q138" s="18" t="s">
        <v>665</v>
      </c>
      <c r="R138" s="17" t="s">
        <v>267</v>
      </c>
      <c r="S138" s="18" t="s">
        <v>613</v>
      </c>
      <c r="T138" s="18" t="s">
        <v>613</v>
      </c>
      <c r="U138" s="15" t="s">
        <v>97</v>
      </c>
      <c r="V138" s="15" t="s">
        <v>529</v>
      </c>
      <c r="W138" s="15"/>
    </row>
    <row r="139" spans="1:23" hidden="1" x14ac:dyDescent="0.3">
      <c r="A139" s="15">
        <v>139</v>
      </c>
      <c r="B139" s="15" t="s">
        <v>443</v>
      </c>
      <c r="C139" s="19">
        <v>45563</v>
      </c>
      <c r="D139" s="19" t="s">
        <v>51</v>
      </c>
      <c r="E139" s="21" t="s">
        <v>608</v>
      </c>
      <c r="F139" s="21">
        <v>9374625770</v>
      </c>
      <c r="G139" s="15" t="s">
        <v>6</v>
      </c>
      <c r="H139" s="15" t="s">
        <v>609</v>
      </c>
      <c r="I139" s="15" t="s">
        <v>41</v>
      </c>
      <c r="J139" s="15" t="s">
        <v>75</v>
      </c>
      <c r="K139" s="16">
        <v>26660</v>
      </c>
      <c r="L139" s="16">
        <v>38510</v>
      </c>
      <c r="M139" s="17">
        <f>Table1[[#This Row],[Billing Rate Charges]]-Table1[[#This Row],[ LORRY RATE ]]</f>
        <v>11850</v>
      </c>
      <c r="N139" s="17">
        <v>26660</v>
      </c>
      <c r="O139" s="17">
        <f>Table1[[#This Row],[ LORRY RATE ]]-Table1[[#This Row],[Adance Paid (INR)]]</f>
        <v>0</v>
      </c>
      <c r="P139" s="17" t="s">
        <v>147</v>
      </c>
      <c r="Q139" s="17"/>
      <c r="R139" s="17"/>
      <c r="S139" s="18" t="s">
        <v>553</v>
      </c>
      <c r="T139" s="18" t="s">
        <v>558</v>
      </c>
      <c r="U139" s="15" t="s">
        <v>97</v>
      </c>
      <c r="V139" s="15" t="s">
        <v>529</v>
      </c>
      <c r="W139" s="15" t="s">
        <v>610</v>
      </c>
    </row>
    <row r="140" spans="1:23" hidden="1" x14ac:dyDescent="0.3">
      <c r="A140" s="15">
        <v>140</v>
      </c>
      <c r="B140" s="15" t="s">
        <v>443</v>
      </c>
      <c r="C140" s="19">
        <v>45564</v>
      </c>
      <c r="D140" s="19" t="s">
        <v>51</v>
      </c>
      <c r="E140" s="21" t="s">
        <v>552</v>
      </c>
      <c r="F140" s="21">
        <v>9339844572</v>
      </c>
      <c r="G140" s="15" t="s">
        <v>6</v>
      </c>
      <c r="H140" s="15" t="s">
        <v>578</v>
      </c>
      <c r="I140" s="15" t="s">
        <v>579</v>
      </c>
      <c r="J140" s="15" t="s">
        <v>168</v>
      </c>
      <c r="K140" s="16">
        <v>28650</v>
      </c>
      <c r="L140" s="16">
        <v>48200</v>
      </c>
      <c r="M140" s="17">
        <f>Table1[[#This Row],[Billing Rate Charges]]-Table1[[#This Row],[ LORRY RATE ]]</f>
        <v>19550</v>
      </c>
      <c r="N140" s="17">
        <v>28650</v>
      </c>
      <c r="O140" s="17">
        <f>Table1[[#This Row],[ LORRY RATE ]]-Table1[[#This Row],[Adance Paid (INR)]]</f>
        <v>0</v>
      </c>
      <c r="P140" s="17" t="s">
        <v>147</v>
      </c>
      <c r="Q140" s="18" t="s">
        <v>667</v>
      </c>
      <c r="R140" s="17" t="s">
        <v>267</v>
      </c>
      <c r="S140" s="18" t="s">
        <v>613</v>
      </c>
      <c r="T140" s="18" t="s">
        <v>614</v>
      </c>
      <c r="U140" s="15" t="s">
        <v>97</v>
      </c>
      <c r="V140" s="15" t="s">
        <v>529</v>
      </c>
      <c r="W140" s="15"/>
    </row>
    <row r="141" spans="1:23" hidden="1" x14ac:dyDescent="0.3">
      <c r="A141" s="15">
        <v>141</v>
      </c>
      <c r="B141" s="15" t="s">
        <v>443</v>
      </c>
      <c r="C141" s="19">
        <v>45564</v>
      </c>
      <c r="D141" s="19" t="s">
        <v>51</v>
      </c>
      <c r="E141" s="21" t="s">
        <v>554</v>
      </c>
      <c r="F141" s="21">
        <v>9068055210</v>
      </c>
      <c r="G141" s="15" t="s">
        <v>42</v>
      </c>
      <c r="H141" s="15" t="s">
        <v>663</v>
      </c>
      <c r="I141" s="15" t="s">
        <v>664</v>
      </c>
      <c r="J141" s="15" t="s">
        <v>107</v>
      </c>
      <c r="K141" s="16">
        <v>82340</v>
      </c>
      <c r="L141" s="16">
        <v>102690</v>
      </c>
      <c r="M141" s="17">
        <f>Table1[[#This Row],[Billing Rate Charges]]-Table1[[#This Row],[ LORRY RATE ]]</f>
        <v>20350</v>
      </c>
      <c r="N141" s="17">
        <v>82340</v>
      </c>
      <c r="O141" s="17">
        <f>Table1[[#This Row],[ LORRY RATE ]]-Table1[[#This Row],[Adance Paid (INR)]]</f>
        <v>0</v>
      </c>
      <c r="P141" s="17" t="s">
        <v>147</v>
      </c>
      <c r="Q141" s="18" t="s">
        <v>669</v>
      </c>
      <c r="R141" s="17" t="s">
        <v>267</v>
      </c>
      <c r="S141" s="18" t="s">
        <v>615</v>
      </c>
      <c r="T141" s="18" t="s">
        <v>615</v>
      </c>
      <c r="U141" s="15" t="s">
        <v>97</v>
      </c>
      <c r="V141" s="15" t="s">
        <v>474</v>
      </c>
      <c r="W141" s="15"/>
    </row>
    <row r="142" spans="1:23" hidden="1" x14ac:dyDescent="0.3">
      <c r="A142" s="15">
        <v>142</v>
      </c>
      <c r="B142" s="15" t="s">
        <v>443</v>
      </c>
      <c r="C142" s="19">
        <v>45565</v>
      </c>
      <c r="D142" s="19" t="s">
        <v>56</v>
      </c>
      <c r="E142" s="15" t="s">
        <v>60</v>
      </c>
      <c r="F142" s="15">
        <v>9589264337</v>
      </c>
      <c r="G142" s="15" t="s">
        <v>6</v>
      </c>
      <c r="H142" s="15" t="s">
        <v>633</v>
      </c>
      <c r="I142" s="15" t="s">
        <v>634</v>
      </c>
      <c r="J142" s="15" t="s">
        <v>7</v>
      </c>
      <c r="K142" s="16">
        <v>45170</v>
      </c>
      <c r="L142" s="16">
        <v>46620</v>
      </c>
      <c r="M142" s="17">
        <f>Table1[[#This Row],[Billing Rate Charges]]-Table1[[#This Row],[ LORRY RATE ]]</f>
        <v>1450</v>
      </c>
      <c r="N142" s="17">
        <v>45170</v>
      </c>
      <c r="O142" s="17">
        <f>Table1[[#This Row],[ LORRY RATE ]]-Table1[[#This Row],[Adance Paid (INR)]]</f>
        <v>0</v>
      </c>
      <c r="P142" s="17" t="s">
        <v>147</v>
      </c>
      <c r="Q142" s="18" t="s">
        <v>670</v>
      </c>
      <c r="R142" s="17" t="s">
        <v>267</v>
      </c>
      <c r="S142" s="18" t="s">
        <v>613</v>
      </c>
      <c r="T142" s="18" t="s">
        <v>613</v>
      </c>
      <c r="U142" s="15" t="s">
        <v>97</v>
      </c>
      <c r="V142" s="15" t="s">
        <v>56</v>
      </c>
      <c r="W142" s="15"/>
    </row>
    <row r="143" spans="1:23" hidden="1" x14ac:dyDescent="0.3">
      <c r="A143" s="15">
        <v>143</v>
      </c>
      <c r="B143" s="15" t="s">
        <v>443</v>
      </c>
      <c r="C143" s="19">
        <v>45565</v>
      </c>
      <c r="D143" s="19" t="s">
        <v>51</v>
      </c>
      <c r="E143" s="21" t="s">
        <v>556</v>
      </c>
      <c r="F143" s="21">
        <v>9260997958</v>
      </c>
      <c r="G143" s="15" t="s">
        <v>6</v>
      </c>
      <c r="H143" s="15" t="s">
        <v>26</v>
      </c>
      <c r="I143" s="15" t="s">
        <v>413</v>
      </c>
      <c r="J143" s="15" t="s">
        <v>75</v>
      </c>
      <c r="K143" s="16">
        <v>25150</v>
      </c>
      <c r="L143" s="16">
        <v>35600</v>
      </c>
      <c r="M143" s="17">
        <f>Table1[[#This Row],[Billing Rate Charges]]-Table1[[#This Row],[ LORRY RATE ]]</f>
        <v>10450</v>
      </c>
      <c r="N143" s="17">
        <v>25150</v>
      </c>
      <c r="O143" s="17">
        <f>Table1[[#This Row],[ LORRY RATE ]]-Table1[[#This Row],[Adance Paid (INR)]]</f>
        <v>0</v>
      </c>
      <c r="P143" s="17" t="s">
        <v>147</v>
      </c>
      <c r="Q143" s="18" t="s">
        <v>674</v>
      </c>
      <c r="R143" s="17" t="s">
        <v>267</v>
      </c>
      <c r="S143" s="18" t="s">
        <v>613</v>
      </c>
      <c r="T143" s="18" t="s">
        <v>613</v>
      </c>
      <c r="U143" s="15" t="s">
        <v>97</v>
      </c>
      <c r="V143" s="15" t="s">
        <v>529</v>
      </c>
      <c r="W143" s="15"/>
    </row>
    <row r="144" spans="1:23" hidden="1" x14ac:dyDescent="0.3">
      <c r="A144" s="15">
        <v>144</v>
      </c>
      <c r="B144" s="15" t="s">
        <v>443</v>
      </c>
      <c r="C144" s="19">
        <v>45565</v>
      </c>
      <c r="D144" s="19" t="s">
        <v>51</v>
      </c>
      <c r="E144" s="21" t="s">
        <v>557</v>
      </c>
      <c r="F144" s="21">
        <v>9583292343</v>
      </c>
      <c r="G144" s="15" t="s">
        <v>45</v>
      </c>
      <c r="H144" s="15" t="s">
        <v>26</v>
      </c>
      <c r="I144" s="15" t="s">
        <v>662</v>
      </c>
      <c r="J144" s="15" t="s">
        <v>168</v>
      </c>
      <c r="K144" s="16">
        <v>42430</v>
      </c>
      <c r="L144" s="16">
        <v>47250</v>
      </c>
      <c r="M144" s="17">
        <f>Table1[[#This Row],[Billing Rate Charges]]-Table1[[#This Row],[ LORRY RATE ]]</f>
        <v>4820</v>
      </c>
      <c r="N144" s="17">
        <v>39220</v>
      </c>
      <c r="O144" s="17">
        <f>Table1[[#This Row],[ LORRY RATE ]]-Table1[[#This Row],[Adance Paid (INR)]]</f>
        <v>3210</v>
      </c>
      <c r="P144" s="17" t="s">
        <v>147</v>
      </c>
      <c r="Q144" s="18" t="s">
        <v>676</v>
      </c>
      <c r="R144" s="17" t="s">
        <v>267</v>
      </c>
      <c r="S144" s="18" t="s">
        <v>614</v>
      </c>
      <c r="T144" s="18" t="s">
        <v>620</v>
      </c>
      <c r="U144" s="15" t="s">
        <v>97</v>
      </c>
      <c r="V144" s="15" t="s">
        <v>559</v>
      </c>
      <c r="W144" s="15"/>
    </row>
    <row r="145" spans="1:23" hidden="1" x14ac:dyDescent="0.3">
      <c r="A145" s="15">
        <v>145</v>
      </c>
      <c r="B145" s="15" t="s">
        <v>604</v>
      </c>
      <c r="C145" s="19">
        <v>45566</v>
      </c>
      <c r="D145" s="19" t="s">
        <v>51</v>
      </c>
      <c r="E145" s="21" t="s">
        <v>605</v>
      </c>
      <c r="F145" s="21">
        <v>9670713416</v>
      </c>
      <c r="G145" s="15" t="s">
        <v>6</v>
      </c>
      <c r="H145" s="15" t="s">
        <v>635</v>
      </c>
      <c r="I145" s="15" t="s">
        <v>636</v>
      </c>
      <c r="J145" s="15" t="s">
        <v>28</v>
      </c>
      <c r="K145" s="16">
        <v>29720</v>
      </c>
      <c r="L145" s="16">
        <v>48200</v>
      </c>
      <c r="M145" s="17">
        <f>Table1[[#This Row],[Billing Rate Charges]]-Table1[[#This Row],[ LORRY RATE ]]</f>
        <v>18480</v>
      </c>
      <c r="N145" s="17">
        <v>29720</v>
      </c>
      <c r="O145" s="17">
        <f>Table1[[#This Row],[ LORRY RATE ]]-Table1[[#This Row],[Adance Paid (INR)]]</f>
        <v>0</v>
      </c>
      <c r="P145" s="17" t="s">
        <v>147</v>
      </c>
      <c r="Q145" s="18" t="s">
        <v>678</v>
      </c>
      <c r="R145" s="17" t="s">
        <v>267</v>
      </c>
      <c r="S145" s="18" t="s">
        <v>613</v>
      </c>
      <c r="T145" s="18" t="s">
        <v>614</v>
      </c>
      <c r="U145" s="15" t="s">
        <v>97</v>
      </c>
      <c r="V145" s="15" t="s">
        <v>529</v>
      </c>
      <c r="W145" s="15"/>
    </row>
    <row r="146" spans="1:23" hidden="1" x14ac:dyDescent="0.3">
      <c r="A146" s="15">
        <v>146</v>
      </c>
      <c r="B146" s="15" t="s">
        <v>604</v>
      </c>
      <c r="C146" s="19">
        <v>45566</v>
      </c>
      <c r="D146" s="19" t="s">
        <v>51</v>
      </c>
      <c r="E146" s="21" t="s">
        <v>606</v>
      </c>
      <c r="F146" s="21">
        <v>9590191956</v>
      </c>
      <c r="G146" s="15" t="s">
        <v>377</v>
      </c>
      <c r="H146" s="15" t="s">
        <v>26</v>
      </c>
      <c r="I146" s="15" t="s">
        <v>659</v>
      </c>
      <c r="J146" s="15" t="s">
        <v>455</v>
      </c>
      <c r="K146" s="16">
        <v>84140</v>
      </c>
      <c r="L146" s="16">
        <v>103950</v>
      </c>
      <c r="M146" s="17">
        <f>Table1[[#This Row],[Billing Rate Charges]]-Table1[[#This Row],[ LORRY RATE ]]</f>
        <v>19810</v>
      </c>
      <c r="N146" s="17">
        <v>84140</v>
      </c>
      <c r="O146" s="17">
        <f>Table1[[#This Row],[ LORRY RATE ]]-Table1[[#This Row],[Adance Paid (INR)]]</f>
        <v>0</v>
      </c>
      <c r="P146" s="17" t="s">
        <v>147</v>
      </c>
      <c r="Q146" s="18" t="s">
        <v>679</v>
      </c>
      <c r="R146" s="17" t="s">
        <v>267</v>
      </c>
      <c r="S146" s="18" t="s">
        <v>620</v>
      </c>
      <c r="T146" s="18" t="s">
        <v>620</v>
      </c>
      <c r="U146" s="15" t="s">
        <v>97</v>
      </c>
      <c r="V146" s="15" t="s">
        <v>474</v>
      </c>
      <c r="W146" s="15" t="s">
        <v>607</v>
      </c>
    </row>
    <row r="147" spans="1:23" hidden="1" x14ac:dyDescent="0.3">
      <c r="A147" s="15">
        <v>147</v>
      </c>
      <c r="B147" s="15" t="s">
        <v>604</v>
      </c>
      <c r="C147" s="19">
        <v>45568</v>
      </c>
      <c r="D147" s="19" t="s">
        <v>56</v>
      </c>
      <c r="E147" s="15" t="s">
        <v>38</v>
      </c>
      <c r="F147" s="15">
        <v>9515412075</v>
      </c>
      <c r="G147" s="15" t="s">
        <v>6</v>
      </c>
      <c r="H147" s="15" t="s">
        <v>637</v>
      </c>
      <c r="I147" s="15" t="s">
        <v>638</v>
      </c>
      <c r="J147" s="15" t="s">
        <v>59</v>
      </c>
      <c r="K147" s="16">
        <v>45740</v>
      </c>
      <c r="L147" s="16">
        <v>50400</v>
      </c>
      <c r="M147" s="17">
        <f>Table1[[#This Row],[Billing Rate Charges]]-Table1[[#This Row],[ LORRY RATE ]]</f>
        <v>4660</v>
      </c>
      <c r="N147" s="17">
        <v>45740</v>
      </c>
      <c r="O147" s="17">
        <f>Table1[[#This Row],[ LORRY RATE ]]-Table1[[#This Row],[Adance Paid (INR)]]</f>
        <v>0</v>
      </c>
      <c r="P147" s="17" t="s">
        <v>147</v>
      </c>
      <c r="Q147" s="18" t="s">
        <v>680</v>
      </c>
      <c r="R147" s="17" t="s">
        <v>267</v>
      </c>
      <c r="S147" s="18" t="s">
        <v>620</v>
      </c>
      <c r="T147" s="18" t="s">
        <v>622</v>
      </c>
      <c r="U147" s="15" t="s">
        <v>97</v>
      </c>
      <c r="V147" s="15" t="s">
        <v>56</v>
      </c>
      <c r="W147" s="15"/>
    </row>
    <row r="148" spans="1:23" hidden="1" x14ac:dyDescent="0.3">
      <c r="A148" s="15">
        <v>148</v>
      </c>
      <c r="B148" s="15" t="s">
        <v>604</v>
      </c>
      <c r="C148" s="19">
        <v>45569</v>
      </c>
      <c r="D148" s="19" t="s">
        <v>51</v>
      </c>
      <c r="E148" s="15" t="s">
        <v>438</v>
      </c>
      <c r="F148" s="15">
        <v>9563961453</v>
      </c>
      <c r="G148" s="15" t="s">
        <v>6</v>
      </c>
      <c r="H148" s="15" t="s">
        <v>422</v>
      </c>
      <c r="I148" s="15" t="s">
        <v>639</v>
      </c>
      <c r="J148" s="15" t="s">
        <v>28</v>
      </c>
      <c r="K148" s="16">
        <v>27700</v>
      </c>
      <c r="L148" s="16">
        <v>41900</v>
      </c>
      <c r="M148" s="17">
        <f>Table1[[#This Row],[Billing Rate Charges]]-Table1[[#This Row],[ LORRY RATE ]]</f>
        <v>14200</v>
      </c>
      <c r="N148" s="17">
        <v>27700</v>
      </c>
      <c r="O148" s="17">
        <f>Table1[[#This Row],[ LORRY RATE ]]-Table1[[#This Row],[Adance Paid (INR)]]</f>
        <v>0</v>
      </c>
      <c r="P148" s="17" t="s">
        <v>147</v>
      </c>
      <c r="Q148" s="18" t="s">
        <v>681</v>
      </c>
      <c r="R148" s="17" t="s">
        <v>267</v>
      </c>
      <c r="S148" s="18" t="s">
        <v>627</v>
      </c>
      <c r="T148" s="18" t="s">
        <v>620</v>
      </c>
      <c r="U148" s="15" t="s">
        <v>97</v>
      </c>
      <c r="V148" s="15" t="s">
        <v>439</v>
      </c>
      <c r="W148" s="15"/>
    </row>
    <row r="149" spans="1:23" hidden="1" x14ac:dyDescent="0.3">
      <c r="A149" s="15">
        <v>149</v>
      </c>
      <c r="B149" s="15" t="s">
        <v>604</v>
      </c>
      <c r="C149" s="19">
        <v>45569</v>
      </c>
      <c r="D149" s="19" t="s">
        <v>51</v>
      </c>
      <c r="E149" s="21" t="s">
        <v>612</v>
      </c>
      <c r="F149" s="21">
        <v>9056024121</v>
      </c>
      <c r="G149" s="15" t="s">
        <v>6</v>
      </c>
      <c r="H149" s="15" t="s">
        <v>640</v>
      </c>
      <c r="I149" s="15" t="s">
        <v>641</v>
      </c>
      <c r="J149" s="15" t="s">
        <v>168</v>
      </c>
      <c r="K149" s="16">
        <v>29180</v>
      </c>
      <c r="L149" s="16">
        <v>48200</v>
      </c>
      <c r="M149" s="17">
        <f>Table1[[#This Row],[Billing Rate Charges]]-Table1[[#This Row],[ LORRY RATE ]]</f>
        <v>19020</v>
      </c>
      <c r="N149" s="17">
        <v>29180</v>
      </c>
      <c r="O149" s="17">
        <f>Table1[[#This Row],[ LORRY RATE ]]-Table1[[#This Row],[Adance Paid (INR)]]</f>
        <v>0</v>
      </c>
      <c r="P149" s="17" t="s">
        <v>147</v>
      </c>
      <c r="Q149" s="18" t="s">
        <v>673</v>
      </c>
      <c r="R149" s="17" t="s">
        <v>267</v>
      </c>
      <c r="S149" s="18" t="s">
        <v>622</v>
      </c>
      <c r="T149" s="18" t="s">
        <v>622</v>
      </c>
      <c r="U149" s="15" t="s">
        <v>97</v>
      </c>
      <c r="V149" s="15" t="s">
        <v>529</v>
      </c>
      <c r="W149" s="15"/>
    </row>
    <row r="150" spans="1:23" hidden="1" x14ac:dyDescent="0.3">
      <c r="A150" s="15">
        <v>150</v>
      </c>
      <c r="B150" s="15" t="s">
        <v>604</v>
      </c>
      <c r="C150" s="19">
        <v>45570</v>
      </c>
      <c r="D150" s="19" t="s">
        <v>51</v>
      </c>
      <c r="E150" s="21" t="s">
        <v>616</v>
      </c>
      <c r="F150" s="21">
        <v>9527696652</v>
      </c>
      <c r="G150" s="15" t="s">
        <v>6</v>
      </c>
      <c r="H150" s="15" t="s">
        <v>26</v>
      </c>
      <c r="I150" s="15" t="s">
        <v>642</v>
      </c>
      <c r="J150" s="15" t="s">
        <v>28</v>
      </c>
      <c r="K150" s="16">
        <v>26220</v>
      </c>
      <c r="L150" s="16">
        <v>35600</v>
      </c>
      <c r="M150" s="17">
        <f>Table1[[#This Row],[Billing Rate Charges]]-Table1[[#This Row],[ LORRY RATE ]]</f>
        <v>9380</v>
      </c>
      <c r="N150" s="17">
        <v>26220</v>
      </c>
      <c r="O150" s="17">
        <f>Table1[[#This Row],[ LORRY RATE ]]-Table1[[#This Row],[Adance Paid (INR)]]</f>
        <v>0</v>
      </c>
      <c r="P150" s="17" t="s">
        <v>147</v>
      </c>
      <c r="Q150" s="18" t="s">
        <v>668</v>
      </c>
      <c r="R150" s="17" t="s">
        <v>267</v>
      </c>
      <c r="S150" s="18" t="s">
        <v>628</v>
      </c>
      <c r="T150" s="18" t="s">
        <v>628</v>
      </c>
      <c r="U150" s="15" t="s">
        <v>97</v>
      </c>
      <c r="V150" s="15" t="s">
        <v>529</v>
      </c>
      <c r="W150" s="15"/>
    </row>
    <row r="151" spans="1:23" hidden="1" x14ac:dyDescent="0.3">
      <c r="A151" s="15">
        <v>151</v>
      </c>
      <c r="B151" s="15" t="s">
        <v>604</v>
      </c>
      <c r="C151" s="19">
        <v>45570</v>
      </c>
      <c r="D151" s="19" t="s">
        <v>51</v>
      </c>
      <c r="E151" s="21" t="s">
        <v>617</v>
      </c>
      <c r="F151" s="21">
        <v>9674193351</v>
      </c>
      <c r="G151" s="15" t="s">
        <v>6</v>
      </c>
      <c r="H151" s="15" t="s">
        <v>643</v>
      </c>
      <c r="I151" s="15" t="s">
        <v>644</v>
      </c>
      <c r="J151" s="15" t="s">
        <v>7</v>
      </c>
      <c r="K151" s="16">
        <v>31090</v>
      </c>
      <c r="L151" s="16">
        <v>46620</v>
      </c>
      <c r="M151" s="17">
        <f>Table1[[#This Row],[Billing Rate Charges]]-Table1[[#This Row],[ LORRY RATE ]]</f>
        <v>15530</v>
      </c>
      <c r="N151" s="17">
        <v>31090</v>
      </c>
      <c r="O151" s="17">
        <f>Table1[[#This Row],[ LORRY RATE ]]-Table1[[#This Row],[Adance Paid (INR)]]</f>
        <v>0</v>
      </c>
      <c r="P151" s="17" t="s">
        <v>147</v>
      </c>
      <c r="Q151" s="18" t="s">
        <v>682</v>
      </c>
      <c r="R151" s="17" t="s">
        <v>267</v>
      </c>
      <c r="S151" s="18" t="s">
        <v>628</v>
      </c>
      <c r="T151" s="18" t="s">
        <v>628</v>
      </c>
      <c r="U151" s="15" t="s">
        <v>97</v>
      </c>
      <c r="V151" s="15" t="s">
        <v>529</v>
      </c>
      <c r="W151" s="15"/>
    </row>
    <row r="152" spans="1:23" hidden="1" x14ac:dyDescent="0.3">
      <c r="A152" s="15">
        <v>152</v>
      </c>
      <c r="B152" s="15" t="s">
        <v>604</v>
      </c>
      <c r="C152" s="19">
        <v>45570</v>
      </c>
      <c r="D152" s="19" t="s">
        <v>56</v>
      </c>
      <c r="E152" s="21" t="s">
        <v>60</v>
      </c>
      <c r="F152" s="21">
        <v>9589264337</v>
      </c>
      <c r="G152" s="15" t="s">
        <v>42</v>
      </c>
      <c r="H152" s="15" t="s">
        <v>657</v>
      </c>
      <c r="I152" s="15" t="s">
        <v>658</v>
      </c>
      <c r="J152" s="15" t="s">
        <v>7</v>
      </c>
      <c r="K152" s="16">
        <v>53580</v>
      </c>
      <c r="L152" s="16">
        <v>102690</v>
      </c>
      <c r="M152" s="17">
        <f>Table1[[#This Row],[Billing Rate Charges]]-Table1[[#This Row],[ LORRY RATE ]]</f>
        <v>49110</v>
      </c>
      <c r="N152" s="17">
        <v>53580</v>
      </c>
      <c r="O152" s="17">
        <f>Table1[[#This Row],[ LORRY RATE ]]-Table1[[#This Row],[Adance Paid (INR)]]</f>
        <v>0</v>
      </c>
      <c r="P152" s="17" t="s">
        <v>147</v>
      </c>
      <c r="Q152" s="18" t="s">
        <v>683</v>
      </c>
      <c r="R152" s="17" t="s">
        <v>267</v>
      </c>
      <c r="S152" s="18" t="s">
        <v>622</v>
      </c>
      <c r="T152" s="18" t="s">
        <v>622</v>
      </c>
      <c r="U152" s="15" t="s">
        <v>97</v>
      </c>
      <c r="V152" s="15" t="s">
        <v>56</v>
      </c>
      <c r="W152" s="15"/>
    </row>
    <row r="153" spans="1:23" hidden="1" x14ac:dyDescent="0.3">
      <c r="A153" s="15">
        <v>153</v>
      </c>
      <c r="B153" s="15" t="s">
        <v>604</v>
      </c>
      <c r="C153" s="19">
        <v>45570</v>
      </c>
      <c r="D153" s="19" t="s">
        <v>51</v>
      </c>
      <c r="E153" s="21" t="s">
        <v>618</v>
      </c>
      <c r="F153" s="21">
        <v>9654204418</v>
      </c>
      <c r="G153" s="15" t="s">
        <v>42</v>
      </c>
      <c r="H153" s="15" t="s">
        <v>661</v>
      </c>
      <c r="I153" s="15" t="s">
        <v>6</v>
      </c>
      <c r="J153" s="15" t="s">
        <v>107</v>
      </c>
      <c r="K153" s="16">
        <v>85080</v>
      </c>
      <c r="L153" s="16">
        <v>110250</v>
      </c>
      <c r="M153" s="17">
        <f>Table1[[#This Row],[Billing Rate Charges]]-Table1[[#This Row],[ LORRY RATE ]]</f>
        <v>25170</v>
      </c>
      <c r="N153" s="17">
        <v>85080</v>
      </c>
      <c r="O153" s="17">
        <f>Table1[[#This Row],[ LORRY RATE ]]-Table1[[#This Row],[Adance Paid (INR)]]</f>
        <v>0</v>
      </c>
      <c r="P153" s="17" t="s">
        <v>147</v>
      </c>
      <c r="Q153" s="18" t="s">
        <v>684</v>
      </c>
      <c r="R153" s="17" t="s">
        <v>267</v>
      </c>
      <c r="S153" s="18" t="s">
        <v>629</v>
      </c>
      <c r="T153" s="18" t="s">
        <v>630</v>
      </c>
      <c r="U153" s="15" t="s">
        <v>97</v>
      </c>
      <c r="V153" s="15" t="s">
        <v>453</v>
      </c>
      <c r="W153" s="15"/>
    </row>
    <row r="154" spans="1:23" hidden="1" x14ac:dyDescent="0.3">
      <c r="A154" s="15">
        <v>154</v>
      </c>
      <c r="B154" s="15" t="s">
        <v>604</v>
      </c>
      <c r="C154" s="19">
        <v>45572</v>
      </c>
      <c r="D154" s="19" t="s">
        <v>51</v>
      </c>
      <c r="E154" s="21" t="s">
        <v>619</v>
      </c>
      <c r="F154" s="21">
        <v>9625158409</v>
      </c>
      <c r="G154" s="15" t="s">
        <v>6</v>
      </c>
      <c r="H154" s="15" t="s">
        <v>645</v>
      </c>
      <c r="I154" s="15" t="s">
        <v>646</v>
      </c>
      <c r="J154" s="15" t="s">
        <v>168</v>
      </c>
      <c r="K154" s="16">
        <v>29180</v>
      </c>
      <c r="L154" s="16">
        <v>48200</v>
      </c>
      <c r="M154" s="17">
        <f>Table1[[#This Row],[Billing Rate Charges]]-Table1[[#This Row],[ LORRY RATE ]]</f>
        <v>19020</v>
      </c>
      <c r="N154" s="17">
        <v>29180</v>
      </c>
      <c r="O154" s="17">
        <f>Table1[[#This Row],[ LORRY RATE ]]-Table1[[#This Row],[Adance Paid (INR)]]</f>
        <v>0</v>
      </c>
      <c r="P154" s="17" t="s">
        <v>147</v>
      </c>
      <c r="Q154" s="18" t="s">
        <v>675</v>
      </c>
      <c r="R154" s="17" t="s">
        <v>267</v>
      </c>
      <c r="S154" s="18" t="s">
        <v>629</v>
      </c>
      <c r="T154" s="18" t="s">
        <v>691</v>
      </c>
      <c r="U154" s="15" t="s">
        <v>97</v>
      </c>
      <c r="V154" s="15" t="s">
        <v>529</v>
      </c>
      <c r="W154" s="15"/>
    </row>
    <row r="155" spans="1:23" hidden="1" x14ac:dyDescent="0.3">
      <c r="A155" s="15">
        <v>155</v>
      </c>
      <c r="B155" s="15" t="s">
        <v>604</v>
      </c>
      <c r="C155" s="19">
        <v>45572</v>
      </c>
      <c r="D155" s="19" t="s">
        <v>51</v>
      </c>
      <c r="E155" s="21" t="s">
        <v>380</v>
      </c>
      <c r="F155" s="21"/>
      <c r="G155" s="15" t="s">
        <v>6</v>
      </c>
      <c r="H155" s="15" t="s">
        <v>26</v>
      </c>
      <c r="I155" s="15" t="s">
        <v>654</v>
      </c>
      <c r="J155" s="15" t="s">
        <v>381</v>
      </c>
      <c r="K155" s="16">
        <v>24290</v>
      </c>
      <c r="L155" s="16">
        <v>29940</v>
      </c>
      <c r="M155" s="17">
        <f>Table1[[#This Row],[Billing Rate Charges]]-Table1[[#This Row],[ LORRY RATE ]]</f>
        <v>5650</v>
      </c>
      <c r="N155" s="17">
        <v>24290</v>
      </c>
      <c r="O155" s="17">
        <f>Table1[[#This Row],[ LORRY RATE ]]-Table1[[#This Row],[Adance Paid (INR)]]</f>
        <v>0</v>
      </c>
      <c r="P155" s="17" t="s">
        <v>147</v>
      </c>
      <c r="Q155" s="18" t="s">
        <v>677</v>
      </c>
      <c r="R155" s="17" t="s">
        <v>267</v>
      </c>
      <c r="S155" s="18" t="s">
        <v>622</v>
      </c>
      <c r="T155" s="18" t="s">
        <v>622</v>
      </c>
      <c r="U155" s="15" t="s">
        <v>54</v>
      </c>
      <c r="V155" s="15" t="s">
        <v>380</v>
      </c>
      <c r="W155" s="15" t="s">
        <v>626</v>
      </c>
    </row>
    <row r="156" spans="1:23" hidden="1" x14ac:dyDescent="0.3">
      <c r="A156" s="15">
        <v>156</v>
      </c>
      <c r="B156" s="15" t="s">
        <v>604</v>
      </c>
      <c r="C156" s="19">
        <v>45572</v>
      </c>
      <c r="D156" s="19" t="s">
        <v>51</v>
      </c>
      <c r="E156" s="21" t="s">
        <v>621</v>
      </c>
      <c r="F156" s="21">
        <v>9518441522</v>
      </c>
      <c r="G156" s="15" t="s">
        <v>6</v>
      </c>
      <c r="H156" s="15" t="s">
        <v>655</v>
      </c>
      <c r="I156" s="15" t="s">
        <v>656</v>
      </c>
      <c r="J156" s="15" t="s">
        <v>168</v>
      </c>
      <c r="K156" s="16">
        <v>27700</v>
      </c>
      <c r="L156" s="16">
        <v>41900</v>
      </c>
      <c r="M156" s="17">
        <f>Table1[[#This Row],[Billing Rate Charges]]-Table1[[#This Row],[ LORRY RATE ]]</f>
        <v>14200</v>
      </c>
      <c r="N156" s="17">
        <v>27700</v>
      </c>
      <c r="O156" s="17">
        <f>Table1[[#This Row],[ LORRY RATE ]]-Table1[[#This Row],[Adance Paid (INR)]]</f>
        <v>0</v>
      </c>
      <c r="P156" s="17" t="s">
        <v>147</v>
      </c>
      <c r="Q156" s="18" t="s">
        <v>685</v>
      </c>
      <c r="R156" s="17" t="s">
        <v>267</v>
      </c>
      <c r="S156" s="18" t="s">
        <v>630</v>
      </c>
      <c r="T156" s="18" t="s">
        <v>630</v>
      </c>
      <c r="U156" s="15" t="s">
        <v>97</v>
      </c>
      <c r="V156" s="15" t="s">
        <v>439</v>
      </c>
      <c r="W156" s="15"/>
    </row>
    <row r="157" spans="1:23" hidden="1" x14ac:dyDescent="0.3">
      <c r="A157" s="15">
        <v>157</v>
      </c>
      <c r="B157" s="15" t="s">
        <v>604</v>
      </c>
      <c r="C157" s="19">
        <v>45573</v>
      </c>
      <c r="D157" s="19" t="s">
        <v>51</v>
      </c>
      <c r="E157" s="21" t="s">
        <v>380</v>
      </c>
      <c r="F157" s="21"/>
      <c r="G157" s="15" t="s">
        <v>6</v>
      </c>
      <c r="H157" s="15" t="s">
        <v>26</v>
      </c>
      <c r="I157" s="15" t="s">
        <v>652</v>
      </c>
      <c r="J157" s="15" t="s">
        <v>381</v>
      </c>
      <c r="K157" s="16">
        <v>27010</v>
      </c>
      <c r="L157" s="16">
        <v>33420</v>
      </c>
      <c r="M157" s="17">
        <f>Table1[[#This Row],[Billing Rate Charges]]-Table1[[#This Row],[ LORRY RATE ]]</f>
        <v>6410</v>
      </c>
      <c r="N157" s="17">
        <v>27010</v>
      </c>
      <c r="O157" s="17">
        <f>Table1[[#This Row],[ LORRY RATE ]]-Table1[[#This Row],[Adance Paid (INR)]]</f>
        <v>0</v>
      </c>
      <c r="P157" s="17" t="s">
        <v>147</v>
      </c>
      <c r="Q157" s="18" t="s">
        <v>686</v>
      </c>
      <c r="R157" s="17" t="s">
        <v>267</v>
      </c>
      <c r="S157" s="18" t="s">
        <v>628</v>
      </c>
      <c r="T157" s="18" t="s">
        <v>628</v>
      </c>
      <c r="U157" s="15" t="s">
        <v>97</v>
      </c>
      <c r="V157" s="15" t="s">
        <v>380</v>
      </c>
      <c r="W157" s="15" t="s">
        <v>626</v>
      </c>
    </row>
    <row r="158" spans="1:23" hidden="1" x14ac:dyDescent="0.3">
      <c r="A158" s="15">
        <v>158</v>
      </c>
      <c r="B158" s="15" t="s">
        <v>604</v>
      </c>
      <c r="C158" s="19">
        <v>45573</v>
      </c>
      <c r="D158" s="19" t="s">
        <v>51</v>
      </c>
      <c r="E158" s="21" t="s">
        <v>547</v>
      </c>
      <c r="F158" s="21">
        <v>9470447784</v>
      </c>
      <c r="G158" s="15" t="s">
        <v>6</v>
      </c>
      <c r="H158" s="15" t="s">
        <v>26</v>
      </c>
      <c r="I158" s="15" t="s">
        <v>653</v>
      </c>
      <c r="J158" s="15" t="s">
        <v>623</v>
      </c>
      <c r="K158" s="16">
        <v>26220</v>
      </c>
      <c r="L158" s="16">
        <v>35600</v>
      </c>
      <c r="M158" s="17">
        <f>Table1[[#This Row],[Billing Rate Charges]]-Table1[[#This Row],[ LORRY RATE ]]</f>
        <v>9380</v>
      </c>
      <c r="N158" s="17">
        <v>26220</v>
      </c>
      <c r="O158" s="17">
        <f>Table1[[#This Row],[ LORRY RATE ]]-Table1[[#This Row],[Adance Paid (INR)]]</f>
        <v>0</v>
      </c>
      <c r="P158" s="17" t="s">
        <v>147</v>
      </c>
      <c r="Q158" s="18" t="s">
        <v>687</v>
      </c>
      <c r="R158" s="17" t="s">
        <v>267</v>
      </c>
      <c r="S158" s="18" t="s">
        <v>630</v>
      </c>
      <c r="T158" s="18" t="s">
        <v>630</v>
      </c>
      <c r="U158" s="15" t="s">
        <v>97</v>
      </c>
      <c r="V158" s="15" t="s">
        <v>439</v>
      </c>
      <c r="W158" s="15"/>
    </row>
    <row r="159" spans="1:23" hidden="1" x14ac:dyDescent="0.3">
      <c r="A159" s="15">
        <v>159</v>
      </c>
      <c r="B159" s="15" t="s">
        <v>604</v>
      </c>
      <c r="C159" s="19">
        <v>45574</v>
      </c>
      <c r="D159" s="19" t="s">
        <v>51</v>
      </c>
      <c r="E159" s="21" t="s">
        <v>624</v>
      </c>
      <c r="F159" s="21">
        <v>9365060305</v>
      </c>
      <c r="G159" s="15" t="s">
        <v>6</v>
      </c>
      <c r="H159" s="15" t="s">
        <v>650</v>
      </c>
      <c r="I159" s="15" t="s">
        <v>651</v>
      </c>
      <c r="J159" s="15" t="s">
        <v>168</v>
      </c>
      <c r="K159" s="16">
        <v>27700</v>
      </c>
      <c r="L159" s="16">
        <v>41900</v>
      </c>
      <c r="M159" s="17">
        <f>Table1[[#This Row],[Billing Rate Charges]]-Table1[[#This Row],[ LORRY RATE ]]</f>
        <v>14200</v>
      </c>
      <c r="N159" s="17">
        <v>27700</v>
      </c>
      <c r="O159" s="17">
        <f>Table1[[#This Row],[ LORRY RATE ]]-Table1[[#This Row],[Adance Paid (INR)]]</f>
        <v>0</v>
      </c>
      <c r="P159" s="17" t="s">
        <v>147</v>
      </c>
      <c r="Q159" s="18" t="s">
        <v>672</v>
      </c>
      <c r="R159" s="17" t="s">
        <v>267</v>
      </c>
      <c r="S159" s="18" t="s">
        <v>692</v>
      </c>
      <c r="T159" s="18" t="s">
        <v>691</v>
      </c>
      <c r="U159" s="15" t="s">
        <v>97</v>
      </c>
      <c r="V159" s="15" t="s">
        <v>439</v>
      </c>
      <c r="W159" s="15"/>
    </row>
    <row r="160" spans="1:23" hidden="1" x14ac:dyDescent="0.3">
      <c r="A160" s="15">
        <v>160</v>
      </c>
      <c r="B160" s="15" t="s">
        <v>604</v>
      </c>
      <c r="C160" s="19">
        <v>45574</v>
      </c>
      <c r="D160" s="19" t="s">
        <v>51</v>
      </c>
      <c r="E160" s="21" t="s">
        <v>625</v>
      </c>
      <c r="F160" s="21">
        <v>9995112513</v>
      </c>
      <c r="G160" s="15" t="s">
        <v>42</v>
      </c>
      <c r="H160" s="15" t="s">
        <v>26</v>
      </c>
      <c r="I160" s="15" t="s">
        <v>660</v>
      </c>
      <c r="J160" s="15" t="s">
        <v>168</v>
      </c>
      <c r="K160" s="16">
        <v>50750</v>
      </c>
      <c r="L160" s="16">
        <v>59850</v>
      </c>
      <c r="M160" s="17">
        <f>Table1[[#This Row],[Billing Rate Charges]]-Table1[[#This Row],[ LORRY RATE ]]</f>
        <v>9100</v>
      </c>
      <c r="N160" s="17">
        <v>50750</v>
      </c>
      <c r="O160" s="17">
        <f>Table1[[#This Row],[ LORRY RATE ]]-Table1[[#This Row],[Adance Paid (INR)]]</f>
        <v>0</v>
      </c>
      <c r="P160" s="17" t="s">
        <v>147</v>
      </c>
      <c r="Q160" s="18" t="s">
        <v>666</v>
      </c>
      <c r="R160" s="17" t="s">
        <v>267</v>
      </c>
      <c r="S160" s="18" t="s">
        <v>692</v>
      </c>
      <c r="T160" s="18" t="s">
        <v>692</v>
      </c>
      <c r="U160" s="15" t="s">
        <v>97</v>
      </c>
      <c r="V160" s="15" t="s">
        <v>453</v>
      </c>
      <c r="W160" s="15"/>
    </row>
    <row r="161" spans="1:23" hidden="1" x14ac:dyDescent="0.3">
      <c r="A161" s="15">
        <v>161</v>
      </c>
      <c r="B161" s="15" t="s">
        <v>604</v>
      </c>
      <c r="C161" s="19">
        <v>45575</v>
      </c>
      <c r="D161" s="19" t="s">
        <v>51</v>
      </c>
      <c r="E161" s="15" t="s">
        <v>380</v>
      </c>
      <c r="F161" s="15"/>
      <c r="G161" s="15" t="s">
        <v>6</v>
      </c>
      <c r="H161" s="15" t="s">
        <v>26</v>
      </c>
      <c r="I161" s="15" t="s">
        <v>649</v>
      </c>
      <c r="J161" s="15" t="s">
        <v>381</v>
      </c>
      <c r="K161" s="16">
        <v>25270</v>
      </c>
      <c r="L161" s="16">
        <v>31220</v>
      </c>
      <c r="M161" s="17">
        <f>Table1[[#This Row],[Billing Rate Charges]]-Table1[[#This Row],[ LORRY RATE ]]</f>
        <v>5950</v>
      </c>
      <c r="N161" s="17">
        <v>25270</v>
      </c>
      <c r="O161" s="17">
        <f>Table1[[#This Row],[ LORRY RATE ]]-Table1[[#This Row],[Adance Paid (INR)]]</f>
        <v>0</v>
      </c>
      <c r="P161" s="17" t="s">
        <v>147</v>
      </c>
      <c r="Q161" s="18" t="s">
        <v>688</v>
      </c>
      <c r="R161" s="17" t="s">
        <v>267</v>
      </c>
      <c r="S161" s="18" t="s">
        <v>630</v>
      </c>
      <c r="T161" s="18" t="s">
        <v>630</v>
      </c>
      <c r="U161" s="15" t="s">
        <v>54</v>
      </c>
      <c r="V161" s="15" t="s">
        <v>380</v>
      </c>
      <c r="W161" s="15" t="s">
        <v>632</v>
      </c>
    </row>
    <row r="162" spans="1:23" hidden="1" x14ac:dyDescent="0.3">
      <c r="A162" s="15">
        <v>162</v>
      </c>
      <c r="B162" s="15" t="s">
        <v>604</v>
      </c>
      <c r="C162" s="19">
        <v>45575</v>
      </c>
      <c r="D162" s="19" t="s">
        <v>56</v>
      </c>
      <c r="E162" s="15" t="s">
        <v>38</v>
      </c>
      <c r="F162" s="15">
        <v>9515412075</v>
      </c>
      <c r="G162" s="15" t="s">
        <v>42</v>
      </c>
      <c r="H162" s="15" t="s">
        <v>689</v>
      </c>
      <c r="I162" s="15" t="s">
        <v>690</v>
      </c>
      <c r="J162" s="15" t="s">
        <v>59</v>
      </c>
      <c r="K162" s="16">
        <v>52820</v>
      </c>
      <c r="L162" s="16">
        <v>97650</v>
      </c>
      <c r="M162" s="17">
        <f>Table1[[#This Row],[Billing Rate Charges]]-Table1[[#This Row],[ LORRY RATE ]]</f>
        <v>44830</v>
      </c>
      <c r="N162" s="17">
        <v>52820</v>
      </c>
      <c r="O162" s="17">
        <f>Table1[[#This Row],[ LORRY RATE ]]-Table1[[#This Row],[Adance Paid (INR)]]</f>
        <v>0</v>
      </c>
      <c r="P162" s="17" t="s">
        <v>147</v>
      </c>
      <c r="Q162" s="18" t="s">
        <v>671</v>
      </c>
      <c r="R162" s="17" t="s">
        <v>267</v>
      </c>
      <c r="S162" s="18" t="s">
        <v>692</v>
      </c>
      <c r="T162" s="18" t="s">
        <v>691</v>
      </c>
      <c r="U162" s="15" t="s">
        <v>97</v>
      </c>
      <c r="V162" s="15" t="s">
        <v>56</v>
      </c>
      <c r="W162" s="15"/>
    </row>
    <row r="163" spans="1:23" hidden="1" x14ac:dyDescent="0.3">
      <c r="A163" s="15">
        <v>163</v>
      </c>
      <c r="B163" s="15" t="s">
        <v>604</v>
      </c>
      <c r="C163" s="19">
        <v>45576</v>
      </c>
      <c r="D163" s="19" t="s">
        <v>51</v>
      </c>
      <c r="E163" s="21" t="s">
        <v>631</v>
      </c>
      <c r="F163" s="21">
        <v>9753829236</v>
      </c>
      <c r="G163" s="15" t="s">
        <v>6</v>
      </c>
      <c r="H163" s="15" t="s">
        <v>647</v>
      </c>
      <c r="I163" s="15" t="s">
        <v>648</v>
      </c>
      <c r="J163" s="15" t="s">
        <v>168</v>
      </c>
      <c r="K163" s="16">
        <v>27700</v>
      </c>
      <c r="L163" s="16">
        <v>41900</v>
      </c>
      <c r="M163" s="17">
        <f>Table1[[#This Row],[Billing Rate Charges]]-Table1[[#This Row],[ LORRY RATE ]]</f>
        <v>14200</v>
      </c>
      <c r="N163" s="17">
        <v>27700</v>
      </c>
      <c r="O163" s="17">
        <f>Table1[[#This Row],[ LORRY RATE ]]-Table1[[#This Row],[Adance Paid (INR)]]</f>
        <v>0</v>
      </c>
      <c r="P163" s="17" t="s">
        <v>147</v>
      </c>
      <c r="Q163" s="18" t="s">
        <v>693</v>
      </c>
      <c r="R163" s="17" t="s">
        <v>267</v>
      </c>
      <c r="S163" s="18" t="s">
        <v>692</v>
      </c>
      <c r="T163" s="18" t="s">
        <v>691</v>
      </c>
      <c r="U163" s="15" t="s">
        <v>97</v>
      </c>
      <c r="V163" s="15" t="s">
        <v>439</v>
      </c>
      <c r="W163" s="15"/>
    </row>
    <row r="164" spans="1:23" hidden="1" x14ac:dyDescent="0.3">
      <c r="A164" s="15">
        <v>164</v>
      </c>
      <c r="B164" s="15" t="s">
        <v>604</v>
      </c>
      <c r="C164" s="19">
        <v>45580</v>
      </c>
      <c r="D164" s="19" t="s">
        <v>56</v>
      </c>
      <c r="E164" s="15" t="s">
        <v>60</v>
      </c>
      <c r="F164" s="15">
        <v>9589264337</v>
      </c>
      <c r="G164" s="15" t="s">
        <v>6</v>
      </c>
      <c r="H164" s="15" t="s">
        <v>723</v>
      </c>
      <c r="I164" s="15" t="s">
        <v>724</v>
      </c>
      <c r="J164" s="15" t="s">
        <v>7</v>
      </c>
      <c r="K164" s="16">
        <v>47150</v>
      </c>
      <c r="L164" s="16">
        <v>59850</v>
      </c>
      <c r="M164" s="17">
        <f>Table1[[#This Row],[Billing Rate Charges]]-Table1[[#This Row],[ LORRY RATE ]]</f>
        <v>12700</v>
      </c>
      <c r="N164" s="17">
        <v>47150</v>
      </c>
      <c r="O164" s="17">
        <f>Table1[[#This Row],[ LORRY RATE ]]-Table1[[#This Row],[Adance Paid (INR)]]</f>
        <v>0</v>
      </c>
      <c r="P164" s="17" t="s">
        <v>147</v>
      </c>
      <c r="Q164" s="18" t="s">
        <v>742</v>
      </c>
      <c r="R164" s="17"/>
      <c r="S164" s="18" t="s">
        <v>708</v>
      </c>
      <c r="T164" s="18" t="s">
        <v>709</v>
      </c>
      <c r="U164" s="15" t="s">
        <v>54</v>
      </c>
      <c r="V164" s="15" t="s">
        <v>56</v>
      </c>
      <c r="W164" s="15"/>
    </row>
    <row r="165" spans="1:23" hidden="1" x14ac:dyDescent="0.3">
      <c r="A165" s="15">
        <v>165</v>
      </c>
      <c r="B165" s="15" t="s">
        <v>604</v>
      </c>
      <c r="C165" s="19">
        <v>45580</v>
      </c>
      <c r="D165" s="19" t="s">
        <v>51</v>
      </c>
      <c r="E165" s="21" t="s">
        <v>694</v>
      </c>
      <c r="F165" s="21">
        <v>9271848168</v>
      </c>
      <c r="G165" s="15" t="s">
        <v>42</v>
      </c>
      <c r="H165" s="15" t="s">
        <v>740</v>
      </c>
      <c r="I165" s="15" t="s">
        <v>6</v>
      </c>
      <c r="J165" s="15" t="s">
        <v>107</v>
      </c>
      <c r="K165" s="16">
        <v>81330</v>
      </c>
      <c r="L165" s="16">
        <v>110250</v>
      </c>
      <c r="M165" s="17">
        <f>Table1[[#This Row],[Billing Rate Charges]]-Table1[[#This Row],[ LORRY RATE ]]</f>
        <v>28920</v>
      </c>
      <c r="N165" s="17">
        <v>73940</v>
      </c>
      <c r="O165" s="17">
        <f>Table1[[#This Row],[ LORRY RATE ]]-Table1[[#This Row],[Adance Paid (INR)]]</f>
        <v>7390</v>
      </c>
      <c r="P165" s="17" t="s">
        <v>147</v>
      </c>
      <c r="Q165" s="18" t="s">
        <v>744</v>
      </c>
      <c r="R165" s="17"/>
      <c r="S165" s="18" t="s">
        <v>714</v>
      </c>
      <c r="T165" s="18" t="s">
        <v>715</v>
      </c>
      <c r="U165" s="15" t="s">
        <v>54</v>
      </c>
      <c r="V165" s="15" t="s">
        <v>695</v>
      </c>
      <c r="W165" s="15"/>
    </row>
    <row r="166" spans="1:23" hidden="1" x14ac:dyDescent="0.3">
      <c r="A166" s="15">
        <v>166</v>
      </c>
      <c r="B166" s="15" t="s">
        <v>604</v>
      </c>
      <c r="C166" s="19">
        <v>45581</v>
      </c>
      <c r="D166" s="19" t="s">
        <v>56</v>
      </c>
      <c r="E166" s="15" t="s">
        <v>38</v>
      </c>
      <c r="F166" s="15">
        <v>9515412075</v>
      </c>
      <c r="G166" s="15" t="s">
        <v>6</v>
      </c>
      <c r="H166" s="15" t="s">
        <v>721</v>
      </c>
      <c r="I166" s="15" t="s">
        <v>722</v>
      </c>
      <c r="J166" s="15" t="s">
        <v>25</v>
      </c>
      <c r="K166" s="16">
        <v>46680</v>
      </c>
      <c r="L166" s="16">
        <v>56700</v>
      </c>
      <c r="M166" s="17">
        <f>Table1[[#This Row],[Billing Rate Charges]]-Table1[[#This Row],[ LORRY RATE ]]</f>
        <v>10020</v>
      </c>
      <c r="N166" s="17">
        <v>46680</v>
      </c>
      <c r="O166" s="17">
        <f>Table1[[#This Row],[ LORRY RATE ]]-Table1[[#This Row],[Adance Paid (INR)]]</f>
        <v>0</v>
      </c>
      <c r="P166" s="17" t="s">
        <v>147</v>
      </c>
      <c r="Q166" s="18" t="s">
        <v>745</v>
      </c>
      <c r="R166" s="17"/>
      <c r="S166" s="18" t="s">
        <v>709</v>
      </c>
      <c r="T166" s="18" t="s">
        <v>704</v>
      </c>
      <c r="U166" s="15" t="s">
        <v>97</v>
      </c>
      <c r="V166" s="15" t="s">
        <v>56</v>
      </c>
      <c r="W166" s="15"/>
    </row>
    <row r="167" spans="1:23" hidden="1" x14ac:dyDescent="0.3">
      <c r="A167" s="15">
        <v>167</v>
      </c>
      <c r="B167" s="15" t="s">
        <v>604</v>
      </c>
      <c r="C167" s="19">
        <v>45582</v>
      </c>
      <c r="D167" s="19" t="s">
        <v>51</v>
      </c>
      <c r="E167" s="21" t="s">
        <v>438</v>
      </c>
      <c r="F167" s="21">
        <v>9563961453</v>
      </c>
      <c r="G167" s="15" t="s">
        <v>6</v>
      </c>
      <c r="H167" s="15" t="s">
        <v>719</v>
      </c>
      <c r="I167" s="15" t="s">
        <v>720</v>
      </c>
      <c r="J167" s="15" t="s">
        <v>168</v>
      </c>
      <c r="K167" s="16">
        <v>27440</v>
      </c>
      <c r="L167" s="16">
        <v>41900</v>
      </c>
      <c r="M167" s="17">
        <f>Table1[[#This Row],[Billing Rate Charges]]-Table1[[#This Row],[ LORRY RATE ]]</f>
        <v>14460</v>
      </c>
      <c r="N167" s="17">
        <v>27440</v>
      </c>
      <c r="O167" s="17">
        <f>Table1[[#This Row],[ LORRY RATE ]]-Table1[[#This Row],[Adance Paid (INR)]]</f>
        <v>0</v>
      </c>
      <c r="P167" s="17" t="s">
        <v>147</v>
      </c>
      <c r="Q167" s="18" t="s">
        <v>746</v>
      </c>
      <c r="R167" s="17"/>
      <c r="S167" s="18" t="s">
        <v>704</v>
      </c>
      <c r="T167" s="18" t="s">
        <v>704</v>
      </c>
      <c r="U167" s="15" t="s">
        <v>54</v>
      </c>
      <c r="V167" s="15" t="s">
        <v>439</v>
      </c>
      <c r="W167" s="15"/>
    </row>
    <row r="168" spans="1:23" hidden="1" x14ac:dyDescent="0.3">
      <c r="A168" s="15">
        <v>168</v>
      </c>
      <c r="B168" s="15" t="s">
        <v>604</v>
      </c>
      <c r="C168" s="19">
        <v>45583</v>
      </c>
      <c r="D168" s="19" t="s">
        <v>51</v>
      </c>
      <c r="E168" s="21" t="s">
        <v>696</v>
      </c>
      <c r="F168" s="21">
        <v>9754088991</v>
      </c>
      <c r="G168" s="15" t="s">
        <v>6</v>
      </c>
      <c r="H168" s="15" t="s">
        <v>725</v>
      </c>
      <c r="I168" s="15" t="s">
        <v>726</v>
      </c>
      <c r="J168" s="15" t="s">
        <v>172</v>
      </c>
      <c r="K168" s="16">
        <v>35780</v>
      </c>
      <c r="L168" s="16">
        <v>52920</v>
      </c>
      <c r="M168" s="17">
        <f>Table1[[#This Row],[Billing Rate Charges]]-Table1[[#This Row],[ LORRY RATE ]]</f>
        <v>17140</v>
      </c>
      <c r="N168" s="17">
        <v>35780</v>
      </c>
      <c r="O168" s="17">
        <f>Table1[[#This Row],[ LORRY RATE ]]-Table1[[#This Row],[Adance Paid (INR)]]</f>
        <v>0</v>
      </c>
      <c r="P168" s="17" t="s">
        <v>147</v>
      </c>
      <c r="Q168" s="18" t="s">
        <v>747</v>
      </c>
      <c r="R168" s="17"/>
      <c r="S168" s="18" t="s">
        <v>704</v>
      </c>
      <c r="T168" s="18" t="s">
        <v>715</v>
      </c>
      <c r="U168" s="15" t="s">
        <v>54</v>
      </c>
      <c r="V168" s="15" t="s">
        <v>529</v>
      </c>
      <c r="W168" s="15"/>
    </row>
    <row r="169" spans="1:23" hidden="1" x14ac:dyDescent="0.3">
      <c r="A169" s="15">
        <v>169</v>
      </c>
      <c r="B169" s="15" t="s">
        <v>604</v>
      </c>
      <c r="C169" s="19">
        <v>45583</v>
      </c>
      <c r="D169" s="19" t="s">
        <v>51</v>
      </c>
      <c r="E169" s="21" t="s">
        <v>697</v>
      </c>
      <c r="F169" s="21">
        <v>9251441941</v>
      </c>
      <c r="G169" s="15" t="s">
        <v>6</v>
      </c>
      <c r="H169" s="15" t="s">
        <v>717</v>
      </c>
      <c r="I169" s="15" t="s">
        <v>718</v>
      </c>
      <c r="J169" s="15" t="s">
        <v>168</v>
      </c>
      <c r="K169" s="16">
        <v>29370</v>
      </c>
      <c r="L169" s="16">
        <v>44100</v>
      </c>
      <c r="M169" s="17">
        <f>Table1[[#This Row],[Billing Rate Charges]]-Table1[[#This Row],[ LORRY RATE ]]</f>
        <v>14730</v>
      </c>
      <c r="N169" s="17">
        <v>29370</v>
      </c>
      <c r="O169" s="17">
        <f>Table1[[#This Row],[ LORRY RATE ]]-Table1[[#This Row],[Adance Paid (INR)]]</f>
        <v>0</v>
      </c>
      <c r="P169" s="17" t="s">
        <v>147</v>
      </c>
      <c r="Q169" s="18" t="s">
        <v>748</v>
      </c>
      <c r="R169" s="17"/>
      <c r="S169" s="18" t="s">
        <v>715</v>
      </c>
      <c r="T169" s="18" t="s">
        <v>715</v>
      </c>
      <c r="U169" s="15" t="s">
        <v>54</v>
      </c>
      <c r="V169" s="15" t="s">
        <v>529</v>
      </c>
      <c r="W169" s="15"/>
    </row>
    <row r="170" spans="1:23" hidden="1" x14ac:dyDescent="0.3">
      <c r="A170" s="15">
        <v>170</v>
      </c>
      <c r="B170" s="15" t="s">
        <v>604</v>
      </c>
      <c r="C170" s="19">
        <v>45583</v>
      </c>
      <c r="D170" s="19" t="s">
        <v>51</v>
      </c>
      <c r="E170" s="15" t="s">
        <v>698</v>
      </c>
      <c r="F170" s="15">
        <v>9482584161</v>
      </c>
      <c r="G170" s="15" t="s">
        <v>6</v>
      </c>
      <c r="H170" s="15" t="s">
        <v>26</v>
      </c>
      <c r="I170" s="15" t="s">
        <v>749</v>
      </c>
      <c r="J170" s="15" t="s">
        <v>222</v>
      </c>
      <c r="K170" s="16">
        <v>1670</v>
      </c>
      <c r="L170" s="16">
        <v>2200</v>
      </c>
      <c r="M170" s="17">
        <f>Table1[[#This Row],[Billing Rate Charges]]-Table1[[#This Row],[ LORRY RATE ]]</f>
        <v>530</v>
      </c>
      <c r="N170" s="17">
        <v>1670</v>
      </c>
      <c r="O170" s="17">
        <f>Table1[[#This Row],[ LORRY RATE ]]-Table1[[#This Row],[Adance Paid (INR)]]</f>
        <v>0</v>
      </c>
      <c r="P170" s="17" t="s">
        <v>147</v>
      </c>
      <c r="Q170" s="18" t="s">
        <v>750</v>
      </c>
      <c r="R170" s="17"/>
      <c r="S170" s="18" t="s">
        <v>699</v>
      </c>
      <c r="T170" s="18" t="s">
        <v>699</v>
      </c>
      <c r="U170" s="15" t="s">
        <v>54</v>
      </c>
      <c r="V170" s="15" t="s">
        <v>700</v>
      </c>
      <c r="W170" s="15" t="s">
        <v>701</v>
      </c>
    </row>
    <row r="171" spans="1:23" hidden="1" x14ac:dyDescent="0.3">
      <c r="A171" s="15">
        <v>171</v>
      </c>
      <c r="B171" s="15" t="s">
        <v>604</v>
      </c>
      <c r="C171" s="19">
        <v>45583</v>
      </c>
      <c r="D171" s="19" t="s">
        <v>51</v>
      </c>
      <c r="E171" s="21" t="s">
        <v>702</v>
      </c>
      <c r="F171" s="21">
        <v>9486457334</v>
      </c>
      <c r="G171" s="15" t="s">
        <v>703</v>
      </c>
      <c r="H171" s="15" t="s">
        <v>26</v>
      </c>
      <c r="I171" s="15" t="s">
        <v>741</v>
      </c>
      <c r="J171" s="15" t="s">
        <v>199</v>
      </c>
      <c r="K171" s="16">
        <v>29300</v>
      </c>
      <c r="L171" s="16">
        <v>34650</v>
      </c>
      <c r="M171" s="17">
        <f>Table1[[#This Row],[Billing Rate Charges]]-Table1[[#This Row],[ LORRY RATE ]]</f>
        <v>5350</v>
      </c>
      <c r="N171" s="17">
        <v>29300</v>
      </c>
      <c r="O171" s="17">
        <f>Table1[[#This Row],[ LORRY RATE ]]-Table1[[#This Row],[Adance Paid (INR)]]</f>
        <v>0</v>
      </c>
      <c r="P171" s="17" t="s">
        <v>147</v>
      </c>
      <c r="Q171" s="18" t="s">
        <v>743</v>
      </c>
      <c r="R171" s="17"/>
      <c r="S171" s="18" t="s">
        <v>704</v>
      </c>
      <c r="T171" s="18" t="s">
        <v>704</v>
      </c>
      <c r="U171" s="15" t="s">
        <v>54</v>
      </c>
      <c r="V171" s="15" t="s">
        <v>705</v>
      </c>
      <c r="W171" s="15"/>
    </row>
    <row r="172" spans="1:23" hidden="1" x14ac:dyDescent="0.3">
      <c r="A172" s="15">
        <v>172</v>
      </c>
      <c r="B172" s="15" t="s">
        <v>604</v>
      </c>
      <c r="C172" s="19">
        <v>45584</v>
      </c>
      <c r="D172" s="19" t="s">
        <v>51</v>
      </c>
      <c r="E172" s="21" t="s">
        <v>706</v>
      </c>
      <c r="F172" s="21">
        <v>9723865045</v>
      </c>
      <c r="G172" s="15" t="s">
        <v>6</v>
      </c>
      <c r="H172" s="15" t="s">
        <v>729</v>
      </c>
      <c r="I172" s="15" t="s">
        <v>730</v>
      </c>
      <c r="J172" s="15" t="s">
        <v>168</v>
      </c>
      <c r="K172" s="16">
        <v>27440</v>
      </c>
      <c r="L172" s="16">
        <v>41900</v>
      </c>
      <c r="M172" s="17">
        <f>Table1[[#This Row],[Billing Rate Charges]]-Table1[[#This Row],[ LORRY RATE ]]</f>
        <v>14460</v>
      </c>
      <c r="N172" s="17">
        <v>27440</v>
      </c>
      <c r="O172" s="17">
        <f>Table1[[#This Row],[ LORRY RATE ]]-Table1[[#This Row],[Adance Paid (INR)]]</f>
        <v>0</v>
      </c>
      <c r="P172" s="17" t="s">
        <v>147</v>
      </c>
      <c r="Q172" s="18" t="s">
        <v>751</v>
      </c>
      <c r="R172" s="17"/>
      <c r="S172" s="18" t="s">
        <v>715</v>
      </c>
      <c r="T172" s="18" t="s">
        <v>739</v>
      </c>
      <c r="U172" s="15" t="s">
        <v>54</v>
      </c>
      <c r="V172" s="15" t="s">
        <v>439</v>
      </c>
      <c r="W172" s="15"/>
    </row>
    <row r="173" spans="1:23" hidden="1" x14ac:dyDescent="0.3">
      <c r="A173" s="15">
        <v>173</v>
      </c>
      <c r="B173" s="15" t="s">
        <v>604</v>
      </c>
      <c r="C173" s="19">
        <v>45584</v>
      </c>
      <c r="D173" s="19" t="s">
        <v>51</v>
      </c>
      <c r="E173" s="21" t="s">
        <v>707</v>
      </c>
      <c r="F173" s="21">
        <v>9709521772</v>
      </c>
      <c r="G173" s="15" t="s">
        <v>6</v>
      </c>
      <c r="H173" s="15" t="s">
        <v>727</v>
      </c>
      <c r="I173" s="15" t="s">
        <v>728</v>
      </c>
      <c r="J173" s="15" t="s">
        <v>168</v>
      </c>
      <c r="K173" s="16">
        <v>29640</v>
      </c>
      <c r="L173" s="16">
        <v>44100</v>
      </c>
      <c r="M173" s="17">
        <f>Table1[[#This Row],[Billing Rate Charges]]-Table1[[#This Row],[ LORRY RATE ]]</f>
        <v>14460</v>
      </c>
      <c r="N173" s="17">
        <v>29640</v>
      </c>
      <c r="O173" s="17">
        <f>Table1[[#This Row],[ LORRY RATE ]]-Table1[[#This Row],[Adance Paid (INR)]]</f>
        <v>0</v>
      </c>
      <c r="P173" s="17" t="s">
        <v>147</v>
      </c>
      <c r="Q173" s="18" t="s">
        <v>752</v>
      </c>
      <c r="R173" s="17"/>
      <c r="S173" s="18" t="s">
        <v>715</v>
      </c>
      <c r="T173" s="18" t="s">
        <v>739</v>
      </c>
      <c r="U173" s="15" t="s">
        <v>54</v>
      </c>
      <c r="V173" s="15" t="s">
        <v>439</v>
      </c>
      <c r="W173" s="15"/>
    </row>
    <row r="174" spans="1:23" hidden="1" x14ac:dyDescent="0.3">
      <c r="A174" s="15">
        <v>174</v>
      </c>
      <c r="B174" s="15" t="s">
        <v>604</v>
      </c>
      <c r="C174" s="19">
        <v>45586</v>
      </c>
      <c r="D174" s="19" t="s">
        <v>51</v>
      </c>
      <c r="E174" s="21" t="s">
        <v>710</v>
      </c>
      <c r="F174" s="21">
        <v>9001199747</v>
      </c>
      <c r="G174" s="15" t="s">
        <v>6</v>
      </c>
      <c r="H174" s="15" t="s">
        <v>732</v>
      </c>
      <c r="I174" s="15" t="s">
        <v>733</v>
      </c>
      <c r="J174" s="15" t="s">
        <v>168</v>
      </c>
      <c r="K174" s="16">
        <v>27440</v>
      </c>
      <c r="L174" s="16">
        <v>41900</v>
      </c>
      <c r="M174" s="17">
        <f>Table1[[#This Row],[Billing Rate Charges]]-Table1[[#This Row],[ LORRY RATE ]]</f>
        <v>14460</v>
      </c>
      <c r="N174" s="17">
        <v>27440</v>
      </c>
      <c r="O174" s="17">
        <f>Table1[[#This Row],[ LORRY RATE ]]-Table1[[#This Row],[Adance Paid (INR)]]</f>
        <v>0</v>
      </c>
      <c r="P174" s="17" t="s">
        <v>147</v>
      </c>
      <c r="Q174" s="18" t="s">
        <v>753</v>
      </c>
      <c r="R174" s="17"/>
      <c r="S174" s="18" t="s">
        <v>756</v>
      </c>
      <c r="T174" s="18" t="s">
        <v>756</v>
      </c>
      <c r="U174" s="15" t="s">
        <v>54</v>
      </c>
      <c r="V174" s="15" t="s">
        <v>439</v>
      </c>
      <c r="W174" s="15"/>
    </row>
    <row r="175" spans="1:23" hidden="1" x14ac:dyDescent="0.3">
      <c r="A175" s="15">
        <v>175</v>
      </c>
      <c r="B175" s="15" t="s">
        <v>604</v>
      </c>
      <c r="C175" s="19">
        <v>45586</v>
      </c>
      <c r="D175" s="19" t="s">
        <v>51</v>
      </c>
      <c r="E175" s="21" t="s">
        <v>711</v>
      </c>
      <c r="F175" s="21">
        <v>9023138543</v>
      </c>
      <c r="G175" s="15" t="s">
        <v>6</v>
      </c>
      <c r="H175" s="15" t="s">
        <v>394</v>
      </c>
      <c r="I175" s="15" t="s">
        <v>731</v>
      </c>
      <c r="J175" s="15" t="s">
        <v>168</v>
      </c>
      <c r="K175" s="16">
        <v>29640</v>
      </c>
      <c r="L175" s="16">
        <v>44100</v>
      </c>
      <c r="M175" s="17">
        <f>Table1[[#This Row],[Billing Rate Charges]]-Table1[[#This Row],[ LORRY RATE ]]</f>
        <v>14460</v>
      </c>
      <c r="N175" s="17">
        <v>29640</v>
      </c>
      <c r="O175" s="17">
        <f>Table1[[#This Row],[ LORRY RATE ]]-Table1[[#This Row],[Adance Paid (INR)]]</f>
        <v>0</v>
      </c>
      <c r="P175" s="17" t="s">
        <v>147</v>
      </c>
      <c r="Q175" s="18" t="s">
        <v>813</v>
      </c>
      <c r="R175" s="17"/>
      <c r="S175" s="18" t="s">
        <v>756</v>
      </c>
      <c r="T175" s="18" t="s">
        <v>763</v>
      </c>
      <c r="U175" s="15" t="s">
        <v>54</v>
      </c>
      <c r="V175" s="15" t="s">
        <v>529</v>
      </c>
      <c r="W175" s="15"/>
    </row>
    <row r="176" spans="1:23" hidden="1" x14ac:dyDescent="0.3">
      <c r="A176" s="15">
        <v>176</v>
      </c>
      <c r="B176" s="15" t="s">
        <v>604</v>
      </c>
      <c r="C176" s="19">
        <v>45587</v>
      </c>
      <c r="D176" s="19" t="s">
        <v>51</v>
      </c>
      <c r="E176" s="21" t="s">
        <v>712</v>
      </c>
      <c r="F176" s="44">
        <v>9707438801</v>
      </c>
      <c r="G176" s="15" t="s">
        <v>6</v>
      </c>
      <c r="H176" s="15" t="s">
        <v>734</v>
      </c>
      <c r="I176" s="15" t="s">
        <v>735</v>
      </c>
      <c r="J176" s="15" t="s">
        <v>623</v>
      </c>
      <c r="K176" s="16">
        <v>30180</v>
      </c>
      <c r="L176" s="16">
        <v>44100</v>
      </c>
      <c r="M176" s="17">
        <f>Table1[[#This Row],[Billing Rate Charges]]-Table1[[#This Row],[ LORRY RATE ]]</f>
        <v>13920</v>
      </c>
      <c r="N176" s="17">
        <v>30180</v>
      </c>
      <c r="O176" s="17">
        <f>Table1[[#This Row],[ LORRY RATE ]]-Table1[[#This Row],[Adance Paid (INR)]]</f>
        <v>0</v>
      </c>
      <c r="P176" s="17" t="s">
        <v>147</v>
      </c>
      <c r="Q176" s="18" t="s">
        <v>814</v>
      </c>
      <c r="R176" s="17"/>
      <c r="S176" s="18" t="s">
        <v>763</v>
      </c>
      <c r="T176" s="18" t="s">
        <v>763</v>
      </c>
      <c r="U176" s="15" t="s">
        <v>54</v>
      </c>
      <c r="V176" s="15" t="s">
        <v>439</v>
      </c>
      <c r="W176" s="15"/>
    </row>
    <row r="177" spans="1:23" hidden="1" x14ac:dyDescent="0.3">
      <c r="A177" s="15">
        <v>177</v>
      </c>
      <c r="B177" s="15" t="s">
        <v>604</v>
      </c>
      <c r="C177" s="19">
        <v>45587</v>
      </c>
      <c r="D177" s="19" t="s">
        <v>51</v>
      </c>
      <c r="E177" s="15" t="s">
        <v>711</v>
      </c>
      <c r="F177" s="15">
        <v>9023138543</v>
      </c>
      <c r="G177" s="15" t="s">
        <v>6</v>
      </c>
      <c r="H177" s="15" t="s">
        <v>609</v>
      </c>
      <c r="I177" s="15" t="s">
        <v>738</v>
      </c>
      <c r="J177" s="15" t="s">
        <v>199</v>
      </c>
      <c r="K177" s="16">
        <v>0</v>
      </c>
      <c r="L177" s="16">
        <v>20640</v>
      </c>
      <c r="M177" s="17">
        <f>Table1[[#This Row],[Billing Rate Charges]]-Table1[[#This Row],[ LORRY RATE ]]</f>
        <v>20640</v>
      </c>
      <c r="N177" s="17"/>
      <c r="O177" s="17">
        <f>Table1[[#This Row],[ LORRY RATE ]]-Table1[[#This Row],[Adance Paid (INR)]]</f>
        <v>0</v>
      </c>
      <c r="P177" s="17" t="s">
        <v>147</v>
      </c>
      <c r="Q177" s="18" t="s">
        <v>816</v>
      </c>
      <c r="R177" s="17"/>
      <c r="S177" s="18" t="s">
        <v>756</v>
      </c>
      <c r="T177" s="18" t="s">
        <v>763</v>
      </c>
      <c r="U177" s="15" t="s">
        <v>54</v>
      </c>
      <c r="V177" s="15" t="s">
        <v>529</v>
      </c>
      <c r="W177" s="15" t="s">
        <v>713</v>
      </c>
    </row>
    <row r="178" spans="1:23" hidden="1" x14ac:dyDescent="0.3">
      <c r="A178" s="15">
        <v>178</v>
      </c>
      <c r="B178" s="15" t="s">
        <v>604</v>
      </c>
      <c r="C178" s="19">
        <v>45587</v>
      </c>
      <c r="D178" s="19" t="s">
        <v>56</v>
      </c>
      <c r="E178" s="15" t="s">
        <v>38</v>
      </c>
      <c r="F178" s="15">
        <v>9515412075</v>
      </c>
      <c r="G178" s="15" t="s">
        <v>45</v>
      </c>
      <c r="H178" s="15" t="s">
        <v>803</v>
      </c>
      <c r="I178" s="15" t="s">
        <v>804</v>
      </c>
      <c r="J178" s="15" t="s">
        <v>59</v>
      </c>
      <c r="K178" s="16">
        <v>49230</v>
      </c>
      <c r="L178" s="16">
        <v>73710</v>
      </c>
      <c r="M178" s="17">
        <f>Table1[[#This Row],[Billing Rate Charges]]-Table1[[#This Row],[ LORRY RATE ]]</f>
        <v>24480</v>
      </c>
      <c r="N178" s="17">
        <v>49230</v>
      </c>
      <c r="O178" s="17"/>
      <c r="P178" s="17" t="s">
        <v>147</v>
      </c>
      <c r="Q178" s="18" t="s">
        <v>817</v>
      </c>
      <c r="R178" s="17"/>
      <c r="S178" s="18" t="s">
        <v>761</v>
      </c>
      <c r="T178" s="18" t="s">
        <v>762</v>
      </c>
      <c r="U178" s="15" t="s">
        <v>97</v>
      </c>
      <c r="V178" s="15" t="s">
        <v>56</v>
      </c>
      <c r="W178" s="15"/>
    </row>
    <row r="179" spans="1:23" hidden="1" x14ac:dyDescent="0.3">
      <c r="A179" s="15">
        <v>179</v>
      </c>
      <c r="B179" s="15" t="s">
        <v>604</v>
      </c>
      <c r="C179" s="19">
        <v>45588</v>
      </c>
      <c r="D179" s="19" t="s">
        <v>51</v>
      </c>
      <c r="E179" s="21" t="s">
        <v>716</v>
      </c>
      <c r="F179" s="21">
        <v>9400347476</v>
      </c>
      <c r="G179" s="15" t="s">
        <v>6</v>
      </c>
      <c r="H179" s="15" t="s">
        <v>737</v>
      </c>
      <c r="I179" s="15" t="s">
        <v>736</v>
      </c>
      <c r="J179" s="15" t="s">
        <v>623</v>
      </c>
      <c r="K179" s="16">
        <v>28650</v>
      </c>
      <c r="L179" s="16">
        <v>48200</v>
      </c>
      <c r="M179" s="17">
        <f>Table1[[#This Row],[Billing Rate Charges]]-Table1[[#This Row],[ LORRY RATE ]]</f>
        <v>19550</v>
      </c>
      <c r="N179" s="17">
        <v>28650</v>
      </c>
      <c r="O179" s="17">
        <f>Table1[[#This Row],[ LORRY RATE ]]-Table1[[#This Row],[Adance Paid (INR)]]</f>
        <v>0</v>
      </c>
      <c r="P179" s="17" t="s">
        <v>147</v>
      </c>
      <c r="Q179" s="18" t="s">
        <v>818</v>
      </c>
      <c r="R179" s="17"/>
      <c r="S179" s="18" t="s">
        <v>760</v>
      </c>
      <c r="T179" s="18" t="s">
        <v>761</v>
      </c>
      <c r="U179" s="15" t="s">
        <v>97</v>
      </c>
      <c r="V179" s="15" t="s">
        <v>529</v>
      </c>
      <c r="W179" s="15"/>
    </row>
    <row r="180" spans="1:23" hidden="1" x14ac:dyDescent="0.3">
      <c r="A180" s="15">
        <v>180</v>
      </c>
      <c r="B180" s="15" t="s">
        <v>604</v>
      </c>
      <c r="C180" s="19">
        <v>45588</v>
      </c>
      <c r="D180" s="19" t="s">
        <v>56</v>
      </c>
      <c r="E180" s="15" t="s">
        <v>60</v>
      </c>
      <c r="F180" s="15">
        <v>9589264337</v>
      </c>
      <c r="G180" s="15" t="s">
        <v>42</v>
      </c>
      <c r="H180" s="15" t="s">
        <v>810</v>
      </c>
      <c r="I180" s="15" t="s">
        <v>809</v>
      </c>
      <c r="J180" s="15" t="s">
        <v>172</v>
      </c>
      <c r="K180" s="16">
        <v>53580</v>
      </c>
      <c r="L180" s="16">
        <v>102690</v>
      </c>
      <c r="M180" s="17">
        <f>Table1[[#This Row],[Billing Rate Charges]]-Table1[[#This Row],[ LORRY RATE ]]</f>
        <v>49110</v>
      </c>
      <c r="N180" s="17">
        <v>53580</v>
      </c>
      <c r="O180" s="17"/>
      <c r="P180" s="17" t="s">
        <v>147</v>
      </c>
      <c r="Q180" s="18" t="s">
        <v>819</v>
      </c>
      <c r="R180" s="17"/>
      <c r="S180" s="18" t="s">
        <v>763</v>
      </c>
      <c r="T180" s="18" t="s">
        <v>763</v>
      </c>
      <c r="U180" s="15" t="s">
        <v>97</v>
      </c>
      <c r="V180" s="15" t="s">
        <v>56</v>
      </c>
      <c r="W180" s="15"/>
    </row>
    <row r="181" spans="1:23" hidden="1" x14ac:dyDescent="0.3">
      <c r="A181" s="15">
        <v>181</v>
      </c>
      <c r="B181" s="15" t="s">
        <v>604</v>
      </c>
      <c r="C181" s="19">
        <v>45589</v>
      </c>
      <c r="D181" s="19" t="s">
        <v>51</v>
      </c>
      <c r="E181" s="21" t="s">
        <v>554</v>
      </c>
      <c r="F181" s="21">
        <v>9474958824</v>
      </c>
      <c r="G181" s="15" t="s">
        <v>42</v>
      </c>
      <c r="H181" s="15" t="s">
        <v>26</v>
      </c>
      <c r="I181" s="15" t="s">
        <v>794</v>
      </c>
      <c r="J181" s="15" t="s">
        <v>455</v>
      </c>
      <c r="K181" s="16">
        <v>87880</v>
      </c>
      <c r="L181" s="16">
        <v>103950</v>
      </c>
      <c r="M181" s="17">
        <f>Table1[[#This Row],[Billing Rate Charges]]-Table1[[#This Row],[ LORRY RATE ]]</f>
        <v>16070</v>
      </c>
      <c r="N181" s="17">
        <v>87880</v>
      </c>
      <c r="O181" s="17">
        <f>Table1[[#This Row],[ LORRY RATE ]]-Table1[[#This Row],[Adance Paid (INR)]]</f>
        <v>0</v>
      </c>
      <c r="P181" s="17" t="s">
        <v>147</v>
      </c>
      <c r="Q181" s="18" t="s">
        <v>820</v>
      </c>
      <c r="R181" s="17"/>
      <c r="S181" s="18" t="s">
        <v>761</v>
      </c>
      <c r="T181" s="18" t="s">
        <v>761</v>
      </c>
      <c r="U181" s="15" t="s">
        <v>97</v>
      </c>
      <c r="V181" s="15" t="s">
        <v>453</v>
      </c>
      <c r="W181" s="15"/>
    </row>
    <row r="182" spans="1:23" hidden="1" x14ac:dyDescent="0.3">
      <c r="A182" s="15">
        <v>182</v>
      </c>
      <c r="B182" s="15" t="s">
        <v>604</v>
      </c>
      <c r="C182" s="19">
        <v>45589</v>
      </c>
      <c r="D182" s="19" t="s">
        <v>51</v>
      </c>
      <c r="E182" s="21" t="s">
        <v>754</v>
      </c>
      <c r="F182" s="21">
        <v>9088752472</v>
      </c>
      <c r="G182" s="15" t="s">
        <v>6</v>
      </c>
      <c r="H182" s="15" t="s">
        <v>784</v>
      </c>
      <c r="I182" s="15" t="s">
        <v>783</v>
      </c>
      <c r="J182" s="15" t="s">
        <v>168</v>
      </c>
      <c r="K182" s="16">
        <v>31660</v>
      </c>
      <c r="L182" s="16">
        <v>50400</v>
      </c>
      <c r="M182" s="17">
        <f>Table1[[#This Row],[Billing Rate Charges]]-Table1[[#This Row],[ LORRY RATE ]]</f>
        <v>18740</v>
      </c>
      <c r="N182" s="17">
        <v>31660</v>
      </c>
      <c r="O182" s="17">
        <f>Table1[[#This Row],[ LORRY RATE ]]-Table1[[#This Row],[Adance Paid (INR)]]</f>
        <v>0</v>
      </c>
      <c r="P182" s="17" t="s">
        <v>147</v>
      </c>
      <c r="Q182" s="18" t="s">
        <v>821</v>
      </c>
      <c r="R182" s="17"/>
      <c r="S182" s="18" t="s">
        <v>761</v>
      </c>
      <c r="T182" s="18" t="s">
        <v>762</v>
      </c>
      <c r="U182" s="15" t="s">
        <v>97</v>
      </c>
      <c r="V182" s="15" t="s">
        <v>439</v>
      </c>
      <c r="W182" s="15"/>
    </row>
    <row r="183" spans="1:23" hidden="1" x14ac:dyDescent="0.3">
      <c r="A183" s="15">
        <v>183</v>
      </c>
      <c r="B183" s="15" t="s">
        <v>604</v>
      </c>
      <c r="C183" s="19">
        <v>45590</v>
      </c>
      <c r="D183" s="19" t="s">
        <v>51</v>
      </c>
      <c r="E183" s="21" t="s">
        <v>755</v>
      </c>
      <c r="F183" s="21">
        <v>9397929762</v>
      </c>
      <c r="G183" s="15" t="s">
        <v>6</v>
      </c>
      <c r="H183" s="15" t="s">
        <v>788</v>
      </c>
      <c r="I183" s="15" t="s">
        <v>787</v>
      </c>
      <c r="J183" s="15" t="s">
        <v>168</v>
      </c>
      <c r="K183" s="16">
        <v>27440</v>
      </c>
      <c r="L183" s="16">
        <v>41900</v>
      </c>
      <c r="M183" s="17">
        <f>Table1[[#This Row],[Billing Rate Charges]]-Table1[[#This Row],[ LORRY RATE ]]</f>
        <v>14460</v>
      </c>
      <c r="N183" s="17">
        <v>27440</v>
      </c>
      <c r="O183" s="17">
        <f>Table1[[#This Row],[ LORRY RATE ]]-Table1[[#This Row],[Adance Paid (INR)]]</f>
        <v>0</v>
      </c>
      <c r="P183" s="17" t="s">
        <v>147</v>
      </c>
      <c r="Q183" s="18" t="s">
        <v>822</v>
      </c>
      <c r="R183" s="17"/>
      <c r="S183" s="18" t="s">
        <v>762</v>
      </c>
      <c r="T183" s="18" t="s">
        <v>762</v>
      </c>
      <c r="U183" s="15" t="s">
        <v>97</v>
      </c>
      <c r="V183" s="15" t="s">
        <v>439</v>
      </c>
      <c r="W183" s="15"/>
    </row>
    <row r="184" spans="1:23" hidden="1" x14ac:dyDescent="0.3">
      <c r="A184" s="15">
        <v>184</v>
      </c>
      <c r="B184" s="15" t="s">
        <v>604</v>
      </c>
      <c r="C184" s="19">
        <v>45590</v>
      </c>
      <c r="D184" s="19" t="s">
        <v>56</v>
      </c>
      <c r="E184" s="15" t="s">
        <v>38</v>
      </c>
      <c r="F184" s="15">
        <v>9515412075</v>
      </c>
      <c r="G184" s="15" t="s">
        <v>6</v>
      </c>
      <c r="H184" s="15" t="s">
        <v>785</v>
      </c>
      <c r="I184" s="15" t="s">
        <v>786</v>
      </c>
      <c r="J184" s="15" t="s">
        <v>59</v>
      </c>
      <c r="K184" s="16">
        <v>45740</v>
      </c>
      <c r="L184" s="16">
        <v>50400</v>
      </c>
      <c r="M184" s="17">
        <f>Table1[[#This Row],[Billing Rate Charges]]-Table1[[#This Row],[ LORRY RATE ]]</f>
        <v>4660</v>
      </c>
      <c r="N184" s="17">
        <v>45740</v>
      </c>
      <c r="O184" s="17">
        <f>Table1[[#This Row],[ LORRY RATE ]]-Table1[[#This Row],[Adance Paid (INR)]]</f>
        <v>0</v>
      </c>
      <c r="P184" s="17" t="s">
        <v>147</v>
      </c>
      <c r="Q184" s="18" t="s">
        <v>823</v>
      </c>
      <c r="R184" s="17"/>
      <c r="S184" s="18" t="s">
        <v>761</v>
      </c>
      <c r="T184" s="18" t="s">
        <v>762</v>
      </c>
      <c r="U184" s="15" t="s">
        <v>97</v>
      </c>
      <c r="V184" s="15" t="s">
        <v>56</v>
      </c>
      <c r="W184" s="15"/>
    </row>
    <row r="185" spans="1:23" hidden="1" x14ac:dyDescent="0.3">
      <c r="A185" s="15">
        <v>185</v>
      </c>
      <c r="B185" s="15" t="s">
        <v>604</v>
      </c>
      <c r="C185" s="19">
        <v>45591</v>
      </c>
      <c r="D185" s="19" t="s">
        <v>56</v>
      </c>
      <c r="E185" s="15" t="s">
        <v>60</v>
      </c>
      <c r="F185" s="15">
        <v>9589264337</v>
      </c>
      <c r="G185" s="15" t="s">
        <v>6</v>
      </c>
      <c r="H185" s="15" t="s">
        <v>790</v>
      </c>
      <c r="I185" s="15" t="s">
        <v>789</v>
      </c>
      <c r="J185" s="15" t="s">
        <v>7</v>
      </c>
      <c r="K185" s="16">
        <v>48100</v>
      </c>
      <c r="L185" s="16">
        <v>66150</v>
      </c>
      <c r="M185" s="17">
        <f>Table1[[#This Row],[Billing Rate Charges]]-Table1[[#This Row],[ LORRY RATE ]]</f>
        <v>18050</v>
      </c>
      <c r="N185" s="17">
        <v>48100</v>
      </c>
      <c r="O185" s="17">
        <f>Table1[[#This Row],[ LORRY RATE ]]-Table1[[#This Row],[Adance Paid (INR)]]</f>
        <v>0</v>
      </c>
      <c r="P185" s="17" t="s">
        <v>147</v>
      </c>
      <c r="Q185" s="18" t="s">
        <v>825</v>
      </c>
      <c r="R185" s="17"/>
      <c r="S185" s="18" t="s">
        <v>781</v>
      </c>
      <c r="T185" s="18" t="s">
        <v>781</v>
      </c>
      <c r="U185" s="15" t="s">
        <v>97</v>
      </c>
      <c r="V185" s="15" t="s">
        <v>56</v>
      </c>
      <c r="W185" s="15"/>
    </row>
    <row r="186" spans="1:23" hidden="1" x14ac:dyDescent="0.3">
      <c r="A186" s="15">
        <v>186</v>
      </c>
      <c r="B186" s="15" t="s">
        <v>604</v>
      </c>
      <c r="C186" s="19">
        <v>45593</v>
      </c>
      <c r="D186" s="19" t="s">
        <v>51</v>
      </c>
      <c r="E186" s="21" t="s">
        <v>757</v>
      </c>
      <c r="F186" s="21">
        <v>9722355492</v>
      </c>
      <c r="G186" s="15" t="s">
        <v>6</v>
      </c>
      <c r="H186" s="15" t="s">
        <v>26</v>
      </c>
      <c r="I186" s="15" t="s">
        <v>791</v>
      </c>
      <c r="J186" s="15" t="s">
        <v>168</v>
      </c>
      <c r="K186" s="16">
        <v>25960</v>
      </c>
      <c r="L186" s="16">
        <v>35600</v>
      </c>
      <c r="M186" s="17">
        <f>Table1[[#This Row],[Billing Rate Charges]]-Table1[[#This Row],[ LORRY RATE ]]</f>
        <v>9640</v>
      </c>
      <c r="N186" s="17">
        <v>25960</v>
      </c>
      <c r="O186" s="17">
        <f>Table1[[#This Row],[ LORRY RATE ]]-Table1[[#This Row],[Adance Paid (INR)]]</f>
        <v>0</v>
      </c>
      <c r="P186" s="17" t="s">
        <v>147</v>
      </c>
      <c r="Q186" s="18" t="s">
        <v>826</v>
      </c>
      <c r="R186" s="17"/>
      <c r="S186" s="18" t="s">
        <v>782</v>
      </c>
      <c r="T186" s="18" t="s">
        <v>770</v>
      </c>
      <c r="U186" s="15" t="s">
        <v>97</v>
      </c>
      <c r="V186" s="15" t="s">
        <v>439</v>
      </c>
      <c r="W186" s="15"/>
    </row>
    <row r="187" spans="1:23" hidden="1" x14ac:dyDescent="0.3">
      <c r="A187" s="15">
        <v>187</v>
      </c>
      <c r="B187" s="15" t="s">
        <v>604</v>
      </c>
      <c r="C187" s="19">
        <v>45593</v>
      </c>
      <c r="D187" s="19" t="s">
        <v>51</v>
      </c>
      <c r="E187" s="21" t="s">
        <v>758</v>
      </c>
      <c r="F187" s="21">
        <v>9535562730</v>
      </c>
      <c r="G187" s="15" t="s">
        <v>6</v>
      </c>
      <c r="H187" s="15" t="s">
        <v>793</v>
      </c>
      <c r="I187" s="15" t="s">
        <v>792</v>
      </c>
      <c r="J187" s="15" t="s">
        <v>7</v>
      </c>
      <c r="K187" s="16">
        <v>31630</v>
      </c>
      <c r="L187" s="16">
        <v>46620</v>
      </c>
      <c r="M187" s="17">
        <f>Table1[[#This Row],[Billing Rate Charges]]-Table1[[#This Row],[ LORRY RATE ]]</f>
        <v>14990</v>
      </c>
      <c r="N187" s="17">
        <v>31630</v>
      </c>
      <c r="O187" s="17">
        <f>Table1[[#This Row],[ LORRY RATE ]]-Table1[[#This Row],[Adance Paid (INR)]]</f>
        <v>0</v>
      </c>
      <c r="P187" s="17" t="s">
        <v>147</v>
      </c>
      <c r="Q187" s="18" t="s">
        <v>824</v>
      </c>
      <c r="R187" s="17"/>
      <c r="S187" s="18" t="s">
        <v>782</v>
      </c>
      <c r="T187" s="18" t="s">
        <v>770</v>
      </c>
      <c r="U187" s="15" t="s">
        <v>97</v>
      </c>
      <c r="V187" s="15" t="s">
        <v>759</v>
      </c>
      <c r="W187" s="15"/>
    </row>
    <row r="188" spans="1:23" hidden="1" x14ac:dyDescent="0.3">
      <c r="A188" s="15">
        <v>188</v>
      </c>
      <c r="B188" s="15" t="s">
        <v>604</v>
      </c>
      <c r="C188" s="19">
        <v>45595</v>
      </c>
      <c r="D188" s="19" t="s">
        <v>51</v>
      </c>
      <c r="E188" s="21" t="s">
        <v>795</v>
      </c>
      <c r="F188" s="21">
        <v>9146962394</v>
      </c>
      <c r="G188" s="15" t="s">
        <v>6</v>
      </c>
      <c r="H188" s="15" t="s">
        <v>797</v>
      </c>
      <c r="I188" s="15" t="s">
        <v>796</v>
      </c>
      <c r="J188" s="15" t="s">
        <v>59</v>
      </c>
      <c r="K188" s="16">
        <v>31120</v>
      </c>
      <c r="L188" s="16">
        <v>50400</v>
      </c>
      <c r="M188" s="17">
        <f>Table1[[#This Row],[Billing Rate Charges]]-Table1[[#This Row],[ LORRY RATE ]]</f>
        <v>19280</v>
      </c>
      <c r="N188" s="17">
        <v>31120</v>
      </c>
      <c r="O188" s="17">
        <f>Table1[[#This Row],[ LORRY RATE ]]-Table1[[#This Row],[Adance Paid (INR)]]</f>
        <v>0</v>
      </c>
      <c r="P188" s="17" t="s">
        <v>147</v>
      </c>
      <c r="Q188" s="18" t="s">
        <v>815</v>
      </c>
      <c r="R188" s="17"/>
      <c r="S188" s="18" t="s">
        <v>766</v>
      </c>
      <c r="T188" s="18" t="s">
        <v>767</v>
      </c>
      <c r="U188" s="15" t="s">
        <v>54</v>
      </c>
      <c r="V188" s="15" t="s">
        <v>529</v>
      </c>
      <c r="W188" s="15"/>
    </row>
    <row r="189" spans="1:23" hidden="1" x14ac:dyDescent="0.3">
      <c r="A189" s="15">
        <v>189</v>
      </c>
      <c r="B189" s="15" t="s">
        <v>604</v>
      </c>
      <c r="C189" s="19">
        <v>45595</v>
      </c>
      <c r="D189" s="19" t="s">
        <v>51</v>
      </c>
      <c r="E189" s="21" t="s">
        <v>764</v>
      </c>
      <c r="F189" s="21">
        <v>9188117880</v>
      </c>
      <c r="G189" s="15" t="s">
        <v>6</v>
      </c>
      <c r="H189" s="15" t="s">
        <v>798</v>
      </c>
      <c r="I189" s="15" t="s">
        <v>799</v>
      </c>
      <c r="J189" s="15" t="s">
        <v>765</v>
      </c>
      <c r="K189" s="16">
        <v>35280</v>
      </c>
      <c r="L189" s="16">
        <v>56700</v>
      </c>
      <c r="M189" s="17">
        <f>Table1[[#This Row],[Billing Rate Charges]]-Table1[[#This Row],[ LORRY RATE ]]</f>
        <v>21420</v>
      </c>
      <c r="N189" s="17">
        <v>35280</v>
      </c>
      <c r="O189" s="17">
        <f>Table1[[#This Row],[ LORRY RATE ]]-Table1[[#This Row],[Adance Paid (INR)]]</f>
        <v>0</v>
      </c>
      <c r="P189" s="17" t="s">
        <v>147</v>
      </c>
      <c r="Q189" s="18" t="s">
        <v>827</v>
      </c>
      <c r="R189" s="17"/>
      <c r="S189" s="18" t="s">
        <v>766</v>
      </c>
      <c r="T189" s="18" t="s">
        <v>767</v>
      </c>
      <c r="U189" s="15" t="s">
        <v>54</v>
      </c>
      <c r="V189" s="15" t="s">
        <v>529</v>
      </c>
      <c r="W189" s="15"/>
    </row>
    <row r="190" spans="1:23" hidden="1" x14ac:dyDescent="0.3">
      <c r="A190" s="15">
        <v>190</v>
      </c>
      <c r="B190" s="15" t="s">
        <v>768</v>
      </c>
      <c r="C190" s="19">
        <v>45596</v>
      </c>
      <c r="D190" s="19" t="s">
        <v>56</v>
      </c>
      <c r="E190" s="15" t="s">
        <v>38</v>
      </c>
      <c r="F190" s="15">
        <v>9515412075</v>
      </c>
      <c r="G190" s="15" t="s">
        <v>45</v>
      </c>
      <c r="H190" s="15" t="s">
        <v>805</v>
      </c>
      <c r="I190" s="15" t="s">
        <v>806</v>
      </c>
      <c r="J190" s="15" t="s">
        <v>59</v>
      </c>
      <c r="K190" s="16">
        <v>49230</v>
      </c>
      <c r="L190" s="16">
        <v>73710</v>
      </c>
      <c r="M190" s="17">
        <f>Table1[[#This Row],[Billing Rate Charges]]-Table1[[#This Row],[ LORRY RATE ]]</f>
        <v>24480</v>
      </c>
      <c r="N190" s="17">
        <v>49230</v>
      </c>
      <c r="O190" s="17">
        <f>Table1[[#This Row],[ LORRY RATE ]]-Table1[[#This Row],[Adance Paid (INR)]]</f>
        <v>0</v>
      </c>
      <c r="P190" s="17" t="s">
        <v>147</v>
      </c>
      <c r="Q190" s="18" t="s">
        <v>832</v>
      </c>
      <c r="R190" s="17"/>
      <c r="S190" s="18" t="s">
        <v>769</v>
      </c>
      <c r="T190" s="18" t="s">
        <v>770</v>
      </c>
      <c r="U190" s="15" t="s">
        <v>54</v>
      </c>
      <c r="V190" s="15" t="s">
        <v>56</v>
      </c>
      <c r="W190" s="15"/>
    </row>
    <row r="191" spans="1:23" hidden="1" x14ac:dyDescent="0.3">
      <c r="A191" s="15">
        <v>191</v>
      </c>
      <c r="B191" s="15" t="s">
        <v>768</v>
      </c>
      <c r="C191" s="19">
        <v>45600</v>
      </c>
      <c r="D191" s="19" t="s">
        <v>56</v>
      </c>
      <c r="E191" s="15" t="s">
        <v>38</v>
      </c>
      <c r="F191" s="15">
        <v>9515412075</v>
      </c>
      <c r="G191" s="15" t="s">
        <v>6</v>
      </c>
      <c r="H191" s="15" t="s">
        <v>802</v>
      </c>
      <c r="I191" s="15" t="s">
        <v>801</v>
      </c>
      <c r="J191" s="15" t="s">
        <v>59</v>
      </c>
      <c r="K191" s="16">
        <v>45780</v>
      </c>
      <c r="L191" s="16">
        <v>50720</v>
      </c>
      <c r="M191" s="17">
        <f>Table1[[#This Row],[Billing Rate Charges]]-Table1[[#This Row],[ LORRY RATE ]]</f>
        <v>4940</v>
      </c>
      <c r="N191" s="17">
        <v>45780</v>
      </c>
      <c r="O191" s="17">
        <f>Table1[[#This Row],[ LORRY RATE ]]-Table1[[#This Row],[Adance Paid (INR)]]</f>
        <v>0</v>
      </c>
      <c r="P191" s="17" t="s">
        <v>147</v>
      </c>
      <c r="Q191" s="18" t="s">
        <v>833</v>
      </c>
      <c r="R191" s="17"/>
      <c r="S191" s="18" t="s">
        <v>767</v>
      </c>
      <c r="T191" s="18" t="s">
        <v>767</v>
      </c>
      <c r="U191" s="15" t="s">
        <v>54</v>
      </c>
      <c r="V191" s="15" t="s">
        <v>56</v>
      </c>
      <c r="W191" s="15" t="s">
        <v>154</v>
      </c>
    </row>
    <row r="192" spans="1:23" hidden="1" x14ac:dyDescent="0.3">
      <c r="A192" s="15">
        <v>192</v>
      </c>
      <c r="B192" s="15" t="s">
        <v>768</v>
      </c>
      <c r="C192" s="19">
        <v>45600</v>
      </c>
      <c r="D192" s="19" t="s">
        <v>51</v>
      </c>
      <c r="E192" s="21" t="s">
        <v>771</v>
      </c>
      <c r="F192" s="21">
        <v>9126901473</v>
      </c>
      <c r="G192" s="15" t="s">
        <v>6</v>
      </c>
      <c r="H192" s="15" t="s">
        <v>800</v>
      </c>
      <c r="I192" s="15" t="s">
        <v>26</v>
      </c>
      <c r="J192" s="15" t="s">
        <v>168</v>
      </c>
      <c r="K192" s="16">
        <v>27070</v>
      </c>
      <c r="L192" s="16">
        <v>41260</v>
      </c>
      <c r="M192" s="17">
        <f>Table1[[#This Row],[Billing Rate Charges]]-Table1[[#This Row],[ LORRY RATE ]]</f>
        <v>14190</v>
      </c>
      <c r="N192" s="17">
        <v>27070</v>
      </c>
      <c r="O192" s="17">
        <f>Table1[[#This Row],[ LORRY RATE ]]-Table1[[#This Row],[Adance Paid (INR)]]</f>
        <v>0</v>
      </c>
      <c r="P192" s="17" t="s">
        <v>147</v>
      </c>
      <c r="Q192" s="18" t="s">
        <v>834</v>
      </c>
      <c r="R192" s="17"/>
      <c r="S192" s="18" t="s">
        <v>766</v>
      </c>
      <c r="T192" s="18" t="s">
        <v>767</v>
      </c>
      <c r="U192" s="15" t="s">
        <v>54</v>
      </c>
      <c r="V192" s="15" t="s">
        <v>439</v>
      </c>
      <c r="W192" s="15" t="s">
        <v>154</v>
      </c>
    </row>
    <row r="193" spans="1:23" hidden="1" x14ac:dyDescent="0.3">
      <c r="A193" s="15">
        <v>193</v>
      </c>
      <c r="B193" s="15" t="s">
        <v>768</v>
      </c>
      <c r="C193" s="19">
        <v>45601</v>
      </c>
      <c r="D193" s="19" t="s">
        <v>51</v>
      </c>
      <c r="E193" s="21" t="s">
        <v>403</v>
      </c>
      <c r="F193" s="21">
        <v>9165942602</v>
      </c>
      <c r="G193" s="15" t="s">
        <v>6</v>
      </c>
      <c r="H193" s="15" t="s">
        <v>836</v>
      </c>
      <c r="I193" s="15" t="s">
        <v>837</v>
      </c>
      <c r="J193" s="15" t="s">
        <v>623</v>
      </c>
      <c r="K193" s="16">
        <v>31030</v>
      </c>
      <c r="L193" s="16">
        <v>49770</v>
      </c>
      <c r="M193" s="17">
        <f>Table1[[#This Row],[Billing Rate Charges]]-Table1[[#This Row],[ LORRY RATE ]]</f>
        <v>18740</v>
      </c>
      <c r="N193" s="17">
        <v>31030</v>
      </c>
      <c r="O193" s="17">
        <f>Table1[[#This Row],[ LORRY RATE ]]-Table1[[#This Row],[Adance Paid (INR)]]</f>
        <v>0</v>
      </c>
      <c r="P193" s="17" t="s">
        <v>147</v>
      </c>
      <c r="Q193" s="18" t="s">
        <v>828</v>
      </c>
      <c r="R193" s="17"/>
      <c r="S193" s="18" t="s">
        <v>767</v>
      </c>
      <c r="T193" s="18" t="s">
        <v>767</v>
      </c>
      <c r="U193" s="15" t="s">
        <v>54</v>
      </c>
      <c r="V193" s="15" t="s">
        <v>529</v>
      </c>
      <c r="W193" s="15"/>
    </row>
    <row r="194" spans="1:23" hidden="1" x14ac:dyDescent="0.3">
      <c r="A194" s="15">
        <v>194</v>
      </c>
      <c r="B194" s="15" t="s">
        <v>768</v>
      </c>
      <c r="C194" s="19">
        <v>45601</v>
      </c>
      <c r="D194" s="19" t="s">
        <v>51</v>
      </c>
      <c r="E194" s="21" t="s">
        <v>772</v>
      </c>
      <c r="F194" s="21">
        <v>9683768334</v>
      </c>
      <c r="G194" s="15" t="s">
        <v>6</v>
      </c>
      <c r="H194" s="15" t="s">
        <v>26</v>
      </c>
      <c r="I194" s="15" t="s">
        <v>835</v>
      </c>
      <c r="J194" s="15" t="s">
        <v>623</v>
      </c>
      <c r="K194" s="16">
        <v>27070</v>
      </c>
      <c r="L194" s="16">
        <v>41260</v>
      </c>
      <c r="M194" s="17">
        <f>Table1[[#This Row],[Billing Rate Charges]]-Table1[[#This Row],[ LORRY RATE ]]</f>
        <v>14190</v>
      </c>
      <c r="N194" s="17">
        <v>27070</v>
      </c>
      <c r="O194" s="17">
        <f>Table1[[#This Row],[ LORRY RATE ]]-Table1[[#This Row],[Adance Paid (INR)]]</f>
        <v>0</v>
      </c>
      <c r="P194" s="17" t="s">
        <v>147</v>
      </c>
      <c r="Q194" s="18" t="s">
        <v>829</v>
      </c>
      <c r="R194" s="17"/>
      <c r="S194" s="18" t="s">
        <v>767</v>
      </c>
      <c r="T194" s="18" t="s">
        <v>767</v>
      </c>
      <c r="U194" s="15" t="s">
        <v>54</v>
      </c>
      <c r="V194" s="15" t="s">
        <v>529</v>
      </c>
      <c r="W194" s="15" t="s">
        <v>154</v>
      </c>
    </row>
    <row r="195" spans="1:23" hidden="1" x14ac:dyDescent="0.3">
      <c r="A195" s="15">
        <v>195</v>
      </c>
      <c r="B195" s="15" t="s">
        <v>768</v>
      </c>
      <c r="C195" s="19">
        <v>45602</v>
      </c>
      <c r="D195" s="19" t="s">
        <v>51</v>
      </c>
      <c r="E195" s="21" t="s">
        <v>773</v>
      </c>
      <c r="F195" s="21">
        <v>9665106493</v>
      </c>
      <c r="G195" s="15" t="s">
        <v>42</v>
      </c>
      <c r="H195" s="15" t="s">
        <v>26</v>
      </c>
      <c r="I195" s="15" t="s">
        <v>843</v>
      </c>
      <c r="J195" s="15" t="s">
        <v>7</v>
      </c>
      <c r="K195" s="16">
        <v>66400</v>
      </c>
      <c r="L195" s="16">
        <v>96390</v>
      </c>
      <c r="M195" s="17">
        <f>Table1[[#This Row],[Billing Rate Charges]]-Table1[[#This Row],[ LORRY RATE ]]</f>
        <v>29990</v>
      </c>
      <c r="N195" s="17">
        <v>66400</v>
      </c>
      <c r="O195" s="17">
        <f>Table1[[#This Row],[ LORRY RATE ]]-Table1[[#This Row],[Adance Paid (INR)]]</f>
        <v>0</v>
      </c>
      <c r="P195" s="17" t="s">
        <v>147</v>
      </c>
      <c r="Q195" s="18" t="s">
        <v>830</v>
      </c>
      <c r="R195" s="17"/>
      <c r="S195" s="18" t="s">
        <v>774</v>
      </c>
      <c r="T195" s="18" t="s">
        <v>775</v>
      </c>
      <c r="U195" s="15" t="s">
        <v>54</v>
      </c>
      <c r="V195" s="15" t="s">
        <v>400</v>
      </c>
      <c r="W195" s="15"/>
    </row>
    <row r="196" spans="1:23" hidden="1" x14ac:dyDescent="0.3">
      <c r="A196" s="15">
        <v>196</v>
      </c>
      <c r="B196" s="15" t="s">
        <v>768</v>
      </c>
      <c r="C196" s="19">
        <v>45602</v>
      </c>
      <c r="D196" s="19" t="s">
        <v>51</v>
      </c>
      <c r="E196" s="15" t="s">
        <v>380</v>
      </c>
      <c r="F196" s="15"/>
      <c r="G196" s="15" t="s">
        <v>6</v>
      </c>
      <c r="H196" s="15" t="s">
        <v>26</v>
      </c>
      <c r="I196" s="15" t="s">
        <v>838</v>
      </c>
      <c r="J196" s="15" t="s">
        <v>381</v>
      </c>
      <c r="K196" s="16">
        <v>69440</v>
      </c>
      <c r="L196" s="16">
        <v>79950</v>
      </c>
      <c r="M196" s="17">
        <f>Table1[[#This Row],[Billing Rate Charges]]-Table1[[#This Row],[ LORRY RATE ]]</f>
        <v>10510</v>
      </c>
      <c r="N196" s="17">
        <v>69440</v>
      </c>
      <c r="O196" s="17">
        <f>Table1[[#This Row],[ LORRY RATE ]]-Table1[[#This Row],[Adance Paid (INR)]]</f>
        <v>0</v>
      </c>
      <c r="P196" s="17" t="s">
        <v>147</v>
      </c>
      <c r="Q196" s="18" t="s">
        <v>831</v>
      </c>
      <c r="R196" s="17"/>
      <c r="S196" s="18" t="s">
        <v>779</v>
      </c>
      <c r="T196" s="18" t="s">
        <v>766</v>
      </c>
      <c r="U196" s="15" t="s">
        <v>54</v>
      </c>
      <c r="V196" s="15" t="s">
        <v>380</v>
      </c>
      <c r="W196" s="15"/>
    </row>
    <row r="197" spans="1:23" hidden="1" x14ac:dyDescent="0.3">
      <c r="A197" s="15">
        <v>197</v>
      </c>
      <c r="B197" s="15" t="s">
        <v>768</v>
      </c>
      <c r="C197" s="19">
        <v>45602</v>
      </c>
      <c r="D197" s="19" t="s">
        <v>51</v>
      </c>
      <c r="E197" s="15" t="s">
        <v>380</v>
      </c>
      <c r="F197" s="15"/>
      <c r="G197" s="15" t="s">
        <v>6</v>
      </c>
      <c r="H197" s="15" t="s">
        <v>26</v>
      </c>
      <c r="I197" s="15" t="s">
        <v>839</v>
      </c>
      <c r="J197" s="15" t="s">
        <v>381</v>
      </c>
      <c r="K197" s="16">
        <v>51730</v>
      </c>
      <c r="L197" s="16">
        <v>57640</v>
      </c>
      <c r="M197" s="17">
        <f>Table1[[#This Row],[Billing Rate Charges]]-Table1[[#This Row],[ LORRY RATE ]]</f>
        <v>5910</v>
      </c>
      <c r="N197" s="17">
        <v>51730</v>
      </c>
      <c r="O197" s="17">
        <f>Table1[[#This Row],[ LORRY RATE ]]-Table1[[#This Row],[Adance Paid (INR)]]</f>
        <v>0</v>
      </c>
      <c r="P197" s="17" t="s">
        <v>147</v>
      </c>
      <c r="Q197" s="18" t="s">
        <v>844</v>
      </c>
      <c r="R197" s="17"/>
      <c r="S197" s="18" t="s">
        <v>779</v>
      </c>
      <c r="T197" s="18" t="s">
        <v>766</v>
      </c>
      <c r="U197" s="15" t="s">
        <v>54</v>
      </c>
      <c r="V197" s="15" t="s">
        <v>380</v>
      </c>
      <c r="W197" s="15"/>
    </row>
    <row r="198" spans="1:23" hidden="1" x14ac:dyDescent="0.3">
      <c r="A198" s="15">
        <v>198</v>
      </c>
      <c r="B198" s="15" t="s">
        <v>768</v>
      </c>
      <c r="C198" s="19">
        <v>45603</v>
      </c>
      <c r="D198" s="19" t="s">
        <v>51</v>
      </c>
      <c r="E198" s="15" t="s">
        <v>380</v>
      </c>
      <c r="F198" s="15"/>
      <c r="G198" s="15" t="s">
        <v>6</v>
      </c>
      <c r="H198" s="15" t="s">
        <v>26</v>
      </c>
      <c r="I198" s="15" t="s">
        <v>842</v>
      </c>
      <c r="J198" s="15" t="s">
        <v>381</v>
      </c>
      <c r="K198" s="16">
        <v>49900</v>
      </c>
      <c r="L198" s="16">
        <v>54950</v>
      </c>
      <c r="M198" s="17">
        <f>Table1[[#This Row],[Billing Rate Charges]]-Table1[[#This Row],[ LORRY RATE ]]</f>
        <v>5050</v>
      </c>
      <c r="N198" s="17">
        <v>49900</v>
      </c>
      <c r="O198" s="17">
        <f>Table1[[#This Row],[ LORRY RATE ]]-Table1[[#This Row],[Adance Paid (INR)]]</f>
        <v>0</v>
      </c>
      <c r="P198" s="17" t="s">
        <v>147</v>
      </c>
      <c r="Q198" s="18" t="s">
        <v>845</v>
      </c>
      <c r="R198" s="17"/>
      <c r="S198" s="18" t="s">
        <v>766</v>
      </c>
      <c r="T198" s="18" t="s">
        <v>767</v>
      </c>
      <c r="U198" s="15" t="s">
        <v>54</v>
      </c>
      <c r="V198" s="15" t="s">
        <v>380</v>
      </c>
      <c r="W198" s="15"/>
    </row>
    <row r="199" spans="1:23" hidden="1" x14ac:dyDescent="0.3">
      <c r="A199" s="15">
        <v>199</v>
      </c>
      <c r="B199" s="15" t="s">
        <v>768</v>
      </c>
      <c r="C199" s="19">
        <v>45603</v>
      </c>
      <c r="D199" s="19" t="s">
        <v>51</v>
      </c>
      <c r="E199" s="15" t="s">
        <v>380</v>
      </c>
      <c r="F199" s="15"/>
      <c r="G199" s="15" t="s">
        <v>6</v>
      </c>
      <c r="H199" s="15" t="s">
        <v>26</v>
      </c>
      <c r="I199" s="15" t="s">
        <v>841</v>
      </c>
      <c r="J199" s="15" t="s">
        <v>381</v>
      </c>
      <c r="K199" s="16">
        <v>35910</v>
      </c>
      <c r="L199" s="16">
        <v>38410</v>
      </c>
      <c r="M199" s="17">
        <f>Table1[[#This Row],[Billing Rate Charges]]-Table1[[#This Row],[ LORRY RATE ]]</f>
        <v>2500</v>
      </c>
      <c r="N199" s="17">
        <v>35910</v>
      </c>
      <c r="O199" s="17">
        <f>Table1[[#This Row],[ LORRY RATE ]]-Table1[[#This Row],[Adance Paid (INR)]]</f>
        <v>0</v>
      </c>
      <c r="P199" s="17" t="s">
        <v>147</v>
      </c>
      <c r="Q199" s="18" t="s">
        <v>846</v>
      </c>
      <c r="R199" s="17"/>
      <c r="S199" s="18" t="s">
        <v>766</v>
      </c>
      <c r="T199" s="18" t="s">
        <v>766</v>
      </c>
      <c r="U199" s="15" t="s">
        <v>54</v>
      </c>
      <c r="V199" s="15" t="s">
        <v>380</v>
      </c>
      <c r="W199" s="15"/>
    </row>
    <row r="200" spans="1:23" hidden="1" x14ac:dyDescent="0.3">
      <c r="A200" s="15">
        <v>200</v>
      </c>
      <c r="B200" s="15" t="s">
        <v>768</v>
      </c>
      <c r="C200" s="19">
        <v>45603</v>
      </c>
      <c r="D200" s="19" t="s">
        <v>56</v>
      </c>
      <c r="E200" s="15" t="s">
        <v>60</v>
      </c>
      <c r="F200" s="15">
        <v>9589264337</v>
      </c>
      <c r="G200" s="15" t="s">
        <v>42</v>
      </c>
      <c r="H200" s="15" t="s">
        <v>812</v>
      </c>
      <c r="I200" s="15" t="s">
        <v>811</v>
      </c>
      <c r="J200" s="15" t="s">
        <v>7</v>
      </c>
      <c r="K200" s="16">
        <v>54520</v>
      </c>
      <c r="L200" s="16">
        <v>108990</v>
      </c>
      <c r="M200" s="17">
        <f>Table1[[#This Row],[Billing Rate Charges]]-Table1[[#This Row],[ LORRY RATE ]]</f>
        <v>54470</v>
      </c>
      <c r="N200" s="17">
        <v>54520</v>
      </c>
      <c r="O200" s="17">
        <f>Table1[[#This Row],[ LORRY RATE ]]-Table1[[#This Row],[Adance Paid (INR)]]</f>
        <v>0</v>
      </c>
      <c r="P200" s="17" t="s">
        <v>147</v>
      </c>
      <c r="Q200" s="18" t="s">
        <v>847</v>
      </c>
      <c r="R200" s="17"/>
      <c r="S200" s="18" t="s">
        <v>774</v>
      </c>
      <c r="T200" s="18" t="s">
        <v>775</v>
      </c>
      <c r="U200" s="15" t="s">
        <v>54</v>
      </c>
      <c r="V200" s="15" t="s">
        <v>56</v>
      </c>
      <c r="W200" s="15"/>
    </row>
    <row r="201" spans="1:23" hidden="1" x14ac:dyDescent="0.3">
      <c r="A201" s="15">
        <v>201</v>
      </c>
      <c r="B201" s="15" t="s">
        <v>768</v>
      </c>
      <c r="C201" s="19">
        <v>45603</v>
      </c>
      <c r="D201" s="19" t="s">
        <v>51</v>
      </c>
      <c r="E201" s="21" t="s">
        <v>547</v>
      </c>
      <c r="F201" s="21">
        <v>9470447784</v>
      </c>
      <c r="G201" s="15" t="s">
        <v>6</v>
      </c>
      <c r="H201" s="15" t="s">
        <v>26</v>
      </c>
      <c r="I201" s="15" t="s">
        <v>840</v>
      </c>
      <c r="J201" s="15" t="s">
        <v>623</v>
      </c>
      <c r="K201" s="16">
        <v>26220</v>
      </c>
      <c r="L201" s="16">
        <v>35600</v>
      </c>
      <c r="M201" s="17">
        <f>Table1[[#This Row],[Billing Rate Charges]]-Table1[[#This Row],[ LORRY RATE ]]</f>
        <v>9380</v>
      </c>
      <c r="N201" s="17">
        <v>26220</v>
      </c>
      <c r="O201" s="17">
        <f>Table1[[#This Row],[ LORRY RATE ]]-Table1[[#This Row],[Adance Paid (INR)]]</f>
        <v>0</v>
      </c>
      <c r="P201" s="17" t="s">
        <v>147</v>
      </c>
      <c r="Q201" s="18" t="s">
        <v>848</v>
      </c>
      <c r="R201" s="17"/>
      <c r="S201" s="18" t="s">
        <v>774</v>
      </c>
      <c r="T201" s="18" t="s">
        <v>775</v>
      </c>
      <c r="U201" s="15" t="s">
        <v>54</v>
      </c>
      <c r="V201" s="15" t="s">
        <v>439</v>
      </c>
      <c r="W201" s="15"/>
    </row>
    <row r="202" spans="1:23" hidden="1" x14ac:dyDescent="0.3">
      <c r="A202" s="15">
        <v>202</v>
      </c>
      <c r="B202" s="15" t="s">
        <v>768</v>
      </c>
      <c r="C202" s="19">
        <v>45604</v>
      </c>
      <c r="D202" s="19" t="s">
        <v>51</v>
      </c>
      <c r="E202" s="21" t="s">
        <v>776</v>
      </c>
      <c r="F202" s="21">
        <v>9817472201</v>
      </c>
      <c r="G202" s="15" t="s">
        <v>6</v>
      </c>
      <c r="H202" s="15" t="s">
        <v>941</v>
      </c>
      <c r="I202" s="15" t="s">
        <v>942</v>
      </c>
      <c r="J202" s="15" t="s">
        <v>623</v>
      </c>
      <c r="K202" s="16">
        <v>27170</v>
      </c>
      <c r="L202" s="16">
        <v>41900</v>
      </c>
      <c r="M202" s="17">
        <f>Table1[[#This Row],[Billing Rate Charges]]-Table1[[#This Row],[ LORRY RATE ]]</f>
        <v>14730</v>
      </c>
      <c r="N202" s="17">
        <v>27170</v>
      </c>
      <c r="O202" s="17">
        <f>Table1[[#This Row],[ LORRY RATE ]]-Table1[[#This Row],[Adance Paid (INR)]]</f>
        <v>0</v>
      </c>
      <c r="P202" s="17" t="s">
        <v>147</v>
      </c>
      <c r="Q202" s="18" t="s">
        <v>946</v>
      </c>
      <c r="R202" s="17"/>
      <c r="S202" s="18" t="s">
        <v>850</v>
      </c>
      <c r="T202" s="18" t="s">
        <v>850</v>
      </c>
      <c r="U202" s="15" t="s">
        <v>54</v>
      </c>
      <c r="V202" s="15" t="s">
        <v>529</v>
      </c>
      <c r="W202" s="15"/>
    </row>
    <row r="203" spans="1:23" hidden="1" x14ac:dyDescent="0.3">
      <c r="A203" s="15">
        <v>203</v>
      </c>
      <c r="B203" s="15" t="s">
        <v>768</v>
      </c>
      <c r="C203" s="19">
        <v>45604</v>
      </c>
      <c r="D203" s="19" t="s">
        <v>51</v>
      </c>
      <c r="E203" s="21" t="s">
        <v>777</v>
      </c>
      <c r="F203" s="21">
        <v>9853187999</v>
      </c>
      <c r="G203" s="15" t="s">
        <v>6</v>
      </c>
      <c r="H203" s="15" t="s">
        <v>26</v>
      </c>
      <c r="I203" s="15" t="s">
        <v>943</v>
      </c>
      <c r="J203" s="15" t="s">
        <v>168</v>
      </c>
      <c r="K203" s="16">
        <v>25960</v>
      </c>
      <c r="L203" s="16">
        <v>35600</v>
      </c>
      <c r="M203" s="17">
        <f>Table1[[#This Row],[Billing Rate Charges]]-Table1[[#This Row],[ LORRY RATE ]]</f>
        <v>9640</v>
      </c>
      <c r="N203" s="17">
        <v>25960</v>
      </c>
      <c r="O203" s="17">
        <f>Table1[[#This Row],[ LORRY RATE ]]-Table1[[#This Row],[Adance Paid (INR)]]</f>
        <v>0</v>
      </c>
      <c r="P203" s="17" t="s">
        <v>147</v>
      </c>
      <c r="Q203" s="18" t="s">
        <v>947</v>
      </c>
      <c r="R203" s="17"/>
      <c r="S203" s="18" t="s">
        <v>850</v>
      </c>
      <c r="T203" s="18" t="s">
        <v>850</v>
      </c>
      <c r="U203" s="15" t="s">
        <v>54</v>
      </c>
      <c r="V203" s="15" t="s">
        <v>439</v>
      </c>
      <c r="W203" s="15"/>
    </row>
    <row r="204" spans="1:23" hidden="1" x14ac:dyDescent="0.3">
      <c r="A204" s="15">
        <v>204</v>
      </c>
      <c r="B204" s="15" t="s">
        <v>768</v>
      </c>
      <c r="C204" s="19">
        <v>45605</v>
      </c>
      <c r="D204" s="19" t="s">
        <v>51</v>
      </c>
      <c r="E204" s="21" t="s">
        <v>778</v>
      </c>
      <c r="F204" s="21">
        <v>9551078621</v>
      </c>
      <c r="G204" s="15" t="s">
        <v>6</v>
      </c>
      <c r="H204" s="15" t="s">
        <v>944</v>
      </c>
      <c r="I204" s="15" t="s">
        <v>945</v>
      </c>
      <c r="J204" s="15" t="s">
        <v>623</v>
      </c>
      <c r="K204" s="16">
        <v>29450</v>
      </c>
      <c r="L204" s="16">
        <v>48200</v>
      </c>
      <c r="M204" s="17">
        <f>Table1[[#This Row],[Billing Rate Charges]]-Table1[[#This Row],[ LORRY RATE ]]</f>
        <v>18750</v>
      </c>
      <c r="N204" s="17">
        <v>29450</v>
      </c>
      <c r="O204" s="17">
        <f>Table1[[#This Row],[ LORRY RATE ]]-Table1[[#This Row],[Adance Paid (INR)]]</f>
        <v>0</v>
      </c>
      <c r="P204" s="17" t="s">
        <v>147</v>
      </c>
      <c r="Q204" s="18" t="s">
        <v>948</v>
      </c>
      <c r="R204" s="17"/>
      <c r="S204" s="18" t="s">
        <v>850</v>
      </c>
      <c r="T204" s="18" t="s">
        <v>852</v>
      </c>
      <c r="U204" s="15" t="s">
        <v>97</v>
      </c>
      <c r="V204" s="15" t="s">
        <v>439</v>
      </c>
      <c r="W204" s="15"/>
    </row>
    <row r="205" spans="1:23" hidden="1" x14ac:dyDescent="0.3">
      <c r="A205" s="15">
        <v>205</v>
      </c>
      <c r="B205" s="15" t="s">
        <v>768</v>
      </c>
      <c r="C205" s="19">
        <v>45605</v>
      </c>
      <c r="D205" s="19" t="s">
        <v>56</v>
      </c>
      <c r="E205" s="15" t="s">
        <v>38</v>
      </c>
      <c r="F205" s="15">
        <v>9515412075</v>
      </c>
      <c r="G205" s="15" t="s">
        <v>42</v>
      </c>
      <c r="H205" s="15" t="s">
        <v>807</v>
      </c>
      <c r="I205" s="15" t="s">
        <v>808</v>
      </c>
      <c r="J205" s="15" t="s">
        <v>59</v>
      </c>
      <c r="K205" s="16">
        <v>52820</v>
      </c>
      <c r="L205" s="16">
        <v>97650</v>
      </c>
      <c r="M205" s="17">
        <f>Table1[[#This Row],[Billing Rate Charges]]-Table1[[#This Row],[ LORRY RATE ]]</f>
        <v>44830</v>
      </c>
      <c r="N205" s="17">
        <v>52820</v>
      </c>
      <c r="O205" s="17">
        <f>Table1[[#This Row],[ LORRY RATE ]]-Table1[[#This Row],[Adance Paid (INR)]]</f>
        <v>0</v>
      </c>
      <c r="P205" s="17" t="s">
        <v>147</v>
      </c>
      <c r="Q205" s="18" t="s">
        <v>949</v>
      </c>
      <c r="R205" s="17"/>
      <c r="S205" s="18" t="s">
        <v>850</v>
      </c>
      <c r="T205" s="18" t="s">
        <v>851</v>
      </c>
      <c r="U205" s="15" t="s">
        <v>54</v>
      </c>
      <c r="V205" s="15" t="s">
        <v>56</v>
      </c>
      <c r="W205" s="15"/>
    </row>
    <row r="206" spans="1:23" hidden="1" x14ac:dyDescent="0.3">
      <c r="A206" s="15">
        <v>206</v>
      </c>
      <c r="B206" s="15" t="s">
        <v>768</v>
      </c>
      <c r="C206" s="19">
        <v>45608</v>
      </c>
      <c r="D206" s="19" t="s">
        <v>51</v>
      </c>
      <c r="E206" s="15" t="s">
        <v>849</v>
      </c>
      <c r="F206" s="15">
        <v>9169038336</v>
      </c>
      <c r="G206" s="15" t="s">
        <v>6</v>
      </c>
      <c r="H206" s="15" t="s">
        <v>893</v>
      </c>
      <c r="I206" s="15" t="s">
        <v>894</v>
      </c>
      <c r="J206" s="15" t="s">
        <v>168</v>
      </c>
      <c r="K206" s="16">
        <v>29180</v>
      </c>
      <c r="L206" s="16">
        <v>48200</v>
      </c>
      <c r="M206" s="17">
        <f>Table1[[#This Row],[Billing Rate Charges]]-Table1[[#This Row],[ LORRY RATE ]]</f>
        <v>19020</v>
      </c>
      <c r="N206" s="17">
        <v>29180</v>
      </c>
      <c r="O206" s="17">
        <f>Table1[[#This Row],[ LORRY RATE ]]-Table1[[#This Row],[Adance Paid (INR)]]</f>
        <v>0</v>
      </c>
      <c r="P206" s="17" t="s">
        <v>147</v>
      </c>
      <c r="Q206" s="18" t="s">
        <v>950</v>
      </c>
      <c r="R206" s="17"/>
      <c r="S206" s="18" t="s">
        <v>854</v>
      </c>
      <c r="T206" s="18" t="s">
        <v>854</v>
      </c>
      <c r="U206" s="15" t="s">
        <v>54</v>
      </c>
      <c r="V206" s="15" t="s">
        <v>439</v>
      </c>
      <c r="W206" s="15"/>
    </row>
    <row r="207" spans="1:23" hidden="1" x14ac:dyDescent="0.3">
      <c r="A207" s="15">
        <v>207</v>
      </c>
      <c r="B207" s="15" t="s">
        <v>768</v>
      </c>
      <c r="C207" s="19">
        <v>45608</v>
      </c>
      <c r="D207" s="19" t="s">
        <v>56</v>
      </c>
      <c r="E207" s="15" t="s">
        <v>60</v>
      </c>
      <c r="F207" s="15">
        <v>9589264337</v>
      </c>
      <c r="G207" s="15" t="s">
        <v>6</v>
      </c>
      <c r="H207" s="15" t="s">
        <v>895</v>
      </c>
      <c r="I207" s="15" t="s">
        <v>896</v>
      </c>
      <c r="J207" s="15" t="s">
        <v>7</v>
      </c>
      <c r="K207" s="16">
        <v>46210</v>
      </c>
      <c r="L207" s="16">
        <v>53550</v>
      </c>
      <c r="M207" s="17">
        <f>Table1[[#This Row],[Billing Rate Charges]]-Table1[[#This Row],[ LORRY RATE ]]</f>
        <v>7340</v>
      </c>
      <c r="N207" s="17">
        <v>46210</v>
      </c>
      <c r="O207" s="17">
        <f>Table1[[#This Row],[ LORRY RATE ]]-Table1[[#This Row],[Adance Paid (INR)]]</f>
        <v>0</v>
      </c>
      <c r="P207" s="17" t="s">
        <v>147</v>
      </c>
      <c r="Q207" s="18" t="s">
        <v>951</v>
      </c>
      <c r="R207" s="17"/>
      <c r="S207" s="18" t="s">
        <v>854</v>
      </c>
      <c r="T207" s="18" t="s">
        <v>855</v>
      </c>
      <c r="U207" s="15" t="s">
        <v>54</v>
      </c>
      <c r="V207" s="15" t="s">
        <v>56</v>
      </c>
      <c r="W207" s="15"/>
    </row>
    <row r="208" spans="1:23" hidden="1" x14ac:dyDescent="0.3">
      <c r="A208" s="15">
        <v>208</v>
      </c>
      <c r="B208" s="15" t="s">
        <v>768</v>
      </c>
      <c r="C208" s="19">
        <v>45610</v>
      </c>
      <c r="D208" s="19" t="s">
        <v>56</v>
      </c>
      <c r="E208" s="15" t="s">
        <v>38</v>
      </c>
      <c r="F208" s="15">
        <v>9515412075</v>
      </c>
      <c r="G208" s="15" t="s">
        <v>6</v>
      </c>
      <c r="H208" s="15" t="s">
        <v>897</v>
      </c>
      <c r="I208" s="15" t="s">
        <v>898</v>
      </c>
      <c r="J208" s="15" t="s">
        <v>59</v>
      </c>
      <c r="K208" s="16">
        <v>45880</v>
      </c>
      <c r="L208" s="16">
        <v>51340</v>
      </c>
      <c r="M208" s="17">
        <f>Table1[[#This Row],[Billing Rate Charges]]-Table1[[#This Row],[ LORRY RATE ]]</f>
        <v>5460</v>
      </c>
      <c r="N208" s="17">
        <v>45880</v>
      </c>
      <c r="O208" s="17">
        <f>Table1[[#This Row],[ LORRY RATE ]]-Table1[[#This Row],[Adance Paid (INR)]]</f>
        <v>0</v>
      </c>
      <c r="P208" s="17" t="s">
        <v>147</v>
      </c>
      <c r="Q208" s="18" t="s">
        <v>960</v>
      </c>
      <c r="R208" s="17"/>
      <c r="S208" s="18" t="s">
        <v>855</v>
      </c>
      <c r="T208" s="18" t="s">
        <v>856</v>
      </c>
      <c r="U208" s="15" t="s">
        <v>54</v>
      </c>
      <c r="V208" s="15" t="s">
        <v>56</v>
      </c>
      <c r="W208" s="15"/>
    </row>
    <row r="209" spans="1:23" hidden="1" x14ac:dyDescent="0.3">
      <c r="A209" s="15">
        <v>209</v>
      </c>
      <c r="B209" s="15" t="s">
        <v>768</v>
      </c>
      <c r="C209" s="19">
        <v>45612</v>
      </c>
      <c r="D209" s="19" t="s">
        <v>51</v>
      </c>
      <c r="E209" s="21" t="s">
        <v>853</v>
      </c>
      <c r="F209" s="21">
        <v>9050410588</v>
      </c>
      <c r="G209" s="15" t="s">
        <v>6</v>
      </c>
      <c r="H209" s="15" t="s">
        <v>962</v>
      </c>
      <c r="I209" s="15" t="s">
        <v>963</v>
      </c>
      <c r="J209" s="15" t="s">
        <v>168</v>
      </c>
      <c r="K209" s="16">
        <v>34810</v>
      </c>
      <c r="L209" s="16">
        <v>42840</v>
      </c>
      <c r="M209" s="17">
        <f>Table1[[#This Row],[Billing Rate Charges]]-Table1[[#This Row],[ LORRY RATE ]]</f>
        <v>8030</v>
      </c>
      <c r="N209" s="17">
        <v>34810</v>
      </c>
      <c r="O209" s="17">
        <f>Table1[[#This Row],[ LORRY RATE ]]-Table1[[#This Row],[Adance Paid (INR)]]</f>
        <v>0</v>
      </c>
      <c r="P209" s="17" t="s">
        <v>147</v>
      </c>
      <c r="Q209" s="18" t="s">
        <v>964</v>
      </c>
      <c r="R209" s="17"/>
      <c r="S209" s="18" t="s">
        <v>863</v>
      </c>
      <c r="T209" s="18" t="s">
        <v>864</v>
      </c>
      <c r="U209" s="15" t="s">
        <v>54</v>
      </c>
      <c r="V209" s="15" t="s">
        <v>439</v>
      </c>
      <c r="W209" s="15"/>
    </row>
    <row r="210" spans="1:23" hidden="1" x14ac:dyDescent="0.3">
      <c r="A210" s="15">
        <v>210</v>
      </c>
      <c r="B210" s="15" t="s">
        <v>768</v>
      </c>
      <c r="C210" s="19">
        <v>45612</v>
      </c>
      <c r="D210" s="19" t="s">
        <v>51</v>
      </c>
      <c r="E210" s="21" t="s">
        <v>438</v>
      </c>
      <c r="F210" s="21">
        <v>9563961453</v>
      </c>
      <c r="G210" s="15" t="s">
        <v>6</v>
      </c>
      <c r="H210" s="15" t="s">
        <v>899</v>
      </c>
      <c r="I210" s="15" t="s">
        <v>900</v>
      </c>
      <c r="J210" s="15" t="s">
        <v>168</v>
      </c>
      <c r="K210" s="16">
        <v>27440</v>
      </c>
      <c r="L210" s="16">
        <v>41900</v>
      </c>
      <c r="M210" s="17">
        <f>Table1[[#This Row],[Billing Rate Charges]]-Table1[[#This Row],[ LORRY RATE ]]</f>
        <v>14460</v>
      </c>
      <c r="N210" s="17">
        <v>27440</v>
      </c>
      <c r="O210" s="17">
        <f>Table1[[#This Row],[ LORRY RATE ]]-Table1[[#This Row],[Adance Paid (INR)]]</f>
        <v>0</v>
      </c>
      <c r="P210" s="17" t="s">
        <v>147</v>
      </c>
      <c r="Q210" s="18" t="s">
        <v>953</v>
      </c>
      <c r="R210" s="17"/>
      <c r="S210" s="18" t="s">
        <v>863</v>
      </c>
      <c r="T210" s="18" t="s">
        <v>863</v>
      </c>
      <c r="U210" s="15" t="s">
        <v>54</v>
      </c>
      <c r="V210" s="15" t="s">
        <v>439</v>
      </c>
      <c r="W210" s="15"/>
    </row>
    <row r="211" spans="1:23" hidden="1" x14ac:dyDescent="0.3">
      <c r="A211" s="15">
        <v>211</v>
      </c>
      <c r="B211" s="15" t="s">
        <v>768</v>
      </c>
      <c r="C211" s="19">
        <v>45614</v>
      </c>
      <c r="D211" s="19" t="s">
        <v>51</v>
      </c>
      <c r="E211" s="21" t="s">
        <v>548</v>
      </c>
      <c r="F211" s="21">
        <v>9802258584</v>
      </c>
      <c r="G211" s="15" t="s">
        <v>6</v>
      </c>
      <c r="H211" s="15" t="s">
        <v>901</v>
      </c>
      <c r="I211" s="15" t="s">
        <v>902</v>
      </c>
      <c r="J211" s="15" t="s">
        <v>623</v>
      </c>
      <c r="K211" s="16">
        <v>29180</v>
      </c>
      <c r="L211" s="16">
        <v>48200</v>
      </c>
      <c r="M211" s="17">
        <f>Table1[[#This Row],[Billing Rate Charges]]-Table1[[#This Row],[ LORRY RATE ]]</f>
        <v>19020</v>
      </c>
      <c r="N211" s="17">
        <v>29180</v>
      </c>
      <c r="O211" s="17">
        <f>Table1[[#This Row],[ LORRY RATE ]]-Table1[[#This Row],[Adance Paid (INR)]]</f>
        <v>0</v>
      </c>
      <c r="P211" s="17" t="s">
        <v>147</v>
      </c>
      <c r="Q211" s="18" t="s">
        <v>952</v>
      </c>
      <c r="R211" s="17"/>
      <c r="S211" s="18" t="s">
        <v>867</v>
      </c>
      <c r="T211" s="18" t="s">
        <v>868</v>
      </c>
      <c r="U211" s="15" t="s">
        <v>54</v>
      </c>
      <c r="V211" s="15" t="s">
        <v>439</v>
      </c>
      <c r="W211" s="15"/>
    </row>
    <row r="212" spans="1:23" hidden="1" x14ac:dyDescent="0.3">
      <c r="A212" s="15">
        <v>212</v>
      </c>
      <c r="B212" s="15" t="s">
        <v>768</v>
      </c>
      <c r="C212" s="19">
        <v>45615</v>
      </c>
      <c r="D212" s="19" t="s">
        <v>51</v>
      </c>
      <c r="E212" s="21" t="s">
        <v>857</v>
      </c>
      <c r="F212" s="21">
        <v>9036446308</v>
      </c>
      <c r="G212" s="15" t="s">
        <v>6</v>
      </c>
      <c r="H212" s="15" t="s">
        <v>903</v>
      </c>
      <c r="I212" s="15" t="s">
        <v>904</v>
      </c>
      <c r="J212" s="15" t="s">
        <v>7</v>
      </c>
      <c r="K212" s="16">
        <v>36950</v>
      </c>
      <c r="L212" s="16">
        <v>53550</v>
      </c>
      <c r="M212" s="17">
        <f>Table1[[#This Row],[Billing Rate Charges]]-Table1[[#This Row],[ LORRY RATE ]]</f>
        <v>16600</v>
      </c>
      <c r="N212" s="17">
        <v>36950</v>
      </c>
      <c r="O212" s="17">
        <f>Table1[[#This Row],[ LORRY RATE ]]-Table1[[#This Row],[Adance Paid (INR)]]</f>
        <v>0</v>
      </c>
      <c r="P212" s="17" t="s">
        <v>147</v>
      </c>
      <c r="Q212" s="18" t="s">
        <v>965</v>
      </c>
      <c r="R212" s="17"/>
      <c r="S212" s="18" t="s">
        <v>863</v>
      </c>
      <c r="T212" s="18" t="s">
        <v>864</v>
      </c>
      <c r="U212" s="15" t="s">
        <v>54</v>
      </c>
      <c r="V212" s="15" t="s">
        <v>859</v>
      </c>
      <c r="W212" s="15"/>
    </row>
    <row r="213" spans="1:23" hidden="1" x14ac:dyDescent="0.3">
      <c r="A213" s="15">
        <v>213</v>
      </c>
      <c r="B213" s="15" t="s">
        <v>768</v>
      </c>
      <c r="C213" s="19">
        <v>45615</v>
      </c>
      <c r="D213" s="19" t="s">
        <v>51</v>
      </c>
      <c r="E213" s="21" t="s">
        <v>858</v>
      </c>
      <c r="F213" s="21">
        <v>9029731204</v>
      </c>
      <c r="G213" s="15" t="s">
        <v>6</v>
      </c>
      <c r="H213" s="15" t="s">
        <v>905</v>
      </c>
      <c r="I213" s="15" t="s">
        <v>906</v>
      </c>
      <c r="J213" s="15" t="s">
        <v>168</v>
      </c>
      <c r="K213" s="16">
        <v>27440</v>
      </c>
      <c r="L213" s="16">
        <v>41900</v>
      </c>
      <c r="M213" s="17">
        <f>Table1[[#This Row],[Billing Rate Charges]]-Table1[[#This Row],[ LORRY RATE ]]</f>
        <v>14460</v>
      </c>
      <c r="N213" s="17">
        <v>27440</v>
      </c>
      <c r="O213" s="17">
        <f>Table1[[#This Row],[ LORRY RATE ]]-Table1[[#This Row],[Adance Paid (INR)]]</f>
        <v>0</v>
      </c>
      <c r="P213" s="17" t="s">
        <v>147</v>
      </c>
      <c r="Q213" s="18" t="s">
        <v>966</v>
      </c>
      <c r="R213" s="17"/>
      <c r="S213" s="18" t="s">
        <v>868</v>
      </c>
      <c r="T213" s="18" t="s">
        <v>868</v>
      </c>
      <c r="U213" s="15" t="s">
        <v>54</v>
      </c>
      <c r="V213" s="15" t="s">
        <v>439</v>
      </c>
      <c r="W213" s="15"/>
    </row>
    <row r="214" spans="1:23" hidden="1" x14ac:dyDescent="0.3">
      <c r="A214" s="15">
        <v>214</v>
      </c>
      <c r="B214" s="15" t="s">
        <v>768</v>
      </c>
      <c r="C214" s="19">
        <v>45615</v>
      </c>
      <c r="D214" s="19" t="s">
        <v>56</v>
      </c>
      <c r="E214" s="15" t="s">
        <v>865</v>
      </c>
      <c r="F214" s="15">
        <v>9589264337</v>
      </c>
      <c r="G214" s="15" t="s">
        <v>42</v>
      </c>
      <c r="H214" s="15" t="s">
        <v>937</v>
      </c>
      <c r="I214" s="15" t="s">
        <v>938</v>
      </c>
      <c r="J214" s="15" t="s">
        <v>7</v>
      </c>
      <c r="K214" s="16">
        <v>53580</v>
      </c>
      <c r="L214" s="16">
        <v>102690</v>
      </c>
      <c r="M214" s="17">
        <f>Table1[[#This Row],[Billing Rate Charges]]-Table1[[#This Row],[ LORRY RATE ]]</f>
        <v>49110</v>
      </c>
      <c r="N214" s="17">
        <v>53580</v>
      </c>
      <c r="O214" s="17">
        <f>Table1[[#This Row],[ LORRY RATE ]]-Table1[[#This Row],[Adance Paid (INR)]]</f>
        <v>0</v>
      </c>
      <c r="P214" s="17" t="s">
        <v>147</v>
      </c>
      <c r="Q214" s="18" t="s">
        <v>954</v>
      </c>
      <c r="R214" s="17"/>
      <c r="S214" s="18" t="s">
        <v>864</v>
      </c>
      <c r="T214" s="18" t="s">
        <v>864</v>
      </c>
      <c r="U214" s="15" t="s">
        <v>54</v>
      </c>
      <c r="V214" s="15" t="s">
        <v>56</v>
      </c>
      <c r="W214" s="15"/>
    </row>
    <row r="215" spans="1:23" hidden="1" x14ac:dyDescent="0.3">
      <c r="A215" s="15">
        <v>215</v>
      </c>
      <c r="B215" s="15" t="s">
        <v>768</v>
      </c>
      <c r="C215" s="19">
        <v>45617</v>
      </c>
      <c r="D215" s="19" t="s">
        <v>51</v>
      </c>
      <c r="E215" s="21" t="s">
        <v>860</v>
      </c>
      <c r="F215" s="21">
        <v>9082312445</v>
      </c>
      <c r="G215" s="15" t="s">
        <v>6</v>
      </c>
      <c r="H215" s="15" t="s">
        <v>26</v>
      </c>
      <c r="I215" s="15" t="s">
        <v>908</v>
      </c>
      <c r="J215" s="15" t="s">
        <v>623</v>
      </c>
      <c r="K215" s="16">
        <v>28700</v>
      </c>
      <c r="L215" s="16">
        <v>37800</v>
      </c>
      <c r="M215" s="17">
        <f>Table1[[#This Row],[Billing Rate Charges]]-Table1[[#This Row],[ LORRY RATE ]]</f>
        <v>9100</v>
      </c>
      <c r="N215" s="17">
        <v>28700</v>
      </c>
      <c r="O215" s="17">
        <f>Table1[[#This Row],[ LORRY RATE ]]-Table1[[#This Row],[Adance Paid (INR)]]</f>
        <v>0</v>
      </c>
      <c r="P215" s="17" t="s">
        <v>147</v>
      </c>
      <c r="Q215" s="18" t="s">
        <v>956</v>
      </c>
      <c r="R215" s="17"/>
      <c r="S215" s="18" t="s">
        <v>868</v>
      </c>
      <c r="T215" s="18" t="s">
        <v>868</v>
      </c>
      <c r="U215" s="15" t="s">
        <v>54</v>
      </c>
      <c r="V215" s="15" t="s">
        <v>439</v>
      </c>
      <c r="W215" s="15"/>
    </row>
    <row r="216" spans="1:23" hidden="1" x14ac:dyDescent="0.3">
      <c r="A216" s="15">
        <v>216</v>
      </c>
      <c r="B216" s="15" t="s">
        <v>768</v>
      </c>
      <c r="C216" s="19">
        <v>45617</v>
      </c>
      <c r="D216" s="19" t="s">
        <v>51</v>
      </c>
      <c r="E216" s="21" t="s">
        <v>861</v>
      </c>
      <c r="F216" s="21">
        <v>9758657650</v>
      </c>
      <c r="G216" s="15" t="s">
        <v>6</v>
      </c>
      <c r="H216" s="15" t="s">
        <v>26</v>
      </c>
      <c r="I216" s="15" t="s">
        <v>907</v>
      </c>
      <c r="J216" s="15" t="s">
        <v>168</v>
      </c>
      <c r="K216" s="16">
        <v>25960</v>
      </c>
      <c r="L216" s="16">
        <v>35600</v>
      </c>
      <c r="M216" s="17">
        <f>Table1[[#This Row],[Billing Rate Charges]]-Table1[[#This Row],[ LORRY RATE ]]</f>
        <v>9640</v>
      </c>
      <c r="N216" s="17">
        <v>25960</v>
      </c>
      <c r="O216" s="17">
        <f>Table1[[#This Row],[ LORRY RATE ]]-Table1[[#This Row],[Adance Paid (INR)]]</f>
        <v>0</v>
      </c>
      <c r="P216" s="17" t="s">
        <v>147</v>
      </c>
      <c r="Q216" s="18" t="s">
        <v>955</v>
      </c>
      <c r="R216" s="17"/>
      <c r="S216" s="18" t="s">
        <v>868</v>
      </c>
      <c r="T216" s="18" t="s">
        <v>868</v>
      </c>
      <c r="U216" s="15" t="s">
        <v>54</v>
      </c>
      <c r="V216" s="15" t="s">
        <v>439</v>
      </c>
      <c r="W216" s="15"/>
    </row>
    <row r="217" spans="1:23" hidden="1" x14ac:dyDescent="0.3">
      <c r="A217" s="15">
        <v>217</v>
      </c>
      <c r="B217" s="15" t="s">
        <v>768</v>
      </c>
      <c r="C217" s="19">
        <v>45617</v>
      </c>
      <c r="D217" s="19" t="s">
        <v>51</v>
      </c>
      <c r="E217" s="21" t="s">
        <v>862</v>
      </c>
      <c r="F217" s="21">
        <v>9732647052</v>
      </c>
      <c r="G217" s="15" t="s">
        <v>6</v>
      </c>
      <c r="H217" s="15" t="s">
        <v>909</v>
      </c>
      <c r="I217" s="15" t="s">
        <v>910</v>
      </c>
      <c r="J217" s="15" t="s">
        <v>623</v>
      </c>
      <c r="K217" s="16">
        <v>27440</v>
      </c>
      <c r="L217" s="16">
        <v>41900</v>
      </c>
      <c r="M217" s="17">
        <f>Table1[[#This Row],[Billing Rate Charges]]-Table1[[#This Row],[ LORRY RATE ]]</f>
        <v>14460</v>
      </c>
      <c r="N217" s="17">
        <v>27440</v>
      </c>
      <c r="O217" s="17">
        <f>Table1[[#This Row],[ LORRY RATE ]]-Table1[[#This Row],[Adance Paid (INR)]]</f>
        <v>0</v>
      </c>
      <c r="P217" s="17" t="s">
        <v>147</v>
      </c>
      <c r="Q217" s="18" t="s">
        <v>958</v>
      </c>
      <c r="R217" s="17"/>
      <c r="S217" s="18" t="s">
        <v>868</v>
      </c>
      <c r="T217" s="18" t="s">
        <v>868</v>
      </c>
      <c r="U217" s="15" t="s">
        <v>54</v>
      </c>
      <c r="V217" s="15" t="s">
        <v>439</v>
      </c>
      <c r="W217" s="15"/>
    </row>
    <row r="218" spans="1:23" hidden="1" x14ac:dyDescent="0.3">
      <c r="A218" s="15">
        <v>218</v>
      </c>
      <c r="B218" s="15" t="s">
        <v>768</v>
      </c>
      <c r="C218" s="19">
        <v>45618</v>
      </c>
      <c r="D218" s="19" t="s">
        <v>51</v>
      </c>
      <c r="E218" s="15" t="s">
        <v>60</v>
      </c>
      <c r="F218" s="15">
        <v>9589264337</v>
      </c>
      <c r="G218" s="15" t="s">
        <v>6</v>
      </c>
      <c r="H218" s="15" t="s">
        <v>911</v>
      </c>
      <c r="I218" s="15" t="s">
        <v>912</v>
      </c>
      <c r="J218" s="15" t="s">
        <v>7</v>
      </c>
      <c r="K218" s="16">
        <v>48100</v>
      </c>
      <c r="L218" s="16">
        <v>66150</v>
      </c>
      <c r="M218" s="17">
        <f>Table1[[#This Row],[Billing Rate Charges]]-Table1[[#This Row],[ LORRY RATE ]]</f>
        <v>18050</v>
      </c>
      <c r="N218" s="17">
        <v>48100</v>
      </c>
      <c r="O218" s="17">
        <f>Table1[[#This Row],[ LORRY RATE ]]-Table1[[#This Row],[Adance Paid (INR)]]</f>
        <v>0</v>
      </c>
      <c r="P218" s="17" t="s">
        <v>147</v>
      </c>
      <c r="Q218" s="18" t="s">
        <v>957</v>
      </c>
      <c r="R218" s="17"/>
      <c r="S218" s="18" t="s">
        <v>872</v>
      </c>
      <c r="T218" s="18" t="s">
        <v>873</v>
      </c>
      <c r="U218" s="15" t="s">
        <v>54</v>
      </c>
      <c r="V218" s="15" t="s">
        <v>56</v>
      </c>
      <c r="W218" s="15"/>
    </row>
    <row r="219" spans="1:23" hidden="1" x14ac:dyDescent="0.3">
      <c r="A219" s="15">
        <v>219</v>
      </c>
      <c r="B219" s="15" t="s">
        <v>768</v>
      </c>
      <c r="C219" s="19">
        <v>45619</v>
      </c>
      <c r="D219" s="19" t="s">
        <v>51</v>
      </c>
      <c r="E219" s="21" t="s">
        <v>866</v>
      </c>
      <c r="F219" s="21">
        <v>9026978556</v>
      </c>
      <c r="G219" s="15" t="s">
        <v>6</v>
      </c>
      <c r="H219" s="15" t="s">
        <v>26</v>
      </c>
      <c r="I219" s="15" t="s">
        <v>913</v>
      </c>
      <c r="J219" s="15" t="s">
        <v>623</v>
      </c>
      <c r="K219" s="16">
        <v>25960</v>
      </c>
      <c r="L219" s="16">
        <v>35600</v>
      </c>
      <c r="M219" s="17">
        <f>Table1[[#This Row],[Billing Rate Charges]]-Table1[[#This Row],[ LORRY RATE ]]</f>
        <v>9640</v>
      </c>
      <c r="N219" s="17">
        <v>25960</v>
      </c>
      <c r="O219" s="17">
        <f>Table1[[#This Row],[ LORRY RATE ]]-Table1[[#This Row],[Adance Paid (INR)]]</f>
        <v>0</v>
      </c>
      <c r="P219" s="17" t="s">
        <v>147</v>
      </c>
      <c r="Q219" s="18" t="s">
        <v>959</v>
      </c>
      <c r="R219" s="17"/>
      <c r="S219" s="18" t="s">
        <v>872</v>
      </c>
      <c r="T219" s="18" t="s">
        <v>872</v>
      </c>
      <c r="U219" s="15" t="s">
        <v>54</v>
      </c>
      <c r="V219" s="15" t="s">
        <v>439</v>
      </c>
      <c r="W219" s="15"/>
    </row>
    <row r="220" spans="1:23" hidden="1" x14ac:dyDescent="0.3">
      <c r="A220" s="15">
        <v>220</v>
      </c>
      <c r="B220" s="15" t="s">
        <v>768</v>
      </c>
      <c r="C220" s="19">
        <v>45619</v>
      </c>
      <c r="D220" s="19" t="s">
        <v>56</v>
      </c>
      <c r="E220" s="15" t="s">
        <v>38</v>
      </c>
      <c r="F220" s="15">
        <v>9515412075</v>
      </c>
      <c r="G220" s="15" t="s">
        <v>42</v>
      </c>
      <c r="H220" s="15" t="s">
        <v>940</v>
      </c>
      <c r="I220" s="15" t="s">
        <v>939</v>
      </c>
      <c r="J220" s="15" t="s">
        <v>59</v>
      </c>
      <c r="K220" s="16">
        <v>52350</v>
      </c>
      <c r="L220" s="16">
        <v>94500</v>
      </c>
      <c r="M220" s="17">
        <f>Table1[[#This Row],[Billing Rate Charges]]-Table1[[#This Row],[ LORRY RATE ]]</f>
        <v>42150</v>
      </c>
      <c r="N220" s="17">
        <v>52350</v>
      </c>
      <c r="O220" s="17">
        <f>Table1[[#This Row],[ LORRY RATE ]]-Table1[[#This Row],[Adance Paid (INR)]]</f>
        <v>0</v>
      </c>
      <c r="P220" s="17" t="s">
        <v>147</v>
      </c>
      <c r="Q220" s="18" t="s">
        <v>961</v>
      </c>
      <c r="R220" s="17"/>
      <c r="S220" s="18" t="s">
        <v>868</v>
      </c>
      <c r="T220" s="18" t="s">
        <v>868</v>
      </c>
      <c r="U220" s="15" t="s">
        <v>97</v>
      </c>
      <c r="V220" s="15" t="s">
        <v>56</v>
      </c>
      <c r="W220" s="15" t="s">
        <v>154</v>
      </c>
    </row>
    <row r="221" spans="1:23" hidden="1" x14ac:dyDescent="0.3">
      <c r="A221" s="15">
        <v>221</v>
      </c>
      <c r="B221" s="15" t="s">
        <v>768</v>
      </c>
      <c r="C221" s="19">
        <v>45621</v>
      </c>
      <c r="D221" s="19" t="s">
        <v>51</v>
      </c>
      <c r="E221" s="21" t="s">
        <v>869</v>
      </c>
      <c r="F221" s="21">
        <v>9347327227</v>
      </c>
      <c r="G221" s="15" t="s">
        <v>6</v>
      </c>
      <c r="H221" s="15" t="s">
        <v>26</v>
      </c>
      <c r="I221" s="15" t="s">
        <v>916</v>
      </c>
      <c r="J221" s="15" t="s">
        <v>168</v>
      </c>
      <c r="K221" s="16">
        <v>28700</v>
      </c>
      <c r="L221" s="16">
        <v>37800</v>
      </c>
      <c r="M221" s="17">
        <f>Table1[[#This Row],[Billing Rate Charges]]-Table1[[#This Row],[ LORRY RATE ]]</f>
        <v>9100</v>
      </c>
      <c r="N221" s="17">
        <v>28700</v>
      </c>
      <c r="O221" s="17">
        <f>Table1[[#This Row],[ LORRY RATE ]]-Table1[[#This Row],[Adance Paid (INR)]]</f>
        <v>0</v>
      </c>
      <c r="P221" s="17" t="s">
        <v>147</v>
      </c>
      <c r="Q221" s="18" t="s">
        <v>967</v>
      </c>
      <c r="R221" s="17"/>
      <c r="S221" s="18" t="s">
        <v>881</v>
      </c>
      <c r="T221" s="18" t="s">
        <v>881</v>
      </c>
      <c r="U221" s="15" t="s">
        <v>54</v>
      </c>
      <c r="V221" s="15" t="s">
        <v>439</v>
      </c>
      <c r="W221" s="15"/>
    </row>
    <row r="222" spans="1:23" hidden="1" x14ac:dyDescent="0.3">
      <c r="A222" s="15">
        <v>222</v>
      </c>
      <c r="B222" s="15" t="s">
        <v>768</v>
      </c>
      <c r="C222" s="19">
        <v>45621</v>
      </c>
      <c r="D222" s="19" t="s">
        <v>51</v>
      </c>
      <c r="E222" s="21" t="s">
        <v>870</v>
      </c>
      <c r="F222" s="21">
        <v>9512143615</v>
      </c>
      <c r="G222" s="15" t="s">
        <v>6</v>
      </c>
      <c r="H222" s="15" t="s">
        <v>26</v>
      </c>
      <c r="I222" s="15" t="s">
        <v>917</v>
      </c>
      <c r="J222" s="15" t="s">
        <v>168</v>
      </c>
      <c r="K222" s="16">
        <v>25960</v>
      </c>
      <c r="L222" s="16">
        <v>35600</v>
      </c>
      <c r="M222" s="17">
        <f>Table1[[#This Row],[Billing Rate Charges]]-Table1[[#This Row],[ LORRY RATE ]]</f>
        <v>9640</v>
      </c>
      <c r="N222" s="17">
        <v>25960</v>
      </c>
      <c r="O222" s="17">
        <f>Table1[[#This Row],[ LORRY RATE ]]-Table1[[#This Row],[Adance Paid (INR)]]</f>
        <v>0</v>
      </c>
      <c r="P222" s="17" t="s">
        <v>147</v>
      </c>
      <c r="Q222" s="18" t="s">
        <v>968</v>
      </c>
      <c r="R222" s="17"/>
      <c r="S222" s="18" t="s">
        <v>881</v>
      </c>
      <c r="T222" s="18" t="s">
        <v>881</v>
      </c>
      <c r="U222" s="15" t="s">
        <v>54</v>
      </c>
      <c r="V222" s="15" t="s">
        <v>439</v>
      </c>
      <c r="W222" s="15"/>
    </row>
    <row r="223" spans="1:23" hidden="1" x14ac:dyDescent="0.3">
      <c r="A223" s="15">
        <v>223</v>
      </c>
      <c r="B223" s="15" t="s">
        <v>768</v>
      </c>
      <c r="C223" s="19">
        <v>45621</v>
      </c>
      <c r="D223" s="19" t="s">
        <v>51</v>
      </c>
      <c r="E223" s="21" t="s">
        <v>871</v>
      </c>
      <c r="F223" s="21">
        <v>9495341173</v>
      </c>
      <c r="G223" s="15" t="s">
        <v>6</v>
      </c>
      <c r="H223" s="15" t="s">
        <v>914</v>
      </c>
      <c r="I223" s="15" t="s">
        <v>915</v>
      </c>
      <c r="J223" s="15" t="s">
        <v>623</v>
      </c>
      <c r="K223" s="16">
        <v>27440</v>
      </c>
      <c r="L223" s="16">
        <v>41900</v>
      </c>
      <c r="M223" s="17">
        <f>Table1[[#This Row],[Billing Rate Charges]]-Table1[[#This Row],[ LORRY RATE ]]</f>
        <v>14460</v>
      </c>
      <c r="N223" s="17">
        <v>27440</v>
      </c>
      <c r="O223" s="17">
        <f>Table1[[#This Row],[ LORRY RATE ]]-Table1[[#This Row],[Adance Paid (INR)]]</f>
        <v>0</v>
      </c>
      <c r="P223" s="17" t="s">
        <v>147</v>
      </c>
      <c r="Q223" s="18" t="s">
        <v>969</v>
      </c>
      <c r="R223" s="17"/>
      <c r="S223" s="18" t="s">
        <v>882</v>
      </c>
      <c r="T223" s="18" t="s">
        <v>882</v>
      </c>
      <c r="U223" s="15" t="s">
        <v>54</v>
      </c>
      <c r="V223" s="15" t="s">
        <v>439</v>
      </c>
      <c r="W223" s="15"/>
    </row>
    <row r="224" spans="1:23" hidden="1" x14ac:dyDescent="0.3">
      <c r="A224" s="15">
        <v>224</v>
      </c>
      <c r="B224" s="15" t="s">
        <v>768</v>
      </c>
      <c r="C224" s="19">
        <v>45622</v>
      </c>
      <c r="D224" s="19" t="s">
        <v>51</v>
      </c>
      <c r="E224" s="15" t="s">
        <v>380</v>
      </c>
      <c r="F224" s="15"/>
      <c r="G224" s="15" t="s">
        <v>6</v>
      </c>
      <c r="H224" s="15" t="s">
        <v>26</v>
      </c>
      <c r="I224" s="15" t="s">
        <v>918</v>
      </c>
      <c r="J224" s="15" t="s">
        <v>381</v>
      </c>
      <c r="K224" s="16">
        <v>84130</v>
      </c>
      <c r="L224" s="16">
        <v>91240</v>
      </c>
      <c r="M224" s="17">
        <f>Table1[[#This Row],[Billing Rate Charges]]-Table1[[#This Row],[ LORRY RATE ]]</f>
        <v>7110</v>
      </c>
      <c r="N224" s="17">
        <v>84130</v>
      </c>
      <c r="O224" s="17">
        <f>Table1[[#This Row],[ LORRY RATE ]]-Table1[[#This Row],[Adance Paid (INR)]]</f>
        <v>0</v>
      </c>
      <c r="P224" s="17" t="s">
        <v>147</v>
      </c>
      <c r="Q224" s="18" t="s">
        <v>970</v>
      </c>
      <c r="R224" s="17"/>
      <c r="S224" s="18" t="s">
        <v>873</v>
      </c>
      <c r="T224" s="18" t="s">
        <v>873</v>
      </c>
      <c r="U224" s="15" t="s">
        <v>97</v>
      </c>
      <c r="V224" s="15" t="s">
        <v>380</v>
      </c>
      <c r="W224" s="15" t="s">
        <v>875</v>
      </c>
    </row>
    <row r="225" spans="1:23" hidden="1" x14ac:dyDescent="0.3">
      <c r="A225" s="15">
        <v>225</v>
      </c>
      <c r="B225" s="15" t="s">
        <v>768</v>
      </c>
      <c r="C225" s="19">
        <v>45622</v>
      </c>
      <c r="D225" s="19" t="s">
        <v>51</v>
      </c>
      <c r="E225" s="21" t="s">
        <v>874</v>
      </c>
      <c r="F225" s="21">
        <v>9725063707</v>
      </c>
      <c r="G225" s="15" t="s">
        <v>6</v>
      </c>
      <c r="H225" s="15" t="s">
        <v>919</v>
      </c>
      <c r="I225" s="15" t="s">
        <v>920</v>
      </c>
      <c r="J225" s="15" t="s">
        <v>168</v>
      </c>
      <c r="K225" s="16">
        <v>27440</v>
      </c>
      <c r="L225" s="16">
        <v>41900</v>
      </c>
      <c r="M225" s="17">
        <f>Table1[[#This Row],[Billing Rate Charges]]-Table1[[#This Row],[ LORRY RATE ]]</f>
        <v>14460</v>
      </c>
      <c r="N225" s="17">
        <v>27440</v>
      </c>
      <c r="O225" s="17">
        <f>Table1[[#This Row],[ LORRY RATE ]]-Table1[[#This Row],[Adance Paid (INR)]]</f>
        <v>0</v>
      </c>
      <c r="P225" s="17" t="s">
        <v>147</v>
      </c>
      <c r="Q225" s="18" t="s">
        <v>971</v>
      </c>
      <c r="R225" s="17"/>
      <c r="S225" s="18" t="s">
        <v>886</v>
      </c>
      <c r="T225" s="18" t="s">
        <v>886</v>
      </c>
      <c r="U225" s="15" t="s">
        <v>54</v>
      </c>
      <c r="V225" s="15" t="s">
        <v>439</v>
      </c>
      <c r="W225" s="15"/>
    </row>
    <row r="226" spans="1:23" hidden="1" x14ac:dyDescent="0.3">
      <c r="A226" s="15">
        <v>226</v>
      </c>
      <c r="B226" s="15" t="s">
        <v>768</v>
      </c>
      <c r="C226" s="19">
        <v>45623</v>
      </c>
      <c r="D226" s="19" t="s">
        <v>56</v>
      </c>
      <c r="E226" s="21" t="s">
        <v>38</v>
      </c>
      <c r="F226" s="15">
        <v>9515412075</v>
      </c>
      <c r="G226" s="15" t="s">
        <v>6</v>
      </c>
      <c r="H226" s="15" t="s">
        <v>923</v>
      </c>
      <c r="I226" s="15" t="s">
        <v>924</v>
      </c>
      <c r="J226" s="15" t="s">
        <v>59</v>
      </c>
      <c r="K226" s="16">
        <v>45780</v>
      </c>
      <c r="L226" s="16">
        <v>50720</v>
      </c>
      <c r="M226" s="17">
        <f>Table1[[#This Row],[Billing Rate Charges]]-Table1[[#This Row],[ LORRY RATE ]]</f>
        <v>4940</v>
      </c>
      <c r="N226" s="17">
        <v>45780</v>
      </c>
      <c r="O226" s="17">
        <f>Table1[[#This Row],[ LORRY RATE ]]-Table1[[#This Row],[Adance Paid (INR)]]</f>
        <v>0</v>
      </c>
      <c r="P226" s="17" t="s">
        <v>147</v>
      </c>
      <c r="Q226" s="18" t="s">
        <v>972</v>
      </c>
      <c r="R226" s="17"/>
      <c r="S226" s="18" t="s">
        <v>886</v>
      </c>
      <c r="T226" s="18" t="s">
        <v>886</v>
      </c>
      <c r="U226" s="15" t="s">
        <v>54</v>
      </c>
      <c r="V226" s="15" t="s">
        <v>56</v>
      </c>
      <c r="W226" s="15" t="s">
        <v>154</v>
      </c>
    </row>
    <row r="227" spans="1:23" hidden="1" x14ac:dyDescent="0.3">
      <c r="A227" s="15">
        <v>227</v>
      </c>
      <c r="B227" s="15" t="s">
        <v>768</v>
      </c>
      <c r="C227" s="19">
        <v>45623</v>
      </c>
      <c r="D227" s="19" t="s">
        <v>51</v>
      </c>
      <c r="E227" s="21" t="s">
        <v>876</v>
      </c>
      <c r="F227" s="21">
        <v>9216040168</v>
      </c>
      <c r="G227" s="15" t="s">
        <v>6</v>
      </c>
      <c r="H227" s="15" t="s">
        <v>921</v>
      </c>
      <c r="I227" s="15" t="s">
        <v>922</v>
      </c>
      <c r="J227" s="15" t="s">
        <v>623</v>
      </c>
      <c r="K227" s="16">
        <v>29910</v>
      </c>
      <c r="L227" s="16">
        <v>44100</v>
      </c>
      <c r="M227" s="17">
        <f>Table1[[#This Row],[Billing Rate Charges]]-Table1[[#This Row],[ LORRY RATE ]]</f>
        <v>14190</v>
      </c>
      <c r="N227" s="17">
        <v>29910</v>
      </c>
      <c r="O227" s="17">
        <f>Table1[[#This Row],[ LORRY RATE ]]-Table1[[#This Row],[Adance Paid (INR)]]</f>
        <v>0</v>
      </c>
      <c r="P227" s="17" t="s">
        <v>147</v>
      </c>
      <c r="Q227" s="18" t="s">
        <v>973</v>
      </c>
      <c r="R227" s="17"/>
      <c r="S227" s="18" t="s">
        <v>887</v>
      </c>
      <c r="T227" s="18" t="s">
        <v>888</v>
      </c>
      <c r="U227" s="15" t="s">
        <v>54</v>
      </c>
      <c r="V227" s="15" t="s">
        <v>439</v>
      </c>
      <c r="W227" s="15"/>
    </row>
    <row r="228" spans="1:23" hidden="1" x14ac:dyDescent="0.3">
      <c r="A228" s="15">
        <v>228</v>
      </c>
      <c r="B228" s="15" t="s">
        <v>768</v>
      </c>
      <c r="C228" s="19">
        <v>45624</v>
      </c>
      <c r="D228" s="19" t="s">
        <v>51</v>
      </c>
      <c r="E228" s="21" t="s">
        <v>877</v>
      </c>
      <c r="F228" s="21">
        <v>9951385085</v>
      </c>
      <c r="G228" s="15" t="s">
        <v>6</v>
      </c>
      <c r="H228" s="15" t="s">
        <v>927</v>
      </c>
      <c r="I228" s="15" t="s">
        <v>928</v>
      </c>
      <c r="J228" s="15" t="s">
        <v>168</v>
      </c>
      <c r="K228" s="16">
        <v>27440</v>
      </c>
      <c r="L228" s="16">
        <v>41900</v>
      </c>
      <c r="M228" s="17">
        <f>Table1[[#This Row],[Billing Rate Charges]]-Table1[[#This Row],[ LORRY RATE ]]</f>
        <v>14460</v>
      </c>
      <c r="N228" s="17">
        <v>27440</v>
      </c>
      <c r="O228" s="17">
        <f>Table1[[#This Row],[ LORRY RATE ]]-Table1[[#This Row],[Adance Paid (INR)]]</f>
        <v>0</v>
      </c>
      <c r="P228" s="17" t="s">
        <v>147</v>
      </c>
      <c r="Q228" s="18" t="s">
        <v>1054</v>
      </c>
      <c r="R228" s="17"/>
      <c r="S228" s="18" t="s">
        <v>888</v>
      </c>
      <c r="T228" s="18" t="s">
        <v>888</v>
      </c>
      <c r="U228" s="15" t="s">
        <v>54</v>
      </c>
      <c r="V228" s="15" t="s">
        <v>439</v>
      </c>
      <c r="W228" s="15"/>
    </row>
    <row r="229" spans="1:23" hidden="1" x14ac:dyDescent="0.3">
      <c r="A229" s="15">
        <v>229</v>
      </c>
      <c r="B229" s="15" t="s">
        <v>768</v>
      </c>
      <c r="C229" s="19">
        <v>45624</v>
      </c>
      <c r="D229" s="19" t="s">
        <v>51</v>
      </c>
      <c r="E229" s="21" t="s">
        <v>878</v>
      </c>
      <c r="F229" s="21">
        <v>9709943303</v>
      </c>
      <c r="G229" s="15" t="s">
        <v>6</v>
      </c>
      <c r="H229" s="15" t="s">
        <v>925</v>
      </c>
      <c r="I229" s="15" t="s">
        <v>926</v>
      </c>
      <c r="J229" s="15" t="s">
        <v>623</v>
      </c>
      <c r="K229" s="16">
        <v>30850</v>
      </c>
      <c r="L229" s="16">
        <v>50400</v>
      </c>
      <c r="M229" s="17">
        <f>Table1[[#This Row],[Billing Rate Charges]]-Table1[[#This Row],[ LORRY RATE ]]</f>
        <v>19550</v>
      </c>
      <c r="N229" s="17">
        <v>30850</v>
      </c>
      <c r="O229" s="17">
        <f>Table1[[#This Row],[ LORRY RATE ]]-Table1[[#This Row],[Adance Paid (INR)]]</f>
        <v>0</v>
      </c>
      <c r="P229" s="17" t="s">
        <v>147</v>
      </c>
      <c r="Q229" s="18" t="s">
        <v>1060</v>
      </c>
      <c r="R229" s="17"/>
      <c r="S229" s="18" t="s">
        <v>981</v>
      </c>
      <c r="T229" s="18" t="s">
        <v>981</v>
      </c>
      <c r="U229" s="15" t="s">
        <v>54</v>
      </c>
      <c r="V229" s="15" t="s">
        <v>439</v>
      </c>
      <c r="W229" s="15"/>
    </row>
    <row r="230" spans="1:23" hidden="1" x14ac:dyDescent="0.3">
      <c r="A230" s="15">
        <v>230</v>
      </c>
      <c r="B230" s="15" t="s">
        <v>768</v>
      </c>
      <c r="C230" s="19">
        <v>45625</v>
      </c>
      <c r="D230" s="19" t="s">
        <v>51</v>
      </c>
      <c r="E230" s="21" t="s">
        <v>879</v>
      </c>
      <c r="F230" s="21">
        <v>9714368652</v>
      </c>
      <c r="G230" s="15" t="s">
        <v>6</v>
      </c>
      <c r="H230" s="15" t="s">
        <v>26</v>
      </c>
      <c r="I230" s="15" t="s">
        <v>929</v>
      </c>
      <c r="J230" s="15" t="s">
        <v>59</v>
      </c>
      <c r="K230" s="16">
        <v>28300</v>
      </c>
      <c r="L230" s="16">
        <v>38740</v>
      </c>
      <c r="M230" s="17">
        <f>Table1[[#This Row],[Billing Rate Charges]]-Table1[[#This Row],[ LORRY RATE ]]</f>
        <v>10440</v>
      </c>
      <c r="N230" s="17">
        <v>28300</v>
      </c>
      <c r="O230" s="17"/>
      <c r="P230" s="17" t="s">
        <v>147</v>
      </c>
      <c r="Q230" s="18" t="s">
        <v>1064</v>
      </c>
      <c r="R230" s="17"/>
      <c r="S230" s="18" t="s">
        <v>981</v>
      </c>
      <c r="T230" s="18" t="s">
        <v>981</v>
      </c>
      <c r="U230" s="15" t="s">
        <v>54</v>
      </c>
      <c r="V230" s="15" t="s">
        <v>439</v>
      </c>
      <c r="W230" s="15"/>
    </row>
    <row r="231" spans="1:23" hidden="1" x14ac:dyDescent="0.3">
      <c r="A231" s="15">
        <v>231</v>
      </c>
      <c r="B231" s="15" t="s">
        <v>768</v>
      </c>
      <c r="C231" s="19">
        <v>45625</v>
      </c>
      <c r="D231" s="19" t="s">
        <v>51</v>
      </c>
      <c r="E231" s="21" t="s">
        <v>880</v>
      </c>
      <c r="F231" s="21">
        <v>9517980736</v>
      </c>
      <c r="G231" s="15" t="s">
        <v>6</v>
      </c>
      <c r="H231" s="15" t="s">
        <v>930</v>
      </c>
      <c r="I231" s="15" t="s">
        <v>931</v>
      </c>
      <c r="J231" s="15" t="s">
        <v>7</v>
      </c>
      <c r="K231" s="16">
        <v>36950</v>
      </c>
      <c r="L231" s="16">
        <v>53550</v>
      </c>
      <c r="M231" s="17">
        <f>Table1[[#This Row],[Billing Rate Charges]]-Table1[[#This Row],[ LORRY RATE ]]</f>
        <v>16600</v>
      </c>
      <c r="N231" s="17">
        <v>36950</v>
      </c>
      <c r="O231" s="17">
        <f>Table1[[#This Row],[ LORRY RATE ]]-Table1[[#This Row],[Adance Paid (INR)]]</f>
        <v>0</v>
      </c>
      <c r="P231" s="17" t="s">
        <v>147</v>
      </c>
      <c r="Q231" s="18" t="s">
        <v>1055</v>
      </c>
      <c r="R231" s="17"/>
      <c r="S231" s="18" t="s">
        <v>983</v>
      </c>
      <c r="T231" s="18" t="s">
        <v>983</v>
      </c>
      <c r="U231" s="15" t="s">
        <v>54</v>
      </c>
      <c r="V231" s="15" t="s">
        <v>529</v>
      </c>
      <c r="W231" s="15"/>
    </row>
    <row r="232" spans="1:23" hidden="1" x14ac:dyDescent="0.3">
      <c r="A232" s="15">
        <v>232</v>
      </c>
      <c r="B232" s="15" t="s">
        <v>768</v>
      </c>
      <c r="C232" s="19">
        <v>45625</v>
      </c>
      <c r="D232" s="19" t="s">
        <v>56</v>
      </c>
      <c r="E232" s="15" t="s">
        <v>60</v>
      </c>
      <c r="F232" s="15">
        <v>9589264337</v>
      </c>
      <c r="G232" s="15" t="s">
        <v>42</v>
      </c>
      <c r="H232" s="15" t="s">
        <v>1045</v>
      </c>
      <c r="I232" s="15" t="s">
        <v>1046</v>
      </c>
      <c r="J232" s="15" t="s">
        <v>7</v>
      </c>
      <c r="K232" s="16">
        <v>53580</v>
      </c>
      <c r="L232" s="16">
        <v>102690</v>
      </c>
      <c r="M232" s="17">
        <f>Table1[[#This Row],[Billing Rate Charges]]-Table1[[#This Row],[ LORRY RATE ]]</f>
        <v>49110</v>
      </c>
      <c r="N232" s="17">
        <v>53580</v>
      </c>
      <c r="O232" s="17">
        <f>Table1[[#This Row],[ LORRY RATE ]]-Table1[[#This Row],[Adance Paid (INR)]]</f>
        <v>0</v>
      </c>
      <c r="P232" s="17" t="s">
        <v>147</v>
      </c>
      <c r="Q232" s="18" t="s">
        <v>1059</v>
      </c>
      <c r="R232" s="17"/>
      <c r="S232" s="18" t="s">
        <v>888</v>
      </c>
      <c r="T232" s="18" t="s">
        <v>888</v>
      </c>
      <c r="U232" s="15" t="s">
        <v>54</v>
      </c>
      <c r="V232" s="15" t="s">
        <v>56</v>
      </c>
      <c r="W232" s="15"/>
    </row>
    <row r="233" spans="1:23" hidden="1" x14ac:dyDescent="0.3">
      <c r="A233" s="15">
        <v>233</v>
      </c>
      <c r="B233" s="15" t="s">
        <v>768</v>
      </c>
      <c r="C233" s="19">
        <v>45626</v>
      </c>
      <c r="D233" s="19" t="s">
        <v>51</v>
      </c>
      <c r="E233" s="21" t="s">
        <v>883</v>
      </c>
      <c r="F233" s="21">
        <v>9016721327</v>
      </c>
      <c r="G233" s="15" t="s">
        <v>6</v>
      </c>
      <c r="H233" s="15" t="s">
        <v>933</v>
      </c>
      <c r="I233" s="15" t="s">
        <v>934</v>
      </c>
      <c r="J233" s="15" t="s">
        <v>623</v>
      </c>
      <c r="K233" s="16">
        <v>31660</v>
      </c>
      <c r="L233" s="16">
        <v>50400</v>
      </c>
      <c r="M233" s="17">
        <f>Table1[[#This Row],[Billing Rate Charges]]-Table1[[#This Row],[ LORRY RATE ]]</f>
        <v>18740</v>
      </c>
      <c r="N233" s="17">
        <v>31660</v>
      </c>
      <c r="O233" s="17">
        <f>Table1[[#This Row],[ LORRY RATE ]]-Table1[[#This Row],[Adance Paid (INR)]]</f>
        <v>0</v>
      </c>
      <c r="P233" s="17" t="s">
        <v>147</v>
      </c>
      <c r="Q233" s="18" t="s">
        <v>1065</v>
      </c>
      <c r="R233" s="17"/>
      <c r="S233" s="18" t="s">
        <v>984</v>
      </c>
      <c r="T233" s="18" t="s">
        <v>984</v>
      </c>
      <c r="U233" s="15" t="s">
        <v>54</v>
      </c>
      <c r="V233" s="15" t="s">
        <v>439</v>
      </c>
      <c r="W233" s="15"/>
    </row>
    <row r="234" spans="1:23" hidden="1" x14ac:dyDescent="0.3">
      <c r="A234" s="15">
        <v>234</v>
      </c>
      <c r="B234" s="15" t="s">
        <v>768</v>
      </c>
      <c r="C234" s="19">
        <v>45626</v>
      </c>
      <c r="D234" s="19" t="s">
        <v>51</v>
      </c>
      <c r="E234" s="21" t="s">
        <v>712</v>
      </c>
      <c r="F234" s="21">
        <v>9343941401</v>
      </c>
      <c r="G234" s="15" t="s">
        <v>6</v>
      </c>
      <c r="H234" s="15" t="s">
        <v>26</v>
      </c>
      <c r="I234" s="15" t="s">
        <v>932</v>
      </c>
      <c r="J234" s="15" t="s">
        <v>168</v>
      </c>
      <c r="K234" s="16">
        <v>25960</v>
      </c>
      <c r="L234" s="16">
        <v>35600</v>
      </c>
      <c r="M234" s="17">
        <f>Table1[[#This Row],[Billing Rate Charges]]-Table1[[#This Row],[ LORRY RATE ]]</f>
        <v>9640</v>
      </c>
      <c r="N234" s="17">
        <v>25960</v>
      </c>
      <c r="O234" s="17">
        <f>Table1[[#This Row],[ LORRY RATE ]]-Table1[[#This Row],[Adance Paid (INR)]]</f>
        <v>0</v>
      </c>
      <c r="P234" s="17" t="s">
        <v>147</v>
      </c>
      <c r="Q234" s="18" t="s">
        <v>1058</v>
      </c>
      <c r="R234" s="17"/>
      <c r="S234" s="18" t="s">
        <v>984</v>
      </c>
      <c r="T234" s="18" t="s">
        <v>984</v>
      </c>
      <c r="U234" s="15" t="s">
        <v>54</v>
      </c>
      <c r="V234" s="15" t="s">
        <v>439</v>
      </c>
      <c r="W234" s="15"/>
    </row>
    <row r="235" spans="1:23" hidden="1" x14ac:dyDescent="0.3">
      <c r="A235" s="15">
        <v>235</v>
      </c>
      <c r="B235" s="15" t="s">
        <v>768</v>
      </c>
      <c r="C235" s="19">
        <v>45626</v>
      </c>
      <c r="D235" s="19" t="s">
        <v>51</v>
      </c>
      <c r="E235" s="21" t="s">
        <v>884</v>
      </c>
      <c r="F235" s="21">
        <v>9929566403</v>
      </c>
      <c r="G235" s="15" t="s">
        <v>42</v>
      </c>
      <c r="H235" s="15" t="s">
        <v>26</v>
      </c>
      <c r="I235" s="15" t="s">
        <v>1037</v>
      </c>
      <c r="J235" s="15" t="s">
        <v>7</v>
      </c>
      <c r="K235" s="16">
        <v>68950</v>
      </c>
      <c r="L235" s="16">
        <v>102690</v>
      </c>
      <c r="M235" s="17">
        <f>Table1[[#This Row],[Billing Rate Charges]]-Table1[[#This Row],[ LORRY RATE ]]</f>
        <v>33740</v>
      </c>
      <c r="N235" s="17">
        <v>68950</v>
      </c>
      <c r="O235" s="17">
        <f>Table1[[#This Row],[ LORRY RATE ]]-Table1[[#This Row],[Adance Paid (INR)]]</f>
        <v>0</v>
      </c>
      <c r="P235" s="17" t="s">
        <v>147</v>
      </c>
      <c r="Q235" s="18" t="s">
        <v>1066</v>
      </c>
      <c r="R235" s="17"/>
      <c r="S235" s="18" t="s">
        <v>981</v>
      </c>
      <c r="T235" s="18" t="s">
        <v>981</v>
      </c>
      <c r="U235" s="15" t="s">
        <v>54</v>
      </c>
      <c r="V235" s="15" t="s">
        <v>453</v>
      </c>
      <c r="W235" s="15" t="s">
        <v>885</v>
      </c>
    </row>
    <row r="236" spans="1:23" hidden="1" x14ac:dyDescent="0.3">
      <c r="A236" s="15">
        <v>236</v>
      </c>
      <c r="B236" s="15" t="s">
        <v>891</v>
      </c>
      <c r="C236" s="19">
        <v>45627</v>
      </c>
      <c r="D236" s="19" t="s">
        <v>51</v>
      </c>
      <c r="E236" s="21" t="s">
        <v>438</v>
      </c>
      <c r="F236" s="21">
        <v>9563961453</v>
      </c>
      <c r="G236" s="15" t="s">
        <v>6</v>
      </c>
      <c r="H236" s="15" t="s">
        <v>935</v>
      </c>
      <c r="I236" s="15" t="s">
        <v>936</v>
      </c>
      <c r="J236" s="15" t="s">
        <v>623</v>
      </c>
      <c r="K236" s="16">
        <v>27440</v>
      </c>
      <c r="L236" s="16">
        <v>41900</v>
      </c>
      <c r="M236" s="17">
        <f>Table1[[#This Row],[Billing Rate Charges]]-Table1[[#This Row],[ LORRY RATE ]]</f>
        <v>14460</v>
      </c>
      <c r="N236" s="17">
        <v>27440</v>
      </c>
      <c r="O236" s="17"/>
      <c r="P236" s="17" t="s">
        <v>147</v>
      </c>
      <c r="Q236" s="18" t="s">
        <v>1068</v>
      </c>
      <c r="R236" s="17"/>
      <c r="S236" s="18" t="s">
        <v>985</v>
      </c>
      <c r="T236" s="18" t="s">
        <v>985</v>
      </c>
      <c r="U236" s="15" t="s">
        <v>97</v>
      </c>
      <c r="V236" s="15" t="s">
        <v>439</v>
      </c>
      <c r="W236" s="15"/>
    </row>
    <row r="237" spans="1:23" hidden="1" x14ac:dyDescent="0.3">
      <c r="A237" s="15">
        <v>237</v>
      </c>
      <c r="B237" s="15" t="s">
        <v>891</v>
      </c>
      <c r="C237" s="19">
        <v>45628</v>
      </c>
      <c r="D237" s="19" t="s">
        <v>51</v>
      </c>
      <c r="E237" s="21" t="s">
        <v>974</v>
      </c>
      <c r="F237" s="21">
        <v>9164062545</v>
      </c>
      <c r="G237" s="15" t="s">
        <v>6</v>
      </c>
      <c r="H237" s="15" t="s">
        <v>26</v>
      </c>
      <c r="I237" s="15" t="s">
        <v>1005</v>
      </c>
      <c r="J237" s="15" t="s">
        <v>168</v>
      </c>
      <c r="K237" s="16">
        <v>29810</v>
      </c>
      <c r="L237" s="16">
        <v>43470</v>
      </c>
      <c r="M237" s="17">
        <f>Table1[[#This Row],[Billing Rate Charges]]-Table1[[#This Row],[ LORRY RATE ]]</f>
        <v>13660</v>
      </c>
      <c r="N237" s="17">
        <v>29810</v>
      </c>
      <c r="O237" s="17">
        <f>Table1[[#This Row],[ LORRY RATE ]]-Table1[[#This Row],[Adance Paid (INR)]]</f>
        <v>0</v>
      </c>
      <c r="P237" s="17" t="s">
        <v>147</v>
      </c>
      <c r="Q237" s="18" t="s">
        <v>1069</v>
      </c>
      <c r="R237" s="17"/>
      <c r="S237" s="18" t="s">
        <v>983</v>
      </c>
      <c r="T237" s="18" t="s">
        <v>983</v>
      </c>
      <c r="U237" s="15" t="s">
        <v>54</v>
      </c>
      <c r="V237" s="15" t="s">
        <v>439</v>
      </c>
      <c r="W237" s="15" t="s">
        <v>154</v>
      </c>
    </row>
    <row r="238" spans="1:23" hidden="1" x14ac:dyDescent="0.3">
      <c r="A238" s="15">
        <v>238</v>
      </c>
      <c r="B238" s="15" t="s">
        <v>891</v>
      </c>
      <c r="C238" s="19">
        <v>45628</v>
      </c>
      <c r="D238" s="19" t="s">
        <v>51</v>
      </c>
      <c r="E238" s="21" t="s">
        <v>975</v>
      </c>
      <c r="F238" s="21">
        <v>9907354664</v>
      </c>
      <c r="G238" s="15" t="s">
        <v>6</v>
      </c>
      <c r="H238" s="15" t="s">
        <v>1006</v>
      </c>
      <c r="I238" s="15" t="s">
        <v>1007</v>
      </c>
      <c r="J238" s="15" t="s">
        <v>623</v>
      </c>
      <c r="K238" s="16">
        <v>29770</v>
      </c>
      <c r="L238" s="16">
        <v>53860</v>
      </c>
      <c r="M238" s="17">
        <f>Table1[[#This Row],[Billing Rate Charges]]-Table1[[#This Row],[ LORRY RATE ]]</f>
        <v>24090</v>
      </c>
      <c r="N238" s="17">
        <v>29770</v>
      </c>
      <c r="O238" s="17">
        <f>Table1[[#This Row],[ LORRY RATE ]]-Table1[[#This Row],[Adance Paid (INR)]]</f>
        <v>0</v>
      </c>
      <c r="P238" s="17" t="s">
        <v>147</v>
      </c>
      <c r="Q238" s="18" t="s">
        <v>1067</v>
      </c>
      <c r="R238" s="17"/>
      <c r="S238" s="18" t="s">
        <v>983</v>
      </c>
      <c r="T238" s="18" t="s">
        <v>983</v>
      </c>
      <c r="U238" s="15" t="s">
        <v>54</v>
      </c>
      <c r="V238" s="15" t="s">
        <v>439</v>
      </c>
      <c r="W238" s="15" t="s">
        <v>154</v>
      </c>
    </row>
    <row r="239" spans="1:23" hidden="1" x14ac:dyDescent="0.3">
      <c r="A239" s="15">
        <v>239</v>
      </c>
      <c r="B239" s="15" t="s">
        <v>891</v>
      </c>
      <c r="C239" s="19">
        <v>45629</v>
      </c>
      <c r="D239" s="19" t="s">
        <v>51</v>
      </c>
      <c r="E239" s="21" t="s">
        <v>976</v>
      </c>
      <c r="F239" s="21">
        <v>9389071211</v>
      </c>
      <c r="G239" s="15" t="s">
        <v>6</v>
      </c>
      <c r="H239" s="15" t="s">
        <v>1010</v>
      </c>
      <c r="I239" s="15" t="s">
        <v>1011</v>
      </c>
      <c r="J239" s="15" t="s">
        <v>623</v>
      </c>
      <c r="K239" s="16">
        <v>29040</v>
      </c>
      <c r="L239" s="16">
        <v>41900</v>
      </c>
      <c r="M239" s="17">
        <f>Table1[[#This Row],[Billing Rate Charges]]-Table1[[#This Row],[ LORRY RATE ]]</f>
        <v>12860</v>
      </c>
      <c r="N239" s="17">
        <v>29040</v>
      </c>
      <c r="O239" s="17"/>
      <c r="P239" s="17" t="s">
        <v>147</v>
      </c>
      <c r="Q239" s="18" t="s">
        <v>1070</v>
      </c>
      <c r="R239" s="17"/>
      <c r="S239" s="18" t="s">
        <v>983</v>
      </c>
      <c r="T239" s="18" t="s">
        <v>983</v>
      </c>
      <c r="U239" s="15" t="s">
        <v>54</v>
      </c>
      <c r="V239" s="15" t="s">
        <v>439</v>
      </c>
      <c r="W239" s="15" t="s">
        <v>986</v>
      </c>
    </row>
    <row r="240" spans="1:23" hidden="1" x14ac:dyDescent="0.3">
      <c r="A240" s="15">
        <v>240</v>
      </c>
      <c r="B240" s="15" t="s">
        <v>891</v>
      </c>
      <c r="C240" s="19">
        <v>45629</v>
      </c>
      <c r="D240" s="19" t="s">
        <v>51</v>
      </c>
      <c r="E240" s="21" t="s">
        <v>60</v>
      </c>
      <c r="F240" s="21">
        <v>9281983602</v>
      </c>
      <c r="G240" s="15" t="s">
        <v>6</v>
      </c>
      <c r="H240" s="15" t="s">
        <v>1008</v>
      </c>
      <c r="I240" s="15" t="s">
        <v>1009</v>
      </c>
      <c r="J240" s="15" t="s">
        <v>7</v>
      </c>
      <c r="K240" s="16">
        <v>46210</v>
      </c>
      <c r="L240" s="16">
        <v>53550</v>
      </c>
      <c r="M240" s="17">
        <f>Table1[[#This Row],[Billing Rate Charges]]-Table1[[#This Row],[ LORRY RATE ]]</f>
        <v>7340</v>
      </c>
      <c r="N240" s="17">
        <v>46210</v>
      </c>
      <c r="O240" s="17">
        <f>Table1[[#This Row],[ LORRY RATE ]]-Table1[[#This Row],[Adance Paid (INR)]]</f>
        <v>0</v>
      </c>
      <c r="P240" s="17" t="s">
        <v>147</v>
      </c>
      <c r="Q240" s="18" t="s">
        <v>1071</v>
      </c>
      <c r="R240" s="17"/>
      <c r="S240" s="18" t="s">
        <v>983</v>
      </c>
      <c r="T240" s="18" t="s">
        <v>982</v>
      </c>
      <c r="U240" s="15" t="s">
        <v>54</v>
      </c>
      <c r="V240" s="15" t="s">
        <v>56</v>
      </c>
      <c r="W240" s="15"/>
    </row>
    <row r="241" spans="1:23" hidden="1" x14ac:dyDescent="0.3">
      <c r="A241" s="15">
        <v>241</v>
      </c>
      <c r="B241" s="15" t="s">
        <v>891</v>
      </c>
      <c r="C241" s="19">
        <v>45629</v>
      </c>
      <c r="D241" s="19" t="s">
        <v>51</v>
      </c>
      <c r="E241" s="21" t="s">
        <v>38</v>
      </c>
      <c r="F241" s="21">
        <v>9025368773</v>
      </c>
      <c r="G241" s="15" t="s">
        <v>42</v>
      </c>
      <c r="H241" s="15" t="s">
        <v>26</v>
      </c>
      <c r="I241" s="15" t="s">
        <v>1047</v>
      </c>
      <c r="J241" s="15" t="s">
        <v>59</v>
      </c>
      <c r="K241" s="16">
        <v>51880</v>
      </c>
      <c r="L241" s="16">
        <v>91350</v>
      </c>
      <c r="M241" s="17">
        <f>Table1[[#This Row],[Billing Rate Charges]]-Table1[[#This Row],[ LORRY RATE ]]</f>
        <v>39470</v>
      </c>
      <c r="N241" s="17">
        <v>51880</v>
      </c>
      <c r="O241" s="17"/>
      <c r="P241" s="17" t="s">
        <v>147</v>
      </c>
      <c r="Q241" s="18" t="s">
        <v>1072</v>
      </c>
      <c r="R241" s="17"/>
      <c r="S241" s="18" t="s">
        <v>983</v>
      </c>
      <c r="T241" s="18" t="s">
        <v>983</v>
      </c>
      <c r="U241" s="15" t="s">
        <v>54</v>
      </c>
      <c r="V241" s="15" t="s">
        <v>56</v>
      </c>
      <c r="W241" s="15"/>
    </row>
    <row r="242" spans="1:23" hidden="1" x14ac:dyDescent="0.3">
      <c r="A242" s="15">
        <v>242</v>
      </c>
      <c r="B242" s="15" t="s">
        <v>891</v>
      </c>
      <c r="C242" s="19">
        <v>45630</v>
      </c>
      <c r="D242" s="19" t="s">
        <v>51</v>
      </c>
      <c r="E242" s="21" t="s">
        <v>380</v>
      </c>
      <c r="F242" s="21"/>
      <c r="G242" s="15" t="s">
        <v>6</v>
      </c>
      <c r="H242" s="15" t="s">
        <v>26</v>
      </c>
      <c r="I242" s="15" t="s">
        <v>1014</v>
      </c>
      <c r="J242" s="15" t="s">
        <v>381</v>
      </c>
      <c r="K242" s="16">
        <v>115500</v>
      </c>
      <c r="L242" s="16">
        <v>135880</v>
      </c>
      <c r="M242" s="17">
        <f>Table1[[#This Row],[Billing Rate Charges]]-Table1[[#This Row],[ LORRY RATE ]]</f>
        <v>20380</v>
      </c>
      <c r="N242" s="17">
        <v>115500</v>
      </c>
      <c r="O242" s="17">
        <f>Table1[[#This Row],[ LORRY RATE ]]-Table1[[#This Row],[Adance Paid (INR)]]</f>
        <v>0</v>
      </c>
      <c r="P242" s="17" t="s">
        <v>147</v>
      </c>
      <c r="Q242" s="18" t="s">
        <v>1073</v>
      </c>
      <c r="R242" s="17"/>
      <c r="S242" s="18" t="s">
        <v>985</v>
      </c>
      <c r="T242" s="18" t="s">
        <v>983</v>
      </c>
      <c r="U242" s="15" t="s">
        <v>54</v>
      </c>
      <c r="V242" s="15" t="s">
        <v>380</v>
      </c>
      <c r="W242" s="15" t="s">
        <v>1000</v>
      </c>
    </row>
    <row r="243" spans="1:23" hidden="1" x14ac:dyDescent="0.3">
      <c r="A243" s="15">
        <v>243</v>
      </c>
      <c r="B243" s="15" t="s">
        <v>891</v>
      </c>
      <c r="C243" s="19">
        <v>45630</v>
      </c>
      <c r="D243" s="19" t="s">
        <v>51</v>
      </c>
      <c r="E243" s="21" t="s">
        <v>380</v>
      </c>
      <c r="F243" s="21"/>
      <c r="G243" s="15" t="s">
        <v>6</v>
      </c>
      <c r="H243" s="15" t="s">
        <v>26</v>
      </c>
      <c r="I243" s="15" t="s">
        <v>1015</v>
      </c>
      <c r="J243" s="15" t="s">
        <v>381</v>
      </c>
      <c r="K243" s="16">
        <v>65920</v>
      </c>
      <c r="L243" s="16">
        <v>75250</v>
      </c>
      <c r="M243" s="17">
        <f>Table1[[#This Row],[Billing Rate Charges]]-Table1[[#This Row],[ LORRY RATE ]]</f>
        <v>9330</v>
      </c>
      <c r="N243" s="17">
        <v>65920</v>
      </c>
      <c r="O243" s="17">
        <f>Table1[[#This Row],[ LORRY RATE ]]-Table1[[#This Row],[Adance Paid (INR)]]</f>
        <v>0</v>
      </c>
      <c r="P243" s="17" t="s">
        <v>147</v>
      </c>
      <c r="Q243" s="18" t="s">
        <v>1056</v>
      </c>
      <c r="R243" s="17"/>
      <c r="S243" s="18" t="s">
        <v>985</v>
      </c>
      <c r="T243" s="18" t="s">
        <v>998</v>
      </c>
      <c r="U243" s="15" t="s">
        <v>54</v>
      </c>
      <c r="V243" s="15" t="s">
        <v>380</v>
      </c>
      <c r="W243" s="15" t="s">
        <v>1001</v>
      </c>
    </row>
    <row r="244" spans="1:23" hidden="1" x14ac:dyDescent="0.3">
      <c r="A244" s="15">
        <v>244</v>
      </c>
      <c r="B244" s="15" t="s">
        <v>891</v>
      </c>
      <c r="C244" s="19">
        <v>45630</v>
      </c>
      <c r="D244" s="19" t="s">
        <v>999</v>
      </c>
      <c r="E244" s="21" t="s">
        <v>380</v>
      </c>
      <c r="F244" s="21"/>
      <c r="G244" s="15" t="s">
        <v>6</v>
      </c>
      <c r="H244" s="15" t="s">
        <v>26</v>
      </c>
      <c r="I244" s="15" t="s">
        <v>1016</v>
      </c>
      <c r="J244" s="15" t="s">
        <v>381</v>
      </c>
      <c r="K244" s="16">
        <v>85230</v>
      </c>
      <c r="L244" s="16">
        <v>99820</v>
      </c>
      <c r="M244" s="17">
        <f>Table1[[#This Row],[Billing Rate Charges]]-Table1[[#This Row],[ LORRY RATE ]]</f>
        <v>14590</v>
      </c>
      <c r="N244" s="17">
        <v>85230</v>
      </c>
      <c r="O244" s="17">
        <f>Table1[[#This Row],[ LORRY RATE ]]-Table1[[#This Row],[Adance Paid (INR)]]</f>
        <v>0</v>
      </c>
      <c r="P244" s="17" t="s">
        <v>147</v>
      </c>
      <c r="Q244" s="18" t="s">
        <v>1076</v>
      </c>
      <c r="R244" s="17"/>
      <c r="S244" s="18" t="s">
        <v>985</v>
      </c>
      <c r="T244" s="18" t="s">
        <v>983</v>
      </c>
      <c r="U244" s="15" t="s">
        <v>54</v>
      </c>
      <c r="V244" s="15" t="s">
        <v>380</v>
      </c>
      <c r="W244" s="15" t="s">
        <v>1002</v>
      </c>
    </row>
    <row r="245" spans="1:23" hidden="1" x14ac:dyDescent="0.3">
      <c r="A245" s="15">
        <v>245</v>
      </c>
      <c r="B245" s="15" t="s">
        <v>891</v>
      </c>
      <c r="C245" s="19">
        <v>45630</v>
      </c>
      <c r="D245" s="19" t="s">
        <v>51</v>
      </c>
      <c r="E245" s="21" t="s">
        <v>153</v>
      </c>
      <c r="F245" s="21">
        <v>9950818773</v>
      </c>
      <c r="G245" s="15" t="s">
        <v>6</v>
      </c>
      <c r="H245" s="15" t="s">
        <v>1012</v>
      </c>
      <c r="I245" s="15" t="s">
        <v>1013</v>
      </c>
      <c r="J245" s="15" t="s">
        <v>7</v>
      </c>
      <c r="K245" s="16">
        <v>38020</v>
      </c>
      <c r="L245" s="16">
        <v>53550</v>
      </c>
      <c r="M245" s="17">
        <f>Table1[[#This Row],[Billing Rate Charges]]-Table1[[#This Row],[ LORRY RATE ]]</f>
        <v>15530</v>
      </c>
      <c r="N245" s="17">
        <v>38020</v>
      </c>
      <c r="O245" s="17">
        <f>Table1[[#This Row],[ LORRY RATE ]]-Table1[[#This Row],[Adance Paid (INR)]]</f>
        <v>0</v>
      </c>
      <c r="P245" s="17" t="s">
        <v>147</v>
      </c>
      <c r="Q245" s="18" t="s">
        <v>1061</v>
      </c>
      <c r="R245" s="17"/>
      <c r="S245" s="18" t="s">
        <v>991</v>
      </c>
      <c r="T245" s="18" t="s">
        <v>994</v>
      </c>
      <c r="U245" s="15" t="s">
        <v>54</v>
      </c>
      <c r="V245" s="15" t="s">
        <v>439</v>
      </c>
      <c r="W245" s="15"/>
    </row>
    <row r="246" spans="1:23" hidden="1" x14ac:dyDescent="0.3">
      <c r="A246" s="15">
        <v>246</v>
      </c>
      <c r="B246" s="15" t="s">
        <v>891</v>
      </c>
      <c r="C246" s="19">
        <v>45631</v>
      </c>
      <c r="D246" s="19" t="s">
        <v>51</v>
      </c>
      <c r="E246" s="21" t="s">
        <v>977</v>
      </c>
      <c r="F246" s="21">
        <v>9146962394</v>
      </c>
      <c r="G246" s="15" t="s">
        <v>6</v>
      </c>
      <c r="H246" s="15" t="s">
        <v>26</v>
      </c>
      <c r="I246" s="15" t="s">
        <v>1019</v>
      </c>
      <c r="J246" s="15" t="s">
        <v>623</v>
      </c>
      <c r="K246" s="16">
        <v>26220</v>
      </c>
      <c r="L246" s="16">
        <v>35600</v>
      </c>
      <c r="M246" s="17">
        <f>Table1[[#This Row],[Billing Rate Charges]]-Table1[[#This Row],[ LORRY RATE ]]</f>
        <v>9380</v>
      </c>
      <c r="N246" s="17">
        <v>26220</v>
      </c>
      <c r="O246" s="17">
        <f>Table1[[#This Row],[ LORRY RATE ]]-Table1[[#This Row],[Adance Paid (INR)]]</f>
        <v>0</v>
      </c>
      <c r="P246" s="17" t="s">
        <v>147</v>
      </c>
      <c r="Q246" s="18" t="s">
        <v>1078</v>
      </c>
      <c r="R246" s="17"/>
      <c r="S246" s="18" t="s">
        <v>994</v>
      </c>
      <c r="T246" s="18" t="s">
        <v>994</v>
      </c>
      <c r="U246" s="15" t="s">
        <v>54</v>
      </c>
      <c r="V246" s="15" t="s">
        <v>439</v>
      </c>
      <c r="W246" s="15"/>
    </row>
    <row r="247" spans="1:23" hidden="1" x14ac:dyDescent="0.3">
      <c r="A247" s="15">
        <v>247</v>
      </c>
      <c r="B247" s="15" t="s">
        <v>891</v>
      </c>
      <c r="C247" s="19">
        <v>45631</v>
      </c>
      <c r="D247" s="19" t="s">
        <v>51</v>
      </c>
      <c r="E247" s="21" t="s">
        <v>696</v>
      </c>
      <c r="F247" s="21">
        <v>9754088991</v>
      </c>
      <c r="G247" s="15" t="s">
        <v>42</v>
      </c>
      <c r="H247" s="15" t="s">
        <v>1043</v>
      </c>
      <c r="I247" s="15" t="s">
        <v>1042</v>
      </c>
      <c r="J247" s="15" t="s">
        <v>7</v>
      </c>
      <c r="K247" s="16">
        <v>69240</v>
      </c>
      <c r="L247" s="16">
        <v>104580</v>
      </c>
      <c r="M247" s="17">
        <f>Table1[[#This Row],[Billing Rate Charges]]-Table1[[#This Row],[ LORRY RATE ]]</f>
        <v>35340</v>
      </c>
      <c r="N247" s="17">
        <v>69240</v>
      </c>
      <c r="O247" s="17">
        <f>Table1[[#This Row],[ LORRY RATE ]]-Table1[[#This Row],[Adance Paid (INR)]]</f>
        <v>0</v>
      </c>
      <c r="P247" s="17" t="s">
        <v>147</v>
      </c>
      <c r="Q247" s="18" t="s">
        <v>1081</v>
      </c>
      <c r="R247" s="17"/>
      <c r="S247" s="18" t="s">
        <v>993</v>
      </c>
      <c r="T247" s="18" t="s">
        <v>993</v>
      </c>
      <c r="U247" s="15" t="s">
        <v>54</v>
      </c>
      <c r="V247" s="15" t="s">
        <v>439</v>
      </c>
      <c r="W247" s="15" t="s">
        <v>978</v>
      </c>
    </row>
    <row r="248" spans="1:23" hidden="1" x14ac:dyDescent="0.3">
      <c r="A248" s="15">
        <v>248</v>
      </c>
      <c r="B248" s="15" t="s">
        <v>891</v>
      </c>
      <c r="C248" s="19">
        <v>45632</v>
      </c>
      <c r="D248" s="19" t="s">
        <v>56</v>
      </c>
      <c r="E248" s="21" t="s">
        <v>38</v>
      </c>
      <c r="F248" s="21">
        <v>9515412075</v>
      </c>
      <c r="G248" s="15" t="s">
        <v>6</v>
      </c>
      <c r="H248" s="15" t="s">
        <v>1020</v>
      </c>
      <c r="I248" s="15" t="s">
        <v>1021</v>
      </c>
      <c r="J248" s="15" t="s">
        <v>59</v>
      </c>
      <c r="K248" s="16">
        <v>45880</v>
      </c>
      <c r="L248" s="16">
        <v>51340</v>
      </c>
      <c r="M248" s="17">
        <f>Table1[[#This Row],[Billing Rate Charges]]-Table1[[#This Row],[ LORRY RATE ]]</f>
        <v>5460</v>
      </c>
      <c r="N248" s="17">
        <v>45880</v>
      </c>
      <c r="O248" s="17">
        <f>Table1[[#This Row],[ LORRY RATE ]]-Table1[[#This Row],[Adance Paid (INR)]]</f>
        <v>0</v>
      </c>
      <c r="P248" s="17" t="s">
        <v>147</v>
      </c>
      <c r="Q248" s="18" t="s">
        <v>1083</v>
      </c>
      <c r="R248" s="17"/>
      <c r="S248" s="18" t="s">
        <v>992</v>
      </c>
      <c r="T248" s="18" t="s">
        <v>992</v>
      </c>
      <c r="U248" s="15" t="s">
        <v>54</v>
      </c>
      <c r="V248" s="15" t="s">
        <v>56</v>
      </c>
      <c r="W248" s="15"/>
    </row>
    <row r="249" spans="1:23" hidden="1" x14ac:dyDescent="0.3">
      <c r="A249" s="15">
        <v>249</v>
      </c>
      <c r="B249" s="15" t="s">
        <v>891</v>
      </c>
      <c r="C249" s="19">
        <v>45632</v>
      </c>
      <c r="D249" s="19" t="s">
        <v>51</v>
      </c>
      <c r="E249" s="21" t="s">
        <v>380</v>
      </c>
      <c r="F249" s="21"/>
      <c r="G249" s="15" t="s">
        <v>6</v>
      </c>
      <c r="H249" s="15" t="s">
        <v>26</v>
      </c>
      <c r="I249" s="15" t="s">
        <v>1017</v>
      </c>
      <c r="J249" s="15" t="s">
        <v>381</v>
      </c>
      <c r="K249" s="16">
        <v>48410</v>
      </c>
      <c r="L249" s="16">
        <v>55270</v>
      </c>
      <c r="M249" s="17">
        <f>Table1[[#This Row],[Billing Rate Charges]]-Table1[[#This Row],[ LORRY RATE ]]</f>
        <v>6860</v>
      </c>
      <c r="N249" s="17">
        <v>48410</v>
      </c>
      <c r="O249" s="17">
        <f>Table1[[#This Row],[ LORRY RATE ]]-Table1[[#This Row],[Adance Paid (INR)]]</f>
        <v>0</v>
      </c>
      <c r="P249" s="17" t="s">
        <v>147</v>
      </c>
      <c r="Q249" s="18" t="s">
        <v>1084</v>
      </c>
      <c r="R249" s="17"/>
      <c r="S249" s="18" t="s">
        <v>982</v>
      </c>
      <c r="T249" s="18" t="s">
        <v>991</v>
      </c>
      <c r="U249" s="15" t="s">
        <v>54</v>
      </c>
      <c r="V249" s="15" t="s">
        <v>380</v>
      </c>
      <c r="W249" s="15" t="s">
        <v>1004</v>
      </c>
    </row>
    <row r="250" spans="1:23" hidden="1" x14ac:dyDescent="0.3">
      <c r="A250" s="15">
        <v>250</v>
      </c>
      <c r="B250" s="15" t="s">
        <v>891</v>
      </c>
      <c r="C250" s="19">
        <v>45632</v>
      </c>
      <c r="D250" s="19" t="s">
        <v>51</v>
      </c>
      <c r="E250" s="21" t="s">
        <v>380</v>
      </c>
      <c r="F250" s="21"/>
      <c r="G250" s="15" t="s">
        <v>6</v>
      </c>
      <c r="H250" s="15" t="s">
        <v>26</v>
      </c>
      <c r="I250" s="15" t="s">
        <v>1018</v>
      </c>
      <c r="J250" s="15" t="s">
        <v>381</v>
      </c>
      <c r="K250" s="16">
        <v>148380</v>
      </c>
      <c r="L250" s="16">
        <v>174690</v>
      </c>
      <c r="M250" s="17">
        <f>Table1[[#This Row],[Billing Rate Charges]]-Table1[[#This Row],[ LORRY RATE ]]</f>
        <v>26310</v>
      </c>
      <c r="N250" s="17">
        <v>148380</v>
      </c>
      <c r="O250" s="17">
        <f>Table1[[#This Row],[ LORRY RATE ]]-Table1[[#This Row],[Adance Paid (INR)]]</f>
        <v>0</v>
      </c>
      <c r="P250" s="17" t="s">
        <v>147</v>
      </c>
      <c r="Q250" s="18" t="s">
        <v>1082</v>
      </c>
      <c r="R250" s="17"/>
      <c r="S250" s="18" t="s">
        <v>982</v>
      </c>
      <c r="T250" s="18" t="s">
        <v>991</v>
      </c>
      <c r="U250" s="15" t="s">
        <v>54</v>
      </c>
      <c r="V250" s="15" t="s">
        <v>380</v>
      </c>
      <c r="W250" s="15" t="s">
        <v>1003</v>
      </c>
    </row>
    <row r="251" spans="1:23" hidden="1" x14ac:dyDescent="0.3">
      <c r="A251" s="15">
        <v>251</v>
      </c>
      <c r="B251" s="15" t="s">
        <v>891</v>
      </c>
      <c r="C251" s="19">
        <v>45632</v>
      </c>
      <c r="D251" s="19" t="s">
        <v>51</v>
      </c>
      <c r="E251" s="21" t="s">
        <v>979</v>
      </c>
      <c r="F251" s="21">
        <v>9336977588</v>
      </c>
      <c r="G251" s="15" t="s">
        <v>45</v>
      </c>
      <c r="H251" s="15" t="s">
        <v>26</v>
      </c>
      <c r="I251" s="15" t="s">
        <v>1038</v>
      </c>
      <c r="J251" s="15" t="s">
        <v>168</v>
      </c>
      <c r="K251" s="16">
        <v>46490</v>
      </c>
      <c r="L251" s="16">
        <v>52920</v>
      </c>
      <c r="M251" s="17">
        <f>Table1[[#This Row],[Billing Rate Charges]]-Table1[[#This Row],[ LORRY RATE ]]</f>
        <v>6430</v>
      </c>
      <c r="N251" s="17">
        <v>46490</v>
      </c>
      <c r="O251" s="17">
        <f>Table1[[#This Row],[ LORRY RATE ]]-Table1[[#This Row],[Adance Paid (INR)]]</f>
        <v>0</v>
      </c>
      <c r="P251" s="17" t="s">
        <v>147</v>
      </c>
      <c r="Q251" s="18" t="s">
        <v>1082</v>
      </c>
      <c r="R251" s="17"/>
      <c r="S251" s="18" t="s">
        <v>994</v>
      </c>
      <c r="T251" s="18" t="s">
        <v>994</v>
      </c>
      <c r="U251" s="15" t="s">
        <v>54</v>
      </c>
      <c r="V251" s="15" t="s">
        <v>439</v>
      </c>
      <c r="W251" s="15" t="s">
        <v>154</v>
      </c>
    </row>
    <row r="252" spans="1:23" hidden="1" x14ac:dyDescent="0.3">
      <c r="A252" s="15">
        <v>252</v>
      </c>
      <c r="B252" s="15" t="s">
        <v>891</v>
      </c>
      <c r="C252" s="19">
        <v>45634</v>
      </c>
      <c r="D252" s="19" t="s">
        <v>51</v>
      </c>
      <c r="E252" s="21" t="s">
        <v>980</v>
      </c>
      <c r="F252" s="21">
        <v>9997445803</v>
      </c>
      <c r="G252" s="15" t="s">
        <v>42</v>
      </c>
      <c r="H252" s="15" t="s">
        <v>26</v>
      </c>
      <c r="I252" s="15" t="s">
        <v>1039</v>
      </c>
      <c r="J252" s="15" t="s">
        <v>7</v>
      </c>
      <c r="K252" s="16">
        <v>67470</v>
      </c>
      <c r="L252" s="16">
        <v>96390</v>
      </c>
      <c r="M252" s="17">
        <f>Table1[[#This Row],[Billing Rate Charges]]-Table1[[#This Row],[ LORRY RATE ]]</f>
        <v>28920</v>
      </c>
      <c r="N252" s="17">
        <v>67470</v>
      </c>
      <c r="O252" s="17">
        <f>Table1[[#This Row],[ LORRY RATE ]]-Table1[[#This Row],[Adance Paid (INR)]]</f>
        <v>0</v>
      </c>
      <c r="P252" s="17" t="s">
        <v>147</v>
      </c>
      <c r="Q252" s="18" t="s">
        <v>1085</v>
      </c>
      <c r="R252" s="17"/>
      <c r="S252" s="18" t="s">
        <v>997</v>
      </c>
      <c r="T252" s="18" t="s">
        <v>997</v>
      </c>
      <c r="U252" s="15" t="s">
        <v>54</v>
      </c>
      <c r="V252" s="15" t="s">
        <v>439</v>
      </c>
      <c r="W252" s="15"/>
    </row>
    <row r="253" spans="1:23" hidden="1" x14ac:dyDescent="0.3">
      <c r="A253" s="15">
        <v>253</v>
      </c>
      <c r="B253" s="15" t="s">
        <v>891</v>
      </c>
      <c r="C253" s="19">
        <v>45636</v>
      </c>
      <c r="D253" s="19" t="s">
        <v>51</v>
      </c>
      <c r="E253" s="21" t="s">
        <v>987</v>
      </c>
      <c r="F253" s="21">
        <v>9747427246</v>
      </c>
      <c r="G253" s="15" t="s">
        <v>6</v>
      </c>
      <c r="H253" s="15" t="s">
        <v>1022</v>
      </c>
      <c r="I253" s="15" t="s">
        <v>1023</v>
      </c>
      <c r="J253" s="15" t="s">
        <v>7</v>
      </c>
      <c r="K253" s="16">
        <v>37480</v>
      </c>
      <c r="L253" s="16">
        <v>53550</v>
      </c>
      <c r="M253" s="17">
        <f>Table1[[#This Row],[Billing Rate Charges]]-Table1[[#This Row],[ LORRY RATE ]]</f>
        <v>16070</v>
      </c>
      <c r="N253" s="17">
        <v>37480</v>
      </c>
      <c r="O253" s="17">
        <f>Table1[[#This Row],[ LORRY RATE ]]-Table1[[#This Row],[Adance Paid (INR)]]</f>
        <v>0</v>
      </c>
      <c r="P253" s="17" t="s">
        <v>147</v>
      </c>
      <c r="Q253" s="18" t="s">
        <v>1074</v>
      </c>
      <c r="R253" s="17"/>
      <c r="S253" s="18" t="s">
        <v>995</v>
      </c>
      <c r="T253" s="18" t="s">
        <v>995</v>
      </c>
      <c r="U253" s="15" t="s">
        <v>54</v>
      </c>
      <c r="V253" s="15" t="s">
        <v>529</v>
      </c>
      <c r="W253" s="15"/>
    </row>
    <row r="254" spans="1:23" hidden="1" x14ac:dyDescent="0.3">
      <c r="A254" s="15">
        <v>254</v>
      </c>
      <c r="B254" s="15" t="s">
        <v>891</v>
      </c>
      <c r="C254" s="19">
        <v>45636</v>
      </c>
      <c r="D254" s="19" t="s">
        <v>51</v>
      </c>
      <c r="E254" s="21" t="s">
        <v>979</v>
      </c>
      <c r="F254" s="21">
        <v>9336977588</v>
      </c>
      <c r="G254" s="15" t="s">
        <v>6</v>
      </c>
      <c r="H254" s="15" t="s">
        <v>1024</v>
      </c>
      <c r="I254" s="15" t="s">
        <v>1025</v>
      </c>
      <c r="J254" s="15" t="s">
        <v>168</v>
      </c>
      <c r="K254" s="16">
        <v>27700</v>
      </c>
      <c r="L254" s="16">
        <v>41900</v>
      </c>
      <c r="M254" s="17">
        <f>Table1[[#This Row],[Billing Rate Charges]]-Table1[[#This Row],[ LORRY RATE ]]</f>
        <v>14200</v>
      </c>
      <c r="N254" s="17">
        <v>27700</v>
      </c>
      <c r="O254" s="17">
        <f>Table1[[#This Row],[ LORRY RATE ]]-Table1[[#This Row],[Adance Paid (INR)]]</f>
        <v>0</v>
      </c>
      <c r="P254" s="17" t="s">
        <v>147</v>
      </c>
      <c r="Q254" s="18" t="s">
        <v>1086</v>
      </c>
      <c r="R254" s="17"/>
      <c r="S254" s="18" t="s">
        <v>997</v>
      </c>
      <c r="T254" s="18" t="s">
        <v>997</v>
      </c>
      <c r="U254" s="15" t="s">
        <v>54</v>
      </c>
      <c r="V254" s="15" t="s">
        <v>439</v>
      </c>
      <c r="W254" s="15"/>
    </row>
    <row r="255" spans="1:23" hidden="1" x14ac:dyDescent="0.3">
      <c r="A255" s="15">
        <v>255</v>
      </c>
      <c r="B255" s="15" t="s">
        <v>891</v>
      </c>
      <c r="C255" s="19">
        <v>45636</v>
      </c>
      <c r="D255" s="19" t="s">
        <v>51</v>
      </c>
      <c r="E255" s="21" t="s">
        <v>880</v>
      </c>
      <c r="F255" s="21">
        <v>9517980736</v>
      </c>
      <c r="G255" s="15" t="s">
        <v>42</v>
      </c>
      <c r="H255" s="15" t="s">
        <v>26</v>
      </c>
      <c r="I255" s="15" t="s">
        <v>1040</v>
      </c>
      <c r="J255" s="15" t="s">
        <v>7</v>
      </c>
      <c r="K255" s="16">
        <v>66400</v>
      </c>
      <c r="L255" s="16">
        <v>96390</v>
      </c>
      <c r="M255" s="17">
        <f>Table1[[#This Row],[Billing Rate Charges]]-Table1[[#This Row],[ LORRY RATE ]]</f>
        <v>29990</v>
      </c>
      <c r="N255" s="17">
        <v>66400</v>
      </c>
      <c r="O255" s="17">
        <f>Table1[[#This Row],[ LORRY RATE ]]-Table1[[#This Row],[Adance Paid (INR)]]</f>
        <v>0</v>
      </c>
      <c r="P255" s="17" t="s">
        <v>147</v>
      </c>
      <c r="Q255" s="18" t="s">
        <v>1087</v>
      </c>
      <c r="R255" s="17"/>
      <c r="S255" s="18" t="s">
        <v>993</v>
      </c>
      <c r="T255" s="18" t="s">
        <v>993</v>
      </c>
      <c r="U255" s="15" t="s">
        <v>54</v>
      </c>
      <c r="V255" s="15" t="s">
        <v>529</v>
      </c>
      <c r="W255" s="15"/>
    </row>
    <row r="256" spans="1:23" hidden="1" x14ac:dyDescent="0.3">
      <c r="A256" s="15">
        <v>256</v>
      </c>
      <c r="B256" s="15" t="s">
        <v>891</v>
      </c>
      <c r="C256" s="19">
        <v>45637</v>
      </c>
      <c r="D256" s="19" t="s">
        <v>51</v>
      </c>
      <c r="E256" s="21" t="s">
        <v>696</v>
      </c>
      <c r="F256" s="21">
        <v>9754088991</v>
      </c>
      <c r="G256" s="15" t="s">
        <v>6</v>
      </c>
      <c r="H256" s="15" t="s">
        <v>26</v>
      </c>
      <c r="I256" s="15" t="s">
        <v>1041</v>
      </c>
      <c r="J256" s="15" t="s">
        <v>7</v>
      </c>
      <c r="K256" s="16">
        <v>32020</v>
      </c>
      <c r="L256" s="16">
        <v>40320</v>
      </c>
      <c r="M256" s="17">
        <f>Table1[[#This Row],[Billing Rate Charges]]-Table1[[#This Row],[ LORRY RATE ]]</f>
        <v>8300</v>
      </c>
      <c r="N256" s="17">
        <v>32020</v>
      </c>
      <c r="O256" s="17">
        <f>Table1[[#This Row],[ LORRY RATE ]]-Table1[[#This Row],[Adance Paid (INR)]]</f>
        <v>0</v>
      </c>
      <c r="P256" s="17" t="s">
        <v>147</v>
      </c>
      <c r="Q256" s="18" t="s">
        <v>1077</v>
      </c>
      <c r="R256" s="17"/>
      <c r="S256" s="18" t="s">
        <v>993</v>
      </c>
      <c r="T256" s="18" t="s">
        <v>993</v>
      </c>
      <c r="U256" s="15" t="s">
        <v>54</v>
      </c>
      <c r="V256" s="15" t="s">
        <v>439</v>
      </c>
      <c r="W256" s="15"/>
    </row>
    <row r="257" spans="1:23" hidden="1" x14ac:dyDescent="0.3">
      <c r="A257" s="15">
        <v>257</v>
      </c>
      <c r="B257" s="15" t="s">
        <v>891</v>
      </c>
      <c r="C257" s="19">
        <v>45637</v>
      </c>
      <c r="D257" s="19" t="s">
        <v>51</v>
      </c>
      <c r="E257" s="21" t="s">
        <v>980</v>
      </c>
      <c r="F257" s="21">
        <v>9997445803</v>
      </c>
      <c r="G257" s="15" t="s">
        <v>6</v>
      </c>
      <c r="H257" s="15" t="s">
        <v>1026</v>
      </c>
      <c r="I257" s="15" t="s">
        <v>1027</v>
      </c>
      <c r="J257" s="15" t="s">
        <v>7</v>
      </c>
      <c r="K257" s="16">
        <v>35250</v>
      </c>
      <c r="L257" s="16">
        <v>52920</v>
      </c>
      <c r="M257" s="17">
        <f>Table1[[#This Row],[Billing Rate Charges]]-Table1[[#This Row],[ LORRY RATE ]]</f>
        <v>17670</v>
      </c>
      <c r="N257" s="17">
        <v>35250</v>
      </c>
      <c r="O257" s="17">
        <f>Table1[[#This Row],[ LORRY RATE ]]-Table1[[#This Row],[Adance Paid (INR)]]</f>
        <v>0</v>
      </c>
      <c r="P257" s="17" t="s">
        <v>147</v>
      </c>
      <c r="Q257" s="18" t="s">
        <v>1088</v>
      </c>
      <c r="R257" s="17"/>
      <c r="S257" s="18" t="s">
        <v>997</v>
      </c>
      <c r="T257" s="18" t="s">
        <v>997</v>
      </c>
      <c r="U257" s="15" t="s">
        <v>54</v>
      </c>
      <c r="V257" s="15" t="s">
        <v>439</v>
      </c>
      <c r="W257" s="15"/>
    </row>
    <row r="258" spans="1:23" hidden="1" x14ac:dyDescent="0.3">
      <c r="A258" s="15">
        <v>258</v>
      </c>
      <c r="B258" s="15" t="s">
        <v>891</v>
      </c>
      <c r="C258" s="19">
        <v>45638</v>
      </c>
      <c r="D258" s="19" t="s">
        <v>51</v>
      </c>
      <c r="E258" s="21" t="s">
        <v>605</v>
      </c>
      <c r="F258" s="21">
        <v>9142370650</v>
      </c>
      <c r="G258" s="15" t="s">
        <v>6</v>
      </c>
      <c r="H258" s="15" t="s">
        <v>440</v>
      </c>
      <c r="I258" s="15" t="s">
        <v>1028</v>
      </c>
      <c r="J258" s="15" t="s">
        <v>623</v>
      </c>
      <c r="K258" s="16">
        <v>27170</v>
      </c>
      <c r="L258" s="16">
        <v>41900</v>
      </c>
      <c r="M258" s="17">
        <f>Table1[[#This Row],[Billing Rate Charges]]-Table1[[#This Row],[ LORRY RATE ]]</f>
        <v>14730</v>
      </c>
      <c r="N258" s="17">
        <v>27170</v>
      </c>
      <c r="O258" s="17">
        <f>Table1[[#This Row],[ LORRY RATE ]]-Table1[[#This Row],[Adance Paid (INR)]]</f>
        <v>0</v>
      </c>
      <c r="P258" s="17" t="s">
        <v>147</v>
      </c>
      <c r="Q258" s="18" t="s">
        <v>1080</v>
      </c>
      <c r="R258" s="17"/>
      <c r="S258" s="18" t="s">
        <v>997</v>
      </c>
      <c r="T258" s="18" t="s">
        <v>997</v>
      </c>
      <c r="U258" s="15" t="s">
        <v>54</v>
      </c>
      <c r="V258" s="15" t="s">
        <v>439</v>
      </c>
      <c r="W258" s="15"/>
    </row>
    <row r="259" spans="1:23" hidden="1" x14ac:dyDescent="0.3">
      <c r="A259" s="15">
        <v>259</v>
      </c>
      <c r="B259" s="15" t="s">
        <v>891</v>
      </c>
      <c r="C259" s="19">
        <v>45637</v>
      </c>
      <c r="D259" s="19" t="s">
        <v>56</v>
      </c>
      <c r="E259" s="21" t="s">
        <v>60</v>
      </c>
      <c r="F259" s="15">
        <v>9589264337</v>
      </c>
      <c r="G259" s="15" t="s">
        <v>42</v>
      </c>
      <c r="H259" s="15" t="s">
        <v>1048</v>
      </c>
      <c r="I259" s="15" t="s">
        <v>1049</v>
      </c>
      <c r="J259" s="15" t="s">
        <v>7</v>
      </c>
      <c r="K259" s="16">
        <v>53580</v>
      </c>
      <c r="L259" s="16">
        <v>102690</v>
      </c>
      <c r="M259" s="17">
        <f>Table1[[#This Row],[Billing Rate Charges]]-Table1[[#This Row],[ LORRY RATE ]]</f>
        <v>49110</v>
      </c>
      <c r="N259" s="17">
        <v>53580</v>
      </c>
      <c r="O259" s="17">
        <f>Table1[[#This Row],[ LORRY RATE ]]-Table1[[#This Row],[Adance Paid (INR)]]</f>
        <v>0</v>
      </c>
      <c r="P259" s="17" t="s">
        <v>147</v>
      </c>
      <c r="Q259" s="18" t="s">
        <v>1079</v>
      </c>
      <c r="R259" s="17"/>
      <c r="S259" s="18" t="s">
        <v>993</v>
      </c>
      <c r="T259" s="18" t="s">
        <v>993</v>
      </c>
      <c r="U259" s="15" t="s">
        <v>54</v>
      </c>
      <c r="V259" s="15" t="s">
        <v>56</v>
      </c>
      <c r="W259" s="15"/>
    </row>
    <row r="260" spans="1:23" hidden="1" x14ac:dyDescent="0.3">
      <c r="A260" s="15">
        <v>260</v>
      </c>
      <c r="B260" s="15" t="s">
        <v>891</v>
      </c>
      <c r="C260" s="19">
        <v>45639</v>
      </c>
      <c r="D260" s="19" t="s">
        <v>51</v>
      </c>
      <c r="E260" s="21" t="s">
        <v>988</v>
      </c>
      <c r="F260" s="21">
        <v>9192326126</v>
      </c>
      <c r="G260" s="15" t="s">
        <v>6</v>
      </c>
      <c r="H260" s="15" t="s">
        <v>1029</v>
      </c>
      <c r="I260" s="15" t="s">
        <v>1030</v>
      </c>
      <c r="J260" s="15" t="s">
        <v>623</v>
      </c>
      <c r="K260" s="16">
        <v>31250</v>
      </c>
      <c r="L260" s="16">
        <v>44100</v>
      </c>
      <c r="M260" s="17">
        <f>Table1[[#This Row],[Billing Rate Charges]]-Table1[[#This Row],[ LORRY RATE ]]</f>
        <v>12850</v>
      </c>
      <c r="N260" s="17">
        <v>31250</v>
      </c>
      <c r="O260" s="17">
        <f>Table1[[#This Row],[ LORRY RATE ]]-Table1[[#This Row],[Adance Paid (INR)]]</f>
        <v>0</v>
      </c>
      <c r="P260" s="17" t="s">
        <v>147</v>
      </c>
      <c r="Q260" s="18" t="s">
        <v>1089</v>
      </c>
      <c r="R260" s="17"/>
      <c r="S260" s="18" t="s">
        <v>996</v>
      </c>
      <c r="T260" s="18" t="s">
        <v>996</v>
      </c>
      <c r="U260" s="15" t="s">
        <v>97</v>
      </c>
      <c r="V260" s="15" t="s">
        <v>529</v>
      </c>
      <c r="W260" s="15"/>
    </row>
    <row r="261" spans="1:23" hidden="1" x14ac:dyDescent="0.3">
      <c r="A261" s="15">
        <v>261</v>
      </c>
      <c r="B261" s="15" t="s">
        <v>891</v>
      </c>
      <c r="C261" s="19">
        <v>45639</v>
      </c>
      <c r="D261" s="19" t="s">
        <v>56</v>
      </c>
      <c r="E261" s="21" t="s">
        <v>38</v>
      </c>
      <c r="F261" s="21">
        <v>9025368773</v>
      </c>
      <c r="G261" s="15" t="s">
        <v>42</v>
      </c>
      <c r="H261" s="15" t="s">
        <v>1050</v>
      </c>
      <c r="I261" s="15" t="s">
        <v>1051</v>
      </c>
      <c r="J261" s="15" t="s">
        <v>59</v>
      </c>
      <c r="K261" s="16">
        <v>52820</v>
      </c>
      <c r="L261" s="16">
        <v>97650</v>
      </c>
      <c r="M261" s="17">
        <f>Table1[[#This Row],[Billing Rate Charges]]-Table1[[#This Row],[ LORRY RATE ]]</f>
        <v>44830</v>
      </c>
      <c r="N261" s="17">
        <v>52820</v>
      </c>
      <c r="O261" s="17">
        <f>Table1[[#This Row],[ LORRY RATE ]]-Table1[[#This Row],[Adance Paid (INR)]]</f>
        <v>0</v>
      </c>
      <c r="P261" s="17" t="s">
        <v>147</v>
      </c>
      <c r="Q261" s="18" t="s">
        <v>1057</v>
      </c>
      <c r="R261" s="17"/>
      <c r="S261" s="18" t="s">
        <v>997</v>
      </c>
      <c r="T261" s="18" t="s">
        <v>997</v>
      </c>
      <c r="U261" s="15" t="s">
        <v>97</v>
      </c>
      <c r="V261" s="15" t="s">
        <v>56</v>
      </c>
      <c r="W261" s="15"/>
    </row>
    <row r="262" spans="1:23" hidden="1" x14ac:dyDescent="0.3">
      <c r="A262" s="15">
        <v>262</v>
      </c>
      <c r="B262" s="15" t="s">
        <v>891</v>
      </c>
      <c r="C262" s="19">
        <v>45640</v>
      </c>
      <c r="D262" s="19" t="s">
        <v>51</v>
      </c>
      <c r="E262" s="21" t="s">
        <v>989</v>
      </c>
      <c r="F262" s="21">
        <v>9707438801</v>
      </c>
      <c r="G262" s="15" t="s">
        <v>6</v>
      </c>
      <c r="H262" s="15" t="s">
        <v>1032</v>
      </c>
      <c r="I262" s="15" t="s">
        <v>1031</v>
      </c>
      <c r="J262" s="15" t="s">
        <v>623</v>
      </c>
      <c r="K262" s="16">
        <v>27700</v>
      </c>
      <c r="L262" s="16">
        <v>41900</v>
      </c>
      <c r="M262" s="17">
        <f>Table1[[#This Row],[Billing Rate Charges]]-Table1[[#This Row],[ LORRY RATE ]]</f>
        <v>14200</v>
      </c>
      <c r="N262" s="17">
        <v>27700</v>
      </c>
      <c r="O262" s="17">
        <f>Table1[[#This Row],[ LORRY RATE ]]-Table1[[#This Row],[Adance Paid (INR)]]</f>
        <v>0</v>
      </c>
      <c r="P262" s="17" t="s">
        <v>147</v>
      </c>
      <c r="Q262" s="18" t="s">
        <v>1063</v>
      </c>
      <c r="R262" s="17"/>
      <c r="S262" s="18" t="s">
        <v>996</v>
      </c>
      <c r="T262" s="18" t="s">
        <v>996</v>
      </c>
      <c r="U262" s="15" t="s">
        <v>54</v>
      </c>
      <c r="V262" s="15" t="s">
        <v>439</v>
      </c>
      <c r="W262" s="15"/>
    </row>
    <row r="263" spans="1:23" hidden="1" x14ac:dyDescent="0.3">
      <c r="A263" s="15">
        <v>263</v>
      </c>
      <c r="B263" s="15" t="s">
        <v>891</v>
      </c>
      <c r="C263" s="19">
        <v>45640</v>
      </c>
      <c r="D263" s="19" t="s">
        <v>51</v>
      </c>
      <c r="E263" s="21" t="s">
        <v>990</v>
      </c>
      <c r="F263" s="21">
        <v>9618930252</v>
      </c>
      <c r="G263" s="15" t="s">
        <v>42</v>
      </c>
      <c r="H263" s="15" t="s">
        <v>26</v>
      </c>
      <c r="I263" s="15" t="s">
        <v>1044</v>
      </c>
      <c r="J263" s="15" t="s">
        <v>7</v>
      </c>
      <c r="K263" s="16">
        <v>68010</v>
      </c>
      <c r="L263" s="16">
        <v>96390</v>
      </c>
      <c r="M263" s="17">
        <f>Table1[[#This Row],[Billing Rate Charges]]-Table1[[#This Row],[ LORRY RATE ]]</f>
        <v>28380</v>
      </c>
      <c r="N263" s="17">
        <v>68010</v>
      </c>
      <c r="O263" s="17">
        <f>Table1[[#This Row],[ LORRY RATE ]]-Table1[[#This Row],[Adance Paid (INR)]]</f>
        <v>0</v>
      </c>
      <c r="P263" s="17" t="s">
        <v>147</v>
      </c>
      <c r="Q263" s="18" t="s">
        <v>1075</v>
      </c>
      <c r="R263" s="17"/>
      <c r="S263" s="18" t="s">
        <v>996</v>
      </c>
      <c r="T263" s="18" t="s">
        <v>996</v>
      </c>
      <c r="U263" s="15" t="s">
        <v>97</v>
      </c>
      <c r="V263" s="15" t="s">
        <v>439</v>
      </c>
      <c r="W263" s="15"/>
    </row>
    <row r="264" spans="1:23" hidden="1" x14ac:dyDescent="0.3">
      <c r="A264" s="15">
        <v>264</v>
      </c>
      <c r="B264" s="15" t="s">
        <v>891</v>
      </c>
      <c r="C264" s="19">
        <v>45640</v>
      </c>
      <c r="D264" s="19" t="s">
        <v>56</v>
      </c>
      <c r="E264" s="21" t="s">
        <v>60</v>
      </c>
      <c r="F264" s="21">
        <v>9589264337</v>
      </c>
      <c r="G264" s="15" t="s">
        <v>6</v>
      </c>
      <c r="H264" s="15" t="s">
        <v>26</v>
      </c>
      <c r="I264" s="15" t="s">
        <v>1033</v>
      </c>
      <c r="J264" s="15" t="s">
        <v>7</v>
      </c>
      <c r="K264" s="16">
        <v>45170</v>
      </c>
      <c r="L264" s="16">
        <v>46620</v>
      </c>
      <c r="M264" s="17">
        <f>Table1[[#This Row],[Billing Rate Charges]]-Table1[[#This Row],[ LORRY RATE ]]</f>
        <v>1450</v>
      </c>
      <c r="N264" s="17">
        <v>45170</v>
      </c>
      <c r="O264" s="17">
        <f>Table1[[#This Row],[ LORRY RATE ]]-Table1[[#This Row],[Adance Paid (INR)]]</f>
        <v>0</v>
      </c>
      <c r="P264" s="17" t="s">
        <v>147</v>
      </c>
      <c r="Q264" s="18" t="s">
        <v>1062</v>
      </c>
      <c r="R264" s="17"/>
      <c r="S264" s="18" t="s">
        <v>995</v>
      </c>
      <c r="T264" s="18" t="s">
        <v>995</v>
      </c>
      <c r="U264" s="15" t="s">
        <v>97</v>
      </c>
      <c r="V264" s="15" t="s">
        <v>56</v>
      </c>
      <c r="W264" s="15" t="s">
        <v>154</v>
      </c>
    </row>
    <row r="265" spans="1:23" hidden="1" x14ac:dyDescent="0.3">
      <c r="A265" s="15">
        <v>265</v>
      </c>
      <c r="B265" s="15" t="s">
        <v>891</v>
      </c>
      <c r="C265" s="19">
        <v>45642</v>
      </c>
      <c r="D265" s="19" t="s">
        <v>51</v>
      </c>
      <c r="E265" s="21" t="s">
        <v>974</v>
      </c>
      <c r="F265" s="21">
        <v>9695227535</v>
      </c>
      <c r="G265" s="15" t="s">
        <v>6</v>
      </c>
      <c r="H265" s="15" t="s">
        <v>1034</v>
      </c>
      <c r="I265" s="15" t="s">
        <v>1035</v>
      </c>
      <c r="J265" s="15" t="s">
        <v>168</v>
      </c>
      <c r="K265" s="16">
        <v>27700</v>
      </c>
      <c r="L265" s="16">
        <v>41900</v>
      </c>
      <c r="M265" s="17">
        <f>Table1[[#This Row],[Billing Rate Charges]]-Table1[[#This Row],[ LORRY RATE ]]</f>
        <v>14200</v>
      </c>
      <c r="N265" s="17">
        <v>27700</v>
      </c>
      <c r="O265" s="17">
        <f>Table1[[#This Row],[ LORRY RATE ]]-Table1[[#This Row],[Adance Paid (INR)]]</f>
        <v>0</v>
      </c>
      <c r="P265" s="17" t="s">
        <v>147</v>
      </c>
      <c r="Q265" s="18" t="s">
        <v>1169</v>
      </c>
      <c r="R265" s="17"/>
      <c r="S265" s="18" t="s">
        <v>1091</v>
      </c>
      <c r="T265" s="18" t="s">
        <v>1091</v>
      </c>
      <c r="U265" s="15" t="s">
        <v>54</v>
      </c>
      <c r="V265" s="15" t="s">
        <v>439</v>
      </c>
      <c r="W265" s="15"/>
    </row>
    <row r="266" spans="1:23" hidden="1" x14ac:dyDescent="0.3">
      <c r="A266" s="15">
        <v>266</v>
      </c>
      <c r="B266" s="15" t="s">
        <v>891</v>
      </c>
      <c r="C266" s="19">
        <v>45644</v>
      </c>
      <c r="D266" s="19" t="s">
        <v>56</v>
      </c>
      <c r="E266" s="15" t="s">
        <v>38</v>
      </c>
      <c r="F266" s="21">
        <v>9515412075</v>
      </c>
      <c r="G266" s="15" t="s">
        <v>6</v>
      </c>
      <c r="H266" s="15" t="s">
        <v>1052</v>
      </c>
      <c r="I266" s="15" t="s">
        <v>1053</v>
      </c>
      <c r="J266" s="15" t="s">
        <v>59</v>
      </c>
      <c r="K266" s="16">
        <v>46680</v>
      </c>
      <c r="L266" s="16">
        <v>56700</v>
      </c>
      <c r="M266" s="17">
        <f>Table1[[#This Row],[Billing Rate Charges]]-Table1[[#This Row],[ LORRY RATE ]]</f>
        <v>10020</v>
      </c>
      <c r="N266" s="17">
        <v>46680</v>
      </c>
      <c r="O266" s="17">
        <f>Table1[[#This Row],[ LORRY RATE ]]-Table1[[#This Row],[Adance Paid (INR)]]</f>
        <v>0</v>
      </c>
      <c r="P266" s="17" t="s">
        <v>147</v>
      </c>
      <c r="Q266" s="18" t="s">
        <v>1171</v>
      </c>
      <c r="R266" s="17"/>
      <c r="S266" s="18" t="s">
        <v>1095</v>
      </c>
      <c r="T266" s="18" t="s">
        <v>1094</v>
      </c>
      <c r="U266" s="15" t="s">
        <v>54</v>
      </c>
      <c r="V266" s="15" t="s">
        <v>56</v>
      </c>
      <c r="W266" s="15"/>
    </row>
    <row r="267" spans="1:23" hidden="1" x14ac:dyDescent="0.3">
      <c r="A267" s="15">
        <v>267</v>
      </c>
      <c r="B267" s="15" t="s">
        <v>891</v>
      </c>
      <c r="C267" s="19">
        <v>45644</v>
      </c>
      <c r="D267" s="19" t="s">
        <v>51</v>
      </c>
      <c r="E267" s="21" t="s">
        <v>990</v>
      </c>
      <c r="F267" s="21">
        <v>9618930252</v>
      </c>
      <c r="G267" s="15" t="s">
        <v>6</v>
      </c>
      <c r="H267" s="15" t="s">
        <v>26</v>
      </c>
      <c r="I267" s="15" t="s">
        <v>1036</v>
      </c>
      <c r="J267" s="15" t="s">
        <v>7</v>
      </c>
      <c r="K267" s="16">
        <v>31750</v>
      </c>
      <c r="L267" s="16">
        <v>40320</v>
      </c>
      <c r="M267" s="17">
        <f>Table1[[#This Row],[Billing Rate Charges]]-Table1[[#This Row],[ LORRY RATE ]]</f>
        <v>8570</v>
      </c>
      <c r="N267" s="17">
        <v>31750</v>
      </c>
      <c r="O267" s="17">
        <f>Table1[[#This Row],[ LORRY RATE ]]-Table1[[#This Row],[Adance Paid (INR)]]</f>
        <v>0</v>
      </c>
      <c r="P267" s="17" t="s">
        <v>147</v>
      </c>
      <c r="Q267" s="18" t="s">
        <v>1173</v>
      </c>
      <c r="R267" s="17"/>
      <c r="S267" s="18" t="s">
        <v>1096</v>
      </c>
      <c r="T267" s="18" t="s">
        <v>1094</v>
      </c>
      <c r="U267" s="15" t="s">
        <v>54</v>
      </c>
      <c r="V267" s="15" t="s">
        <v>439</v>
      </c>
      <c r="W267" s="15"/>
    </row>
    <row r="268" spans="1:23" hidden="1" x14ac:dyDescent="0.3">
      <c r="A268" s="15">
        <v>268</v>
      </c>
      <c r="B268" s="15" t="s">
        <v>891</v>
      </c>
      <c r="C268" s="19">
        <v>45645</v>
      </c>
      <c r="D268" s="19" t="s">
        <v>51</v>
      </c>
      <c r="E268" s="21" t="s">
        <v>1090</v>
      </c>
      <c r="F268" s="21">
        <v>9984938345</v>
      </c>
      <c r="G268" s="15" t="s">
        <v>6</v>
      </c>
      <c r="H268" s="15" t="s">
        <v>1127</v>
      </c>
      <c r="I268" s="15" t="s">
        <v>1128</v>
      </c>
      <c r="J268" s="15" t="s">
        <v>7</v>
      </c>
      <c r="K268" s="16">
        <v>32700</v>
      </c>
      <c r="L268" s="16">
        <v>46620</v>
      </c>
      <c r="M268" s="17">
        <f>Table1[[#This Row],[Billing Rate Charges]]-Table1[[#This Row],[ LORRY RATE ]]</f>
        <v>13920</v>
      </c>
      <c r="N268" s="17">
        <v>32700</v>
      </c>
      <c r="O268" s="17">
        <f>Table1[[#This Row],[ LORRY RATE ]]-Table1[[#This Row],[Adance Paid (INR)]]</f>
        <v>0</v>
      </c>
      <c r="P268" s="17" t="s">
        <v>147</v>
      </c>
      <c r="Q268" s="18" t="s">
        <v>1174</v>
      </c>
      <c r="R268" s="17"/>
      <c r="S268" s="18" t="s">
        <v>1100</v>
      </c>
      <c r="T268" s="18" t="s">
        <v>1100</v>
      </c>
      <c r="U268" s="15" t="s">
        <v>54</v>
      </c>
      <c r="V268" s="15" t="s">
        <v>529</v>
      </c>
      <c r="W268" s="15"/>
    </row>
    <row r="269" spans="1:23" hidden="1" x14ac:dyDescent="0.3">
      <c r="A269" s="15">
        <v>269</v>
      </c>
      <c r="B269" s="15" t="s">
        <v>891</v>
      </c>
      <c r="C269" s="19">
        <v>45646</v>
      </c>
      <c r="D269" s="19" t="s">
        <v>51</v>
      </c>
      <c r="E269" s="21" t="s">
        <v>876</v>
      </c>
      <c r="F269" s="21">
        <v>9216040168</v>
      </c>
      <c r="G269" s="15" t="s">
        <v>6</v>
      </c>
      <c r="H269" s="15" t="s">
        <v>1129</v>
      </c>
      <c r="I269" s="15" t="s">
        <v>1130</v>
      </c>
      <c r="J269" s="15" t="s">
        <v>623</v>
      </c>
      <c r="K269" s="16">
        <v>27700</v>
      </c>
      <c r="L269" s="16">
        <v>41900</v>
      </c>
      <c r="M269" s="17">
        <f>Table1[[#This Row],[Billing Rate Charges]]-Table1[[#This Row],[ LORRY RATE ]]</f>
        <v>14200</v>
      </c>
      <c r="N269" s="17">
        <v>27700</v>
      </c>
      <c r="O269" s="17">
        <f>Table1[[#This Row],[ LORRY RATE ]]-Table1[[#This Row],[Adance Paid (INR)]]</f>
        <v>0</v>
      </c>
      <c r="P269" s="17" t="s">
        <v>147</v>
      </c>
      <c r="Q269" s="18" t="s">
        <v>1180</v>
      </c>
      <c r="R269" s="17"/>
      <c r="S269" s="18" t="s">
        <v>1100</v>
      </c>
      <c r="T269" s="18" t="s">
        <v>1100</v>
      </c>
      <c r="U269" s="15" t="s">
        <v>54</v>
      </c>
      <c r="V269" s="15" t="s">
        <v>439</v>
      </c>
      <c r="W269" s="15"/>
    </row>
    <row r="270" spans="1:23" hidden="1" x14ac:dyDescent="0.3">
      <c r="A270" s="15">
        <v>270</v>
      </c>
      <c r="B270" s="15" t="s">
        <v>891</v>
      </c>
      <c r="C270" s="19">
        <v>45647</v>
      </c>
      <c r="D270" s="19" t="s">
        <v>51</v>
      </c>
      <c r="E270" s="15" t="s">
        <v>380</v>
      </c>
      <c r="F270" s="15"/>
      <c r="G270" s="15" t="s">
        <v>6</v>
      </c>
      <c r="H270" s="15" t="s">
        <v>26</v>
      </c>
      <c r="I270" s="15" t="s">
        <v>1162</v>
      </c>
      <c r="J270" s="15" t="s">
        <v>381</v>
      </c>
      <c r="K270" s="16">
        <v>2320</v>
      </c>
      <c r="L270" s="16">
        <v>3150</v>
      </c>
      <c r="M270" s="17">
        <f>Table1[[#This Row],[Billing Rate Charges]]-Table1[[#This Row],[ LORRY RATE ]]</f>
        <v>830</v>
      </c>
      <c r="N270" s="17">
        <v>2320</v>
      </c>
      <c r="O270" s="17">
        <f>Table1[[#This Row],[ LORRY RATE ]]-Table1[[#This Row],[Adance Paid (INR)]]</f>
        <v>0</v>
      </c>
      <c r="P270" s="17" t="s">
        <v>147</v>
      </c>
      <c r="Q270" s="18" t="s">
        <v>1184</v>
      </c>
      <c r="R270" s="17"/>
      <c r="S270" s="18" t="s">
        <v>1096</v>
      </c>
      <c r="T270" s="18" t="s">
        <v>1094</v>
      </c>
      <c r="U270" s="15" t="s">
        <v>54</v>
      </c>
      <c r="V270" s="15" t="s">
        <v>380</v>
      </c>
      <c r="W270" s="15" t="s">
        <v>1187</v>
      </c>
    </row>
    <row r="271" spans="1:23" hidden="1" x14ac:dyDescent="0.3">
      <c r="A271" s="15">
        <v>271</v>
      </c>
      <c r="B271" s="15" t="s">
        <v>891</v>
      </c>
      <c r="C271" s="19">
        <v>45647</v>
      </c>
      <c r="D271" s="19" t="s">
        <v>51</v>
      </c>
      <c r="E271" s="21" t="s">
        <v>1092</v>
      </c>
      <c r="F271" s="21">
        <v>9152054393</v>
      </c>
      <c r="G271" s="15" t="s">
        <v>6</v>
      </c>
      <c r="H271" s="15" t="s">
        <v>26</v>
      </c>
      <c r="I271" s="15" t="s">
        <v>1131</v>
      </c>
      <c r="J271" s="15" t="s">
        <v>7</v>
      </c>
      <c r="K271" s="16">
        <v>31750</v>
      </c>
      <c r="L271" s="16">
        <v>40320</v>
      </c>
      <c r="M271" s="17">
        <f>Table1[[#This Row],[Billing Rate Charges]]-Table1[[#This Row],[ LORRY RATE ]]</f>
        <v>8570</v>
      </c>
      <c r="N271" s="17">
        <v>31750</v>
      </c>
      <c r="O271" s="17">
        <f>Table1[[#This Row],[ LORRY RATE ]]-Table1[[#This Row],[Adance Paid (INR)]]</f>
        <v>0</v>
      </c>
      <c r="P271" s="17" t="s">
        <v>147</v>
      </c>
      <c r="Q271" s="18" t="s">
        <v>1177</v>
      </c>
      <c r="R271" s="17"/>
      <c r="S271" s="18" t="s">
        <v>1107</v>
      </c>
      <c r="T271" s="18" t="s">
        <v>1107</v>
      </c>
      <c r="U271" s="15" t="s">
        <v>54</v>
      </c>
      <c r="V271" s="15" t="s">
        <v>529</v>
      </c>
      <c r="W271" s="15"/>
    </row>
    <row r="272" spans="1:23" hidden="1" x14ac:dyDescent="0.3">
      <c r="A272" s="15">
        <v>272</v>
      </c>
      <c r="B272" s="15" t="s">
        <v>891</v>
      </c>
      <c r="C272" s="19">
        <v>45647</v>
      </c>
      <c r="D272" s="19" t="s">
        <v>51</v>
      </c>
      <c r="E272" s="21" t="s">
        <v>60</v>
      </c>
      <c r="F272" s="21">
        <v>9281983602</v>
      </c>
      <c r="G272" s="15" t="s">
        <v>1093</v>
      </c>
      <c r="H272" s="15" t="s">
        <v>1156</v>
      </c>
      <c r="I272" s="15" t="s">
        <v>1157</v>
      </c>
      <c r="J272" s="15" t="s">
        <v>7</v>
      </c>
      <c r="K272" s="16">
        <v>53580</v>
      </c>
      <c r="L272" s="16">
        <v>102690</v>
      </c>
      <c r="M272" s="17">
        <f>Table1[[#This Row],[Billing Rate Charges]]-Table1[[#This Row],[ LORRY RATE ]]</f>
        <v>49110</v>
      </c>
      <c r="N272" s="17">
        <v>53580</v>
      </c>
      <c r="O272" s="17">
        <f>Table1[[#This Row],[ LORRY RATE ]]-Table1[[#This Row],[Adance Paid (INR)]]</f>
        <v>0</v>
      </c>
      <c r="P272" s="17" t="s">
        <v>147</v>
      </c>
      <c r="Q272" s="18" t="s">
        <v>1178</v>
      </c>
      <c r="R272" s="17"/>
      <c r="S272" s="18" t="s">
        <v>1100</v>
      </c>
      <c r="T272" s="18" t="s">
        <v>1100</v>
      </c>
      <c r="U272" s="15" t="s">
        <v>54</v>
      </c>
      <c r="V272" s="15" t="s">
        <v>56</v>
      </c>
      <c r="W272" s="15"/>
    </row>
    <row r="273" spans="1:23" hidden="1" x14ac:dyDescent="0.3">
      <c r="A273" s="15">
        <v>273</v>
      </c>
      <c r="B273" s="15" t="s">
        <v>891</v>
      </c>
      <c r="C273" s="19">
        <v>45648</v>
      </c>
      <c r="D273" s="19" t="s">
        <v>51</v>
      </c>
      <c r="E273" s="15" t="s">
        <v>380</v>
      </c>
      <c r="F273" s="15"/>
      <c r="G273" s="15" t="s">
        <v>6</v>
      </c>
      <c r="H273" s="15" t="s">
        <v>26</v>
      </c>
      <c r="I273" s="15" t="s">
        <v>1152</v>
      </c>
      <c r="J273" s="15" t="s">
        <v>381</v>
      </c>
      <c r="K273" s="16">
        <v>3560</v>
      </c>
      <c r="L273" s="16">
        <v>4410</v>
      </c>
      <c r="M273" s="17">
        <f>Table1[[#This Row],[Billing Rate Charges]]-Table1[[#This Row],[ LORRY RATE ]]</f>
        <v>850</v>
      </c>
      <c r="N273" s="17">
        <v>3560</v>
      </c>
      <c r="O273" s="17">
        <f>Table1[[#This Row],[ LORRY RATE ]]-Table1[[#This Row],[Adance Paid (INR)]]</f>
        <v>0</v>
      </c>
      <c r="P273" s="17" t="s">
        <v>147</v>
      </c>
      <c r="Q273" s="18" t="s">
        <v>1190</v>
      </c>
      <c r="R273" s="17"/>
      <c r="S273" s="18" t="s">
        <v>1095</v>
      </c>
      <c r="T273" s="18" t="s">
        <v>1094</v>
      </c>
      <c r="U273" s="15" t="s">
        <v>54</v>
      </c>
      <c r="V273" s="15" t="s">
        <v>380</v>
      </c>
      <c r="W273" s="15" t="s">
        <v>1188</v>
      </c>
    </row>
    <row r="274" spans="1:23" hidden="1" x14ac:dyDescent="0.3">
      <c r="A274" s="15">
        <v>274</v>
      </c>
      <c r="B274" s="15" t="s">
        <v>891</v>
      </c>
      <c r="C274" s="19">
        <v>45649</v>
      </c>
      <c r="D274" s="19" t="s">
        <v>51</v>
      </c>
      <c r="E274" s="15" t="s">
        <v>380</v>
      </c>
      <c r="F274" s="15"/>
      <c r="G274" s="15" t="s">
        <v>6</v>
      </c>
      <c r="H274" s="15" t="s">
        <v>26</v>
      </c>
      <c r="I274" s="15" t="s">
        <v>1153</v>
      </c>
      <c r="J274" s="15" t="s">
        <v>381</v>
      </c>
      <c r="K274" s="16">
        <v>4610</v>
      </c>
      <c r="L274" s="16">
        <v>5420</v>
      </c>
      <c r="M274" s="17">
        <f>Table1[[#This Row],[Billing Rate Charges]]-Table1[[#This Row],[ LORRY RATE ]]</f>
        <v>810</v>
      </c>
      <c r="N274" s="17">
        <v>4610</v>
      </c>
      <c r="O274" s="17">
        <f>Table1[[#This Row],[ LORRY RATE ]]-Table1[[#This Row],[Adance Paid (INR)]]</f>
        <v>0</v>
      </c>
      <c r="P274" s="17" t="s">
        <v>147</v>
      </c>
      <c r="Q274" s="18" t="s">
        <v>1185</v>
      </c>
      <c r="R274" s="17"/>
      <c r="S274" s="18" t="s">
        <v>1094</v>
      </c>
      <c r="T274" s="18" t="s">
        <v>1097</v>
      </c>
      <c r="U274" s="15" t="s">
        <v>54</v>
      </c>
      <c r="V274" s="15" t="s">
        <v>380</v>
      </c>
      <c r="W274" s="15" t="s">
        <v>1189</v>
      </c>
    </row>
    <row r="275" spans="1:23" hidden="1" x14ac:dyDescent="0.3">
      <c r="A275" s="15">
        <v>275</v>
      </c>
      <c r="B275" s="15" t="s">
        <v>891</v>
      </c>
      <c r="C275" s="19">
        <v>45649</v>
      </c>
      <c r="D275" s="19" t="s">
        <v>51</v>
      </c>
      <c r="E275" s="21" t="s">
        <v>696</v>
      </c>
      <c r="F275" s="21">
        <v>9754088991</v>
      </c>
      <c r="G275" s="15" t="s">
        <v>6</v>
      </c>
      <c r="H275" s="15" t="s">
        <v>1132</v>
      </c>
      <c r="I275" s="15" t="s">
        <v>1133</v>
      </c>
      <c r="J275" s="15" t="s">
        <v>7</v>
      </c>
      <c r="K275" s="16">
        <v>33770</v>
      </c>
      <c r="L275" s="16">
        <v>46620</v>
      </c>
      <c r="M275" s="17">
        <f>Table1[[#This Row],[Billing Rate Charges]]-Table1[[#This Row],[ LORRY RATE ]]</f>
        <v>12850</v>
      </c>
      <c r="N275" s="17">
        <v>33770</v>
      </c>
      <c r="O275" s="17">
        <f>Table1[[#This Row],[ LORRY RATE ]]-Table1[[#This Row],[Adance Paid (INR)]]</f>
        <v>0</v>
      </c>
      <c r="P275" s="17" t="s">
        <v>147</v>
      </c>
      <c r="Q275" s="18" t="s">
        <v>1191</v>
      </c>
      <c r="R275" s="17"/>
      <c r="S275" s="18" t="s">
        <v>1107</v>
      </c>
      <c r="T275" s="18" t="s">
        <v>1107</v>
      </c>
      <c r="U275" s="15" t="s">
        <v>54</v>
      </c>
      <c r="V275" s="15" t="s">
        <v>439</v>
      </c>
      <c r="W275" s="15"/>
    </row>
    <row r="276" spans="1:23" hidden="1" x14ac:dyDescent="0.3">
      <c r="A276" s="15">
        <v>276</v>
      </c>
      <c r="B276" s="15" t="s">
        <v>891</v>
      </c>
      <c r="C276" s="19">
        <v>45650</v>
      </c>
      <c r="D276" s="19" t="s">
        <v>51</v>
      </c>
      <c r="E276" s="21" t="s">
        <v>1098</v>
      </c>
      <c r="F276" s="21">
        <v>9403897623</v>
      </c>
      <c r="G276" s="15" t="s">
        <v>6</v>
      </c>
      <c r="H276" s="15" t="s">
        <v>26</v>
      </c>
      <c r="I276" s="15" t="s">
        <v>1134</v>
      </c>
      <c r="J276" s="15" t="s">
        <v>1099</v>
      </c>
      <c r="K276" s="16">
        <v>25690</v>
      </c>
      <c r="L276" s="16">
        <v>35600</v>
      </c>
      <c r="M276" s="17">
        <f>Table1[[#This Row],[Billing Rate Charges]]-Table1[[#This Row],[ LORRY RATE ]]</f>
        <v>9910</v>
      </c>
      <c r="N276" s="17">
        <v>25690</v>
      </c>
      <c r="O276" s="17">
        <f>Table1[[#This Row],[ LORRY RATE ]]-Table1[[#This Row],[Adance Paid (INR)]]</f>
        <v>0</v>
      </c>
      <c r="P276" s="17" t="s">
        <v>147</v>
      </c>
      <c r="Q276" s="18" t="s">
        <v>1172</v>
      </c>
      <c r="R276" s="17"/>
      <c r="S276" s="18" t="s">
        <v>1107</v>
      </c>
      <c r="T276" s="18" t="s">
        <v>1107</v>
      </c>
      <c r="U276" s="15" t="s">
        <v>54</v>
      </c>
      <c r="V276" s="15" t="s">
        <v>439</v>
      </c>
      <c r="W276" s="15"/>
    </row>
    <row r="277" spans="1:23" hidden="1" x14ac:dyDescent="0.3">
      <c r="A277" s="15">
        <v>277</v>
      </c>
      <c r="B277" s="15" t="s">
        <v>891</v>
      </c>
      <c r="C277" s="19">
        <v>45651</v>
      </c>
      <c r="D277" s="19" t="s">
        <v>56</v>
      </c>
      <c r="E277" s="15" t="s">
        <v>38</v>
      </c>
      <c r="F277" s="15">
        <v>9025368773</v>
      </c>
      <c r="G277" s="15" t="s">
        <v>1093</v>
      </c>
      <c r="H277" s="15" t="s">
        <v>1166</v>
      </c>
      <c r="I277" s="15" t="s">
        <v>1167</v>
      </c>
      <c r="J277" s="15" t="s">
        <v>59</v>
      </c>
      <c r="K277" s="16">
        <v>52820</v>
      </c>
      <c r="L277" s="16">
        <v>97650</v>
      </c>
      <c r="M277" s="17">
        <f>Table1[[#This Row],[Billing Rate Charges]]-Table1[[#This Row],[ LORRY RATE ]]</f>
        <v>44830</v>
      </c>
      <c r="N277" s="17">
        <v>52820</v>
      </c>
      <c r="O277" s="17">
        <f>Table1[[#This Row],[ LORRY RATE ]]-Table1[[#This Row],[Adance Paid (INR)]]</f>
        <v>0</v>
      </c>
      <c r="P277" s="17" t="s">
        <v>147</v>
      </c>
      <c r="Q277" s="18" t="s">
        <v>1179</v>
      </c>
      <c r="R277" s="17"/>
      <c r="S277" s="18" t="s">
        <v>1107</v>
      </c>
      <c r="T277" s="18" t="s">
        <v>1107</v>
      </c>
      <c r="U277" s="15" t="s">
        <v>54</v>
      </c>
      <c r="V277" s="15" t="s">
        <v>56</v>
      </c>
      <c r="W277" s="15"/>
    </row>
    <row r="278" spans="1:23" hidden="1" x14ac:dyDescent="0.3">
      <c r="A278" s="15">
        <v>278</v>
      </c>
      <c r="B278" s="15" t="s">
        <v>891</v>
      </c>
      <c r="C278" s="19">
        <v>45651</v>
      </c>
      <c r="D278" s="19" t="s">
        <v>56</v>
      </c>
      <c r="E278" s="21" t="s">
        <v>60</v>
      </c>
      <c r="F278" s="21">
        <v>9589264337</v>
      </c>
      <c r="G278" s="15" t="s">
        <v>6</v>
      </c>
      <c r="H278" s="15" t="s">
        <v>1135</v>
      </c>
      <c r="I278" s="15" t="s">
        <v>1136</v>
      </c>
      <c r="J278" s="15" t="s">
        <v>7</v>
      </c>
      <c r="K278" s="16">
        <v>47150</v>
      </c>
      <c r="L278" s="16">
        <v>59850</v>
      </c>
      <c r="M278" s="17">
        <f>Table1[[#This Row],[Billing Rate Charges]]-Table1[[#This Row],[ LORRY RATE ]]</f>
        <v>12700</v>
      </c>
      <c r="N278" s="17">
        <v>47150</v>
      </c>
      <c r="O278" s="17">
        <f>Table1[[#This Row],[ LORRY RATE ]]-Table1[[#This Row],[Adance Paid (INR)]]</f>
        <v>0</v>
      </c>
      <c r="P278" s="17" t="s">
        <v>147</v>
      </c>
      <c r="Q278" s="18" t="s">
        <v>1176</v>
      </c>
      <c r="R278" s="17"/>
      <c r="S278" s="18" t="s">
        <v>1116</v>
      </c>
      <c r="T278" s="18" t="s">
        <v>1116</v>
      </c>
      <c r="U278" s="15" t="s">
        <v>54</v>
      </c>
      <c r="V278" s="15" t="s">
        <v>56</v>
      </c>
      <c r="W278" s="15"/>
    </row>
    <row r="279" spans="1:23" hidden="1" x14ac:dyDescent="0.3">
      <c r="A279" s="15">
        <v>279</v>
      </c>
      <c r="B279" s="15" t="s">
        <v>891</v>
      </c>
      <c r="C279" s="19">
        <v>45652</v>
      </c>
      <c r="D279" s="19" t="s">
        <v>51</v>
      </c>
      <c r="E279" s="21" t="s">
        <v>1101</v>
      </c>
      <c r="F279" s="21">
        <v>9022147346</v>
      </c>
      <c r="G279" s="15" t="s">
        <v>6</v>
      </c>
      <c r="H279" s="15" t="s">
        <v>26</v>
      </c>
      <c r="I279" s="15" t="s">
        <v>1137</v>
      </c>
      <c r="J279" s="15" t="s">
        <v>7</v>
      </c>
      <c r="K279" s="16">
        <v>31750</v>
      </c>
      <c r="L279" s="16">
        <v>40320</v>
      </c>
      <c r="M279" s="17">
        <f>Table1[[#This Row],[Billing Rate Charges]]-Table1[[#This Row],[ LORRY RATE ]]</f>
        <v>8570</v>
      </c>
      <c r="N279" s="17">
        <v>31750</v>
      </c>
      <c r="O279" s="17">
        <f>Table1[[#This Row],[ LORRY RATE ]]-Table1[[#This Row],[Adance Paid (INR)]]</f>
        <v>0</v>
      </c>
      <c r="P279" s="17" t="s">
        <v>147</v>
      </c>
      <c r="Q279" s="18" t="s">
        <v>1195</v>
      </c>
      <c r="R279" s="17"/>
      <c r="S279" s="18" t="s">
        <v>1116</v>
      </c>
      <c r="T279" s="18" t="s">
        <v>1116</v>
      </c>
      <c r="U279" s="15" t="s">
        <v>54</v>
      </c>
      <c r="V279" s="15" t="s">
        <v>529</v>
      </c>
      <c r="W279" s="15"/>
    </row>
    <row r="280" spans="1:23" hidden="1" x14ac:dyDescent="0.3">
      <c r="A280" s="15">
        <v>280</v>
      </c>
      <c r="B280" s="15" t="s">
        <v>891</v>
      </c>
      <c r="C280" s="15" t="s">
        <v>1102</v>
      </c>
      <c r="D280" s="19" t="s">
        <v>51</v>
      </c>
      <c r="E280" s="21" t="s">
        <v>1103</v>
      </c>
      <c r="F280" s="21">
        <v>9599562696</v>
      </c>
      <c r="G280" s="15" t="s">
        <v>6</v>
      </c>
      <c r="H280" s="15" t="s">
        <v>26</v>
      </c>
      <c r="I280" s="15" t="s">
        <v>1138</v>
      </c>
      <c r="J280" s="15" t="s">
        <v>168</v>
      </c>
      <c r="K280" s="16">
        <v>25690</v>
      </c>
      <c r="L280" s="16">
        <v>35600</v>
      </c>
      <c r="M280" s="17">
        <f>Table1[[#This Row],[Billing Rate Charges]]-Table1[[#This Row],[ LORRY RATE ]]</f>
        <v>9910</v>
      </c>
      <c r="N280" s="17">
        <v>25690</v>
      </c>
      <c r="O280" s="17">
        <f>Table1[[#This Row],[ LORRY RATE ]]-Table1[[#This Row],[Adance Paid (INR)]]</f>
        <v>0</v>
      </c>
      <c r="P280" s="17" t="s">
        <v>147</v>
      </c>
      <c r="Q280" s="18" t="s">
        <v>1181</v>
      </c>
      <c r="R280" s="17"/>
      <c r="S280" s="18" t="s">
        <v>1116</v>
      </c>
      <c r="T280" s="18" t="s">
        <v>1116</v>
      </c>
      <c r="U280" s="15" t="s">
        <v>54</v>
      </c>
      <c r="V280" s="15" t="s">
        <v>439</v>
      </c>
      <c r="W280" s="15"/>
    </row>
    <row r="281" spans="1:23" hidden="1" x14ac:dyDescent="0.3">
      <c r="A281" s="15">
        <v>281</v>
      </c>
      <c r="B281" s="15" t="s">
        <v>891</v>
      </c>
      <c r="C281" s="19">
        <v>45652</v>
      </c>
      <c r="D281" s="19" t="s">
        <v>51</v>
      </c>
      <c r="E281" s="21" t="s">
        <v>778</v>
      </c>
      <c r="F281" s="21">
        <v>9327858616</v>
      </c>
      <c r="G281" s="15" t="s">
        <v>45</v>
      </c>
      <c r="H281" s="15" t="s">
        <v>26</v>
      </c>
      <c r="I281" s="15" t="s">
        <v>1164</v>
      </c>
      <c r="J281" s="15" t="s">
        <v>623</v>
      </c>
      <c r="K281" s="16">
        <v>45770</v>
      </c>
      <c r="L281" s="16">
        <v>51660</v>
      </c>
      <c r="M281" s="17">
        <f>Table1[[#This Row],[Billing Rate Charges]]-Table1[[#This Row],[ LORRY RATE ]]</f>
        <v>5890</v>
      </c>
      <c r="N281" s="17">
        <v>45770</v>
      </c>
      <c r="O281" s="17">
        <f>Table1[[#This Row],[ LORRY RATE ]]-Table1[[#This Row],[Adance Paid (INR)]]</f>
        <v>0</v>
      </c>
      <c r="P281" s="17" t="s">
        <v>147</v>
      </c>
      <c r="Q281" s="18" t="s">
        <v>1196</v>
      </c>
      <c r="R281" s="17"/>
      <c r="S281" s="18" t="s">
        <v>1116</v>
      </c>
      <c r="T281" s="18" t="s">
        <v>1116</v>
      </c>
      <c r="U281" s="15" t="s">
        <v>54</v>
      </c>
      <c r="V281" s="15" t="s">
        <v>439</v>
      </c>
      <c r="W281" s="15"/>
    </row>
    <row r="282" spans="1:23" hidden="1" x14ac:dyDescent="0.3">
      <c r="A282" s="15">
        <v>282</v>
      </c>
      <c r="B282" s="15" t="s">
        <v>891</v>
      </c>
      <c r="C282" s="19">
        <v>45653</v>
      </c>
      <c r="D282" s="19" t="s">
        <v>51</v>
      </c>
      <c r="E282" s="21" t="s">
        <v>1104</v>
      </c>
      <c r="F282" s="21">
        <v>9858090286</v>
      </c>
      <c r="G282" s="15" t="s">
        <v>6</v>
      </c>
      <c r="H282" s="15" t="s">
        <v>26</v>
      </c>
      <c r="I282" s="15" t="s">
        <v>1139</v>
      </c>
      <c r="J282" s="15" t="s">
        <v>7</v>
      </c>
      <c r="K282" s="16">
        <v>32020</v>
      </c>
      <c r="L282" s="16">
        <v>40320</v>
      </c>
      <c r="M282" s="17">
        <f>Table1[[#This Row],[Billing Rate Charges]]-Table1[[#This Row],[ LORRY RATE ]]</f>
        <v>8300</v>
      </c>
      <c r="N282" s="17">
        <v>32020</v>
      </c>
      <c r="O282" s="17">
        <f>Table1[[#This Row],[ LORRY RATE ]]-Table1[[#This Row],[Adance Paid (INR)]]</f>
        <v>0</v>
      </c>
      <c r="P282" s="17" t="s">
        <v>147</v>
      </c>
      <c r="Q282" s="18" t="s">
        <v>1193</v>
      </c>
      <c r="R282" s="17"/>
      <c r="S282" s="18" t="s">
        <v>1116</v>
      </c>
      <c r="T282" s="18" t="s">
        <v>1116</v>
      </c>
      <c r="U282" s="15" t="s">
        <v>54</v>
      </c>
      <c r="V282" s="15" t="s">
        <v>439</v>
      </c>
      <c r="W282" s="15"/>
    </row>
    <row r="283" spans="1:23" hidden="1" x14ac:dyDescent="0.3">
      <c r="A283" s="15">
        <v>283</v>
      </c>
      <c r="B283" s="15" t="s">
        <v>891</v>
      </c>
      <c r="C283" s="19">
        <v>45653</v>
      </c>
      <c r="D283" s="19" t="s">
        <v>51</v>
      </c>
      <c r="E283" s="21" t="s">
        <v>1105</v>
      </c>
      <c r="F283" s="21">
        <v>9685078300</v>
      </c>
      <c r="G283" s="15" t="s">
        <v>6</v>
      </c>
      <c r="H283" s="15" t="s">
        <v>1140</v>
      </c>
      <c r="I283" s="15" t="s">
        <v>1141</v>
      </c>
      <c r="J283" s="15" t="s">
        <v>28</v>
      </c>
      <c r="K283" s="16">
        <v>27700</v>
      </c>
      <c r="L283" s="16">
        <v>41900</v>
      </c>
      <c r="M283" s="17">
        <f>Table1[[#This Row],[Billing Rate Charges]]-Table1[[#This Row],[ LORRY RATE ]]</f>
        <v>14200</v>
      </c>
      <c r="N283" s="17">
        <v>27700</v>
      </c>
      <c r="O283" s="17">
        <f>Table1[[#This Row],[ LORRY RATE ]]-Table1[[#This Row],[Adance Paid (INR)]]</f>
        <v>0</v>
      </c>
      <c r="P283" s="17" t="s">
        <v>147</v>
      </c>
      <c r="Q283" s="18" t="s">
        <v>1182</v>
      </c>
      <c r="R283" s="17"/>
      <c r="S283" s="18" t="s">
        <v>1119</v>
      </c>
      <c r="T283" s="18" t="s">
        <v>1119</v>
      </c>
      <c r="U283" s="15" t="s">
        <v>54</v>
      </c>
      <c r="V283" s="15" t="s">
        <v>439</v>
      </c>
      <c r="W283" s="15"/>
    </row>
    <row r="284" spans="1:23" hidden="1" x14ac:dyDescent="0.3">
      <c r="A284" s="15">
        <v>284</v>
      </c>
      <c r="B284" s="15" t="s">
        <v>891</v>
      </c>
      <c r="C284" s="19">
        <v>45654</v>
      </c>
      <c r="D284" s="19" t="s">
        <v>51</v>
      </c>
      <c r="E284" s="21" t="s">
        <v>1106</v>
      </c>
      <c r="F284" s="21">
        <v>9313909358</v>
      </c>
      <c r="G284" s="15" t="s">
        <v>1093</v>
      </c>
      <c r="H284" s="15" t="s">
        <v>26</v>
      </c>
      <c r="I284" s="15" t="s">
        <v>1197</v>
      </c>
      <c r="J284" s="15" t="s">
        <v>7</v>
      </c>
      <c r="K284" s="16">
        <v>70690</v>
      </c>
      <c r="L284" s="16">
        <v>96390</v>
      </c>
      <c r="M284" s="17">
        <f>Table1[[#This Row],[Billing Rate Charges]]-Table1[[#This Row],[ LORRY RATE ]]</f>
        <v>25700</v>
      </c>
      <c r="N284" s="17">
        <v>70690</v>
      </c>
      <c r="O284" s="17">
        <f>Table1[[#This Row],[ LORRY RATE ]]-Table1[[#This Row],[Adance Paid (INR)]]</f>
        <v>0</v>
      </c>
      <c r="P284" s="17" t="s">
        <v>147</v>
      </c>
      <c r="Q284" s="18" t="s">
        <v>1183</v>
      </c>
      <c r="R284" s="17"/>
      <c r="S284" s="18" t="s">
        <v>1117</v>
      </c>
      <c r="T284" s="18" t="s">
        <v>1117</v>
      </c>
      <c r="U284" s="15" t="s">
        <v>54</v>
      </c>
      <c r="V284" s="15" t="s">
        <v>108</v>
      </c>
      <c r="W284" s="15"/>
    </row>
    <row r="285" spans="1:23" hidden="1" x14ac:dyDescent="0.3">
      <c r="A285" s="15">
        <v>285</v>
      </c>
      <c r="B285" s="15" t="s">
        <v>891</v>
      </c>
      <c r="C285" s="19">
        <v>45654</v>
      </c>
      <c r="D285" s="19" t="s">
        <v>51</v>
      </c>
      <c r="E285" s="21" t="s">
        <v>980</v>
      </c>
      <c r="F285" s="21">
        <v>9921512989</v>
      </c>
      <c r="G285" s="15" t="s">
        <v>6</v>
      </c>
      <c r="H285" s="15" t="s">
        <v>26</v>
      </c>
      <c r="I285" s="15" t="s">
        <v>1144</v>
      </c>
      <c r="J285" s="15" t="s">
        <v>7</v>
      </c>
      <c r="K285" s="16">
        <v>32020</v>
      </c>
      <c r="L285" s="16">
        <v>40320</v>
      </c>
      <c r="M285" s="17">
        <f>Table1[[#This Row],[Billing Rate Charges]]-Table1[[#This Row],[ LORRY RATE ]]</f>
        <v>8300</v>
      </c>
      <c r="N285" s="17">
        <v>32020</v>
      </c>
      <c r="O285" s="17">
        <f>Table1[[#This Row],[ LORRY RATE ]]-Table1[[#This Row],[Adance Paid (INR)]]</f>
        <v>0</v>
      </c>
      <c r="P285" s="17" t="s">
        <v>147</v>
      </c>
      <c r="Q285" s="18" t="s">
        <v>1170</v>
      </c>
      <c r="R285" s="17"/>
      <c r="S285" s="18" t="s">
        <v>1119</v>
      </c>
      <c r="T285" s="18" t="s">
        <v>1120</v>
      </c>
      <c r="U285" s="15" t="s">
        <v>54</v>
      </c>
      <c r="V285" s="15" t="s">
        <v>439</v>
      </c>
      <c r="W285" s="15"/>
    </row>
    <row r="286" spans="1:23" hidden="1" x14ac:dyDescent="0.3">
      <c r="A286" s="15">
        <v>286</v>
      </c>
      <c r="B286" s="15" t="s">
        <v>891</v>
      </c>
      <c r="C286" s="19">
        <v>45654</v>
      </c>
      <c r="D286" s="19" t="s">
        <v>56</v>
      </c>
      <c r="E286" s="21" t="s">
        <v>38</v>
      </c>
      <c r="F286" s="21">
        <v>9515412075</v>
      </c>
      <c r="G286" s="15" t="s">
        <v>6</v>
      </c>
      <c r="H286" s="21" t="s">
        <v>1142</v>
      </c>
      <c r="I286" s="15" t="s">
        <v>1143</v>
      </c>
      <c r="J286" s="15" t="s">
        <v>59</v>
      </c>
      <c r="K286" s="16">
        <v>47630</v>
      </c>
      <c r="L286" s="16">
        <v>63000</v>
      </c>
      <c r="M286" s="17">
        <f>Table1[[#This Row],[Billing Rate Charges]]-Table1[[#This Row],[ LORRY RATE ]]</f>
        <v>15370</v>
      </c>
      <c r="N286" s="17">
        <v>47630</v>
      </c>
      <c r="O286" s="17">
        <f>Table1[[#This Row],[ LORRY RATE ]]-Table1[[#This Row],[Adance Paid (INR)]]</f>
        <v>0</v>
      </c>
      <c r="P286" s="17" t="s">
        <v>147</v>
      </c>
      <c r="Q286" s="18" t="s">
        <v>1186</v>
      </c>
      <c r="R286" s="17"/>
      <c r="S286" s="18" t="s">
        <v>1117</v>
      </c>
      <c r="T286" s="18" t="s">
        <v>1117</v>
      </c>
      <c r="U286" s="15" t="s">
        <v>54</v>
      </c>
      <c r="V286" s="15" t="s">
        <v>56</v>
      </c>
      <c r="W286" s="15"/>
    </row>
    <row r="287" spans="1:23" hidden="1" x14ac:dyDescent="0.3">
      <c r="A287" s="15">
        <v>287</v>
      </c>
      <c r="B287" s="15" t="s">
        <v>891</v>
      </c>
      <c r="C287" s="19">
        <v>45654</v>
      </c>
      <c r="D287" s="19" t="s">
        <v>51</v>
      </c>
      <c r="E287" s="21" t="s">
        <v>153</v>
      </c>
      <c r="F287" s="21">
        <v>9950818773</v>
      </c>
      <c r="G287" s="15" t="s">
        <v>1093</v>
      </c>
      <c r="H287" s="15" t="s">
        <v>26</v>
      </c>
      <c r="I287" s="15" t="s">
        <v>1165</v>
      </c>
      <c r="J287" s="15" t="s">
        <v>7</v>
      </c>
      <c r="K287" s="16">
        <v>68010</v>
      </c>
      <c r="L287" s="16">
        <v>96390</v>
      </c>
      <c r="M287" s="17">
        <f>Table1[[#This Row],[Billing Rate Charges]]-Table1[[#This Row],[ LORRY RATE ]]</f>
        <v>28380</v>
      </c>
      <c r="N287" s="17">
        <v>68010</v>
      </c>
      <c r="O287" s="17">
        <f>Table1[[#This Row],[ LORRY RATE ]]-Table1[[#This Row],[Adance Paid (INR)]]</f>
        <v>0</v>
      </c>
      <c r="P287" s="17" t="s">
        <v>147</v>
      </c>
      <c r="Q287" s="18" t="s">
        <v>1198</v>
      </c>
      <c r="R287" s="17"/>
      <c r="S287" s="18" t="s">
        <v>1117</v>
      </c>
      <c r="T287" s="18" t="s">
        <v>1117</v>
      </c>
      <c r="U287" s="15" t="s">
        <v>54</v>
      </c>
      <c r="V287" s="15" t="s">
        <v>439</v>
      </c>
      <c r="W287" s="15"/>
    </row>
    <row r="288" spans="1:23" hidden="1" x14ac:dyDescent="0.3">
      <c r="A288" s="15">
        <v>288</v>
      </c>
      <c r="B288" s="15" t="s">
        <v>891</v>
      </c>
      <c r="C288" s="19">
        <v>45655</v>
      </c>
      <c r="D288" s="19" t="s">
        <v>51</v>
      </c>
      <c r="E288" s="21" t="s">
        <v>1108</v>
      </c>
      <c r="F288" s="21">
        <v>9299677001</v>
      </c>
      <c r="G288" s="15" t="s">
        <v>1093</v>
      </c>
      <c r="H288" s="15" t="s">
        <v>1154</v>
      </c>
      <c r="I288" s="15" t="s">
        <v>1155</v>
      </c>
      <c r="J288" s="15" t="s">
        <v>7</v>
      </c>
      <c r="K288" s="16">
        <v>71630</v>
      </c>
      <c r="L288" s="16">
        <v>102690</v>
      </c>
      <c r="M288" s="17">
        <f>Table1[[#This Row],[Billing Rate Charges]]-Table1[[#This Row],[ LORRY RATE ]]</f>
        <v>31060</v>
      </c>
      <c r="N288" s="17">
        <v>71630</v>
      </c>
      <c r="O288" s="17">
        <f>Table1[[#This Row],[ LORRY RATE ]]-Table1[[#This Row],[Adance Paid (INR)]]</f>
        <v>0</v>
      </c>
      <c r="P288" s="17" t="s">
        <v>147</v>
      </c>
      <c r="Q288" s="18" t="s">
        <v>1194</v>
      </c>
      <c r="R288" s="17"/>
      <c r="S288" s="18" t="s">
        <v>1121</v>
      </c>
      <c r="T288" s="18" t="s">
        <v>1118</v>
      </c>
      <c r="U288" s="15" t="s">
        <v>54</v>
      </c>
      <c r="V288" s="15" t="s">
        <v>439</v>
      </c>
      <c r="W288" s="15"/>
    </row>
    <row r="289" spans="1:23" hidden="1" x14ac:dyDescent="0.3">
      <c r="A289" s="15">
        <v>289</v>
      </c>
      <c r="B289" s="15" t="s">
        <v>891</v>
      </c>
      <c r="C289" s="19">
        <v>45656</v>
      </c>
      <c r="D289" s="19" t="s">
        <v>51</v>
      </c>
      <c r="E289" s="21" t="s">
        <v>1109</v>
      </c>
      <c r="F289" s="21">
        <v>9686204165</v>
      </c>
      <c r="G289" s="15" t="s">
        <v>6</v>
      </c>
      <c r="H289" s="15" t="s">
        <v>26</v>
      </c>
      <c r="I289" s="15" t="s">
        <v>1145</v>
      </c>
      <c r="J289" s="15" t="s">
        <v>7</v>
      </c>
      <c r="K289" s="16">
        <v>32600</v>
      </c>
      <c r="L289" s="16">
        <v>45990</v>
      </c>
      <c r="M289" s="17">
        <f>Table1[[#This Row],[Billing Rate Charges]]-Table1[[#This Row],[ LORRY RATE ]]</f>
        <v>13390</v>
      </c>
      <c r="N289" s="17">
        <v>32600</v>
      </c>
      <c r="O289" s="17">
        <f>Table1[[#This Row],[ LORRY RATE ]]-Table1[[#This Row],[Adance Paid (INR)]]</f>
        <v>0</v>
      </c>
      <c r="P289" s="17" t="s">
        <v>147</v>
      </c>
      <c r="Q289" s="18" t="s">
        <v>1175</v>
      </c>
      <c r="R289" s="17"/>
      <c r="S289" s="18" t="s">
        <v>1118</v>
      </c>
      <c r="T289" s="18" t="s">
        <v>1118</v>
      </c>
      <c r="U289" s="15" t="s">
        <v>54</v>
      </c>
      <c r="V289" s="15" t="s">
        <v>529</v>
      </c>
      <c r="W289" s="15" t="s">
        <v>154</v>
      </c>
    </row>
    <row r="290" spans="1:23" hidden="1" x14ac:dyDescent="0.3">
      <c r="A290" s="15">
        <v>290</v>
      </c>
      <c r="B290" s="15" t="s">
        <v>891</v>
      </c>
      <c r="C290" s="19">
        <v>45656</v>
      </c>
      <c r="D290" s="19" t="s">
        <v>51</v>
      </c>
      <c r="E290" s="21" t="s">
        <v>1110</v>
      </c>
      <c r="F290" s="21">
        <v>9021645012</v>
      </c>
      <c r="G290" s="15" t="s">
        <v>6</v>
      </c>
      <c r="H290" s="15" t="s">
        <v>1146</v>
      </c>
      <c r="I290" s="15" t="s">
        <v>1147</v>
      </c>
      <c r="J290" s="15" t="s">
        <v>7</v>
      </c>
      <c r="K290" s="16">
        <v>33140</v>
      </c>
      <c r="L290" s="16">
        <v>45990</v>
      </c>
      <c r="M290" s="17">
        <f>Table1[[#This Row],[Billing Rate Charges]]-Table1[[#This Row],[ LORRY RATE ]]</f>
        <v>12850</v>
      </c>
      <c r="N290" s="17">
        <v>33140</v>
      </c>
      <c r="O290" s="17">
        <f>Table1[[#This Row],[ LORRY RATE ]]-Table1[[#This Row],[Adance Paid (INR)]]</f>
        <v>0</v>
      </c>
      <c r="P290" s="17" t="s">
        <v>147</v>
      </c>
      <c r="Q290" s="18" t="s">
        <v>1192</v>
      </c>
      <c r="R290" s="17"/>
      <c r="S290" s="18" t="s">
        <v>1118</v>
      </c>
      <c r="T290" s="18" t="s">
        <v>1122</v>
      </c>
      <c r="U290" s="15" t="s">
        <v>54</v>
      </c>
      <c r="V290" s="15" t="s">
        <v>529</v>
      </c>
      <c r="W290" s="15" t="s">
        <v>154</v>
      </c>
    </row>
    <row r="291" spans="1:23" hidden="1" x14ac:dyDescent="0.3">
      <c r="A291" s="15">
        <v>291</v>
      </c>
      <c r="B291" s="15" t="s">
        <v>1111</v>
      </c>
      <c r="C291" s="19">
        <v>45658</v>
      </c>
      <c r="D291" s="19" t="s">
        <v>51</v>
      </c>
      <c r="E291" s="21" t="s">
        <v>1112</v>
      </c>
      <c r="F291" s="21">
        <v>9951474484</v>
      </c>
      <c r="G291" s="15" t="s">
        <v>6</v>
      </c>
      <c r="H291" s="15" t="s">
        <v>1160</v>
      </c>
      <c r="I291" s="15" t="s">
        <v>1161</v>
      </c>
      <c r="J291" s="15" t="s">
        <v>7</v>
      </c>
      <c r="K291" s="16">
        <v>32600</v>
      </c>
      <c r="L291" s="16">
        <v>45990</v>
      </c>
      <c r="M291" s="17">
        <f>Table1[[#This Row],[Billing Rate Charges]]-Table1[[#This Row],[ LORRY RATE ]]</f>
        <v>13390</v>
      </c>
      <c r="N291" s="17">
        <v>32600</v>
      </c>
      <c r="O291" s="17">
        <f>Table1[[#This Row],[ LORRY RATE ]]-Table1[[#This Row],[Adance Paid (INR)]]</f>
        <v>0</v>
      </c>
      <c r="P291" s="17" t="s">
        <v>147</v>
      </c>
      <c r="Q291" s="18" t="s">
        <v>1199</v>
      </c>
      <c r="R291" s="17"/>
      <c r="S291" s="18" t="s">
        <v>1118</v>
      </c>
      <c r="T291" s="18" t="s">
        <v>1118</v>
      </c>
      <c r="U291" s="15" t="s">
        <v>54</v>
      </c>
      <c r="V291" s="15" t="s">
        <v>529</v>
      </c>
      <c r="W291" s="15" t="s">
        <v>1113</v>
      </c>
    </row>
    <row r="292" spans="1:23" hidden="1" x14ac:dyDescent="0.3">
      <c r="A292" s="15">
        <v>292</v>
      </c>
      <c r="B292" s="15" t="s">
        <v>1111</v>
      </c>
      <c r="C292" s="19">
        <v>45659</v>
      </c>
      <c r="D292" s="19" t="s">
        <v>56</v>
      </c>
      <c r="E292" s="21" t="s">
        <v>60</v>
      </c>
      <c r="F292" s="21">
        <v>9281983602</v>
      </c>
      <c r="G292" s="15" t="s">
        <v>1093</v>
      </c>
      <c r="H292" s="15" t="s">
        <v>1158</v>
      </c>
      <c r="I292" s="15" t="s">
        <v>1159</v>
      </c>
      <c r="J292" s="15" t="s">
        <v>7</v>
      </c>
      <c r="K292" s="16">
        <v>53580</v>
      </c>
      <c r="L292" s="16">
        <v>102690</v>
      </c>
      <c r="M292" s="17">
        <f>Table1[[#This Row],[Billing Rate Charges]]-Table1[[#This Row],[ LORRY RATE ]]</f>
        <v>49110</v>
      </c>
      <c r="N292" s="17">
        <v>53580</v>
      </c>
      <c r="O292" s="17">
        <f>Table1[[#This Row],[ LORRY RATE ]]-Table1[[#This Row],[Adance Paid (INR)]]</f>
        <v>0</v>
      </c>
      <c r="P292" s="17" t="s">
        <v>147</v>
      </c>
      <c r="Q292" s="18" t="s">
        <v>1200</v>
      </c>
      <c r="R292" s="17"/>
      <c r="S292" s="18" t="s">
        <v>1123</v>
      </c>
      <c r="T292" s="18" t="s">
        <v>1123</v>
      </c>
      <c r="U292" s="15" t="s">
        <v>54</v>
      </c>
      <c r="V292" s="15" t="s">
        <v>56</v>
      </c>
      <c r="W292" s="15"/>
    </row>
    <row r="293" spans="1:23" hidden="1" x14ac:dyDescent="0.3">
      <c r="A293" s="15">
        <v>293</v>
      </c>
      <c r="B293" s="15" t="s">
        <v>1111</v>
      </c>
      <c r="C293" s="19">
        <v>45659</v>
      </c>
      <c r="D293" s="19" t="s">
        <v>51</v>
      </c>
      <c r="E293" s="21" t="s">
        <v>1115</v>
      </c>
      <c r="F293" s="21">
        <v>9273186420</v>
      </c>
      <c r="G293" s="15" t="s">
        <v>1093</v>
      </c>
      <c r="H293" s="15" t="s">
        <v>26</v>
      </c>
      <c r="I293" s="15" t="s">
        <v>1163</v>
      </c>
      <c r="J293" s="15" t="s">
        <v>7</v>
      </c>
      <c r="K293" s="16">
        <v>65870</v>
      </c>
      <c r="L293" s="16">
        <v>96390</v>
      </c>
      <c r="M293" s="17">
        <f>Table1[[#This Row],[Billing Rate Charges]]-Table1[[#This Row],[ LORRY RATE ]]</f>
        <v>30520</v>
      </c>
      <c r="N293" s="17">
        <v>65870</v>
      </c>
      <c r="O293" s="17">
        <f>Table1[[#This Row],[ LORRY RATE ]]-Table1[[#This Row],[Adance Paid (INR)]]</f>
        <v>0</v>
      </c>
      <c r="P293" s="17" t="s">
        <v>147</v>
      </c>
      <c r="Q293" s="18" t="s">
        <v>1201</v>
      </c>
      <c r="R293" s="17"/>
      <c r="S293" s="18" t="s">
        <v>1124</v>
      </c>
      <c r="T293" s="18" t="s">
        <v>1124</v>
      </c>
      <c r="U293" s="15" t="s">
        <v>54</v>
      </c>
      <c r="V293" s="15" t="s">
        <v>225</v>
      </c>
      <c r="W293" s="15"/>
    </row>
    <row r="294" spans="1:23" hidden="1" x14ac:dyDescent="0.3">
      <c r="A294" s="15">
        <v>294</v>
      </c>
      <c r="B294" s="15" t="s">
        <v>1111</v>
      </c>
      <c r="C294" s="19">
        <v>45661</v>
      </c>
      <c r="D294" s="19" t="s">
        <v>56</v>
      </c>
      <c r="E294" s="15" t="s">
        <v>38</v>
      </c>
      <c r="F294" s="15">
        <v>9515412075</v>
      </c>
      <c r="G294" s="15" t="s">
        <v>1093</v>
      </c>
      <c r="H294" s="15" t="s">
        <v>26</v>
      </c>
      <c r="I294" s="15" t="s">
        <v>1168</v>
      </c>
      <c r="J294" s="15" t="s">
        <v>25</v>
      </c>
      <c r="K294" s="16">
        <v>52630</v>
      </c>
      <c r="L294" s="16">
        <v>96390</v>
      </c>
      <c r="M294" s="17">
        <f>Table1[[#This Row],[Billing Rate Charges]]-Table1[[#This Row],[ LORRY RATE ]]</f>
        <v>43760</v>
      </c>
      <c r="N294" s="17">
        <v>52630</v>
      </c>
      <c r="O294" s="17">
        <f>Table1[[#This Row],[ LORRY RATE ]]-Table1[[#This Row],[Adance Paid (INR)]]</f>
        <v>0</v>
      </c>
      <c r="P294" s="17" t="s">
        <v>147</v>
      </c>
      <c r="Q294" s="18" t="s">
        <v>1202</v>
      </c>
      <c r="R294" s="17"/>
      <c r="S294" s="18" t="s">
        <v>1125</v>
      </c>
      <c r="T294" s="18" t="s">
        <v>1125</v>
      </c>
      <c r="U294" s="15" t="s">
        <v>54</v>
      </c>
      <c r="V294" s="15" t="s">
        <v>56</v>
      </c>
      <c r="W294" s="15"/>
    </row>
    <row r="295" spans="1:23" hidden="1" x14ac:dyDescent="0.3">
      <c r="A295" s="15">
        <v>295</v>
      </c>
      <c r="B295" s="15" t="s">
        <v>1111</v>
      </c>
      <c r="C295" s="19">
        <v>45659</v>
      </c>
      <c r="D295" s="19" t="s">
        <v>51</v>
      </c>
      <c r="E295" s="15" t="s">
        <v>380</v>
      </c>
      <c r="F295" s="15"/>
      <c r="G295" s="15" t="s">
        <v>6</v>
      </c>
      <c r="H295" s="15" t="s">
        <v>26</v>
      </c>
      <c r="I295" s="15" t="s">
        <v>1148</v>
      </c>
      <c r="J295" s="15" t="s">
        <v>381</v>
      </c>
      <c r="K295" s="16">
        <v>49630</v>
      </c>
      <c r="L295" s="16">
        <v>54680</v>
      </c>
      <c r="M295" s="17">
        <f>Table1[[#This Row],[Billing Rate Charges]]-Table1[[#This Row],[ LORRY RATE ]]</f>
        <v>5050</v>
      </c>
      <c r="N295" s="17">
        <v>49630</v>
      </c>
      <c r="O295" s="17">
        <f>Table1[[#This Row],[ LORRY RATE ]]-Table1[[#This Row],[Adance Paid (INR)]]</f>
        <v>0</v>
      </c>
      <c r="P295" s="17" t="s">
        <v>147</v>
      </c>
      <c r="Q295" s="18" t="s">
        <v>1208</v>
      </c>
      <c r="R295" s="17"/>
      <c r="S295" s="18" t="s">
        <v>1122</v>
      </c>
      <c r="T295" s="18" t="s">
        <v>1126</v>
      </c>
      <c r="U295" s="15" t="s">
        <v>54</v>
      </c>
      <c r="V295" s="15" t="s">
        <v>380</v>
      </c>
      <c r="W295" s="15" t="s">
        <v>1203</v>
      </c>
    </row>
    <row r="296" spans="1:23" hidden="1" x14ac:dyDescent="0.3">
      <c r="A296" s="15">
        <v>296</v>
      </c>
      <c r="B296" s="15" t="s">
        <v>1111</v>
      </c>
      <c r="C296" s="19">
        <v>45659</v>
      </c>
      <c r="D296" s="19" t="s">
        <v>51</v>
      </c>
      <c r="E296" s="15" t="s">
        <v>380</v>
      </c>
      <c r="F296" s="15"/>
      <c r="G296" s="15" t="s">
        <v>6</v>
      </c>
      <c r="H296" s="15" t="s">
        <v>26</v>
      </c>
      <c r="I296" s="15" t="s">
        <v>1149</v>
      </c>
      <c r="J296" s="15" t="s">
        <v>381</v>
      </c>
      <c r="K296" s="16">
        <v>96230</v>
      </c>
      <c r="L296" s="16">
        <v>103190</v>
      </c>
      <c r="M296" s="17">
        <f>Table1[[#This Row],[Billing Rate Charges]]-Table1[[#This Row],[ LORRY RATE ]]</f>
        <v>6960</v>
      </c>
      <c r="N296" s="17">
        <v>96230</v>
      </c>
      <c r="O296" s="17">
        <f>Table1[[#This Row],[ LORRY RATE ]]-Table1[[#This Row],[Adance Paid (INR)]]</f>
        <v>0</v>
      </c>
      <c r="P296" s="17" t="s">
        <v>147</v>
      </c>
      <c r="Q296" s="18" t="s">
        <v>1209</v>
      </c>
      <c r="R296" s="17"/>
      <c r="S296" s="18" t="s">
        <v>1122</v>
      </c>
      <c r="T296" s="18" t="s">
        <v>1126</v>
      </c>
      <c r="U296" s="15" t="s">
        <v>54</v>
      </c>
      <c r="V296" s="15" t="s">
        <v>380</v>
      </c>
      <c r="W296" s="15" t="s">
        <v>1204</v>
      </c>
    </row>
    <row r="297" spans="1:23" hidden="1" x14ac:dyDescent="0.3">
      <c r="A297" s="15">
        <v>297</v>
      </c>
      <c r="B297" s="15" t="s">
        <v>1111</v>
      </c>
      <c r="C297" s="19">
        <v>45659</v>
      </c>
      <c r="D297" s="19" t="s">
        <v>51</v>
      </c>
      <c r="E297" s="15" t="s">
        <v>380</v>
      </c>
      <c r="F297" s="15"/>
      <c r="G297" s="15" t="s">
        <v>6</v>
      </c>
      <c r="H297" s="15" t="s">
        <v>26</v>
      </c>
      <c r="I297" s="15" t="s">
        <v>1150</v>
      </c>
      <c r="J297" s="15" t="s">
        <v>381</v>
      </c>
      <c r="K297" s="16">
        <v>103110</v>
      </c>
      <c r="L297" s="16">
        <v>149100</v>
      </c>
      <c r="M297" s="17">
        <f>Table1[[#This Row],[Billing Rate Charges]]-Table1[[#This Row],[ LORRY RATE ]]</f>
        <v>45990</v>
      </c>
      <c r="N297" s="17">
        <v>103110</v>
      </c>
      <c r="O297" s="17">
        <f>Table1[[#This Row],[ LORRY RATE ]]-Table1[[#This Row],[Adance Paid (INR)]]</f>
        <v>0</v>
      </c>
      <c r="P297" s="17" t="s">
        <v>147</v>
      </c>
      <c r="Q297" s="18" t="s">
        <v>1210</v>
      </c>
      <c r="R297" s="17"/>
      <c r="S297" s="18" t="s">
        <v>1122</v>
      </c>
      <c r="T297" s="18" t="s">
        <v>1126</v>
      </c>
      <c r="U297" s="15" t="s">
        <v>54</v>
      </c>
      <c r="V297" s="15" t="s">
        <v>380</v>
      </c>
      <c r="W297" s="15" t="s">
        <v>1205</v>
      </c>
    </row>
    <row r="298" spans="1:23" hidden="1" x14ac:dyDescent="0.3">
      <c r="A298" s="15">
        <v>298</v>
      </c>
      <c r="B298" s="15" t="s">
        <v>1111</v>
      </c>
      <c r="C298" s="19">
        <v>45660</v>
      </c>
      <c r="D298" s="19" t="s">
        <v>51</v>
      </c>
      <c r="E298" s="15" t="s">
        <v>380</v>
      </c>
      <c r="F298" s="15"/>
      <c r="G298" s="15" t="s">
        <v>6</v>
      </c>
      <c r="H298" s="15" t="s">
        <v>26</v>
      </c>
      <c r="I298" s="15" t="s">
        <v>1151</v>
      </c>
      <c r="J298" s="15" t="s">
        <v>381</v>
      </c>
      <c r="K298" s="16">
        <v>58590</v>
      </c>
      <c r="L298" s="16">
        <v>60240</v>
      </c>
      <c r="M298" s="17">
        <f>Table1[[#This Row],[Billing Rate Charges]]-Table1[[#This Row],[ LORRY RATE ]]</f>
        <v>1650</v>
      </c>
      <c r="N298" s="17">
        <v>58590</v>
      </c>
      <c r="O298" s="17">
        <f>Table1[[#This Row],[ LORRY RATE ]]-Table1[[#This Row],[Adance Paid (INR)]]</f>
        <v>0</v>
      </c>
      <c r="P298" s="17" t="s">
        <v>147</v>
      </c>
      <c r="Q298" s="18" t="s">
        <v>1211</v>
      </c>
      <c r="R298" s="17"/>
      <c r="S298" s="18" t="s">
        <v>1126</v>
      </c>
      <c r="T298" s="18" t="s">
        <v>1126</v>
      </c>
      <c r="U298" s="15" t="s">
        <v>54</v>
      </c>
      <c r="V298" s="15" t="s">
        <v>380</v>
      </c>
      <c r="W298" s="15" t="s">
        <v>1206</v>
      </c>
    </row>
    <row r="299" spans="1:23" hidden="1" x14ac:dyDescent="0.3">
      <c r="A299" s="15">
        <v>299</v>
      </c>
      <c r="B299" s="15" t="s">
        <v>1111</v>
      </c>
      <c r="C299" s="19">
        <v>45660</v>
      </c>
      <c r="D299" s="19" t="s">
        <v>51</v>
      </c>
      <c r="E299" s="15" t="s">
        <v>380</v>
      </c>
      <c r="F299" s="15"/>
      <c r="G299" s="15" t="s">
        <v>6</v>
      </c>
      <c r="H299" s="15" t="s">
        <v>26</v>
      </c>
      <c r="I299" s="15" t="s">
        <v>1151</v>
      </c>
      <c r="J299" s="15" t="s">
        <v>381</v>
      </c>
      <c r="K299" s="16">
        <v>86710</v>
      </c>
      <c r="L299" s="16">
        <v>94460</v>
      </c>
      <c r="M299" s="17">
        <v>7750</v>
      </c>
      <c r="N299" s="17">
        <v>86710</v>
      </c>
      <c r="O299" s="17"/>
      <c r="P299" s="17" t="s">
        <v>147</v>
      </c>
      <c r="Q299" s="18" t="s">
        <v>1212</v>
      </c>
      <c r="R299" s="17"/>
      <c r="S299" s="18" t="s">
        <v>1126</v>
      </c>
      <c r="T299" s="18" t="s">
        <v>1123</v>
      </c>
      <c r="U299" s="15" t="s">
        <v>54</v>
      </c>
      <c r="V299" s="15" t="s">
        <v>380</v>
      </c>
      <c r="W299" s="15" t="s">
        <v>1207</v>
      </c>
    </row>
    <row r="300" spans="1:23" hidden="1" x14ac:dyDescent="0.3">
      <c r="A300" s="15">
        <v>300</v>
      </c>
      <c r="B300" s="15" t="s">
        <v>1111</v>
      </c>
      <c r="C300" s="19">
        <v>45664</v>
      </c>
      <c r="D300" s="19" t="s">
        <v>56</v>
      </c>
      <c r="E300" s="15" t="s">
        <v>60</v>
      </c>
      <c r="F300" s="15">
        <v>9589264337</v>
      </c>
      <c r="G300" s="15" t="s">
        <v>6</v>
      </c>
      <c r="H300" s="15" t="s">
        <v>1228</v>
      </c>
      <c r="I300" s="15" t="s">
        <v>1229</v>
      </c>
      <c r="J300" s="15" t="s">
        <v>7</v>
      </c>
      <c r="K300" s="16">
        <v>45170</v>
      </c>
      <c r="L300" s="16">
        <v>46620</v>
      </c>
      <c r="M300" s="17">
        <f>Table1[[#This Row],[Billing Rate Charges]]-Table1[[#This Row],[ LORRY RATE ]]</f>
        <v>1450</v>
      </c>
      <c r="N300" s="17">
        <v>45170</v>
      </c>
      <c r="O300" s="17">
        <f>Table1[[#This Row],[ LORRY RATE ]]-Table1[[#This Row],[Adance Paid (INR)]]</f>
        <v>0</v>
      </c>
      <c r="P300" s="17" t="s">
        <v>147</v>
      </c>
      <c r="Q300" s="18" t="s">
        <v>1244</v>
      </c>
      <c r="R300" s="17"/>
      <c r="S300" s="18" t="s">
        <v>1219</v>
      </c>
      <c r="T300" s="18" t="s">
        <v>1219</v>
      </c>
      <c r="U300" s="15" t="s">
        <v>54</v>
      </c>
      <c r="V300" s="15" t="s">
        <v>56</v>
      </c>
      <c r="W300" s="15"/>
    </row>
    <row r="301" spans="1:23" hidden="1" x14ac:dyDescent="0.3">
      <c r="A301" s="15">
        <v>301</v>
      </c>
      <c r="B301" s="15" t="s">
        <v>1111</v>
      </c>
      <c r="C301" s="19">
        <v>45665</v>
      </c>
      <c r="D301" s="19" t="s">
        <v>56</v>
      </c>
      <c r="E301" s="15" t="s">
        <v>38</v>
      </c>
      <c r="F301" s="15">
        <v>9515412075</v>
      </c>
      <c r="G301" s="15" t="s">
        <v>6</v>
      </c>
      <c r="H301" s="15" t="s">
        <v>1232</v>
      </c>
      <c r="I301" s="15" t="s">
        <v>1233</v>
      </c>
      <c r="J301" s="15" t="s">
        <v>59</v>
      </c>
      <c r="K301" s="16">
        <v>44930</v>
      </c>
      <c r="L301" s="16">
        <v>45040</v>
      </c>
      <c r="M301" s="17">
        <f>Table1[[#This Row],[Billing Rate Charges]]-Table1[[#This Row],[ LORRY RATE ]]</f>
        <v>110</v>
      </c>
      <c r="N301" s="17">
        <v>44930</v>
      </c>
      <c r="O301" s="17">
        <f>Table1[[#This Row],[ LORRY RATE ]]-Table1[[#This Row],[Adance Paid (INR)]]</f>
        <v>0</v>
      </c>
      <c r="P301" s="17" t="s">
        <v>147</v>
      </c>
      <c r="Q301" s="18" t="s">
        <v>1245</v>
      </c>
      <c r="R301" s="17"/>
      <c r="S301" s="18" t="s">
        <v>1219</v>
      </c>
      <c r="T301" s="18" t="s">
        <v>1220</v>
      </c>
      <c r="U301" s="15" t="s">
        <v>54</v>
      </c>
      <c r="V301" s="15" t="s">
        <v>56</v>
      </c>
      <c r="W301" s="15"/>
    </row>
    <row r="302" spans="1:23" hidden="1" x14ac:dyDescent="0.3">
      <c r="A302" s="15">
        <v>302</v>
      </c>
      <c r="B302" s="15" t="s">
        <v>1111</v>
      </c>
      <c r="C302" s="19">
        <v>45665</v>
      </c>
      <c r="D302" s="19" t="s">
        <v>51</v>
      </c>
      <c r="E302" s="15" t="s">
        <v>380</v>
      </c>
      <c r="F302" s="15"/>
      <c r="G302" s="15" t="s">
        <v>6</v>
      </c>
      <c r="H302" s="15" t="s">
        <v>26</v>
      </c>
      <c r="I302" s="15" t="s">
        <v>1230</v>
      </c>
      <c r="J302" s="15" t="s">
        <v>381</v>
      </c>
      <c r="K302" s="16">
        <v>36610</v>
      </c>
      <c r="L302" s="16">
        <v>40720</v>
      </c>
      <c r="M302" s="17">
        <f>Table1[[#This Row],[Billing Rate Charges]]-Table1[[#This Row],[ LORRY RATE ]]</f>
        <v>4110</v>
      </c>
      <c r="N302" s="17">
        <v>36610</v>
      </c>
      <c r="O302" s="17">
        <f>Table1[[#This Row],[ LORRY RATE ]]-Table1[[#This Row],[Adance Paid (INR)]]</f>
        <v>0</v>
      </c>
      <c r="P302" s="17" t="s">
        <v>147</v>
      </c>
      <c r="Q302" s="18" t="s">
        <v>1246</v>
      </c>
      <c r="R302" s="17"/>
      <c r="S302" s="18" t="s">
        <v>1221</v>
      </c>
      <c r="T302" s="18" t="s">
        <v>1221</v>
      </c>
      <c r="U302" s="15" t="s">
        <v>54</v>
      </c>
      <c r="V302" s="15" t="s">
        <v>380</v>
      </c>
      <c r="W302" s="15" t="s">
        <v>1213</v>
      </c>
    </row>
    <row r="303" spans="1:23" hidden="1" x14ac:dyDescent="0.3">
      <c r="A303" s="15">
        <v>303</v>
      </c>
      <c r="B303" s="15" t="s">
        <v>1111</v>
      </c>
      <c r="C303" s="19">
        <v>45665</v>
      </c>
      <c r="D303" s="19" t="s">
        <v>51</v>
      </c>
      <c r="E303" s="15" t="s">
        <v>380</v>
      </c>
      <c r="F303" s="15"/>
      <c r="G303" s="15" t="s">
        <v>6</v>
      </c>
      <c r="H303" s="15" t="s">
        <v>26</v>
      </c>
      <c r="I303" s="15" t="s">
        <v>1231</v>
      </c>
      <c r="J303" s="15" t="s">
        <v>381</v>
      </c>
      <c r="K303" s="16">
        <v>57870</v>
      </c>
      <c r="L303" s="16">
        <v>60790</v>
      </c>
      <c r="M303" s="17">
        <f>Table1[[#This Row],[Billing Rate Charges]]-Table1[[#This Row],[ LORRY RATE ]]</f>
        <v>2920</v>
      </c>
      <c r="N303" s="17">
        <v>57870</v>
      </c>
      <c r="O303" s="17">
        <f>Table1[[#This Row],[ LORRY RATE ]]-Table1[[#This Row],[Adance Paid (INR)]]</f>
        <v>0</v>
      </c>
      <c r="P303" s="17" t="s">
        <v>147</v>
      </c>
      <c r="Q303" s="18" t="s">
        <v>1248</v>
      </c>
      <c r="R303" s="17"/>
      <c r="S303" s="18" t="s">
        <v>1221</v>
      </c>
      <c r="T303" s="18" t="s">
        <v>1222</v>
      </c>
      <c r="U303" s="15" t="s">
        <v>54</v>
      </c>
      <c r="V303" s="15" t="s">
        <v>380</v>
      </c>
      <c r="W303" s="15" t="s">
        <v>1247</v>
      </c>
    </row>
    <row r="304" spans="1:23" hidden="1" x14ac:dyDescent="0.3">
      <c r="A304" s="15">
        <v>304</v>
      </c>
      <c r="B304" s="15" t="s">
        <v>1111</v>
      </c>
      <c r="C304" s="19">
        <v>45666</v>
      </c>
      <c r="D304" s="19" t="s">
        <v>51</v>
      </c>
      <c r="E304" s="21" t="s">
        <v>1214</v>
      </c>
      <c r="F304" s="21">
        <v>9229340471</v>
      </c>
      <c r="G304" s="15" t="s">
        <v>1093</v>
      </c>
      <c r="H304" s="15" t="s">
        <v>1240</v>
      </c>
      <c r="I304" s="15" t="s">
        <v>1241</v>
      </c>
      <c r="J304" s="15" t="s">
        <v>455</v>
      </c>
      <c r="K304" s="16">
        <v>86880</v>
      </c>
      <c r="L304" s="16">
        <v>122220</v>
      </c>
      <c r="M304" s="17">
        <f>Table1[[#This Row],[Billing Rate Charges]]-Table1[[#This Row],[ LORRY RATE ]]</f>
        <v>35340</v>
      </c>
      <c r="N304" s="17">
        <v>86880</v>
      </c>
      <c r="O304" s="17">
        <f>Table1[[#This Row],[ LORRY RATE ]]-Table1[[#This Row],[Adance Paid (INR)]]</f>
        <v>0</v>
      </c>
      <c r="P304" s="17" t="s">
        <v>147</v>
      </c>
      <c r="Q304" s="18" t="s">
        <v>1249</v>
      </c>
      <c r="R304" s="17"/>
      <c r="S304" s="18" t="s">
        <v>1223</v>
      </c>
      <c r="T304" s="18" t="s">
        <v>1220</v>
      </c>
      <c r="U304" s="15" t="s">
        <v>54</v>
      </c>
      <c r="V304" s="15" t="s">
        <v>439</v>
      </c>
      <c r="W304" s="15" t="s">
        <v>1226</v>
      </c>
    </row>
    <row r="305" spans="1:23" hidden="1" x14ac:dyDescent="0.3">
      <c r="A305" s="15">
        <v>305</v>
      </c>
      <c r="B305" s="15" t="s">
        <v>1111</v>
      </c>
      <c r="C305" s="19">
        <v>45666</v>
      </c>
      <c r="D305" s="19" t="s">
        <v>1215</v>
      </c>
      <c r="E305" s="21" t="s">
        <v>1108</v>
      </c>
      <c r="F305" s="21">
        <v>9299677001</v>
      </c>
      <c r="G305" s="15" t="s">
        <v>1093</v>
      </c>
      <c r="H305" s="15" t="s">
        <v>26</v>
      </c>
      <c r="I305" s="15" t="s">
        <v>1242</v>
      </c>
      <c r="J305" s="15" t="s">
        <v>7</v>
      </c>
      <c r="K305" s="16">
        <v>68230</v>
      </c>
      <c r="L305" s="16">
        <v>101430</v>
      </c>
      <c r="M305" s="17">
        <f>Table1[[#This Row],[Billing Rate Charges]]-Table1[[#This Row],[ LORRY RATE ]]</f>
        <v>33200</v>
      </c>
      <c r="N305" s="17">
        <v>68230</v>
      </c>
      <c r="O305" s="17">
        <f>Table1[[#This Row],[ LORRY RATE ]]-Table1[[#This Row],[Adance Paid (INR)]]</f>
        <v>0</v>
      </c>
      <c r="P305" s="17" t="s">
        <v>147</v>
      </c>
      <c r="Q305" s="18" t="s">
        <v>1250</v>
      </c>
      <c r="R305" s="17"/>
      <c r="S305" s="18" t="s">
        <v>1223</v>
      </c>
      <c r="T305" s="18" t="s">
        <v>1220</v>
      </c>
      <c r="U305" s="15" t="s">
        <v>54</v>
      </c>
      <c r="V305" s="15" t="s">
        <v>439</v>
      </c>
      <c r="W305" s="15" t="s">
        <v>154</v>
      </c>
    </row>
    <row r="306" spans="1:23" hidden="1" x14ac:dyDescent="0.3">
      <c r="A306" s="15">
        <v>306</v>
      </c>
      <c r="B306" s="15" t="s">
        <v>1111</v>
      </c>
      <c r="C306" s="19">
        <v>45666</v>
      </c>
      <c r="D306" s="19" t="s">
        <v>51</v>
      </c>
      <c r="E306" s="21" t="s">
        <v>980</v>
      </c>
      <c r="F306" s="21">
        <v>9754088991</v>
      </c>
      <c r="G306" s="15" t="s">
        <v>6</v>
      </c>
      <c r="H306" s="15" t="s">
        <v>26</v>
      </c>
      <c r="I306" s="15" t="s">
        <v>1234</v>
      </c>
      <c r="J306" s="15" t="s">
        <v>7</v>
      </c>
      <c r="K306" s="16">
        <v>32020</v>
      </c>
      <c r="L306" s="16">
        <v>40320</v>
      </c>
      <c r="M306" s="17">
        <f>Table1[[#This Row],[Billing Rate Charges]]-Table1[[#This Row],[ LORRY RATE ]]</f>
        <v>8300</v>
      </c>
      <c r="N306" s="17">
        <v>32020</v>
      </c>
      <c r="O306" s="17">
        <f>Table1[[#This Row],[ LORRY RATE ]]-Table1[[#This Row],[Adance Paid (INR)]]</f>
        <v>0</v>
      </c>
      <c r="P306" s="17" t="s">
        <v>147</v>
      </c>
      <c r="Q306" s="18" t="s">
        <v>1251</v>
      </c>
      <c r="R306" s="17"/>
      <c r="S306" s="18" t="s">
        <v>1220</v>
      </c>
      <c r="T306" s="18" t="s">
        <v>1220</v>
      </c>
      <c r="U306" s="15" t="s">
        <v>54</v>
      </c>
      <c r="V306" s="15" t="s">
        <v>439</v>
      </c>
      <c r="W306" s="15"/>
    </row>
    <row r="307" spans="1:23" hidden="1" x14ac:dyDescent="0.3">
      <c r="A307" s="15">
        <v>307</v>
      </c>
      <c r="B307" s="15" t="s">
        <v>1111</v>
      </c>
      <c r="C307" s="19">
        <v>45667</v>
      </c>
      <c r="D307" s="19" t="s">
        <v>51</v>
      </c>
      <c r="E307" s="21" t="s">
        <v>696</v>
      </c>
      <c r="F307" s="21">
        <v>9235279810</v>
      </c>
      <c r="G307" s="15" t="s">
        <v>6</v>
      </c>
      <c r="H307" s="15" t="s">
        <v>26</v>
      </c>
      <c r="I307" s="15" t="s">
        <v>1235</v>
      </c>
      <c r="J307" s="15" t="s">
        <v>7</v>
      </c>
      <c r="K307" s="16">
        <v>32020</v>
      </c>
      <c r="L307" s="16">
        <v>40320</v>
      </c>
      <c r="M307" s="17">
        <f>Table1[[#This Row],[Billing Rate Charges]]-Table1[[#This Row],[ LORRY RATE ]]</f>
        <v>8300</v>
      </c>
      <c r="N307" s="17">
        <v>32020</v>
      </c>
      <c r="O307" s="17">
        <f>Table1[[#This Row],[ LORRY RATE ]]-Table1[[#This Row],[Adance Paid (INR)]]</f>
        <v>0</v>
      </c>
      <c r="P307" s="17" t="s">
        <v>147</v>
      </c>
      <c r="Q307" s="18" t="s">
        <v>1252</v>
      </c>
      <c r="R307" s="17"/>
      <c r="S307" s="18" t="s">
        <v>1227</v>
      </c>
      <c r="T307" s="18" t="s">
        <v>1227</v>
      </c>
      <c r="U307" s="15" t="s">
        <v>54</v>
      </c>
      <c r="V307" s="15" t="s">
        <v>439</v>
      </c>
      <c r="W307" s="15"/>
    </row>
    <row r="308" spans="1:23" hidden="1" x14ac:dyDescent="0.3">
      <c r="A308" s="15">
        <v>308</v>
      </c>
      <c r="B308" s="15" t="s">
        <v>1111</v>
      </c>
      <c r="C308" s="19">
        <v>45668</v>
      </c>
      <c r="D308" s="19" t="s">
        <v>51</v>
      </c>
      <c r="E308" s="21" t="s">
        <v>1217</v>
      </c>
      <c r="F308" s="21">
        <v>9063048601</v>
      </c>
      <c r="G308" s="15" t="s">
        <v>6</v>
      </c>
      <c r="H308" s="15" t="s">
        <v>1236</v>
      </c>
      <c r="I308" s="15" t="s">
        <v>1237</v>
      </c>
      <c r="J308" s="15" t="s">
        <v>7</v>
      </c>
      <c r="K308" s="16">
        <v>32700</v>
      </c>
      <c r="L308" s="16">
        <v>46620</v>
      </c>
      <c r="M308" s="17">
        <f>Table1[[#This Row],[Billing Rate Charges]]-Table1[[#This Row],[ LORRY RATE ]]</f>
        <v>13920</v>
      </c>
      <c r="N308" s="17">
        <v>32700</v>
      </c>
      <c r="O308" s="17">
        <f>Table1[[#This Row],[ LORRY RATE ]]-Table1[[#This Row],[Adance Paid (INR)]]</f>
        <v>0</v>
      </c>
      <c r="P308" s="17" t="s">
        <v>147</v>
      </c>
      <c r="Q308" s="18" t="s">
        <v>1253</v>
      </c>
      <c r="R308" s="17"/>
      <c r="S308" s="18" t="s">
        <v>1257</v>
      </c>
      <c r="T308" s="18" t="s">
        <v>1257</v>
      </c>
      <c r="U308" s="15" t="s">
        <v>54</v>
      </c>
      <c r="V308" s="15" t="s">
        <v>529</v>
      </c>
      <c r="W308" s="15"/>
    </row>
    <row r="309" spans="1:23" hidden="1" x14ac:dyDescent="0.3">
      <c r="A309" s="15">
        <v>309</v>
      </c>
      <c r="B309" s="15" t="s">
        <v>1111</v>
      </c>
      <c r="C309" s="19">
        <v>45668</v>
      </c>
      <c r="D309" s="19" t="s">
        <v>51</v>
      </c>
      <c r="E309" s="21" t="s">
        <v>1218</v>
      </c>
      <c r="F309" s="21">
        <v>9919561036</v>
      </c>
      <c r="G309" s="15" t="s">
        <v>6</v>
      </c>
      <c r="H309" s="15" t="s">
        <v>26</v>
      </c>
      <c r="I309" s="15" t="s">
        <v>1238</v>
      </c>
      <c r="J309" s="15" t="s">
        <v>7</v>
      </c>
      <c r="K309" s="16">
        <v>31750</v>
      </c>
      <c r="L309" s="16">
        <v>40320</v>
      </c>
      <c r="M309" s="17">
        <f>Table1[[#This Row],[Billing Rate Charges]]-Table1[[#This Row],[ LORRY RATE ]]</f>
        <v>8570</v>
      </c>
      <c r="N309" s="17">
        <v>29100</v>
      </c>
      <c r="O309" s="17">
        <f>Table1[[#This Row],[ LORRY RATE ]]-Table1[[#This Row],[Adance Paid (INR)]]</f>
        <v>2650</v>
      </c>
      <c r="P309" s="17" t="s">
        <v>147</v>
      </c>
      <c r="Q309" s="18" t="s">
        <v>1254</v>
      </c>
      <c r="R309" s="17"/>
      <c r="S309" s="18" t="s">
        <v>1257</v>
      </c>
      <c r="T309" s="18" t="s">
        <v>1257</v>
      </c>
      <c r="U309" s="15" t="s">
        <v>54</v>
      </c>
      <c r="V309" s="15" t="s">
        <v>213</v>
      </c>
      <c r="W309" s="15"/>
    </row>
    <row r="310" spans="1:23" hidden="1" x14ac:dyDescent="0.3">
      <c r="A310" s="15">
        <v>310</v>
      </c>
      <c r="B310" s="15" t="s">
        <v>1111</v>
      </c>
      <c r="C310" s="19">
        <v>45668</v>
      </c>
      <c r="D310" s="19" t="s">
        <v>56</v>
      </c>
      <c r="E310" s="15" t="s">
        <v>60</v>
      </c>
      <c r="F310" s="15">
        <v>9589264337</v>
      </c>
      <c r="G310" s="15" t="s">
        <v>1093</v>
      </c>
      <c r="H310" s="15" t="s">
        <v>26</v>
      </c>
      <c r="I310" s="15" t="s">
        <v>1243</v>
      </c>
      <c r="J310" s="15" t="s">
        <v>7</v>
      </c>
      <c r="K310" s="16">
        <v>52630</v>
      </c>
      <c r="L310" s="16">
        <v>96390</v>
      </c>
      <c r="M310" s="17">
        <f>Table1[[#This Row],[Billing Rate Charges]]-Table1[[#This Row],[ LORRY RATE ]]</f>
        <v>43760</v>
      </c>
      <c r="N310" s="17">
        <v>52630</v>
      </c>
      <c r="O310" s="17">
        <f>Table1[[#This Row],[ LORRY RATE ]]-Table1[[#This Row],[Adance Paid (INR)]]</f>
        <v>0</v>
      </c>
      <c r="P310" s="17" t="s">
        <v>147</v>
      </c>
      <c r="Q310" s="18" t="s">
        <v>1255</v>
      </c>
      <c r="R310" s="17"/>
      <c r="S310" s="18" t="s">
        <v>1257</v>
      </c>
      <c r="T310" s="18" t="s">
        <v>1257</v>
      </c>
      <c r="U310" s="15" t="s">
        <v>54</v>
      </c>
      <c r="V310" s="15" t="s">
        <v>56</v>
      </c>
      <c r="W310" s="15"/>
    </row>
    <row r="311" spans="1:23" hidden="1" x14ac:dyDescent="0.3">
      <c r="A311" s="15">
        <v>311</v>
      </c>
      <c r="B311" s="15" t="s">
        <v>1111</v>
      </c>
      <c r="C311" s="19">
        <v>45669</v>
      </c>
      <c r="D311" s="19" t="s">
        <v>51</v>
      </c>
      <c r="E311" s="21" t="s">
        <v>1224</v>
      </c>
      <c r="F311" s="21">
        <v>9161208496</v>
      </c>
      <c r="G311" s="15" t="s">
        <v>1093</v>
      </c>
      <c r="H311" s="15" t="s">
        <v>1289</v>
      </c>
      <c r="I311" s="15" t="s">
        <v>1290</v>
      </c>
      <c r="J311" s="15" t="s">
        <v>455</v>
      </c>
      <c r="K311" s="16">
        <v>85820</v>
      </c>
      <c r="L311" s="16">
        <v>113400</v>
      </c>
      <c r="M311" s="17">
        <f>Table1[[#This Row],[Billing Rate Charges]]-Table1[[#This Row],[ LORRY RATE ]]</f>
        <v>27580</v>
      </c>
      <c r="N311" s="17">
        <v>85820</v>
      </c>
      <c r="O311" s="17">
        <f>Table1[[#This Row],[ LORRY RATE ]]-Table1[[#This Row],[Adance Paid (INR)]]</f>
        <v>0</v>
      </c>
      <c r="P311" s="17" t="s">
        <v>147</v>
      </c>
      <c r="Q311" s="18" t="s">
        <v>1295</v>
      </c>
      <c r="R311" s="17"/>
      <c r="S311" s="18" t="s">
        <v>1258</v>
      </c>
      <c r="T311" s="18" t="s">
        <v>1258</v>
      </c>
      <c r="U311" s="15" t="s">
        <v>54</v>
      </c>
      <c r="V311" s="15" t="s">
        <v>439</v>
      </c>
      <c r="W311" s="15" t="s">
        <v>1225</v>
      </c>
    </row>
    <row r="312" spans="1:23" hidden="1" x14ac:dyDescent="0.3">
      <c r="A312" s="15">
        <v>312</v>
      </c>
      <c r="B312" s="15" t="s">
        <v>1111</v>
      </c>
      <c r="C312" s="19">
        <v>45670</v>
      </c>
      <c r="D312" s="19" t="s">
        <v>51</v>
      </c>
      <c r="E312" s="21" t="s">
        <v>1108</v>
      </c>
      <c r="F312" s="21">
        <v>9299677001</v>
      </c>
      <c r="G312" s="15" t="s">
        <v>6</v>
      </c>
      <c r="H312" s="15" t="s">
        <v>1239</v>
      </c>
      <c r="I312" s="15" t="s">
        <v>1015</v>
      </c>
      <c r="J312" s="15" t="s">
        <v>7</v>
      </c>
      <c r="K312" s="16">
        <v>34180</v>
      </c>
      <c r="L312" s="16">
        <v>52920</v>
      </c>
      <c r="M312" s="17">
        <f>Table1[[#This Row],[Billing Rate Charges]]-Table1[[#This Row],[ LORRY RATE ]]</f>
        <v>18740</v>
      </c>
      <c r="N312" s="17">
        <v>34180</v>
      </c>
      <c r="O312" s="17">
        <f>Table1[[#This Row],[ LORRY RATE ]]-Table1[[#This Row],[Adance Paid (INR)]]</f>
        <v>0</v>
      </c>
      <c r="P312" s="17" t="s">
        <v>147</v>
      </c>
      <c r="Q312" s="18" t="s">
        <v>1296</v>
      </c>
      <c r="R312" s="17"/>
      <c r="S312" s="18" t="s">
        <v>1259</v>
      </c>
      <c r="T312" s="18" t="s">
        <v>1260</v>
      </c>
      <c r="U312" s="15" t="s">
        <v>54</v>
      </c>
      <c r="V312" s="15" t="s">
        <v>439</v>
      </c>
      <c r="W312" s="15"/>
    </row>
    <row r="313" spans="1:23" hidden="1" x14ac:dyDescent="0.3">
      <c r="A313" s="15">
        <v>313</v>
      </c>
      <c r="B313" s="15" t="s">
        <v>1111</v>
      </c>
      <c r="C313" s="19">
        <v>45670</v>
      </c>
      <c r="D313" s="19" t="s">
        <v>56</v>
      </c>
      <c r="E313" s="15" t="s">
        <v>38</v>
      </c>
      <c r="F313" s="15">
        <v>9515412075</v>
      </c>
      <c r="G313" s="15" t="s">
        <v>1093</v>
      </c>
      <c r="H313" s="15" t="s">
        <v>26</v>
      </c>
      <c r="I313" s="15" t="s">
        <v>1292</v>
      </c>
      <c r="J313" s="15" t="s">
        <v>37</v>
      </c>
      <c r="K313" s="16">
        <v>51880</v>
      </c>
      <c r="L313" s="16">
        <v>91350</v>
      </c>
      <c r="M313" s="17">
        <f>Table1[[#This Row],[Billing Rate Charges]]-Table1[[#This Row],[ LORRY RATE ]]</f>
        <v>39470</v>
      </c>
      <c r="N313" s="17">
        <v>51880</v>
      </c>
      <c r="O313" s="17">
        <f>Table1[[#This Row],[ LORRY RATE ]]-Table1[[#This Row],[Adance Paid (INR)]]</f>
        <v>0</v>
      </c>
      <c r="P313" s="17" t="s">
        <v>147</v>
      </c>
      <c r="Q313" s="18" t="s">
        <v>1297</v>
      </c>
      <c r="R313" s="17"/>
      <c r="S313" s="18" t="s">
        <v>1258</v>
      </c>
      <c r="T313" s="18" t="s">
        <v>1258</v>
      </c>
      <c r="U313" s="15" t="s">
        <v>54</v>
      </c>
      <c r="V313" s="15" t="s">
        <v>56</v>
      </c>
      <c r="W313" s="15"/>
    </row>
    <row r="314" spans="1:23" hidden="1" x14ac:dyDescent="0.3">
      <c r="A314" s="15">
        <v>314</v>
      </c>
      <c r="B314" s="15" t="s">
        <v>1111</v>
      </c>
      <c r="C314" s="19">
        <v>45672</v>
      </c>
      <c r="D314" s="19" t="s">
        <v>472</v>
      </c>
      <c r="E314" s="15" t="s">
        <v>1256</v>
      </c>
      <c r="F314" s="15">
        <v>9918478901</v>
      </c>
      <c r="G314" s="15" t="s">
        <v>6</v>
      </c>
      <c r="H314" s="15" t="s">
        <v>26</v>
      </c>
      <c r="I314" s="15" t="s">
        <v>1270</v>
      </c>
      <c r="J314" s="15" t="s">
        <v>168</v>
      </c>
      <c r="K314" s="16">
        <v>25690</v>
      </c>
      <c r="L314" s="16">
        <v>35600</v>
      </c>
      <c r="M314" s="17">
        <f>Table1[[#This Row],[Billing Rate Charges]]-Table1[[#This Row],[ LORRY RATE ]]</f>
        <v>9910</v>
      </c>
      <c r="N314" s="17">
        <v>25690</v>
      </c>
      <c r="O314" s="17">
        <f>Table1[[#This Row],[ LORRY RATE ]]-Table1[[#This Row],[Adance Paid (INR)]]</f>
        <v>0</v>
      </c>
      <c r="P314" s="17" t="s">
        <v>147</v>
      </c>
      <c r="Q314" s="18" t="s">
        <v>1298</v>
      </c>
      <c r="R314" s="17"/>
      <c r="S314" s="18" t="s">
        <v>1260</v>
      </c>
      <c r="T314" s="18" t="s">
        <v>1260</v>
      </c>
      <c r="U314" s="15" t="s">
        <v>54</v>
      </c>
      <c r="V314" s="15" t="s">
        <v>439</v>
      </c>
      <c r="W314" s="15"/>
    </row>
    <row r="315" spans="1:23" hidden="1" x14ac:dyDescent="0.3">
      <c r="A315" s="15">
        <v>315</v>
      </c>
      <c r="B315" s="15" t="s">
        <v>1111</v>
      </c>
      <c r="C315" s="19">
        <v>45673</v>
      </c>
      <c r="D315" s="19" t="s">
        <v>56</v>
      </c>
      <c r="E315" s="15" t="s">
        <v>60</v>
      </c>
      <c r="F315" s="15">
        <v>9589264337</v>
      </c>
      <c r="G315" s="15" t="s">
        <v>6</v>
      </c>
      <c r="H315" s="15" t="s">
        <v>1271</v>
      </c>
      <c r="I315" s="15" t="s">
        <v>1272</v>
      </c>
      <c r="J315" s="15" t="s">
        <v>7</v>
      </c>
      <c r="K315" s="16">
        <v>45170</v>
      </c>
      <c r="L315" s="16">
        <v>46620</v>
      </c>
      <c r="M315" s="17">
        <f>Table1[[#This Row],[Billing Rate Charges]]-Table1[[#This Row],[ LORRY RATE ]]</f>
        <v>1450</v>
      </c>
      <c r="N315" s="17">
        <v>45170</v>
      </c>
      <c r="O315" s="17">
        <f>Table1[[#This Row],[ LORRY RATE ]]-Table1[[#This Row],[Adance Paid (INR)]]</f>
        <v>0</v>
      </c>
      <c r="P315" s="17" t="s">
        <v>147</v>
      </c>
      <c r="Q315" s="18" t="s">
        <v>1299</v>
      </c>
      <c r="R315" s="17"/>
      <c r="S315" s="18" t="s">
        <v>1264</v>
      </c>
      <c r="T315" s="18" t="s">
        <v>1265</v>
      </c>
      <c r="U315" s="15" t="s">
        <v>54</v>
      </c>
      <c r="V315" s="15" t="s">
        <v>56</v>
      </c>
      <c r="W315" s="15"/>
    </row>
    <row r="316" spans="1:23" hidden="1" x14ac:dyDescent="0.3">
      <c r="A316" s="15">
        <v>316</v>
      </c>
      <c r="B316" s="15" t="s">
        <v>1111</v>
      </c>
      <c r="C316" s="19">
        <v>45674</v>
      </c>
      <c r="D316" s="19" t="s">
        <v>56</v>
      </c>
      <c r="E316" s="15" t="s">
        <v>38</v>
      </c>
      <c r="F316" s="15">
        <v>9515412075</v>
      </c>
      <c r="G316" s="15" t="s">
        <v>6</v>
      </c>
      <c r="H316" s="15" t="s">
        <v>1273</v>
      </c>
      <c r="I316" s="15" t="s">
        <v>1274</v>
      </c>
      <c r="J316" s="15" t="s">
        <v>59</v>
      </c>
      <c r="K316" s="16">
        <v>44930</v>
      </c>
      <c r="L316" s="16">
        <v>45040</v>
      </c>
      <c r="M316" s="17">
        <f>Table1[[#This Row],[Billing Rate Charges]]-Table1[[#This Row],[ LORRY RATE ]]</f>
        <v>110</v>
      </c>
      <c r="N316" s="17">
        <v>44930</v>
      </c>
      <c r="O316" s="17">
        <f>Table1[[#This Row],[ LORRY RATE ]]-Table1[[#This Row],[Adance Paid (INR)]]</f>
        <v>0</v>
      </c>
      <c r="P316" s="17" t="s">
        <v>147</v>
      </c>
      <c r="Q316" s="18" t="s">
        <v>1300</v>
      </c>
      <c r="R316" s="17"/>
      <c r="S316" s="18" t="s">
        <v>1265</v>
      </c>
      <c r="T316" s="18" t="s">
        <v>1265</v>
      </c>
      <c r="U316" s="15" t="s">
        <v>54</v>
      </c>
      <c r="V316" s="15" t="s">
        <v>56</v>
      </c>
      <c r="W316" s="15"/>
    </row>
    <row r="317" spans="1:23" hidden="1" x14ac:dyDescent="0.3">
      <c r="A317" s="15">
        <v>317</v>
      </c>
      <c r="B317" s="15" t="s">
        <v>1111</v>
      </c>
      <c r="C317" s="19">
        <v>45674</v>
      </c>
      <c r="D317" s="19" t="s">
        <v>51</v>
      </c>
      <c r="E317" s="21" t="s">
        <v>198</v>
      </c>
      <c r="F317" s="21">
        <v>9355649998</v>
      </c>
      <c r="G317" s="15" t="s">
        <v>6</v>
      </c>
      <c r="H317" s="15" t="s">
        <v>26</v>
      </c>
      <c r="I317" s="15" t="s">
        <v>1275</v>
      </c>
      <c r="J317" s="15" t="s">
        <v>168</v>
      </c>
      <c r="K317" s="16">
        <v>25690</v>
      </c>
      <c r="L317" s="16">
        <v>35600</v>
      </c>
      <c r="M317" s="17">
        <f>Table1[[#This Row],[Billing Rate Charges]]-Table1[[#This Row],[ LORRY RATE ]]</f>
        <v>9910</v>
      </c>
      <c r="N317" s="17">
        <v>25690</v>
      </c>
      <c r="O317" s="17">
        <f>Table1[[#This Row],[ LORRY RATE ]]-Table1[[#This Row],[Adance Paid (INR)]]</f>
        <v>0</v>
      </c>
      <c r="P317" s="17" t="s">
        <v>147</v>
      </c>
      <c r="Q317" s="18" t="s">
        <v>1301</v>
      </c>
      <c r="R317" s="17"/>
      <c r="S317" s="18" t="s">
        <v>1266</v>
      </c>
      <c r="T317" s="18" t="s">
        <v>1266</v>
      </c>
      <c r="U317" s="15" t="s">
        <v>54</v>
      </c>
      <c r="V317" s="15" t="s">
        <v>529</v>
      </c>
      <c r="W317" s="15"/>
    </row>
    <row r="318" spans="1:23" hidden="1" x14ac:dyDescent="0.3">
      <c r="A318" s="15">
        <v>318</v>
      </c>
      <c r="B318" s="15" t="s">
        <v>1111</v>
      </c>
      <c r="C318" s="19">
        <v>45675</v>
      </c>
      <c r="D318" s="19" t="s">
        <v>51</v>
      </c>
      <c r="E318" s="21" t="s">
        <v>696</v>
      </c>
      <c r="F318" s="21">
        <v>9235279810</v>
      </c>
      <c r="G318" s="15" t="s">
        <v>1093</v>
      </c>
      <c r="H318" s="15" t="s">
        <v>26</v>
      </c>
      <c r="I318" s="15" t="s">
        <v>1291</v>
      </c>
      <c r="J318" s="15" t="s">
        <v>7</v>
      </c>
      <c r="K318" s="16">
        <v>66400</v>
      </c>
      <c r="L318" s="16">
        <v>96390</v>
      </c>
      <c r="M318" s="17">
        <f>Table1[[#This Row],[Billing Rate Charges]]-Table1[[#This Row],[ LORRY RATE ]]</f>
        <v>29990</v>
      </c>
      <c r="N318" s="17">
        <v>66400</v>
      </c>
      <c r="O318" s="17">
        <f>Table1[[#This Row],[ LORRY RATE ]]-Table1[[#This Row],[Adance Paid (INR)]]</f>
        <v>0</v>
      </c>
      <c r="P318" s="17" t="s">
        <v>147</v>
      </c>
      <c r="Q318" s="18" t="s">
        <v>1302</v>
      </c>
      <c r="R318" s="17"/>
      <c r="S318" s="18" t="s">
        <v>1265</v>
      </c>
      <c r="T318" s="18" t="s">
        <v>1267</v>
      </c>
      <c r="U318" s="15" t="s">
        <v>54</v>
      </c>
      <c r="V318" s="15" t="s">
        <v>439</v>
      </c>
      <c r="W318" s="15"/>
    </row>
    <row r="319" spans="1:23" hidden="1" x14ac:dyDescent="0.3">
      <c r="A319" s="15">
        <v>319</v>
      </c>
      <c r="B319" s="15" t="s">
        <v>1111</v>
      </c>
      <c r="C319" s="19">
        <v>45675</v>
      </c>
      <c r="D319" s="19" t="s">
        <v>51</v>
      </c>
      <c r="E319" s="21" t="s">
        <v>1261</v>
      </c>
      <c r="F319" s="21">
        <v>9416295492</v>
      </c>
      <c r="G319" s="15" t="s">
        <v>6</v>
      </c>
      <c r="H319" s="15" t="s">
        <v>26</v>
      </c>
      <c r="I319" s="15" t="s">
        <v>1276</v>
      </c>
      <c r="J319" s="15" t="s">
        <v>7</v>
      </c>
      <c r="K319" s="16">
        <v>31750</v>
      </c>
      <c r="L319" s="16">
        <v>40320</v>
      </c>
      <c r="M319" s="17">
        <f>Table1[[#This Row],[Billing Rate Charges]]-Table1[[#This Row],[ LORRY RATE ]]</f>
        <v>8570</v>
      </c>
      <c r="N319" s="17">
        <v>31750</v>
      </c>
      <c r="O319" s="17">
        <f>Table1[[#This Row],[ LORRY RATE ]]-Table1[[#This Row],[Adance Paid (INR)]]</f>
        <v>0</v>
      </c>
      <c r="P319" s="17" t="s">
        <v>147</v>
      </c>
      <c r="Q319" s="18" t="s">
        <v>1303</v>
      </c>
      <c r="R319" s="17"/>
      <c r="S319" s="18" t="s">
        <v>1267</v>
      </c>
      <c r="T319" s="18" t="s">
        <v>1267</v>
      </c>
      <c r="U319" s="15" t="s">
        <v>54</v>
      </c>
      <c r="V319" s="15" t="s">
        <v>529</v>
      </c>
      <c r="W319" s="15"/>
    </row>
    <row r="320" spans="1:23" hidden="1" x14ac:dyDescent="0.3">
      <c r="A320" s="15">
        <v>320</v>
      </c>
      <c r="B320" s="15" t="s">
        <v>1111</v>
      </c>
      <c r="C320" s="19">
        <v>45678</v>
      </c>
      <c r="D320" s="19" t="s">
        <v>51</v>
      </c>
      <c r="E320" s="21" t="s">
        <v>1262</v>
      </c>
      <c r="F320" s="21">
        <v>9363306642</v>
      </c>
      <c r="G320" s="15" t="s">
        <v>6</v>
      </c>
      <c r="H320" s="15" t="s">
        <v>1277</v>
      </c>
      <c r="I320" s="15" t="s">
        <v>1278</v>
      </c>
      <c r="J320" s="15" t="s">
        <v>623</v>
      </c>
      <c r="K320" s="16">
        <v>25690</v>
      </c>
      <c r="L320" s="16">
        <v>35600</v>
      </c>
      <c r="M320" s="17">
        <f>Table1[[#This Row],[Billing Rate Charges]]-Table1[[#This Row],[ LORRY RATE ]]</f>
        <v>9910</v>
      </c>
      <c r="N320" s="17">
        <v>25690</v>
      </c>
      <c r="O320" s="17">
        <f>Table1[[#This Row],[ LORRY RATE ]]-Table1[[#This Row],[Adance Paid (INR)]]</f>
        <v>0</v>
      </c>
      <c r="P320" s="17" t="s">
        <v>147</v>
      </c>
      <c r="Q320" s="18" t="s">
        <v>1304</v>
      </c>
      <c r="R320" s="17"/>
      <c r="S320" s="18" t="s">
        <v>1310</v>
      </c>
      <c r="T320" s="18" t="s">
        <v>1311</v>
      </c>
      <c r="U320" s="15" t="s">
        <v>54</v>
      </c>
      <c r="V320" s="15" t="s">
        <v>529</v>
      </c>
      <c r="W320" s="15"/>
    </row>
    <row r="321" spans="1:23" hidden="1" x14ac:dyDescent="0.3">
      <c r="A321" s="15">
        <v>321</v>
      </c>
      <c r="B321" s="15" t="s">
        <v>1111</v>
      </c>
      <c r="C321" s="19">
        <v>45679</v>
      </c>
      <c r="D321" s="19" t="s">
        <v>51</v>
      </c>
      <c r="E321" s="21" t="s">
        <v>291</v>
      </c>
      <c r="F321" s="21">
        <v>9973497171</v>
      </c>
      <c r="G321" s="15" t="s">
        <v>6</v>
      </c>
      <c r="H321" s="15" t="s">
        <v>26</v>
      </c>
      <c r="I321" s="15" t="s">
        <v>1279</v>
      </c>
      <c r="J321" s="15" t="s">
        <v>623</v>
      </c>
      <c r="K321" s="16">
        <v>25690</v>
      </c>
      <c r="L321" s="16">
        <v>35600</v>
      </c>
      <c r="M321" s="17">
        <f>Table1[[#This Row],[Billing Rate Charges]]-Table1[[#This Row],[ LORRY RATE ]]</f>
        <v>9910</v>
      </c>
      <c r="N321" s="17">
        <v>25690</v>
      </c>
      <c r="O321" s="17">
        <f>Table1[[#This Row],[ LORRY RATE ]]-Table1[[#This Row],[Adance Paid (INR)]]</f>
        <v>0</v>
      </c>
      <c r="P321" s="17" t="s">
        <v>147</v>
      </c>
      <c r="Q321" s="18" t="s">
        <v>1305</v>
      </c>
      <c r="R321" s="17"/>
      <c r="S321" s="18" t="s">
        <v>1310</v>
      </c>
      <c r="T321" s="18" t="s">
        <v>1310</v>
      </c>
      <c r="U321" s="15" t="s">
        <v>54</v>
      </c>
      <c r="V321" s="15" t="s">
        <v>529</v>
      </c>
      <c r="W321" s="15"/>
    </row>
    <row r="322" spans="1:23" hidden="1" x14ac:dyDescent="0.3">
      <c r="A322" s="15">
        <v>322</v>
      </c>
      <c r="B322" s="15" t="s">
        <v>1111</v>
      </c>
      <c r="C322" s="19">
        <v>45679</v>
      </c>
      <c r="D322" s="19" t="s">
        <v>51</v>
      </c>
      <c r="E322" s="21" t="s">
        <v>1263</v>
      </c>
      <c r="F322" s="21">
        <v>9505432485</v>
      </c>
      <c r="G322" s="15" t="s">
        <v>6</v>
      </c>
      <c r="H322" s="15" t="s">
        <v>1280</v>
      </c>
      <c r="I322" s="15" t="s">
        <v>1281</v>
      </c>
      <c r="J322" s="15" t="s">
        <v>623</v>
      </c>
      <c r="K322" s="16">
        <v>27700</v>
      </c>
      <c r="L322" s="16">
        <v>41900</v>
      </c>
      <c r="M322" s="17">
        <f>Table1[[#This Row],[Billing Rate Charges]]-Table1[[#This Row],[ LORRY RATE ]]</f>
        <v>14200</v>
      </c>
      <c r="N322" s="17">
        <v>27700</v>
      </c>
      <c r="O322" s="17">
        <f>Table1[[#This Row],[ LORRY RATE ]]-Table1[[#This Row],[Adance Paid (INR)]]</f>
        <v>0</v>
      </c>
      <c r="P322" s="17" t="s">
        <v>147</v>
      </c>
      <c r="Q322" s="18" t="s">
        <v>1306</v>
      </c>
      <c r="R322" s="17"/>
      <c r="S322" s="18" t="s">
        <v>1311</v>
      </c>
      <c r="T322" s="18" t="s">
        <v>1311</v>
      </c>
      <c r="U322" s="15" t="s">
        <v>54</v>
      </c>
      <c r="V322" s="15" t="s">
        <v>529</v>
      </c>
      <c r="W322" s="15"/>
    </row>
    <row r="323" spans="1:23" hidden="1" x14ac:dyDescent="0.3">
      <c r="A323" s="15">
        <v>323</v>
      </c>
      <c r="B323" s="15" t="s">
        <v>1111</v>
      </c>
      <c r="C323" s="19">
        <v>45679</v>
      </c>
      <c r="D323" s="19" t="s">
        <v>51</v>
      </c>
      <c r="E323" s="21" t="s">
        <v>696</v>
      </c>
      <c r="F323" s="21">
        <v>9235279810</v>
      </c>
      <c r="G323" s="15" t="s">
        <v>6</v>
      </c>
      <c r="H323" s="15" t="s">
        <v>1282</v>
      </c>
      <c r="I323" s="15" t="s">
        <v>1283</v>
      </c>
      <c r="J323" s="15" t="s">
        <v>7</v>
      </c>
      <c r="K323" s="16">
        <v>34710</v>
      </c>
      <c r="L323" s="16">
        <v>52920</v>
      </c>
      <c r="M323" s="17">
        <f>Table1[[#This Row],[Billing Rate Charges]]-Table1[[#This Row],[ LORRY RATE ]]</f>
        <v>18210</v>
      </c>
      <c r="N323" s="17">
        <v>34710</v>
      </c>
      <c r="O323" s="17">
        <f>Table1[[#This Row],[ LORRY RATE ]]-Table1[[#This Row],[Adance Paid (INR)]]</f>
        <v>0</v>
      </c>
      <c r="P323" s="17" t="s">
        <v>147</v>
      </c>
      <c r="Q323" s="18" t="s">
        <v>1367</v>
      </c>
      <c r="R323" s="17"/>
      <c r="S323" s="18" t="s">
        <v>1322</v>
      </c>
      <c r="T323" s="18" t="s">
        <v>1322</v>
      </c>
      <c r="U323" s="15" t="s">
        <v>54</v>
      </c>
      <c r="V323" s="15" t="s">
        <v>439</v>
      </c>
      <c r="W323" s="15"/>
    </row>
    <row r="324" spans="1:23" hidden="1" x14ac:dyDescent="0.3">
      <c r="A324" s="15">
        <v>324</v>
      </c>
      <c r="B324" s="15" t="s">
        <v>1111</v>
      </c>
      <c r="C324" s="19">
        <v>45680</v>
      </c>
      <c r="D324" s="19" t="s">
        <v>56</v>
      </c>
      <c r="E324" s="15" t="s">
        <v>38</v>
      </c>
      <c r="F324" s="15">
        <v>9515412075</v>
      </c>
      <c r="G324" s="15" t="s">
        <v>1093</v>
      </c>
      <c r="H324" s="15" t="s">
        <v>26</v>
      </c>
      <c r="I324" s="15" t="s">
        <v>1293</v>
      </c>
      <c r="J324" s="15" t="s">
        <v>25</v>
      </c>
      <c r="K324" s="16">
        <v>51880</v>
      </c>
      <c r="L324" s="16">
        <v>91350</v>
      </c>
      <c r="M324" s="17">
        <f>Table1[[#This Row],[Billing Rate Charges]]-Table1[[#This Row],[ LORRY RATE ]]</f>
        <v>39470</v>
      </c>
      <c r="N324" s="17">
        <v>51880</v>
      </c>
      <c r="O324" s="17">
        <f>Table1[[#This Row],[ LORRY RATE ]]-Table1[[#This Row],[Adance Paid (INR)]]</f>
        <v>0</v>
      </c>
      <c r="P324" s="17" t="s">
        <v>147</v>
      </c>
      <c r="Q324" s="18" t="s">
        <v>1368</v>
      </c>
      <c r="R324" s="17"/>
      <c r="S324" s="18" t="s">
        <v>1323</v>
      </c>
      <c r="T324" s="18" t="s">
        <v>1323</v>
      </c>
      <c r="U324" s="15" t="s">
        <v>54</v>
      </c>
      <c r="V324" s="15" t="s">
        <v>56</v>
      </c>
      <c r="W324" s="15" t="s">
        <v>1294</v>
      </c>
    </row>
    <row r="325" spans="1:23" hidden="1" x14ac:dyDescent="0.3">
      <c r="A325" s="15">
        <v>325</v>
      </c>
      <c r="B325" s="15" t="s">
        <v>1111</v>
      </c>
      <c r="C325" s="19">
        <v>45680</v>
      </c>
      <c r="D325" s="19" t="s">
        <v>51</v>
      </c>
      <c r="E325" s="21" t="s">
        <v>1268</v>
      </c>
      <c r="F325" s="21">
        <v>9575279544</v>
      </c>
      <c r="G325" s="15" t="s">
        <v>6</v>
      </c>
      <c r="H325" s="15" t="s">
        <v>26</v>
      </c>
      <c r="I325" s="15" t="s">
        <v>1286</v>
      </c>
      <c r="J325" s="15" t="s">
        <v>7</v>
      </c>
      <c r="K325" s="16">
        <v>31750</v>
      </c>
      <c r="L325" s="16">
        <v>40320</v>
      </c>
      <c r="M325" s="17">
        <f>Table1[[#This Row],[Billing Rate Charges]]-Table1[[#This Row],[ LORRY RATE ]]</f>
        <v>8570</v>
      </c>
      <c r="N325" s="17">
        <v>31750</v>
      </c>
      <c r="O325" s="17">
        <f>Table1[[#This Row],[ LORRY RATE ]]-Table1[[#This Row],[Adance Paid (INR)]]</f>
        <v>0</v>
      </c>
      <c r="P325" s="17" t="s">
        <v>147</v>
      </c>
      <c r="Q325" s="18" t="s">
        <v>1369</v>
      </c>
      <c r="R325" s="17"/>
      <c r="S325" s="18" t="s">
        <v>1322</v>
      </c>
      <c r="T325" s="18" t="s">
        <v>1322</v>
      </c>
      <c r="U325" s="15" t="s">
        <v>54</v>
      </c>
      <c r="V325" s="15" t="s">
        <v>529</v>
      </c>
      <c r="W325" s="15"/>
    </row>
    <row r="326" spans="1:23" hidden="1" x14ac:dyDescent="0.3">
      <c r="A326" s="15">
        <v>326</v>
      </c>
      <c r="B326" s="15" t="s">
        <v>1111</v>
      </c>
      <c r="C326" s="19">
        <v>45680</v>
      </c>
      <c r="D326" s="19" t="s">
        <v>51</v>
      </c>
      <c r="E326" s="21" t="s">
        <v>795</v>
      </c>
      <c r="F326" s="21">
        <v>9973550893</v>
      </c>
      <c r="G326" s="15" t="s">
        <v>6</v>
      </c>
      <c r="H326" s="15" t="s">
        <v>1284</v>
      </c>
      <c r="I326" s="15" t="s">
        <v>1285</v>
      </c>
      <c r="J326" s="15" t="s">
        <v>59</v>
      </c>
      <c r="K326" s="16">
        <v>32330</v>
      </c>
      <c r="L326" s="16">
        <v>51340</v>
      </c>
      <c r="M326" s="17">
        <f>Table1[[#This Row],[Billing Rate Charges]]-Table1[[#This Row],[ LORRY RATE ]]</f>
        <v>19010</v>
      </c>
      <c r="N326" s="17">
        <v>32330</v>
      </c>
      <c r="O326" s="17">
        <f>Table1[[#This Row],[ LORRY RATE ]]-Table1[[#This Row],[Adance Paid (INR)]]</f>
        <v>0</v>
      </c>
      <c r="P326" s="17" t="s">
        <v>147</v>
      </c>
      <c r="Q326" s="18" t="s">
        <v>1372</v>
      </c>
      <c r="R326" s="17"/>
      <c r="S326" s="18" t="s">
        <v>1322</v>
      </c>
      <c r="T326" s="18" t="s">
        <v>1322</v>
      </c>
      <c r="U326" s="15" t="s">
        <v>54</v>
      </c>
      <c r="V326" s="15" t="s">
        <v>529</v>
      </c>
      <c r="W326" s="15"/>
    </row>
    <row r="327" spans="1:23" hidden="1" x14ac:dyDescent="0.3">
      <c r="A327" s="15">
        <v>327</v>
      </c>
      <c r="B327" s="15" t="s">
        <v>1111</v>
      </c>
      <c r="C327" s="19">
        <v>45681</v>
      </c>
      <c r="D327" s="19" t="s">
        <v>51</v>
      </c>
      <c r="E327" s="21" t="s">
        <v>1269</v>
      </c>
      <c r="F327" s="21">
        <v>9293127349</v>
      </c>
      <c r="G327" s="15" t="s">
        <v>6</v>
      </c>
      <c r="H327" s="15" t="s">
        <v>1287</v>
      </c>
      <c r="I327" s="15" t="s">
        <v>1288</v>
      </c>
      <c r="J327" s="15" t="s">
        <v>7</v>
      </c>
      <c r="K327" s="16">
        <v>33770</v>
      </c>
      <c r="L327" s="16">
        <v>46620</v>
      </c>
      <c r="M327" s="17">
        <f>Table1[[#This Row],[Billing Rate Charges]]-Table1[[#This Row],[ LORRY RATE ]]</f>
        <v>12850</v>
      </c>
      <c r="N327" s="17">
        <v>33770</v>
      </c>
      <c r="O327" s="17">
        <f>Table1[[#This Row],[ LORRY RATE ]]-Table1[[#This Row],[Adance Paid (INR)]]</f>
        <v>0</v>
      </c>
      <c r="P327" s="17" t="s">
        <v>147</v>
      </c>
      <c r="Q327" s="18" t="s">
        <v>1373</v>
      </c>
      <c r="R327" s="17"/>
      <c r="S327" s="18" t="s">
        <v>1322</v>
      </c>
      <c r="T327" s="18" t="s">
        <v>1322</v>
      </c>
      <c r="U327" s="15" t="s">
        <v>54</v>
      </c>
      <c r="V327" s="15" t="s">
        <v>529</v>
      </c>
      <c r="W327" s="15"/>
    </row>
    <row r="328" spans="1:23" hidden="1" x14ac:dyDescent="0.3">
      <c r="A328" s="15">
        <v>328</v>
      </c>
      <c r="B328" s="15" t="s">
        <v>1111</v>
      </c>
      <c r="C328" s="19">
        <v>45682</v>
      </c>
      <c r="D328" s="19" t="s">
        <v>51</v>
      </c>
      <c r="E328" s="21" t="s">
        <v>1307</v>
      </c>
      <c r="F328" s="21">
        <v>9679023587</v>
      </c>
      <c r="G328" s="15" t="s">
        <v>6</v>
      </c>
      <c r="H328" s="15" t="s">
        <v>26</v>
      </c>
      <c r="I328" s="15" t="s">
        <v>1340</v>
      </c>
      <c r="J328" s="15" t="s">
        <v>59</v>
      </c>
      <c r="K328" s="16">
        <v>29910</v>
      </c>
      <c r="L328" s="16">
        <v>38740</v>
      </c>
      <c r="M328" s="17">
        <f>Table1[[#This Row],[Billing Rate Charges]]-Table1[[#This Row],[ LORRY RATE ]]</f>
        <v>8830</v>
      </c>
      <c r="N328" s="17">
        <v>29910</v>
      </c>
      <c r="O328" s="17"/>
      <c r="P328" s="17" t="s">
        <v>147</v>
      </c>
      <c r="Q328" s="18" t="s">
        <v>1375</v>
      </c>
      <c r="R328" s="17"/>
      <c r="S328" s="18" t="s">
        <v>1324</v>
      </c>
      <c r="T328" s="18" t="s">
        <v>1324</v>
      </c>
      <c r="U328" s="15" t="s">
        <v>54</v>
      </c>
      <c r="V328" s="15" t="s">
        <v>529</v>
      </c>
      <c r="W328" s="15"/>
    </row>
    <row r="329" spans="1:23" hidden="1" x14ac:dyDescent="0.3">
      <c r="A329" s="15">
        <v>329</v>
      </c>
      <c r="B329" s="15" t="s">
        <v>1111</v>
      </c>
      <c r="C329" s="19">
        <v>45682</v>
      </c>
      <c r="D329" s="19" t="s">
        <v>56</v>
      </c>
      <c r="E329" s="15" t="s">
        <v>38</v>
      </c>
      <c r="F329" s="15">
        <v>9515412075</v>
      </c>
      <c r="G329" s="15" t="s">
        <v>6</v>
      </c>
      <c r="H329" s="15" t="s">
        <v>1341</v>
      </c>
      <c r="I329" s="15" t="s">
        <v>1342</v>
      </c>
      <c r="J329" s="15" t="s">
        <v>59</v>
      </c>
      <c r="K329" s="16">
        <v>45880</v>
      </c>
      <c r="L329" s="16">
        <v>51340</v>
      </c>
      <c r="M329" s="17">
        <f>Table1[[#This Row],[Billing Rate Charges]]-Table1[[#This Row],[ LORRY RATE ]]</f>
        <v>5460</v>
      </c>
      <c r="N329" s="17">
        <v>45880</v>
      </c>
      <c r="O329" s="17">
        <f>Table1[[#This Row],[ LORRY RATE ]]-Table1[[#This Row],[Adance Paid (INR)]]</f>
        <v>0</v>
      </c>
      <c r="P329" s="17" t="s">
        <v>147</v>
      </c>
      <c r="Q329" s="18" t="s">
        <v>1374</v>
      </c>
      <c r="R329" s="17"/>
      <c r="S329" s="18" t="s">
        <v>1325</v>
      </c>
      <c r="T329" s="18" t="s">
        <v>1325</v>
      </c>
      <c r="U329" s="15" t="s">
        <v>54</v>
      </c>
      <c r="V329" s="15" t="s">
        <v>56</v>
      </c>
      <c r="W329" s="15"/>
    </row>
    <row r="330" spans="1:23" hidden="1" x14ac:dyDescent="0.3">
      <c r="A330" s="15">
        <v>330</v>
      </c>
      <c r="B330" s="15" t="s">
        <v>1111</v>
      </c>
      <c r="C330" s="19">
        <v>45682</v>
      </c>
      <c r="D330" s="19" t="s">
        <v>51</v>
      </c>
      <c r="E330" s="21" t="s">
        <v>1108</v>
      </c>
      <c r="F330" s="21">
        <v>9299677001</v>
      </c>
      <c r="G330" s="15" t="s">
        <v>1093</v>
      </c>
      <c r="H330" s="15" t="s">
        <v>26</v>
      </c>
      <c r="I330" s="15" t="s">
        <v>1358</v>
      </c>
      <c r="J330" s="15" t="s">
        <v>7</v>
      </c>
      <c r="K330" s="16">
        <v>66870</v>
      </c>
      <c r="L330" s="16">
        <v>99540</v>
      </c>
      <c r="M330" s="17">
        <f>Table1[[#This Row],[Billing Rate Charges]]-Table1[[#This Row],[ LORRY RATE ]]</f>
        <v>32670</v>
      </c>
      <c r="N330" s="17">
        <v>66870</v>
      </c>
      <c r="O330" s="17">
        <f>Table1[[#This Row],[ LORRY RATE ]]-Table1[[#This Row],[Adance Paid (INR)]]</f>
        <v>0</v>
      </c>
      <c r="P330" s="17" t="s">
        <v>147</v>
      </c>
      <c r="Q330" s="18" t="s">
        <v>1370</v>
      </c>
      <c r="R330" s="17"/>
      <c r="S330" s="18" t="s">
        <v>1325</v>
      </c>
      <c r="T330" s="18" t="s">
        <v>1325</v>
      </c>
      <c r="U330" s="15" t="s">
        <v>54</v>
      </c>
      <c r="V330" s="15" t="s">
        <v>439</v>
      </c>
      <c r="W330" s="15" t="s">
        <v>1308</v>
      </c>
    </row>
    <row r="331" spans="1:23" hidden="1" x14ac:dyDescent="0.3">
      <c r="A331" s="15">
        <v>331</v>
      </c>
      <c r="B331" s="15" t="s">
        <v>1111</v>
      </c>
      <c r="C331" s="19">
        <v>45682</v>
      </c>
      <c r="D331" s="19" t="s">
        <v>51</v>
      </c>
      <c r="E331" s="21" t="s">
        <v>1261</v>
      </c>
      <c r="F331" s="21">
        <v>9416295492</v>
      </c>
      <c r="G331" s="15" t="s">
        <v>1093</v>
      </c>
      <c r="H331" s="15" t="s">
        <v>1359</v>
      </c>
      <c r="I331" s="15" t="s">
        <v>1360</v>
      </c>
      <c r="J331" s="15" t="s">
        <v>7</v>
      </c>
      <c r="K331" s="16">
        <v>66280</v>
      </c>
      <c r="L331" s="16">
        <v>102690</v>
      </c>
      <c r="M331" s="17">
        <f>Table1[[#This Row],[Billing Rate Charges]]-Table1[[#This Row],[ LORRY RATE ]]</f>
        <v>36410</v>
      </c>
      <c r="N331" s="17">
        <v>66280</v>
      </c>
      <c r="O331" s="17">
        <f>Table1[[#This Row],[ LORRY RATE ]]-Table1[[#This Row],[Adance Paid (INR)]]</f>
        <v>0</v>
      </c>
      <c r="P331" s="17" t="s">
        <v>147</v>
      </c>
      <c r="Q331" s="18" t="s">
        <v>1376</v>
      </c>
      <c r="R331" s="17"/>
      <c r="S331" s="18" t="s">
        <v>1325</v>
      </c>
      <c r="T331" s="18" t="s">
        <v>1325</v>
      </c>
      <c r="U331" s="15" t="s">
        <v>54</v>
      </c>
      <c r="V331" s="15" t="s">
        <v>1309</v>
      </c>
      <c r="W331" s="15"/>
    </row>
    <row r="332" spans="1:23" hidden="1" x14ac:dyDescent="0.3">
      <c r="A332" s="15">
        <v>332</v>
      </c>
      <c r="B332" s="15" t="s">
        <v>1111</v>
      </c>
      <c r="C332" s="19">
        <v>45682</v>
      </c>
      <c r="D332" s="19" t="s">
        <v>56</v>
      </c>
      <c r="E332" s="15" t="s">
        <v>60</v>
      </c>
      <c r="F332" s="15">
        <v>9515412075</v>
      </c>
      <c r="G332" s="15" t="s">
        <v>377</v>
      </c>
      <c r="H332" s="15" t="s">
        <v>1365</v>
      </c>
      <c r="I332" s="15" t="s">
        <v>1366</v>
      </c>
      <c r="J332" s="15" t="s">
        <v>7</v>
      </c>
      <c r="K332" s="16">
        <v>53580</v>
      </c>
      <c r="L332" s="16">
        <v>102690</v>
      </c>
      <c r="M332" s="17">
        <f>Table1[[#This Row],[Billing Rate Charges]]-Table1[[#This Row],[ LORRY RATE ]]</f>
        <v>49110</v>
      </c>
      <c r="N332" s="17">
        <v>53580</v>
      </c>
      <c r="O332" s="17">
        <f>Table1[[#This Row],[ LORRY RATE ]]-Table1[[#This Row],[Adance Paid (INR)]]</f>
        <v>0</v>
      </c>
      <c r="P332" s="17" t="s">
        <v>147</v>
      </c>
      <c r="Q332" s="18" t="s">
        <v>1380</v>
      </c>
      <c r="R332" s="17"/>
      <c r="S332" s="18" t="s">
        <v>1325</v>
      </c>
      <c r="T332" s="18" t="s">
        <v>1326</v>
      </c>
      <c r="U332" s="15" t="s">
        <v>54</v>
      </c>
      <c r="V332" s="15" t="s">
        <v>56</v>
      </c>
      <c r="W332" s="15"/>
    </row>
    <row r="333" spans="1:23" hidden="1" x14ac:dyDescent="0.3">
      <c r="A333" s="15">
        <v>333</v>
      </c>
      <c r="B333" s="15" t="s">
        <v>1111</v>
      </c>
      <c r="C333" s="19">
        <v>45684</v>
      </c>
      <c r="D333" s="19" t="s">
        <v>51</v>
      </c>
      <c r="E333" s="21" t="s">
        <v>757</v>
      </c>
      <c r="F333" s="21">
        <v>9807770602</v>
      </c>
      <c r="G333" s="15" t="s">
        <v>6</v>
      </c>
      <c r="H333" s="15" t="s">
        <v>26</v>
      </c>
      <c r="I333" s="15" t="s">
        <v>1344</v>
      </c>
      <c r="J333" s="15" t="s">
        <v>623</v>
      </c>
      <c r="K333" s="16">
        <v>25690</v>
      </c>
      <c r="L333" s="16">
        <v>35600</v>
      </c>
      <c r="M333" s="17">
        <f>Table1[[#This Row],[Billing Rate Charges]]-Table1[[#This Row],[ LORRY RATE ]]</f>
        <v>9910</v>
      </c>
      <c r="N333" s="17">
        <v>25690</v>
      </c>
      <c r="O333" s="17">
        <f>Table1[[#This Row],[ LORRY RATE ]]-Table1[[#This Row],[Adance Paid (INR)]]</f>
        <v>0</v>
      </c>
      <c r="P333" s="17" t="s">
        <v>147</v>
      </c>
      <c r="Q333" s="18" t="s">
        <v>1381</v>
      </c>
      <c r="R333" s="17"/>
      <c r="S333" s="18" t="s">
        <v>1327</v>
      </c>
      <c r="T333" s="18" t="s">
        <v>1327</v>
      </c>
      <c r="U333" s="15" t="s">
        <v>54</v>
      </c>
      <c r="V333" s="15" t="s">
        <v>439</v>
      </c>
      <c r="W333" s="15"/>
    </row>
    <row r="334" spans="1:23" hidden="1" x14ac:dyDescent="0.3">
      <c r="A334" s="15">
        <v>334</v>
      </c>
      <c r="B334" s="15" t="s">
        <v>1111</v>
      </c>
      <c r="C334" s="19">
        <v>45684</v>
      </c>
      <c r="D334" s="19" t="s">
        <v>51</v>
      </c>
      <c r="E334" s="21" t="s">
        <v>1312</v>
      </c>
      <c r="F334" s="21">
        <v>9980675943</v>
      </c>
      <c r="G334" s="15" t="s">
        <v>6</v>
      </c>
      <c r="H334" s="15" t="s">
        <v>26</v>
      </c>
      <c r="I334" s="15" t="s">
        <v>1343</v>
      </c>
      <c r="J334" s="15" t="s">
        <v>7</v>
      </c>
      <c r="K334" s="16">
        <v>32820</v>
      </c>
      <c r="L334" s="16">
        <v>40320</v>
      </c>
      <c r="M334" s="17">
        <f>Table1[[#This Row],[Billing Rate Charges]]-Table1[[#This Row],[ LORRY RATE ]]</f>
        <v>7500</v>
      </c>
      <c r="N334" s="17">
        <v>32820</v>
      </c>
      <c r="O334" s="17">
        <f>Table1[[#This Row],[ LORRY RATE ]]-Table1[[#This Row],[Adance Paid (INR)]]</f>
        <v>0</v>
      </c>
      <c r="P334" s="17" t="s">
        <v>147</v>
      </c>
      <c r="Q334" s="18" t="s">
        <v>1382</v>
      </c>
      <c r="R334" s="17"/>
      <c r="S334" s="18" t="s">
        <v>1324</v>
      </c>
      <c r="T334" s="18" t="s">
        <v>1324</v>
      </c>
      <c r="U334" s="15" t="s">
        <v>54</v>
      </c>
      <c r="V334" s="15" t="s">
        <v>529</v>
      </c>
      <c r="W334" s="15"/>
    </row>
    <row r="335" spans="1:23" hidden="1" x14ac:dyDescent="0.3">
      <c r="A335" s="15">
        <v>335</v>
      </c>
      <c r="B335" s="15" t="s">
        <v>1111</v>
      </c>
      <c r="C335" s="19">
        <v>45684</v>
      </c>
      <c r="D335" s="19" t="s">
        <v>51</v>
      </c>
      <c r="E335" s="21" t="s">
        <v>1313</v>
      </c>
      <c r="F335" s="21">
        <v>9439276363</v>
      </c>
      <c r="G335" s="15" t="s">
        <v>1314</v>
      </c>
      <c r="H335" s="15" t="s">
        <v>26</v>
      </c>
      <c r="I335" s="15" t="s">
        <v>1363</v>
      </c>
      <c r="J335" s="15" t="s">
        <v>107</v>
      </c>
      <c r="K335" s="16">
        <v>19660</v>
      </c>
      <c r="L335" s="16">
        <v>23940</v>
      </c>
      <c r="M335" s="17">
        <f>Table1[[#This Row],[Billing Rate Charges]]-Table1[[#This Row],[ LORRY RATE ]]</f>
        <v>4280</v>
      </c>
      <c r="N335" s="17">
        <v>19660</v>
      </c>
      <c r="O335" s="17">
        <f>Table1[[#This Row],[ LORRY RATE ]]-Table1[[#This Row],[Adance Paid (INR)]]</f>
        <v>0</v>
      </c>
      <c r="P335" s="17" t="s">
        <v>147</v>
      </c>
      <c r="Q335" s="18" t="s">
        <v>1383</v>
      </c>
      <c r="R335" s="17"/>
      <c r="S335" s="18" t="s">
        <v>1325</v>
      </c>
      <c r="T335" s="18" t="s">
        <v>1325</v>
      </c>
      <c r="U335" s="15" t="s">
        <v>54</v>
      </c>
      <c r="V335" s="15" t="s">
        <v>1321</v>
      </c>
      <c r="W335" s="15"/>
    </row>
    <row r="336" spans="1:23" hidden="1" x14ac:dyDescent="0.3">
      <c r="A336" s="15">
        <v>336</v>
      </c>
      <c r="B336" s="15" t="s">
        <v>1111</v>
      </c>
      <c r="C336" s="19">
        <v>45685</v>
      </c>
      <c r="D336" s="19" t="s">
        <v>51</v>
      </c>
      <c r="E336" s="21" t="s">
        <v>1315</v>
      </c>
      <c r="F336" s="21">
        <v>9591781788</v>
      </c>
      <c r="G336" s="15" t="s">
        <v>6</v>
      </c>
      <c r="H336" s="15" t="s">
        <v>1345</v>
      </c>
      <c r="I336" s="15" t="s">
        <v>1346</v>
      </c>
      <c r="J336" s="15" t="s">
        <v>59</v>
      </c>
      <c r="K336" s="16">
        <v>32240</v>
      </c>
      <c r="L336" s="16">
        <v>50720</v>
      </c>
      <c r="M336" s="17">
        <f>Table1[[#This Row],[Billing Rate Charges]]-Table1[[#This Row],[ LORRY RATE ]]</f>
        <v>18480</v>
      </c>
      <c r="N336" s="17">
        <v>32240</v>
      </c>
      <c r="O336" s="17">
        <f>Table1[[#This Row],[ LORRY RATE ]]-Table1[[#This Row],[Adance Paid (INR)]]</f>
        <v>0</v>
      </c>
      <c r="P336" s="17" t="s">
        <v>147</v>
      </c>
      <c r="Q336" s="18" t="s">
        <v>1378</v>
      </c>
      <c r="R336" s="17"/>
      <c r="S336" s="18" t="s">
        <v>1324</v>
      </c>
      <c r="T336" s="18" t="s">
        <v>1324</v>
      </c>
      <c r="U336" s="15" t="s">
        <v>54</v>
      </c>
      <c r="V336" s="15" t="s">
        <v>439</v>
      </c>
      <c r="W336" s="15" t="s">
        <v>1319</v>
      </c>
    </row>
    <row r="337" spans="1:23" hidden="1" x14ac:dyDescent="0.3">
      <c r="A337" s="15">
        <v>337</v>
      </c>
      <c r="B337" s="15" t="s">
        <v>1111</v>
      </c>
      <c r="C337" s="19">
        <v>45686</v>
      </c>
      <c r="D337" s="19" t="s">
        <v>51</v>
      </c>
      <c r="E337" s="21" t="s">
        <v>380</v>
      </c>
      <c r="F337" s="21"/>
      <c r="G337" s="15" t="s">
        <v>6</v>
      </c>
      <c r="H337" s="15" t="s">
        <v>26</v>
      </c>
      <c r="I337" s="15" t="s">
        <v>1348</v>
      </c>
      <c r="J337" s="15" t="s">
        <v>381</v>
      </c>
      <c r="K337" s="16">
        <v>49930</v>
      </c>
      <c r="L337" s="16">
        <v>56570</v>
      </c>
      <c r="M337" s="17">
        <f>Table1[[#This Row],[Billing Rate Charges]]-Table1[[#This Row],[ LORRY RATE ]]</f>
        <v>6640</v>
      </c>
      <c r="N337" s="17">
        <v>49930</v>
      </c>
      <c r="O337" s="17">
        <f>Table1[[#This Row],[ LORRY RATE ]]-Table1[[#This Row],[Adance Paid (INR)]]</f>
        <v>0</v>
      </c>
      <c r="P337" s="17" t="s">
        <v>147</v>
      </c>
      <c r="Q337" s="18" t="s">
        <v>1385</v>
      </c>
      <c r="R337" s="17"/>
      <c r="S337" s="18" t="s">
        <v>1327</v>
      </c>
      <c r="T337" s="18" t="s">
        <v>1327</v>
      </c>
      <c r="U337" s="15" t="s">
        <v>54</v>
      </c>
      <c r="V337" s="15" t="s">
        <v>380</v>
      </c>
      <c r="W337" s="15" t="s">
        <v>1330</v>
      </c>
    </row>
    <row r="338" spans="1:23" hidden="1" x14ac:dyDescent="0.3">
      <c r="A338" s="15">
        <v>338</v>
      </c>
      <c r="B338" s="15" t="s">
        <v>1111</v>
      </c>
      <c r="C338" s="19">
        <v>45686</v>
      </c>
      <c r="D338" s="19" t="s">
        <v>51</v>
      </c>
      <c r="E338" s="21" t="s">
        <v>380</v>
      </c>
      <c r="F338" s="21"/>
      <c r="G338" s="15" t="s">
        <v>6</v>
      </c>
      <c r="H338" s="15" t="s">
        <v>26</v>
      </c>
      <c r="I338" s="15" t="s">
        <v>1349</v>
      </c>
      <c r="J338" s="15" t="s">
        <v>381</v>
      </c>
      <c r="K338" s="16">
        <v>33570</v>
      </c>
      <c r="L338" s="16">
        <v>36380</v>
      </c>
      <c r="M338" s="17">
        <f>Table1[[#This Row],[Billing Rate Charges]]-Table1[[#This Row],[ LORRY RATE ]]</f>
        <v>2810</v>
      </c>
      <c r="N338" s="17">
        <v>33570</v>
      </c>
      <c r="O338" s="17">
        <f>Table1[[#This Row],[ LORRY RATE ]]-Table1[[#This Row],[Adance Paid (INR)]]</f>
        <v>0</v>
      </c>
      <c r="P338" s="17" t="s">
        <v>147</v>
      </c>
      <c r="Q338" s="18" t="s">
        <v>1388</v>
      </c>
      <c r="R338" s="17"/>
      <c r="S338" s="18" t="s">
        <v>1327</v>
      </c>
      <c r="T338" s="18" t="s">
        <v>1327</v>
      </c>
      <c r="U338" s="15" t="s">
        <v>54</v>
      </c>
      <c r="V338" s="15" t="s">
        <v>380</v>
      </c>
      <c r="W338" s="15" t="s">
        <v>1331</v>
      </c>
    </row>
    <row r="339" spans="1:23" hidden="1" x14ac:dyDescent="0.3">
      <c r="A339" s="15">
        <v>339</v>
      </c>
      <c r="B339" s="15" t="s">
        <v>1111</v>
      </c>
      <c r="C339" s="19">
        <v>45686</v>
      </c>
      <c r="D339" s="19" t="s">
        <v>51</v>
      </c>
      <c r="E339" s="21" t="s">
        <v>380</v>
      </c>
      <c r="F339" s="21"/>
      <c r="G339" s="15" t="s">
        <v>6</v>
      </c>
      <c r="H339" s="15" t="s">
        <v>26</v>
      </c>
      <c r="I339" s="15" t="s">
        <v>1350</v>
      </c>
      <c r="J339" s="15" t="s">
        <v>381</v>
      </c>
      <c r="K339" s="16">
        <v>62160</v>
      </c>
      <c r="L339" s="16">
        <v>64520</v>
      </c>
      <c r="M339" s="17">
        <f>Table1[[#This Row],[Billing Rate Charges]]-Table1[[#This Row],[ LORRY RATE ]]</f>
        <v>2360</v>
      </c>
      <c r="N339" s="17">
        <v>62160</v>
      </c>
      <c r="O339" s="17">
        <f>Table1[[#This Row],[ LORRY RATE ]]-Table1[[#This Row],[Adance Paid (INR)]]</f>
        <v>0</v>
      </c>
      <c r="P339" s="17" t="s">
        <v>147</v>
      </c>
      <c r="Q339" s="18" t="s">
        <v>1389</v>
      </c>
      <c r="R339" s="17"/>
      <c r="S339" s="18" t="s">
        <v>1327</v>
      </c>
      <c r="T339" s="18" t="s">
        <v>1327</v>
      </c>
      <c r="U339" s="15" t="s">
        <v>54</v>
      </c>
      <c r="V339" s="15" t="s">
        <v>380</v>
      </c>
      <c r="W339" s="15" t="s">
        <v>1332</v>
      </c>
    </row>
    <row r="340" spans="1:23" hidden="1" x14ac:dyDescent="0.3">
      <c r="A340" s="15">
        <v>340</v>
      </c>
      <c r="B340" s="15" t="s">
        <v>1111</v>
      </c>
      <c r="C340" s="19">
        <v>45686</v>
      </c>
      <c r="D340" s="19" t="s">
        <v>51</v>
      </c>
      <c r="E340" s="21" t="s">
        <v>380</v>
      </c>
      <c r="F340" s="21"/>
      <c r="G340" s="15" t="s">
        <v>6</v>
      </c>
      <c r="H340" s="15" t="s">
        <v>26</v>
      </c>
      <c r="I340" s="15" t="s">
        <v>1351</v>
      </c>
      <c r="J340" s="15" t="s">
        <v>381</v>
      </c>
      <c r="K340" s="16">
        <v>80590</v>
      </c>
      <c r="L340" s="16">
        <v>92780</v>
      </c>
      <c r="M340" s="17">
        <f>Table1[[#This Row],[Billing Rate Charges]]-Table1[[#This Row],[ LORRY RATE ]]</f>
        <v>12190</v>
      </c>
      <c r="N340" s="17">
        <v>80590</v>
      </c>
      <c r="O340" s="17">
        <f>Table1[[#This Row],[ LORRY RATE ]]-Table1[[#This Row],[Adance Paid (INR)]]</f>
        <v>0</v>
      </c>
      <c r="P340" s="17" t="s">
        <v>147</v>
      </c>
      <c r="Q340" s="18" t="s">
        <v>1387</v>
      </c>
      <c r="R340" s="17"/>
      <c r="S340" s="18" t="s">
        <v>1327</v>
      </c>
      <c r="T340" s="18" t="s">
        <v>1327</v>
      </c>
      <c r="U340" s="15" t="s">
        <v>54</v>
      </c>
      <c r="V340" s="15" t="s">
        <v>380</v>
      </c>
      <c r="W340" s="15" t="s">
        <v>1333</v>
      </c>
    </row>
    <row r="341" spans="1:23" hidden="1" x14ac:dyDescent="0.3">
      <c r="A341" s="15">
        <v>341</v>
      </c>
      <c r="B341" s="15" t="s">
        <v>1111</v>
      </c>
      <c r="C341" s="19">
        <v>45686</v>
      </c>
      <c r="D341" s="19" t="s">
        <v>51</v>
      </c>
      <c r="E341" s="21" t="s">
        <v>1316</v>
      </c>
      <c r="F341" s="21">
        <v>9571913465</v>
      </c>
      <c r="G341" s="15" t="s">
        <v>1093</v>
      </c>
      <c r="H341" s="15" t="s">
        <v>26</v>
      </c>
      <c r="I341" s="15" t="s">
        <v>1364</v>
      </c>
      <c r="J341" s="15" t="s">
        <v>107</v>
      </c>
      <c r="K341" s="16">
        <v>84450</v>
      </c>
      <c r="L341" s="16">
        <v>109620</v>
      </c>
      <c r="M341" s="17">
        <f>Table1[[#This Row],[Billing Rate Charges]]-Table1[[#This Row],[ LORRY RATE ]]</f>
        <v>25170</v>
      </c>
      <c r="N341" s="17">
        <v>84450</v>
      </c>
      <c r="O341" s="17">
        <f>Table1[[#This Row],[ LORRY RATE ]]-Table1[[#This Row],[Adance Paid (INR)]]</f>
        <v>0</v>
      </c>
      <c r="P341" s="17" t="s">
        <v>147</v>
      </c>
      <c r="Q341" s="18" t="s">
        <v>1371</v>
      </c>
      <c r="R341" s="17"/>
      <c r="S341" s="18" t="s">
        <v>1328</v>
      </c>
      <c r="T341" s="18" t="s">
        <v>1328</v>
      </c>
      <c r="U341" s="15" t="s">
        <v>54</v>
      </c>
      <c r="V341" s="15" t="s">
        <v>1320</v>
      </c>
      <c r="W341" s="15" t="s">
        <v>1319</v>
      </c>
    </row>
    <row r="342" spans="1:23" hidden="1" x14ac:dyDescent="0.3">
      <c r="A342" s="15">
        <v>342</v>
      </c>
      <c r="B342" s="15" t="s">
        <v>1111</v>
      </c>
      <c r="C342" s="19">
        <v>45686</v>
      </c>
      <c r="D342" s="19" t="s">
        <v>56</v>
      </c>
      <c r="E342" s="21" t="s">
        <v>60</v>
      </c>
      <c r="F342" s="21">
        <v>9589264337</v>
      </c>
      <c r="G342" s="15" t="s">
        <v>6</v>
      </c>
      <c r="H342" s="15" t="s">
        <v>26</v>
      </c>
      <c r="I342" s="15" t="s">
        <v>1347</v>
      </c>
      <c r="J342" s="15" t="s">
        <v>7</v>
      </c>
      <c r="K342" s="16">
        <v>45070</v>
      </c>
      <c r="L342" s="16">
        <v>45990</v>
      </c>
      <c r="M342" s="17">
        <f>Table1[[#This Row],[Billing Rate Charges]]-Table1[[#This Row],[ LORRY RATE ]]</f>
        <v>920</v>
      </c>
      <c r="N342" s="17">
        <v>45070</v>
      </c>
      <c r="O342" s="17">
        <f>Table1[[#This Row],[ LORRY RATE ]]-Table1[[#This Row],[Adance Paid (INR)]]</f>
        <v>0</v>
      </c>
      <c r="P342" s="17" t="s">
        <v>147</v>
      </c>
      <c r="Q342" s="18" t="s">
        <v>1379</v>
      </c>
      <c r="R342" s="17"/>
      <c r="S342" s="18" t="s">
        <v>1324</v>
      </c>
      <c r="T342" s="18" t="s">
        <v>1324</v>
      </c>
      <c r="U342" s="15" t="s">
        <v>54</v>
      </c>
      <c r="V342" s="15" t="s">
        <v>56</v>
      </c>
      <c r="W342" s="15" t="s">
        <v>1319</v>
      </c>
    </row>
    <row r="343" spans="1:23" hidden="1" x14ac:dyDescent="0.3">
      <c r="A343" s="15">
        <v>343</v>
      </c>
      <c r="B343" s="15" t="s">
        <v>1111</v>
      </c>
      <c r="C343" s="19">
        <v>45687</v>
      </c>
      <c r="D343" s="19" t="s">
        <v>51</v>
      </c>
      <c r="E343" s="21" t="s">
        <v>380</v>
      </c>
      <c r="F343" s="21"/>
      <c r="G343" s="15" t="s">
        <v>6</v>
      </c>
      <c r="H343" s="15" t="s">
        <v>26</v>
      </c>
      <c r="I343" s="15" t="s">
        <v>1356</v>
      </c>
      <c r="J343" s="15" t="s">
        <v>381</v>
      </c>
      <c r="K343" s="16">
        <v>34640</v>
      </c>
      <c r="L343" s="16">
        <v>40350</v>
      </c>
      <c r="M343" s="17">
        <f>Table1[[#This Row],[Billing Rate Charges]]-Table1[[#This Row],[ LORRY RATE ]]</f>
        <v>5710</v>
      </c>
      <c r="N343" s="17">
        <v>34640</v>
      </c>
      <c r="O343" s="17">
        <f>Table1[[#This Row],[ LORRY RATE ]]-Table1[[#This Row],[Adance Paid (INR)]]</f>
        <v>0</v>
      </c>
      <c r="P343" s="17" t="s">
        <v>147</v>
      </c>
      <c r="Q343" s="18" t="s">
        <v>1390</v>
      </c>
      <c r="R343" s="17"/>
      <c r="S343" s="18" t="s">
        <v>1324</v>
      </c>
      <c r="T343" s="18" t="s">
        <v>1328</v>
      </c>
      <c r="U343" s="15" t="s">
        <v>54</v>
      </c>
      <c r="V343" s="15" t="s">
        <v>380</v>
      </c>
      <c r="W343" s="15" t="s">
        <v>1335</v>
      </c>
    </row>
    <row r="344" spans="1:23" hidden="1" x14ac:dyDescent="0.3">
      <c r="A344" s="15">
        <v>344</v>
      </c>
      <c r="B344" s="15" t="s">
        <v>1111</v>
      </c>
      <c r="C344" s="19">
        <v>45687</v>
      </c>
      <c r="D344" s="19" t="s">
        <v>51</v>
      </c>
      <c r="E344" s="21" t="s">
        <v>380</v>
      </c>
      <c r="F344" s="21"/>
      <c r="G344" s="15" t="s">
        <v>6</v>
      </c>
      <c r="H344" s="15" t="s">
        <v>26</v>
      </c>
      <c r="I344" s="15" t="s">
        <v>1352</v>
      </c>
      <c r="J344" s="15" t="s">
        <v>381</v>
      </c>
      <c r="K344" s="16">
        <v>84510</v>
      </c>
      <c r="L344" s="16">
        <v>95290</v>
      </c>
      <c r="M344" s="17">
        <f>Table1[[#This Row],[Billing Rate Charges]]-Table1[[#This Row],[ LORRY RATE ]]</f>
        <v>10780</v>
      </c>
      <c r="N344" s="17">
        <v>84510</v>
      </c>
      <c r="O344" s="17">
        <f>Table1[[#This Row],[ LORRY RATE ]]-Table1[[#This Row],[Adance Paid (INR)]]</f>
        <v>0</v>
      </c>
      <c r="P344" s="17" t="s">
        <v>147</v>
      </c>
      <c r="Q344" s="18" t="s">
        <v>1377</v>
      </c>
      <c r="R344" s="17"/>
      <c r="S344" s="18" t="s">
        <v>1324</v>
      </c>
      <c r="T344" s="18" t="s">
        <v>1328</v>
      </c>
      <c r="U344" s="15" t="s">
        <v>54</v>
      </c>
      <c r="V344" s="15" t="s">
        <v>380</v>
      </c>
      <c r="W344" s="15" t="s">
        <v>1334</v>
      </c>
    </row>
    <row r="345" spans="1:23" hidden="1" x14ac:dyDescent="0.3">
      <c r="A345" s="15">
        <v>345</v>
      </c>
      <c r="B345" s="15" t="s">
        <v>1111</v>
      </c>
      <c r="C345" s="19">
        <v>45687</v>
      </c>
      <c r="D345" s="19" t="s">
        <v>51</v>
      </c>
      <c r="E345" s="21" t="s">
        <v>1317</v>
      </c>
      <c r="F345" s="21">
        <v>9504219544</v>
      </c>
      <c r="G345" s="15" t="s">
        <v>1093</v>
      </c>
      <c r="H345" s="15" t="s">
        <v>1361</v>
      </c>
      <c r="I345" s="15" t="s">
        <v>1362</v>
      </c>
      <c r="J345" s="15" t="s">
        <v>7</v>
      </c>
      <c r="K345" s="16">
        <v>66980</v>
      </c>
      <c r="L345" s="16">
        <v>102060</v>
      </c>
      <c r="M345" s="17">
        <f>Table1[[#This Row],[Billing Rate Charges]]-Table1[[#This Row],[ LORRY RATE ]]</f>
        <v>35080</v>
      </c>
      <c r="N345" s="17">
        <v>66980</v>
      </c>
      <c r="O345" s="17">
        <f>Table1[[#This Row],[ LORRY RATE ]]-Table1[[#This Row],[Adance Paid (INR)]]</f>
        <v>0</v>
      </c>
      <c r="P345" s="17" t="s">
        <v>147</v>
      </c>
      <c r="Q345" s="18" t="s">
        <v>1386</v>
      </c>
      <c r="R345" s="17"/>
      <c r="S345" s="18" t="s">
        <v>1329</v>
      </c>
      <c r="T345" s="18" t="s">
        <v>1329</v>
      </c>
      <c r="U345" s="15" t="s">
        <v>54</v>
      </c>
      <c r="V345" s="15" t="s">
        <v>1320</v>
      </c>
      <c r="W345" s="15" t="s">
        <v>1319</v>
      </c>
    </row>
    <row r="346" spans="1:23" hidden="1" x14ac:dyDescent="0.3">
      <c r="A346" s="15">
        <v>346</v>
      </c>
      <c r="B346" s="15" t="s">
        <v>1111</v>
      </c>
      <c r="C346" s="19">
        <v>45688</v>
      </c>
      <c r="D346" s="19" t="s">
        <v>51</v>
      </c>
      <c r="E346" s="21" t="s">
        <v>380</v>
      </c>
      <c r="F346" s="21"/>
      <c r="G346" s="15" t="s">
        <v>6</v>
      </c>
      <c r="H346" s="15" t="s">
        <v>26</v>
      </c>
      <c r="I346" s="15" t="s">
        <v>1353</v>
      </c>
      <c r="J346" s="15" t="s">
        <v>381</v>
      </c>
      <c r="K346" s="16">
        <v>57790</v>
      </c>
      <c r="L346" s="16">
        <v>68920</v>
      </c>
      <c r="M346" s="17">
        <f>Table1[[#This Row],[Billing Rate Charges]]-Table1[[#This Row],[ LORRY RATE ]]</f>
        <v>11130</v>
      </c>
      <c r="N346" s="17">
        <v>57790</v>
      </c>
      <c r="O346" s="17">
        <f>Table1[[#This Row],[ LORRY RATE ]]-Table1[[#This Row],[Adance Paid (INR)]]</f>
        <v>0</v>
      </c>
      <c r="P346" s="17" t="s">
        <v>147</v>
      </c>
      <c r="Q346" s="18" t="s">
        <v>1391</v>
      </c>
      <c r="R346" s="17"/>
      <c r="S346" s="18" t="s">
        <v>1324</v>
      </c>
      <c r="T346" s="18" t="s">
        <v>1328</v>
      </c>
      <c r="U346" s="15" t="s">
        <v>54</v>
      </c>
      <c r="V346" s="15" t="s">
        <v>380</v>
      </c>
      <c r="W346" s="15" t="s">
        <v>1336</v>
      </c>
    </row>
    <row r="347" spans="1:23" hidden="1" x14ac:dyDescent="0.3">
      <c r="A347" s="15">
        <v>347</v>
      </c>
      <c r="B347" s="15" t="s">
        <v>1111</v>
      </c>
      <c r="C347" s="19">
        <v>45688</v>
      </c>
      <c r="D347" s="19" t="s">
        <v>51</v>
      </c>
      <c r="E347" s="21" t="s">
        <v>380</v>
      </c>
      <c r="F347" s="21"/>
      <c r="G347" s="15" t="s">
        <v>6</v>
      </c>
      <c r="H347" s="15" t="s">
        <v>26</v>
      </c>
      <c r="I347" s="15" t="s">
        <v>1354</v>
      </c>
      <c r="J347" s="15" t="s">
        <v>381</v>
      </c>
      <c r="K347" s="16">
        <v>116260</v>
      </c>
      <c r="L347" s="16">
        <v>139790</v>
      </c>
      <c r="M347" s="17">
        <f>Table1[[#This Row],[Billing Rate Charges]]-Table1[[#This Row],[ LORRY RATE ]]</f>
        <v>23530</v>
      </c>
      <c r="N347" s="17">
        <v>116260</v>
      </c>
      <c r="O347" s="17">
        <f>Table1[[#This Row],[ LORRY RATE ]]-Table1[[#This Row],[Adance Paid (INR)]]</f>
        <v>0</v>
      </c>
      <c r="P347" s="17" t="s">
        <v>147</v>
      </c>
      <c r="Q347" s="18" t="s">
        <v>1392</v>
      </c>
      <c r="R347" s="17"/>
      <c r="S347" s="18" t="s">
        <v>1324</v>
      </c>
      <c r="T347" s="18" t="s">
        <v>1328</v>
      </c>
      <c r="U347" s="15" t="s">
        <v>54</v>
      </c>
      <c r="V347" s="15" t="s">
        <v>380</v>
      </c>
      <c r="W347" s="15" t="s">
        <v>1337</v>
      </c>
    </row>
    <row r="348" spans="1:23" hidden="1" x14ac:dyDescent="0.3">
      <c r="A348" s="15">
        <v>348</v>
      </c>
      <c r="B348" s="15" t="s">
        <v>1111</v>
      </c>
      <c r="C348" s="19">
        <v>45688</v>
      </c>
      <c r="D348" s="19" t="s">
        <v>51</v>
      </c>
      <c r="E348" s="21" t="s">
        <v>380</v>
      </c>
      <c r="F348" s="21"/>
      <c r="G348" s="15" t="s">
        <v>6</v>
      </c>
      <c r="H348" s="15" t="s">
        <v>26</v>
      </c>
      <c r="I348" s="15" t="s">
        <v>1355</v>
      </c>
      <c r="J348" s="15" t="s">
        <v>381</v>
      </c>
      <c r="K348" s="16">
        <v>65770</v>
      </c>
      <c r="L348" s="16">
        <v>78450</v>
      </c>
      <c r="M348" s="17">
        <f>Table1[[#This Row],[Billing Rate Charges]]-Table1[[#This Row],[ LORRY RATE ]]</f>
        <v>12680</v>
      </c>
      <c r="N348" s="17">
        <v>65770</v>
      </c>
      <c r="O348" s="17">
        <f>Table1[[#This Row],[ LORRY RATE ]]-Table1[[#This Row],[Adance Paid (INR)]]</f>
        <v>0</v>
      </c>
      <c r="P348" s="17" t="s">
        <v>147</v>
      </c>
      <c r="Q348" s="18" t="s">
        <v>1396</v>
      </c>
      <c r="R348" s="17"/>
      <c r="S348" s="18" t="s">
        <v>1324</v>
      </c>
      <c r="T348" s="18" t="s">
        <v>1328</v>
      </c>
      <c r="U348" s="15" t="s">
        <v>54</v>
      </c>
      <c r="V348" s="15" t="s">
        <v>380</v>
      </c>
      <c r="W348" s="15" t="s">
        <v>1338</v>
      </c>
    </row>
    <row r="349" spans="1:23" hidden="1" x14ac:dyDescent="0.3">
      <c r="A349" s="15">
        <v>349</v>
      </c>
      <c r="B349" s="15" t="s">
        <v>1318</v>
      </c>
      <c r="C349" s="19">
        <v>45689</v>
      </c>
      <c r="D349" s="19" t="s">
        <v>56</v>
      </c>
      <c r="E349" s="21" t="s">
        <v>38</v>
      </c>
      <c r="F349" s="21">
        <v>9025368773</v>
      </c>
      <c r="G349" s="15" t="s">
        <v>1093</v>
      </c>
      <c r="H349" s="15" t="s">
        <v>1393</v>
      </c>
      <c r="I349" s="15" t="s">
        <v>6</v>
      </c>
      <c r="J349" s="15" t="s">
        <v>25</v>
      </c>
      <c r="K349" s="16">
        <v>52820</v>
      </c>
      <c r="L349" s="16">
        <v>97650</v>
      </c>
      <c r="M349" s="17">
        <f>Table1[[#This Row],[Billing Rate Charges]]-Table1[[#This Row],[ LORRY RATE ]]</f>
        <v>44830</v>
      </c>
      <c r="N349" s="17">
        <v>52820</v>
      </c>
      <c r="O349" s="17">
        <f>Table1[[#This Row],[ LORRY RATE ]]-Table1[[#This Row],[Adance Paid (INR)]]</f>
        <v>0</v>
      </c>
      <c r="P349" s="17" t="s">
        <v>147</v>
      </c>
      <c r="Q349" s="18" t="s">
        <v>1384</v>
      </c>
      <c r="R349" s="17"/>
      <c r="S349" s="18" t="s">
        <v>1400</v>
      </c>
      <c r="T349" s="18" t="s">
        <v>1400</v>
      </c>
      <c r="U349" s="15" t="s">
        <v>54</v>
      </c>
      <c r="V349" s="15" t="s">
        <v>56</v>
      </c>
      <c r="W349" s="15"/>
    </row>
    <row r="350" spans="1:23" hidden="1" x14ac:dyDescent="0.3">
      <c r="A350" s="15">
        <v>350</v>
      </c>
      <c r="B350" s="15" t="s">
        <v>1318</v>
      </c>
      <c r="C350" s="19">
        <v>45689</v>
      </c>
      <c r="D350" s="19" t="s">
        <v>51</v>
      </c>
      <c r="E350" s="21" t="s">
        <v>605</v>
      </c>
      <c r="F350" s="21">
        <v>9142370650</v>
      </c>
      <c r="G350" s="15" t="s">
        <v>6</v>
      </c>
      <c r="H350" s="15" t="s">
        <v>26</v>
      </c>
      <c r="I350" s="15" t="s">
        <v>1357</v>
      </c>
      <c r="J350" s="15" t="s">
        <v>623</v>
      </c>
      <c r="K350" s="16">
        <v>25690</v>
      </c>
      <c r="L350" s="16">
        <v>35600</v>
      </c>
      <c r="M350" s="17">
        <f>Table1[[#This Row],[Billing Rate Charges]]-Table1[[#This Row],[ LORRY RATE ]]</f>
        <v>9910</v>
      </c>
      <c r="N350" s="17">
        <v>25690</v>
      </c>
      <c r="O350" s="17">
        <f>Table1[[#This Row],[ LORRY RATE ]]-Table1[[#This Row],[Adance Paid (INR)]]</f>
        <v>0</v>
      </c>
      <c r="P350" s="17" t="s">
        <v>147</v>
      </c>
      <c r="Q350" s="18" t="s">
        <v>1397</v>
      </c>
      <c r="R350" s="17"/>
      <c r="S350" s="18" t="s">
        <v>1401</v>
      </c>
      <c r="T350" s="18" t="s">
        <v>1401</v>
      </c>
      <c r="U350" s="15" t="s">
        <v>54</v>
      </c>
      <c r="V350" s="15" t="s">
        <v>439</v>
      </c>
      <c r="W350" s="15"/>
    </row>
    <row r="351" spans="1:23" hidden="1" x14ac:dyDescent="0.3">
      <c r="A351" s="15">
        <v>351</v>
      </c>
      <c r="B351" s="15" t="s">
        <v>1318</v>
      </c>
      <c r="C351" s="19">
        <v>45691</v>
      </c>
      <c r="D351" s="19" t="s">
        <v>56</v>
      </c>
      <c r="E351" s="15" t="s">
        <v>60</v>
      </c>
      <c r="F351" s="15">
        <v>9589264337</v>
      </c>
      <c r="G351" s="15" t="s">
        <v>1093</v>
      </c>
      <c r="H351" s="15" t="s">
        <v>1395</v>
      </c>
      <c r="I351" s="15" t="s">
        <v>1394</v>
      </c>
      <c r="J351" s="15" t="s">
        <v>7</v>
      </c>
      <c r="K351" s="16">
        <v>53580</v>
      </c>
      <c r="L351" s="16">
        <v>102690</v>
      </c>
      <c r="M351" s="17">
        <f>Table1[[#This Row],[Billing Rate Charges]]-Table1[[#This Row],[ LORRY RATE ]]</f>
        <v>49110</v>
      </c>
      <c r="N351" s="17">
        <v>53580</v>
      </c>
      <c r="O351" s="17">
        <f>Table1[[#This Row],[ LORRY RATE ]]-Table1[[#This Row],[Adance Paid (INR)]]</f>
        <v>0</v>
      </c>
      <c r="P351" s="17" t="s">
        <v>147</v>
      </c>
      <c r="Q351" s="18" t="s">
        <v>1398</v>
      </c>
      <c r="R351" s="17"/>
      <c r="S351" s="18" t="s">
        <v>1403</v>
      </c>
      <c r="T351" s="18" t="s">
        <v>1403</v>
      </c>
      <c r="U351" s="15" t="s">
        <v>54</v>
      </c>
      <c r="V351" s="15" t="s">
        <v>56</v>
      </c>
      <c r="W351" s="15"/>
    </row>
    <row r="352" spans="1:23" hidden="1" x14ac:dyDescent="0.3">
      <c r="A352" s="15">
        <v>352</v>
      </c>
      <c r="B352" s="15" t="s">
        <v>1318</v>
      </c>
      <c r="C352" s="19">
        <v>45692</v>
      </c>
      <c r="D352" s="19" t="s">
        <v>51</v>
      </c>
      <c r="E352" s="21" t="s">
        <v>1399</v>
      </c>
      <c r="F352" s="21">
        <v>9891092647</v>
      </c>
      <c r="G352" s="15" t="s">
        <v>6</v>
      </c>
      <c r="H352" s="15" t="s">
        <v>26</v>
      </c>
      <c r="I352" s="15" t="s">
        <v>1411</v>
      </c>
      <c r="J352" s="15" t="s">
        <v>168</v>
      </c>
      <c r="K352" s="16">
        <v>18050</v>
      </c>
      <c r="L352" s="16">
        <v>23940</v>
      </c>
      <c r="M352" s="17">
        <f>Table1[[#This Row],[Billing Rate Charges]]-Table1[[#This Row],[ LORRY RATE ]]</f>
        <v>5890</v>
      </c>
      <c r="N352" s="17">
        <v>18050</v>
      </c>
      <c r="O352" s="17">
        <f>Table1[[#This Row],[ LORRY RATE ]]-Table1[[#This Row],[Adance Paid (INR)]]</f>
        <v>0</v>
      </c>
      <c r="P352" s="17" t="s">
        <v>147</v>
      </c>
      <c r="Q352" s="18" t="s">
        <v>1425</v>
      </c>
      <c r="R352" s="17"/>
      <c r="S352" s="18" t="s">
        <v>1407</v>
      </c>
      <c r="T352" s="18" t="s">
        <v>1407</v>
      </c>
      <c r="U352" s="15" t="s">
        <v>54</v>
      </c>
      <c r="V352" s="15" t="s">
        <v>529</v>
      </c>
      <c r="W352" s="15"/>
    </row>
    <row r="353" spans="1:23" hidden="1" x14ac:dyDescent="0.3">
      <c r="A353" s="15">
        <v>353</v>
      </c>
      <c r="B353" s="15" t="s">
        <v>1318</v>
      </c>
      <c r="C353" s="19">
        <v>45693</v>
      </c>
      <c r="D353" s="19" t="s">
        <v>51</v>
      </c>
      <c r="E353" s="21" t="s">
        <v>772</v>
      </c>
      <c r="F353" s="21">
        <v>9474555859</v>
      </c>
      <c r="G353" s="15" t="s">
        <v>6</v>
      </c>
      <c r="H353" s="15" t="s">
        <v>1412</v>
      </c>
      <c r="I353" s="15" t="s">
        <v>1413</v>
      </c>
      <c r="J353" s="15" t="s">
        <v>59</v>
      </c>
      <c r="K353" s="16">
        <v>31800</v>
      </c>
      <c r="L353" s="16">
        <v>51340</v>
      </c>
      <c r="M353" s="17">
        <f>Table1[[#This Row],[Billing Rate Charges]]-Table1[[#This Row],[ LORRY RATE ]]</f>
        <v>19540</v>
      </c>
      <c r="N353" s="17">
        <v>31800</v>
      </c>
      <c r="O353" s="17">
        <f>Table1[[#This Row],[ LORRY RATE ]]-Table1[[#This Row],[Adance Paid (INR)]]</f>
        <v>0</v>
      </c>
      <c r="P353" s="17" t="s">
        <v>147</v>
      </c>
      <c r="Q353" s="18" t="s">
        <v>1426</v>
      </c>
      <c r="R353" s="17"/>
      <c r="S353" s="18" t="s">
        <v>1408</v>
      </c>
      <c r="T353" s="18" t="s">
        <v>1408</v>
      </c>
      <c r="U353" s="15" t="s">
        <v>54</v>
      </c>
      <c r="V353" s="15" t="s">
        <v>529</v>
      </c>
      <c r="W353" s="15"/>
    </row>
    <row r="354" spans="1:23" hidden="1" x14ac:dyDescent="0.3">
      <c r="A354" s="15">
        <v>354</v>
      </c>
      <c r="B354" s="15" t="s">
        <v>1318</v>
      </c>
      <c r="C354" s="19">
        <v>45693</v>
      </c>
      <c r="D354" s="19" t="s">
        <v>51</v>
      </c>
      <c r="E354" s="21" t="s">
        <v>975</v>
      </c>
      <c r="F354" s="21">
        <v>9393435306</v>
      </c>
      <c r="G354" s="15" t="s">
        <v>6</v>
      </c>
      <c r="H354" s="15" t="s">
        <v>394</v>
      </c>
      <c r="I354" s="15" t="s">
        <v>1414</v>
      </c>
      <c r="J354" s="15" t="s">
        <v>59</v>
      </c>
      <c r="K354" s="16">
        <v>29370</v>
      </c>
      <c r="L354" s="16">
        <v>38740</v>
      </c>
      <c r="M354" s="17">
        <f>Table1[[#This Row],[Billing Rate Charges]]-Table1[[#This Row],[ LORRY RATE ]]</f>
        <v>9370</v>
      </c>
      <c r="N354" s="17">
        <v>29370</v>
      </c>
      <c r="O354" s="17">
        <f>Table1[[#This Row],[ LORRY RATE ]]-Table1[[#This Row],[Adance Paid (INR)]]</f>
        <v>0</v>
      </c>
      <c r="P354" s="17" t="s">
        <v>147</v>
      </c>
      <c r="Q354" s="18" t="s">
        <v>1427</v>
      </c>
      <c r="R354" s="17"/>
      <c r="S354" s="18" t="s">
        <v>1407</v>
      </c>
      <c r="T354" s="18" t="s">
        <v>1407</v>
      </c>
      <c r="U354" s="15" t="s">
        <v>54</v>
      </c>
      <c r="V354" s="15" t="s">
        <v>439</v>
      </c>
      <c r="W354" s="15"/>
    </row>
    <row r="355" spans="1:23" hidden="1" x14ac:dyDescent="0.3">
      <c r="A355" s="15">
        <v>355</v>
      </c>
      <c r="B355" s="15" t="s">
        <v>1318</v>
      </c>
      <c r="C355" s="19">
        <v>45694</v>
      </c>
      <c r="D355" s="19" t="s">
        <v>51</v>
      </c>
      <c r="E355" s="21" t="s">
        <v>696</v>
      </c>
      <c r="F355" s="21">
        <v>9235279810</v>
      </c>
      <c r="G355" s="15" t="s">
        <v>6</v>
      </c>
      <c r="H355" s="15" t="s">
        <v>1415</v>
      </c>
      <c r="I355" s="15" t="s">
        <v>1416</v>
      </c>
      <c r="J355" s="15" t="s">
        <v>7</v>
      </c>
      <c r="K355" s="16">
        <v>33770</v>
      </c>
      <c r="L355" s="16">
        <v>46620</v>
      </c>
      <c r="M355" s="17">
        <f>Table1[[#This Row],[Billing Rate Charges]]-Table1[[#This Row],[ LORRY RATE ]]</f>
        <v>12850</v>
      </c>
      <c r="N355" s="17">
        <v>33770</v>
      </c>
      <c r="O355" s="17">
        <f>Table1[[#This Row],[ LORRY RATE ]]-Table1[[#This Row],[Adance Paid (INR)]]</f>
        <v>0</v>
      </c>
      <c r="P355" s="17" t="s">
        <v>147</v>
      </c>
      <c r="Q355" s="18" t="s">
        <v>1428</v>
      </c>
      <c r="R355" s="17"/>
      <c r="S355" s="18" t="s">
        <v>1408</v>
      </c>
      <c r="T355" s="18" t="s">
        <v>1408</v>
      </c>
      <c r="U355" s="15" t="s">
        <v>54</v>
      </c>
      <c r="V355" s="15" t="s">
        <v>439</v>
      </c>
      <c r="W355" s="15"/>
    </row>
    <row r="356" spans="1:23" hidden="1" x14ac:dyDescent="0.3">
      <c r="A356" s="15">
        <v>356</v>
      </c>
      <c r="B356" s="15" t="s">
        <v>1318</v>
      </c>
      <c r="C356" s="19">
        <v>45694</v>
      </c>
      <c r="D356" s="19" t="s">
        <v>51</v>
      </c>
      <c r="E356" s="21" t="s">
        <v>1402</v>
      </c>
      <c r="F356" s="21">
        <v>9997445160</v>
      </c>
      <c r="G356" s="15" t="s">
        <v>1093</v>
      </c>
      <c r="H356" s="15" t="s">
        <v>26</v>
      </c>
      <c r="I356" s="15" t="s">
        <v>1423</v>
      </c>
      <c r="J356" s="15" t="s">
        <v>455</v>
      </c>
      <c r="K356" s="16">
        <v>83380</v>
      </c>
      <c r="L356" s="16">
        <v>109620</v>
      </c>
      <c r="M356" s="17">
        <f>Table1[[#This Row],[Billing Rate Charges]]-Table1[[#This Row],[ LORRY RATE ]]</f>
        <v>26240</v>
      </c>
      <c r="N356" s="17">
        <v>83380</v>
      </c>
      <c r="O356" s="17">
        <f>Table1[[#This Row],[ LORRY RATE ]]-Table1[[#This Row],[Adance Paid (INR)]]</f>
        <v>0</v>
      </c>
      <c r="P356" s="17" t="s">
        <v>147</v>
      </c>
      <c r="Q356" s="18" t="s">
        <v>1429</v>
      </c>
      <c r="R356" s="17"/>
      <c r="S356" s="18" t="s">
        <v>1408</v>
      </c>
      <c r="T356" s="18" t="s">
        <v>1408</v>
      </c>
      <c r="U356" s="15" t="s">
        <v>54</v>
      </c>
      <c r="V356" s="15" t="s">
        <v>439</v>
      </c>
      <c r="W356" s="15" t="s">
        <v>1319</v>
      </c>
    </row>
    <row r="357" spans="1:23" hidden="1" x14ac:dyDescent="0.3">
      <c r="A357" s="15">
        <v>357</v>
      </c>
      <c r="B357" s="15" t="s">
        <v>1318</v>
      </c>
      <c r="C357" s="19">
        <v>45695</v>
      </c>
      <c r="D357" s="19" t="s">
        <v>56</v>
      </c>
      <c r="E357" s="15" t="s">
        <v>60</v>
      </c>
      <c r="F357" s="15">
        <v>9589264337</v>
      </c>
      <c r="G357" s="15" t="s">
        <v>6</v>
      </c>
      <c r="H357" s="15" t="s">
        <v>1417</v>
      </c>
      <c r="I357" s="15" t="s">
        <v>1418</v>
      </c>
      <c r="J357" s="15" t="s">
        <v>7</v>
      </c>
      <c r="K357" s="16">
        <v>47060</v>
      </c>
      <c r="L357" s="16">
        <v>59220</v>
      </c>
      <c r="M357" s="17">
        <f>Table1[[#This Row],[Billing Rate Charges]]-Table1[[#This Row],[ LORRY RATE ]]</f>
        <v>12160</v>
      </c>
      <c r="N357" s="17">
        <v>47060</v>
      </c>
      <c r="O357" s="17">
        <f>Table1[[#This Row],[ LORRY RATE ]]-Table1[[#This Row],[Adance Paid (INR)]]</f>
        <v>0</v>
      </c>
      <c r="P357" s="17" t="s">
        <v>147</v>
      </c>
      <c r="Q357" s="18" t="s">
        <v>1430</v>
      </c>
      <c r="R357" s="17"/>
      <c r="S357" s="18" t="s">
        <v>1408</v>
      </c>
      <c r="T357" s="18" t="s">
        <v>1450</v>
      </c>
      <c r="U357" s="15" t="s">
        <v>54</v>
      </c>
      <c r="V357" s="15" t="s">
        <v>56</v>
      </c>
      <c r="W357" s="15"/>
    </row>
    <row r="358" spans="1:23" hidden="1" x14ac:dyDescent="0.3">
      <c r="A358" s="15">
        <v>358</v>
      </c>
      <c r="B358" s="15" t="s">
        <v>1318</v>
      </c>
      <c r="C358" s="19">
        <v>45696</v>
      </c>
      <c r="D358" s="19" t="s">
        <v>56</v>
      </c>
      <c r="E358" s="15" t="s">
        <v>38</v>
      </c>
      <c r="F358" s="15">
        <v>9025368773</v>
      </c>
      <c r="G358" s="15" t="s">
        <v>6</v>
      </c>
      <c r="H358" s="15" t="s">
        <v>26</v>
      </c>
      <c r="I358" s="15" t="s">
        <v>1419</v>
      </c>
      <c r="J358" s="15" t="s">
        <v>59</v>
      </c>
      <c r="K358" s="16">
        <v>44930</v>
      </c>
      <c r="L358" s="16">
        <v>45040</v>
      </c>
      <c r="M358" s="17">
        <f>Table1[[#This Row],[Billing Rate Charges]]-Table1[[#This Row],[ LORRY RATE ]]</f>
        <v>110</v>
      </c>
      <c r="N358" s="17">
        <v>44930</v>
      </c>
      <c r="O358" s="17">
        <f>Table1[[#This Row],[ LORRY RATE ]]-Table1[[#This Row],[Adance Paid (INR)]]</f>
        <v>0</v>
      </c>
      <c r="P358" s="17" t="s">
        <v>147</v>
      </c>
      <c r="Q358" s="18" t="s">
        <v>1431</v>
      </c>
      <c r="R358" s="17"/>
      <c r="S358" s="18" t="s">
        <v>1450</v>
      </c>
      <c r="T358" s="18" t="s">
        <v>1450</v>
      </c>
      <c r="U358" s="15" t="s">
        <v>54</v>
      </c>
      <c r="V358" s="15" t="s">
        <v>56</v>
      </c>
      <c r="W358" s="15" t="s">
        <v>1404</v>
      </c>
    </row>
    <row r="359" spans="1:23" hidden="1" x14ac:dyDescent="0.3">
      <c r="A359" s="15">
        <v>359</v>
      </c>
      <c r="B359" s="15" t="s">
        <v>1318</v>
      </c>
      <c r="C359" s="19">
        <v>45696</v>
      </c>
      <c r="D359" s="19" t="s">
        <v>51</v>
      </c>
      <c r="E359" s="21" t="s">
        <v>1405</v>
      </c>
      <c r="F359" s="21">
        <v>9094784928</v>
      </c>
      <c r="G359" s="15" t="s">
        <v>1093</v>
      </c>
      <c r="H359" s="15" t="s">
        <v>26</v>
      </c>
      <c r="I359" s="15" t="s">
        <v>1424</v>
      </c>
      <c r="J359" s="15" t="s">
        <v>7</v>
      </c>
      <c r="K359" s="16">
        <v>65870</v>
      </c>
      <c r="L359" s="16">
        <v>96390</v>
      </c>
      <c r="M359" s="17">
        <f>Table1[[#This Row],[Billing Rate Charges]]-Table1[[#This Row],[ LORRY RATE ]]</f>
        <v>30520</v>
      </c>
      <c r="N359" s="17">
        <v>65870</v>
      </c>
      <c r="O359" s="17">
        <f>Table1[[#This Row],[ LORRY RATE ]]-Table1[[#This Row],[Adance Paid (INR)]]</f>
        <v>0</v>
      </c>
      <c r="P359" s="17" t="s">
        <v>147</v>
      </c>
      <c r="Q359" s="18" t="s">
        <v>1434</v>
      </c>
      <c r="R359" s="17"/>
      <c r="S359" s="18" t="s">
        <v>1450</v>
      </c>
      <c r="T359" s="18" t="s">
        <v>1450</v>
      </c>
      <c r="U359" s="15" t="s">
        <v>54</v>
      </c>
      <c r="V359" s="15" t="s">
        <v>439</v>
      </c>
      <c r="W359" s="15"/>
    </row>
    <row r="360" spans="1:23" hidden="1" x14ac:dyDescent="0.3">
      <c r="A360" s="15">
        <v>360</v>
      </c>
      <c r="B360" s="15" t="s">
        <v>1318</v>
      </c>
      <c r="C360" s="19">
        <v>45696</v>
      </c>
      <c r="D360" s="19" t="s">
        <v>51</v>
      </c>
      <c r="E360" s="21" t="s">
        <v>1406</v>
      </c>
      <c r="F360" s="21">
        <v>9072725119</v>
      </c>
      <c r="G360" s="15" t="s">
        <v>1093</v>
      </c>
      <c r="H360" s="15" t="s">
        <v>1433</v>
      </c>
      <c r="I360" s="15" t="s">
        <v>1432</v>
      </c>
      <c r="J360" s="15" t="s">
        <v>7</v>
      </c>
      <c r="K360" s="16">
        <v>67350</v>
      </c>
      <c r="L360" s="16">
        <v>102690</v>
      </c>
      <c r="M360" s="17">
        <f>Table1[[#This Row],[Billing Rate Charges]]-Table1[[#This Row],[ LORRY RATE ]]</f>
        <v>35340</v>
      </c>
      <c r="N360" s="17">
        <v>67350</v>
      </c>
      <c r="O360" s="17">
        <f>Table1[[#This Row],[ LORRY RATE ]]-Table1[[#This Row],[Adance Paid (INR)]]</f>
        <v>0</v>
      </c>
      <c r="P360" s="17" t="s">
        <v>147</v>
      </c>
      <c r="Q360" s="18" t="s">
        <v>1435</v>
      </c>
      <c r="R360" s="17"/>
      <c r="S360" s="18" t="s">
        <v>1451</v>
      </c>
      <c r="T360" s="18" t="s">
        <v>1451</v>
      </c>
      <c r="U360" s="15" t="s">
        <v>54</v>
      </c>
      <c r="V360" s="15" t="s">
        <v>1320</v>
      </c>
      <c r="W360" s="15"/>
    </row>
    <row r="361" spans="1:23" hidden="1" x14ac:dyDescent="0.3">
      <c r="A361" s="15">
        <v>361</v>
      </c>
      <c r="B361" s="15" t="s">
        <v>1318</v>
      </c>
      <c r="C361" s="19">
        <v>45698</v>
      </c>
      <c r="D361" s="19" t="s">
        <v>51</v>
      </c>
      <c r="E361" s="21" t="s">
        <v>1409</v>
      </c>
      <c r="F361" s="21">
        <v>9092630700</v>
      </c>
      <c r="G361" s="15" t="s">
        <v>6</v>
      </c>
      <c r="H361" s="15" t="s">
        <v>26</v>
      </c>
      <c r="I361" s="15" t="s">
        <v>1422</v>
      </c>
      <c r="J361" s="15" t="s">
        <v>168</v>
      </c>
      <c r="K361" s="16">
        <v>25690</v>
      </c>
      <c r="L361" s="16">
        <v>35600</v>
      </c>
      <c r="M361" s="17">
        <f>Table1[[#This Row],[Billing Rate Charges]]-Table1[[#This Row],[ LORRY RATE ]]</f>
        <v>9910</v>
      </c>
      <c r="N361" s="17">
        <v>25690</v>
      </c>
      <c r="O361" s="17">
        <f>Table1[[#This Row],[ LORRY RATE ]]-Table1[[#This Row],[Adance Paid (INR)]]</f>
        <v>0</v>
      </c>
      <c r="P361" s="17" t="s">
        <v>147</v>
      </c>
      <c r="Q361" s="18" t="s">
        <v>1436</v>
      </c>
      <c r="R361" s="17"/>
      <c r="S361" s="18" t="s">
        <v>1452</v>
      </c>
      <c r="T361" s="18" t="s">
        <v>1452</v>
      </c>
      <c r="U361" s="15" t="s">
        <v>54</v>
      </c>
      <c r="V361" s="15" t="s">
        <v>439</v>
      </c>
      <c r="W361" s="15"/>
    </row>
    <row r="362" spans="1:23" hidden="1" x14ac:dyDescent="0.3">
      <c r="A362" s="15">
        <v>362</v>
      </c>
      <c r="B362" s="15" t="s">
        <v>1318</v>
      </c>
      <c r="C362" s="19">
        <v>45698</v>
      </c>
      <c r="D362" s="19" t="s">
        <v>51</v>
      </c>
      <c r="E362" s="21" t="s">
        <v>1410</v>
      </c>
      <c r="F362" s="21">
        <v>9627693845</v>
      </c>
      <c r="G362" s="15" t="s">
        <v>6</v>
      </c>
      <c r="H362" s="15" t="s">
        <v>1420</v>
      </c>
      <c r="I362" s="15" t="s">
        <v>1421</v>
      </c>
      <c r="J362" s="15" t="s">
        <v>623</v>
      </c>
      <c r="K362" s="16">
        <v>27170</v>
      </c>
      <c r="L362" s="16">
        <v>41900</v>
      </c>
      <c r="M362" s="17">
        <f>Table1[[#This Row],[Billing Rate Charges]]-Table1[[#This Row],[ LORRY RATE ]]</f>
        <v>14730</v>
      </c>
      <c r="N362" s="17">
        <v>27170</v>
      </c>
      <c r="O362" s="17"/>
      <c r="P362" s="17" t="s">
        <v>147</v>
      </c>
      <c r="Q362" s="18" t="s">
        <v>1508</v>
      </c>
      <c r="R362" s="17"/>
      <c r="S362" s="18" t="s">
        <v>1453</v>
      </c>
      <c r="T362" s="18" t="s">
        <v>1453</v>
      </c>
      <c r="U362" s="15" t="s">
        <v>54</v>
      </c>
      <c r="V362" s="15" t="s">
        <v>439</v>
      </c>
      <c r="W362" s="15"/>
    </row>
    <row r="363" spans="1:23" hidden="1" x14ac:dyDescent="0.3">
      <c r="A363" s="15">
        <v>363</v>
      </c>
      <c r="B363" s="15" t="s">
        <v>1318</v>
      </c>
      <c r="C363" s="19">
        <v>45699</v>
      </c>
      <c r="D363" s="19" t="s">
        <v>51</v>
      </c>
      <c r="E363" s="21" t="s">
        <v>1405</v>
      </c>
      <c r="F363" s="21">
        <v>9094784928</v>
      </c>
      <c r="G363" s="15" t="s">
        <v>6</v>
      </c>
      <c r="H363" s="15" t="s">
        <v>1467</v>
      </c>
      <c r="I363" s="15" t="s">
        <v>1468</v>
      </c>
      <c r="J363" s="15" t="s">
        <v>7</v>
      </c>
      <c r="K363" s="16">
        <v>33770</v>
      </c>
      <c r="L363" s="16">
        <v>46620</v>
      </c>
      <c r="M363" s="17">
        <f>Table1[[#This Row],[Billing Rate Charges]]-Table1[[#This Row],[ LORRY RATE ]]</f>
        <v>12850</v>
      </c>
      <c r="N363" s="17">
        <v>33770</v>
      </c>
      <c r="O363" s="17">
        <f>Table1[[#This Row],[ LORRY RATE ]]-Table1[[#This Row],[Adance Paid (INR)]]</f>
        <v>0</v>
      </c>
      <c r="P363" s="17" t="s">
        <v>147</v>
      </c>
      <c r="Q363" s="18" t="s">
        <v>1510</v>
      </c>
      <c r="R363" s="17"/>
      <c r="S363" s="18" t="s">
        <v>1454</v>
      </c>
      <c r="T363" s="18" t="s">
        <v>1454</v>
      </c>
      <c r="U363" s="15" t="s">
        <v>54</v>
      </c>
      <c r="V363" s="15" t="s">
        <v>439</v>
      </c>
      <c r="W363" s="15"/>
    </row>
    <row r="364" spans="1:23" hidden="1" x14ac:dyDescent="0.3">
      <c r="A364" s="15">
        <v>364</v>
      </c>
      <c r="B364" s="15" t="s">
        <v>1318</v>
      </c>
      <c r="C364" s="19">
        <v>45699</v>
      </c>
      <c r="D364" s="19" t="s">
        <v>51</v>
      </c>
      <c r="E364" s="21" t="s">
        <v>1437</v>
      </c>
      <c r="F364" s="21">
        <v>9474555859</v>
      </c>
      <c r="G364" s="15" t="s">
        <v>6</v>
      </c>
      <c r="H364" s="15" t="s">
        <v>26</v>
      </c>
      <c r="I364" s="15" t="s">
        <v>1469</v>
      </c>
      <c r="J364" s="15" t="s">
        <v>623</v>
      </c>
      <c r="K364" s="16">
        <v>25690</v>
      </c>
      <c r="L364" s="16">
        <v>35600</v>
      </c>
      <c r="M364" s="17">
        <f>Table1[[#This Row],[Billing Rate Charges]]-Table1[[#This Row],[ LORRY RATE ]]</f>
        <v>9910</v>
      </c>
      <c r="N364" s="17">
        <v>25690</v>
      </c>
      <c r="O364" s="17">
        <f>Table1[[#This Row],[ LORRY RATE ]]-Table1[[#This Row],[Adance Paid (INR)]]</f>
        <v>0</v>
      </c>
      <c r="P364" s="17" t="s">
        <v>147</v>
      </c>
      <c r="Q364" s="18" t="s">
        <v>1515</v>
      </c>
      <c r="R364" s="17"/>
      <c r="S364" s="18" t="s">
        <v>1454</v>
      </c>
      <c r="T364" s="18" t="s">
        <v>1454</v>
      </c>
      <c r="U364" s="15" t="s">
        <v>54</v>
      </c>
      <c r="V364" s="15" t="s">
        <v>529</v>
      </c>
      <c r="W364" s="15"/>
    </row>
    <row r="365" spans="1:23" hidden="1" x14ac:dyDescent="0.3">
      <c r="A365" s="15">
        <v>365</v>
      </c>
      <c r="B365" s="15" t="s">
        <v>1318</v>
      </c>
      <c r="C365" s="19">
        <v>45700</v>
      </c>
      <c r="D365" s="19" t="s">
        <v>56</v>
      </c>
      <c r="E365" s="21" t="s">
        <v>38</v>
      </c>
      <c r="F365" s="21">
        <v>9515412075</v>
      </c>
      <c r="G365" s="15" t="s">
        <v>377</v>
      </c>
      <c r="H365" s="15" t="s">
        <v>1496</v>
      </c>
      <c r="I365" s="15" t="s">
        <v>1497</v>
      </c>
      <c r="J365" s="15" t="s">
        <v>59</v>
      </c>
      <c r="K365" s="16">
        <v>53670</v>
      </c>
      <c r="L365" s="16">
        <v>103320</v>
      </c>
      <c r="M365" s="17">
        <f>Table1[[#This Row],[Billing Rate Charges]]-Table1[[#This Row],[ LORRY RATE ]]</f>
        <v>49650</v>
      </c>
      <c r="N365" s="17">
        <v>53670</v>
      </c>
      <c r="O365" s="17">
        <f>Table1[[#This Row],[ LORRY RATE ]]-Table1[[#This Row],[Adance Paid (INR)]]</f>
        <v>0</v>
      </c>
      <c r="P365" s="17" t="s">
        <v>147</v>
      </c>
      <c r="Q365" s="18" t="s">
        <v>1513</v>
      </c>
      <c r="R365" s="17"/>
      <c r="S365" s="18" t="s">
        <v>1454</v>
      </c>
      <c r="T365" s="18" t="s">
        <v>1454</v>
      </c>
      <c r="U365" s="15" t="s">
        <v>54</v>
      </c>
      <c r="V365" s="15" t="s">
        <v>56</v>
      </c>
      <c r="W365" s="15" t="s">
        <v>1319</v>
      </c>
    </row>
    <row r="366" spans="1:23" hidden="1" x14ac:dyDescent="0.3">
      <c r="A366" s="15">
        <v>366</v>
      </c>
      <c r="B366" s="15" t="s">
        <v>1318</v>
      </c>
      <c r="C366" s="19">
        <v>45700</v>
      </c>
      <c r="D366" s="19" t="s">
        <v>51</v>
      </c>
      <c r="E366" s="21" t="s">
        <v>1438</v>
      </c>
      <c r="F366" s="21">
        <v>9316541121</v>
      </c>
      <c r="G366" s="15" t="s">
        <v>6</v>
      </c>
      <c r="H366" s="15" t="s">
        <v>1470</v>
      </c>
      <c r="I366" s="15" t="s">
        <v>1471</v>
      </c>
      <c r="J366" s="15" t="s">
        <v>7</v>
      </c>
      <c r="K366" s="16">
        <v>35780</v>
      </c>
      <c r="L366" s="16">
        <v>52920</v>
      </c>
      <c r="M366" s="17">
        <f>Table1[[#This Row],[Billing Rate Charges]]-Table1[[#This Row],[ LORRY RATE ]]</f>
        <v>17140</v>
      </c>
      <c r="N366" s="17">
        <v>35780</v>
      </c>
      <c r="O366" s="17">
        <f>Table1[[#This Row],[ LORRY RATE ]]-Table1[[#This Row],[Adance Paid (INR)]]</f>
        <v>0</v>
      </c>
      <c r="P366" s="17" t="s">
        <v>147</v>
      </c>
      <c r="Q366" s="18" t="s">
        <v>1521</v>
      </c>
      <c r="R366" s="17"/>
      <c r="S366" s="18" t="s">
        <v>1456</v>
      </c>
      <c r="T366" s="18" t="s">
        <v>1456</v>
      </c>
      <c r="U366" s="15" t="s">
        <v>54</v>
      </c>
      <c r="V366" s="15" t="s">
        <v>529</v>
      </c>
      <c r="W366" s="15"/>
    </row>
    <row r="367" spans="1:23" hidden="1" x14ac:dyDescent="0.3">
      <c r="A367" s="15">
        <v>367</v>
      </c>
      <c r="B367" s="15" t="s">
        <v>1318</v>
      </c>
      <c r="C367" s="19">
        <v>45701</v>
      </c>
      <c r="D367" s="19" t="s">
        <v>51</v>
      </c>
      <c r="E367" s="21" t="s">
        <v>1439</v>
      </c>
      <c r="F367" s="21">
        <v>9186669466</v>
      </c>
      <c r="G367" s="15" t="s">
        <v>6</v>
      </c>
      <c r="H367" s="15" t="s">
        <v>1472</v>
      </c>
      <c r="I367" s="15" t="s">
        <v>1473</v>
      </c>
      <c r="J367" s="15" t="s">
        <v>623</v>
      </c>
      <c r="K367" s="16">
        <v>27170</v>
      </c>
      <c r="L367" s="16">
        <v>41900</v>
      </c>
      <c r="M367" s="17">
        <f>Table1[[#This Row],[Billing Rate Charges]]-Table1[[#This Row],[ LORRY RATE ]]</f>
        <v>14730</v>
      </c>
      <c r="N367" s="17">
        <v>27170</v>
      </c>
      <c r="O367" s="17">
        <f>Table1[[#This Row],[ LORRY RATE ]]-Table1[[#This Row],[Adance Paid (INR)]]</f>
        <v>0</v>
      </c>
      <c r="P367" s="17" t="s">
        <v>147</v>
      </c>
      <c r="Q367" s="18" t="s">
        <v>1520</v>
      </c>
      <c r="R367" s="17"/>
      <c r="S367" s="18" t="s">
        <v>1455</v>
      </c>
      <c r="T367" s="18" t="s">
        <v>1455</v>
      </c>
      <c r="U367" s="15" t="s">
        <v>54</v>
      </c>
      <c r="V367" s="15" t="s">
        <v>439</v>
      </c>
      <c r="W367" s="15"/>
    </row>
    <row r="368" spans="1:23" hidden="1" x14ac:dyDescent="0.3">
      <c r="A368" s="15">
        <v>368</v>
      </c>
      <c r="B368" s="15" t="s">
        <v>1318</v>
      </c>
      <c r="C368" s="19">
        <v>45702</v>
      </c>
      <c r="D368" s="19" t="s">
        <v>51</v>
      </c>
      <c r="E368" s="21" t="s">
        <v>1440</v>
      </c>
      <c r="F368" s="21">
        <v>9464149815</v>
      </c>
      <c r="G368" s="15" t="s">
        <v>377</v>
      </c>
      <c r="H368" s="15" t="s">
        <v>26</v>
      </c>
      <c r="I368" s="15" t="s">
        <v>1507</v>
      </c>
      <c r="J368" s="15" t="s">
        <v>168</v>
      </c>
      <c r="K368" s="16">
        <v>47530</v>
      </c>
      <c r="L368" s="16">
        <v>59850</v>
      </c>
      <c r="M368" s="17">
        <f>Table1[[#This Row],[Billing Rate Charges]]-Table1[[#This Row],[ LORRY RATE ]]</f>
        <v>12320</v>
      </c>
      <c r="N368" s="17">
        <v>47530</v>
      </c>
      <c r="O368" s="17">
        <f>Table1[[#This Row],[ LORRY RATE ]]-Table1[[#This Row],[Adance Paid (INR)]]</f>
        <v>0</v>
      </c>
      <c r="P368" s="17" t="s">
        <v>147</v>
      </c>
      <c r="Q368" s="18" t="s">
        <v>1523</v>
      </c>
      <c r="R368" s="17"/>
      <c r="S368" s="18" t="s">
        <v>1457</v>
      </c>
      <c r="T368" s="18" t="s">
        <v>1457</v>
      </c>
      <c r="U368" s="15" t="s">
        <v>54</v>
      </c>
      <c r="V368" s="15" t="s">
        <v>439</v>
      </c>
      <c r="W368" s="15"/>
    </row>
    <row r="369" spans="1:23" hidden="1" x14ac:dyDescent="0.3">
      <c r="A369" s="15">
        <v>369</v>
      </c>
      <c r="B369" s="15" t="s">
        <v>1318</v>
      </c>
      <c r="C369" s="19">
        <v>45702</v>
      </c>
      <c r="D369" s="19" t="s">
        <v>51</v>
      </c>
      <c r="E369" s="21" t="s">
        <v>1441</v>
      </c>
      <c r="F369" s="21">
        <v>9240373331</v>
      </c>
      <c r="G369" s="15" t="s">
        <v>6</v>
      </c>
      <c r="H369" s="15" t="s">
        <v>1474</v>
      </c>
      <c r="I369" s="15" t="s">
        <v>1475</v>
      </c>
      <c r="J369" s="15" t="s">
        <v>623</v>
      </c>
      <c r="K369" s="16">
        <v>27170</v>
      </c>
      <c r="L369" s="16">
        <v>41900</v>
      </c>
      <c r="M369" s="17">
        <f>Table1[[#This Row],[Billing Rate Charges]]-Table1[[#This Row],[ LORRY RATE ]]</f>
        <v>14730</v>
      </c>
      <c r="N369" s="17">
        <v>27170</v>
      </c>
      <c r="O369" s="17">
        <f>Table1[[#This Row],[ LORRY RATE ]]-Table1[[#This Row],[Adance Paid (INR)]]</f>
        <v>0</v>
      </c>
      <c r="P369" s="17" t="s">
        <v>147</v>
      </c>
      <c r="Q369" s="18" t="s">
        <v>1514</v>
      </c>
      <c r="R369" s="17"/>
      <c r="S369" s="18" t="s">
        <v>1458</v>
      </c>
      <c r="T369" s="18" t="s">
        <v>1458</v>
      </c>
      <c r="U369" s="15" t="s">
        <v>54</v>
      </c>
      <c r="V369" s="15" t="s">
        <v>439</v>
      </c>
      <c r="W369" s="15"/>
    </row>
    <row r="370" spans="1:23" hidden="1" x14ac:dyDescent="0.3">
      <c r="A370" s="15">
        <v>370</v>
      </c>
      <c r="B370" s="15" t="s">
        <v>1318</v>
      </c>
      <c r="C370" s="19">
        <v>45703</v>
      </c>
      <c r="D370" s="21" t="s">
        <v>51</v>
      </c>
      <c r="E370" s="21" t="s">
        <v>1443</v>
      </c>
      <c r="F370" s="21">
        <v>9543714187</v>
      </c>
      <c r="G370" s="15" t="s">
        <v>6</v>
      </c>
      <c r="H370" s="15" t="s">
        <v>26</v>
      </c>
      <c r="I370" s="15" t="s">
        <v>1476</v>
      </c>
      <c r="J370" s="15" t="s">
        <v>168</v>
      </c>
      <c r="K370" s="16">
        <v>26220</v>
      </c>
      <c r="L370" s="16">
        <v>35600</v>
      </c>
      <c r="M370" s="17">
        <f>Table1[[#This Row],[Billing Rate Charges]]-Table1[[#This Row],[ LORRY RATE ]]</f>
        <v>9380</v>
      </c>
      <c r="N370" s="17">
        <v>26220</v>
      </c>
      <c r="O370" s="17">
        <f>Table1[[#This Row],[ LORRY RATE ]]-Table1[[#This Row],[Adance Paid (INR)]]</f>
        <v>0</v>
      </c>
      <c r="P370" s="17" t="s">
        <v>147</v>
      </c>
      <c r="Q370" s="18" t="s">
        <v>1525</v>
      </c>
      <c r="R370" s="17"/>
      <c r="S370" s="18" t="s">
        <v>1458</v>
      </c>
      <c r="T370" s="18" t="s">
        <v>1458</v>
      </c>
      <c r="U370" s="15" t="s">
        <v>54</v>
      </c>
      <c r="V370" s="15" t="s">
        <v>439</v>
      </c>
      <c r="W370" s="15"/>
    </row>
    <row r="371" spans="1:23" hidden="1" x14ac:dyDescent="0.3">
      <c r="A371" s="15">
        <v>371</v>
      </c>
      <c r="B371" s="15" t="s">
        <v>1318</v>
      </c>
      <c r="C371" s="19">
        <v>45703</v>
      </c>
      <c r="D371" s="19" t="s">
        <v>56</v>
      </c>
      <c r="E371" s="21" t="s">
        <v>60</v>
      </c>
      <c r="F371" s="21">
        <v>9589264337</v>
      </c>
      <c r="G371" s="15" t="s">
        <v>1093</v>
      </c>
      <c r="H371" s="15" t="s">
        <v>1442</v>
      </c>
      <c r="I371" s="15" t="s">
        <v>1498</v>
      </c>
      <c r="J371" s="15" t="s">
        <v>7</v>
      </c>
      <c r="K371" s="16">
        <v>53580</v>
      </c>
      <c r="L371" s="16">
        <v>102690</v>
      </c>
      <c r="M371" s="17">
        <f>Table1[[#This Row],[Billing Rate Charges]]-Table1[[#This Row],[ LORRY RATE ]]</f>
        <v>49110</v>
      </c>
      <c r="N371" s="17">
        <v>53580</v>
      </c>
      <c r="O371" s="17">
        <f>Table1[[#This Row],[ LORRY RATE ]]-Table1[[#This Row],[Adance Paid (INR)]]</f>
        <v>0</v>
      </c>
      <c r="P371" s="17" t="s">
        <v>147</v>
      </c>
      <c r="Q371" s="18" t="s">
        <v>1526</v>
      </c>
      <c r="R371" s="17"/>
      <c r="S371" s="18" t="s">
        <v>1457</v>
      </c>
      <c r="T371" s="18" t="s">
        <v>1457</v>
      </c>
      <c r="U371" s="15" t="s">
        <v>54</v>
      </c>
      <c r="V371" s="15" t="s">
        <v>56</v>
      </c>
      <c r="W371" s="15"/>
    </row>
    <row r="372" spans="1:23" hidden="1" x14ac:dyDescent="0.3">
      <c r="A372" s="15">
        <v>372</v>
      </c>
      <c r="B372" s="15" t="s">
        <v>1318</v>
      </c>
      <c r="C372" s="19">
        <v>45704</v>
      </c>
      <c r="D372" s="19" t="s">
        <v>51</v>
      </c>
      <c r="E372" s="21" t="s">
        <v>1444</v>
      </c>
      <c r="F372" s="21">
        <v>9392459879</v>
      </c>
      <c r="G372" s="15" t="s">
        <v>6</v>
      </c>
      <c r="H372" s="15" t="s">
        <v>1477</v>
      </c>
      <c r="I372" s="15" t="s">
        <v>1478</v>
      </c>
      <c r="J372" s="15" t="s">
        <v>623</v>
      </c>
      <c r="K372" s="16">
        <v>28650</v>
      </c>
      <c r="L372" s="16">
        <v>48200</v>
      </c>
      <c r="M372" s="17">
        <f>Table1[[#This Row],[Billing Rate Charges]]-Table1[[#This Row],[ LORRY RATE ]]</f>
        <v>19550</v>
      </c>
      <c r="N372" s="17">
        <v>28650</v>
      </c>
      <c r="O372" s="17">
        <f>Table1[[#This Row],[ LORRY RATE ]]-Table1[[#This Row],[Adance Paid (INR)]]</f>
        <v>0</v>
      </c>
      <c r="P372" s="17" t="s">
        <v>147</v>
      </c>
      <c r="Q372" s="18" t="s">
        <v>1509</v>
      </c>
      <c r="R372" s="17"/>
      <c r="S372" s="18" t="s">
        <v>1459</v>
      </c>
      <c r="T372" s="18" t="s">
        <v>1459</v>
      </c>
      <c r="U372" s="15" t="s">
        <v>54</v>
      </c>
      <c r="V372" s="15" t="s">
        <v>529</v>
      </c>
      <c r="W372" s="15"/>
    </row>
    <row r="373" spans="1:23" hidden="1" x14ac:dyDescent="0.3">
      <c r="A373" s="15">
        <v>373</v>
      </c>
      <c r="B373" s="15" t="s">
        <v>1318</v>
      </c>
      <c r="C373" s="19">
        <v>45704</v>
      </c>
      <c r="D373" s="19" t="s">
        <v>51</v>
      </c>
      <c r="E373" s="21" t="s">
        <v>1445</v>
      </c>
      <c r="F373" s="21">
        <v>9046784191</v>
      </c>
      <c r="G373" s="15" t="s">
        <v>6</v>
      </c>
      <c r="H373" s="15" t="s">
        <v>1479</v>
      </c>
      <c r="I373" s="15" t="s">
        <v>1480</v>
      </c>
      <c r="J373" s="15" t="s">
        <v>168</v>
      </c>
      <c r="K373" s="16">
        <v>29450</v>
      </c>
      <c r="L373" s="16">
        <v>48200</v>
      </c>
      <c r="M373" s="17">
        <f>Table1[[#This Row],[Billing Rate Charges]]-Table1[[#This Row],[ LORRY RATE ]]</f>
        <v>18750</v>
      </c>
      <c r="N373" s="17">
        <v>29450</v>
      </c>
      <c r="O373" s="17">
        <f>Table1[[#This Row],[ LORRY RATE ]]-Table1[[#This Row],[Adance Paid (INR)]]</f>
        <v>0</v>
      </c>
      <c r="P373" s="17" t="s">
        <v>147</v>
      </c>
      <c r="Q373" s="18" t="s">
        <v>1511</v>
      </c>
      <c r="R373" s="17"/>
      <c r="S373" s="18" t="s">
        <v>1463</v>
      </c>
      <c r="T373" s="18" t="s">
        <v>1464</v>
      </c>
      <c r="U373" s="15" t="s">
        <v>54</v>
      </c>
      <c r="V373" s="15" t="s">
        <v>529</v>
      </c>
      <c r="W373" s="15"/>
    </row>
    <row r="374" spans="1:23" hidden="1" x14ac:dyDescent="0.3">
      <c r="A374" s="15">
        <v>374</v>
      </c>
      <c r="B374" s="15" t="s">
        <v>1318</v>
      </c>
      <c r="C374" s="19">
        <v>45705</v>
      </c>
      <c r="D374" s="19" t="s">
        <v>51</v>
      </c>
      <c r="E374" s="21" t="s">
        <v>1446</v>
      </c>
      <c r="F374" s="21">
        <v>9333999970</v>
      </c>
      <c r="G374" s="15" t="s">
        <v>6</v>
      </c>
      <c r="H374" s="15" t="s">
        <v>1481</v>
      </c>
      <c r="I374" s="15" t="s">
        <v>1482</v>
      </c>
      <c r="J374" s="15" t="s">
        <v>7</v>
      </c>
      <c r="K374" s="16">
        <v>34840</v>
      </c>
      <c r="L374" s="16">
        <v>46620</v>
      </c>
      <c r="M374" s="17">
        <f>Table1[[#This Row],[Billing Rate Charges]]-Table1[[#This Row],[ LORRY RATE ]]</f>
        <v>11780</v>
      </c>
      <c r="N374" s="17">
        <v>34840</v>
      </c>
      <c r="O374" s="17">
        <f>Table1[[#This Row],[ LORRY RATE ]]-Table1[[#This Row],[Adance Paid (INR)]]</f>
        <v>0</v>
      </c>
      <c r="P374" s="17" t="s">
        <v>147</v>
      </c>
      <c r="Q374" s="18" t="s">
        <v>1516</v>
      </c>
      <c r="R374" s="17"/>
      <c r="S374" s="18" t="s">
        <v>1465</v>
      </c>
      <c r="T374" s="18" t="s">
        <v>1465</v>
      </c>
      <c r="U374" s="15" t="s">
        <v>54</v>
      </c>
      <c r="V374" s="15" t="s">
        <v>529</v>
      </c>
      <c r="W374" s="15"/>
    </row>
    <row r="375" spans="1:23" hidden="1" x14ac:dyDescent="0.3">
      <c r="A375" s="15">
        <v>375</v>
      </c>
      <c r="B375" s="15" t="s">
        <v>1318</v>
      </c>
      <c r="C375" s="19">
        <v>45706</v>
      </c>
      <c r="D375" s="19" t="s">
        <v>51</v>
      </c>
      <c r="E375" s="21" t="s">
        <v>435</v>
      </c>
      <c r="F375" s="21">
        <v>9654538123</v>
      </c>
      <c r="G375" s="15" t="s">
        <v>6</v>
      </c>
      <c r="H375" s="15" t="s">
        <v>26</v>
      </c>
      <c r="I375" s="15" t="s">
        <v>1485</v>
      </c>
      <c r="J375" s="15" t="s">
        <v>168</v>
      </c>
      <c r="K375" s="16">
        <v>25690</v>
      </c>
      <c r="L375" s="16">
        <v>35600</v>
      </c>
      <c r="M375" s="17">
        <f>Table1[[#This Row],[Billing Rate Charges]]-Table1[[#This Row],[ LORRY RATE ]]</f>
        <v>9910</v>
      </c>
      <c r="N375" s="17">
        <v>25690</v>
      </c>
      <c r="O375" s="17">
        <f>Table1[[#This Row],[ LORRY RATE ]]-Table1[[#This Row],[Adance Paid (INR)]]</f>
        <v>0</v>
      </c>
      <c r="P375" s="17" t="s">
        <v>147</v>
      </c>
      <c r="Q375" s="18" t="s">
        <v>1527</v>
      </c>
      <c r="R375" s="17"/>
      <c r="S375" s="18" t="s">
        <v>1465</v>
      </c>
      <c r="T375" s="18" t="s">
        <v>1465</v>
      </c>
      <c r="U375" s="15" t="s">
        <v>54</v>
      </c>
      <c r="V375" s="15" t="s">
        <v>439</v>
      </c>
      <c r="W375" s="15"/>
    </row>
    <row r="376" spans="1:23" hidden="1" x14ac:dyDescent="0.3">
      <c r="A376" s="15">
        <v>376</v>
      </c>
      <c r="B376" s="15" t="s">
        <v>1318</v>
      </c>
      <c r="C376" s="19">
        <v>45706</v>
      </c>
      <c r="D376" s="19" t="s">
        <v>56</v>
      </c>
      <c r="E376" s="21" t="s">
        <v>60</v>
      </c>
      <c r="F376" s="21">
        <v>9589264337</v>
      </c>
      <c r="G376" s="15" t="s">
        <v>6</v>
      </c>
      <c r="H376" s="15" t="s">
        <v>1483</v>
      </c>
      <c r="I376" s="15" t="s">
        <v>1484</v>
      </c>
      <c r="J376" s="15" t="s">
        <v>7</v>
      </c>
      <c r="K376" s="16">
        <v>46110</v>
      </c>
      <c r="L376" s="16">
        <v>52920</v>
      </c>
      <c r="M376" s="17">
        <f>Table1[[#This Row],[Billing Rate Charges]]-Table1[[#This Row],[ LORRY RATE ]]</f>
        <v>6810</v>
      </c>
      <c r="N376" s="17">
        <v>46110</v>
      </c>
      <c r="O376" s="17">
        <f>Table1[[#This Row],[ LORRY RATE ]]-Table1[[#This Row],[Adance Paid (INR)]]</f>
        <v>0</v>
      </c>
      <c r="P376" s="17" t="s">
        <v>147</v>
      </c>
      <c r="Q376" s="18" t="s">
        <v>1517</v>
      </c>
      <c r="R376" s="17"/>
      <c r="S376" s="18" t="s">
        <v>1466</v>
      </c>
      <c r="T376" s="18" t="s">
        <v>1466</v>
      </c>
      <c r="U376" s="15" t="s">
        <v>54</v>
      </c>
      <c r="V376" s="15" t="s">
        <v>56</v>
      </c>
      <c r="W376" s="15"/>
    </row>
    <row r="377" spans="1:23" hidden="1" x14ac:dyDescent="0.3">
      <c r="A377" s="15">
        <v>377</v>
      </c>
      <c r="B377" s="15" t="s">
        <v>1318</v>
      </c>
      <c r="C377" s="19">
        <v>45708</v>
      </c>
      <c r="D377" s="19" t="s">
        <v>51</v>
      </c>
      <c r="E377" s="21" t="s">
        <v>1447</v>
      </c>
      <c r="F377" s="21">
        <v>9198965551</v>
      </c>
      <c r="G377" s="15" t="s">
        <v>6</v>
      </c>
      <c r="H377" s="15" t="s">
        <v>1486</v>
      </c>
      <c r="I377" s="15" t="s">
        <v>1487</v>
      </c>
      <c r="J377" s="15" t="s">
        <v>168</v>
      </c>
      <c r="K377" s="16">
        <v>29720</v>
      </c>
      <c r="L377" s="16">
        <v>48200</v>
      </c>
      <c r="M377" s="17">
        <f>Table1[[#This Row],[Billing Rate Charges]]-Table1[[#This Row],[ LORRY RATE ]]</f>
        <v>18480</v>
      </c>
      <c r="N377" s="17">
        <v>29720</v>
      </c>
      <c r="O377" s="17">
        <f>Table1[[#This Row],[ LORRY RATE ]]-Table1[[#This Row],[Adance Paid (INR)]]</f>
        <v>0</v>
      </c>
      <c r="P377" s="17" t="s">
        <v>147</v>
      </c>
      <c r="Q377" s="18" t="s">
        <v>1519</v>
      </c>
      <c r="R377" s="17"/>
      <c r="S377" s="18" t="s">
        <v>1463</v>
      </c>
      <c r="T377" s="18" t="s">
        <v>1463</v>
      </c>
      <c r="U377" s="15" t="s">
        <v>54</v>
      </c>
      <c r="V377" s="15" t="s">
        <v>529</v>
      </c>
      <c r="W377" s="15"/>
    </row>
    <row r="378" spans="1:23" hidden="1" x14ac:dyDescent="0.3">
      <c r="A378" s="15">
        <v>378</v>
      </c>
      <c r="B378" s="15" t="s">
        <v>1318</v>
      </c>
      <c r="C378" s="19">
        <v>45708</v>
      </c>
      <c r="D378" s="19" t="s">
        <v>51</v>
      </c>
      <c r="E378" s="21" t="s">
        <v>1448</v>
      </c>
      <c r="F378" s="21">
        <v>9108592771</v>
      </c>
      <c r="G378" s="15" t="s">
        <v>1093</v>
      </c>
      <c r="H378" s="15" t="s">
        <v>26</v>
      </c>
      <c r="I378" s="15" t="s">
        <v>1502</v>
      </c>
      <c r="J378" s="15" t="s">
        <v>7</v>
      </c>
      <c r="K378" s="16">
        <v>66400</v>
      </c>
      <c r="L378" s="16">
        <v>96390</v>
      </c>
      <c r="M378" s="17">
        <f>Table1[[#This Row],[Billing Rate Charges]]-Table1[[#This Row],[ LORRY RATE ]]</f>
        <v>29990</v>
      </c>
      <c r="N378" s="17">
        <v>66400</v>
      </c>
      <c r="O378" s="17">
        <f>Table1[[#This Row],[ LORRY RATE ]]-Table1[[#This Row],[Adance Paid (INR)]]</f>
        <v>0</v>
      </c>
      <c r="P378" s="17" t="s">
        <v>147</v>
      </c>
      <c r="Q378" s="18" t="s">
        <v>1528</v>
      </c>
      <c r="R378" s="17"/>
      <c r="S378" s="18" t="s">
        <v>1463</v>
      </c>
      <c r="T378" s="18" t="s">
        <v>1463</v>
      </c>
      <c r="U378" s="15" t="s">
        <v>54</v>
      </c>
      <c r="V378" s="15" t="s">
        <v>439</v>
      </c>
      <c r="W378" s="15"/>
    </row>
    <row r="379" spans="1:23" hidden="1" x14ac:dyDescent="0.3">
      <c r="A379" s="15">
        <v>379</v>
      </c>
      <c r="B379" s="15" t="s">
        <v>1318</v>
      </c>
      <c r="C379" s="19">
        <v>45708</v>
      </c>
      <c r="D379" s="19" t="s">
        <v>51</v>
      </c>
      <c r="E379" s="21" t="s">
        <v>1449</v>
      </c>
      <c r="F379" s="21">
        <v>9429515554</v>
      </c>
      <c r="G379" s="15" t="s">
        <v>1093</v>
      </c>
      <c r="H379" s="15" t="s">
        <v>1500</v>
      </c>
      <c r="I379" s="15" t="s">
        <v>1501</v>
      </c>
      <c r="J379" s="15" t="s">
        <v>107</v>
      </c>
      <c r="K379" s="16">
        <v>86620</v>
      </c>
      <c r="L379" s="16">
        <v>102690</v>
      </c>
      <c r="M379" s="17">
        <f>Table1[[#This Row],[Billing Rate Charges]]-Table1[[#This Row],[ LORRY RATE ]]</f>
        <v>16070</v>
      </c>
      <c r="N379" s="17">
        <v>86620</v>
      </c>
      <c r="O379" s="17">
        <f>Table1[[#This Row],[ LORRY RATE ]]-Table1[[#This Row],[Adance Paid (INR)]]</f>
        <v>0</v>
      </c>
      <c r="P379" s="17" t="s">
        <v>147</v>
      </c>
      <c r="Q379" s="18" t="s">
        <v>1524</v>
      </c>
      <c r="R379" s="17"/>
      <c r="S379" s="18" t="s">
        <v>1463</v>
      </c>
      <c r="T379" s="18" t="s">
        <v>1463</v>
      </c>
      <c r="U379" s="15" t="s">
        <v>54</v>
      </c>
      <c r="V379" s="15" t="s">
        <v>1320</v>
      </c>
      <c r="W379" s="15"/>
    </row>
    <row r="380" spans="1:23" hidden="1" x14ac:dyDescent="0.3">
      <c r="A380" s="15">
        <v>380</v>
      </c>
      <c r="B380" s="15" t="s">
        <v>1318</v>
      </c>
      <c r="C380" s="19">
        <v>45709</v>
      </c>
      <c r="D380" s="19" t="s">
        <v>51</v>
      </c>
      <c r="E380" s="21" t="s">
        <v>696</v>
      </c>
      <c r="F380" s="21">
        <v>9754088991</v>
      </c>
      <c r="G380" s="15" t="s">
        <v>6</v>
      </c>
      <c r="H380" s="15" t="s">
        <v>1488</v>
      </c>
      <c r="I380" s="15" t="s">
        <v>1489</v>
      </c>
      <c r="J380" s="15" t="s">
        <v>172</v>
      </c>
      <c r="K380" s="16">
        <v>33770</v>
      </c>
      <c r="L380" s="16">
        <v>46620</v>
      </c>
      <c r="M380" s="17">
        <f>Table1[[#This Row],[Billing Rate Charges]]-Table1[[#This Row],[ LORRY RATE ]]</f>
        <v>12850</v>
      </c>
      <c r="N380" s="17">
        <v>33770</v>
      </c>
      <c r="O380" s="17"/>
      <c r="P380" s="17" t="s">
        <v>147</v>
      </c>
      <c r="Q380" s="18" t="s">
        <v>1529</v>
      </c>
      <c r="R380" s="17"/>
      <c r="S380" s="18" t="s">
        <v>1464</v>
      </c>
      <c r="T380" s="18" t="s">
        <v>1464</v>
      </c>
      <c r="U380" s="15" t="s">
        <v>54</v>
      </c>
      <c r="V380" s="15" t="s">
        <v>439</v>
      </c>
      <c r="W380" s="15"/>
    </row>
    <row r="381" spans="1:23" hidden="1" x14ac:dyDescent="0.3">
      <c r="A381" s="15">
        <v>381</v>
      </c>
      <c r="B381" s="15" t="s">
        <v>1318</v>
      </c>
      <c r="C381" s="19">
        <v>45709</v>
      </c>
      <c r="D381" s="19" t="s">
        <v>51</v>
      </c>
      <c r="E381" s="21" t="s">
        <v>1460</v>
      </c>
      <c r="F381" s="21">
        <v>9888315374</v>
      </c>
      <c r="G381" s="15" t="s">
        <v>6</v>
      </c>
      <c r="H381" s="15" t="s">
        <v>26</v>
      </c>
      <c r="I381" s="15" t="s">
        <v>1490</v>
      </c>
      <c r="J381" s="15" t="s">
        <v>168</v>
      </c>
      <c r="K381" s="16">
        <v>26220</v>
      </c>
      <c r="L381" s="16">
        <v>35600</v>
      </c>
      <c r="M381" s="17">
        <f>Table1[[#This Row],[Billing Rate Charges]]-Table1[[#This Row],[ LORRY RATE ]]</f>
        <v>9380</v>
      </c>
      <c r="N381" s="17">
        <v>26220</v>
      </c>
      <c r="O381" s="17">
        <f>Table1[[#This Row],[ LORRY RATE ]]-Table1[[#This Row],[Adance Paid (INR)]]</f>
        <v>0</v>
      </c>
      <c r="P381" s="17" t="s">
        <v>147</v>
      </c>
      <c r="Q381" s="18" t="s">
        <v>1522</v>
      </c>
      <c r="R381" s="17"/>
      <c r="S381" s="18" t="s">
        <v>1464</v>
      </c>
      <c r="T381" s="18" t="s">
        <v>1464</v>
      </c>
      <c r="U381" s="15" t="s">
        <v>54</v>
      </c>
      <c r="V381" s="15" t="s">
        <v>439</v>
      </c>
      <c r="W381" s="15"/>
    </row>
    <row r="382" spans="1:23" hidden="1" x14ac:dyDescent="0.3">
      <c r="A382" s="15">
        <v>382</v>
      </c>
      <c r="B382" s="15" t="s">
        <v>1318</v>
      </c>
      <c r="C382" s="19">
        <v>45710</v>
      </c>
      <c r="D382" s="19" t="s">
        <v>51</v>
      </c>
      <c r="E382" s="21" t="s">
        <v>1461</v>
      </c>
      <c r="F382" s="21">
        <v>9648819659</v>
      </c>
      <c r="G382" s="15" t="s">
        <v>6</v>
      </c>
      <c r="H382" s="15" t="s">
        <v>26</v>
      </c>
      <c r="I382" s="15" t="s">
        <v>1491</v>
      </c>
      <c r="J382" s="15" t="s">
        <v>7</v>
      </c>
      <c r="K382" s="16">
        <v>32290</v>
      </c>
      <c r="L382" s="16">
        <v>40320</v>
      </c>
      <c r="M382" s="17">
        <f>Table1[[#This Row],[Billing Rate Charges]]-Table1[[#This Row],[ LORRY RATE ]]</f>
        <v>8030</v>
      </c>
      <c r="N382" s="17">
        <v>29650</v>
      </c>
      <c r="O382" s="17">
        <f>Table1[[#This Row],[ LORRY RATE ]]-Table1[[#This Row],[Adance Paid (INR)]]</f>
        <v>2640</v>
      </c>
      <c r="P382" s="17" t="s">
        <v>147</v>
      </c>
      <c r="Q382" s="18" t="s">
        <v>1530</v>
      </c>
      <c r="R382" s="17"/>
      <c r="S382" s="18" t="s">
        <v>1543</v>
      </c>
      <c r="T382" s="18" t="s">
        <v>1543</v>
      </c>
      <c r="U382" s="15" t="s">
        <v>54</v>
      </c>
      <c r="V382" s="15" t="s">
        <v>213</v>
      </c>
      <c r="W382" s="15"/>
    </row>
    <row r="383" spans="1:23" hidden="1" x14ac:dyDescent="0.3">
      <c r="A383" s="15">
        <v>383</v>
      </c>
      <c r="B383" s="15" t="s">
        <v>1318</v>
      </c>
      <c r="C383" s="19">
        <v>45710</v>
      </c>
      <c r="D383" s="19" t="s">
        <v>51</v>
      </c>
      <c r="E383" s="21" t="s">
        <v>974</v>
      </c>
      <c r="F383" s="21">
        <v>9695227535</v>
      </c>
      <c r="G383" s="15" t="s">
        <v>6</v>
      </c>
      <c r="H383" s="15" t="s">
        <v>1492</v>
      </c>
      <c r="I383" s="15" t="s">
        <v>1493</v>
      </c>
      <c r="J383" s="15" t="s">
        <v>168</v>
      </c>
      <c r="K383" s="16">
        <v>27700</v>
      </c>
      <c r="L383" s="16">
        <v>41900</v>
      </c>
      <c r="M383" s="17">
        <f>Table1[[#This Row],[Billing Rate Charges]]-Table1[[#This Row],[ LORRY RATE ]]</f>
        <v>14200</v>
      </c>
      <c r="N383" s="17">
        <v>27700</v>
      </c>
      <c r="O383" s="17">
        <f>Table1[[#This Row],[ LORRY RATE ]]-Table1[[#This Row],[Adance Paid (INR)]]</f>
        <v>0</v>
      </c>
      <c r="P383" s="17" t="s">
        <v>147</v>
      </c>
      <c r="Q383" s="18" t="s">
        <v>1531</v>
      </c>
      <c r="R383" s="17"/>
      <c r="S383" s="18" t="s">
        <v>1544</v>
      </c>
      <c r="T383" s="18" t="s">
        <v>1544</v>
      </c>
      <c r="U383" s="15" t="s">
        <v>54</v>
      </c>
      <c r="V383" s="15" t="s">
        <v>439</v>
      </c>
      <c r="W383" s="15"/>
    </row>
    <row r="384" spans="1:23" hidden="1" x14ac:dyDescent="0.3">
      <c r="A384" s="15">
        <v>384</v>
      </c>
      <c r="B384" s="15" t="s">
        <v>1318</v>
      </c>
      <c r="C384" s="19">
        <v>45710</v>
      </c>
      <c r="D384" s="19" t="s">
        <v>51</v>
      </c>
      <c r="E384" s="21" t="s">
        <v>1462</v>
      </c>
      <c r="F384" s="21">
        <v>9899284691</v>
      </c>
      <c r="G384" s="15" t="s">
        <v>1093</v>
      </c>
      <c r="H384" s="15" t="s">
        <v>26</v>
      </c>
      <c r="I384" s="15" t="s">
        <v>1504</v>
      </c>
      <c r="J384" s="15" t="s">
        <v>107</v>
      </c>
      <c r="K384" s="16">
        <v>82530</v>
      </c>
      <c r="L384" s="16">
        <v>103950</v>
      </c>
      <c r="M384" s="17">
        <f>Table1[[#This Row],[Billing Rate Charges]]-Table1[[#This Row],[ LORRY RATE ]]</f>
        <v>21420</v>
      </c>
      <c r="N384" s="17">
        <v>82530</v>
      </c>
      <c r="O384" s="17">
        <f>Table1[[#This Row],[ LORRY RATE ]]-Table1[[#This Row],[Adance Paid (INR)]]</f>
        <v>0</v>
      </c>
      <c r="P384" s="17" t="s">
        <v>147</v>
      </c>
      <c r="Q384" s="18" t="s">
        <v>1512</v>
      </c>
      <c r="R384" s="17"/>
      <c r="S384" s="18" t="s">
        <v>1543</v>
      </c>
      <c r="T384" s="18" t="s">
        <v>1543</v>
      </c>
      <c r="U384" s="15" t="s">
        <v>54</v>
      </c>
      <c r="V384" s="15" t="s">
        <v>439</v>
      </c>
      <c r="W384" s="15"/>
    </row>
    <row r="385" spans="1:23" hidden="1" x14ac:dyDescent="0.3">
      <c r="A385" s="15">
        <v>385</v>
      </c>
      <c r="B385" s="15" t="s">
        <v>1318</v>
      </c>
      <c r="C385" s="19">
        <v>45710</v>
      </c>
      <c r="D385" s="19" t="s">
        <v>56</v>
      </c>
      <c r="E385" s="21" t="s">
        <v>60</v>
      </c>
      <c r="F385" s="21">
        <v>9589264337</v>
      </c>
      <c r="G385" s="15" t="s">
        <v>1093</v>
      </c>
      <c r="H385" s="15" t="s">
        <v>26</v>
      </c>
      <c r="I385" s="15" t="s">
        <v>1499</v>
      </c>
      <c r="J385" s="15" t="s">
        <v>7</v>
      </c>
      <c r="K385" s="16">
        <v>52630</v>
      </c>
      <c r="L385" s="16">
        <v>96390</v>
      </c>
      <c r="M385" s="17">
        <f>Table1[[#This Row],[Billing Rate Charges]]-Table1[[#This Row],[ LORRY RATE ]]</f>
        <v>43760</v>
      </c>
      <c r="N385" s="17">
        <v>52630</v>
      </c>
      <c r="O385" s="17">
        <f>Table1[[#This Row],[ LORRY RATE ]]-Table1[[#This Row],[Adance Paid (INR)]]</f>
        <v>0</v>
      </c>
      <c r="P385" s="17" t="s">
        <v>147</v>
      </c>
      <c r="Q385" s="18" t="s">
        <v>1532</v>
      </c>
      <c r="R385" s="17"/>
      <c r="S385" s="18" t="s">
        <v>1545</v>
      </c>
      <c r="T385" s="18" t="s">
        <v>1545</v>
      </c>
      <c r="U385" s="15" t="s">
        <v>54</v>
      </c>
      <c r="V385" s="15" t="s">
        <v>56</v>
      </c>
      <c r="W385" s="15"/>
    </row>
    <row r="386" spans="1:23" hidden="1" x14ac:dyDescent="0.3">
      <c r="A386" s="15">
        <v>386</v>
      </c>
      <c r="B386" s="15" t="s">
        <v>1318</v>
      </c>
      <c r="C386" s="19">
        <v>45712</v>
      </c>
      <c r="D386" s="19" t="s">
        <v>51</v>
      </c>
      <c r="E386" s="21" t="s">
        <v>19</v>
      </c>
      <c r="F386" s="21">
        <v>9149905009</v>
      </c>
      <c r="G386" s="15" t="s">
        <v>6</v>
      </c>
      <c r="H386" s="15" t="s">
        <v>1494</v>
      </c>
      <c r="I386" s="15" t="s">
        <v>1495</v>
      </c>
      <c r="J386" s="15" t="s">
        <v>623</v>
      </c>
      <c r="K386" s="16">
        <v>27700</v>
      </c>
      <c r="L386" s="16">
        <v>41900</v>
      </c>
      <c r="M386" s="17">
        <f>Table1[[#This Row],[Billing Rate Charges]]-Table1[[#This Row],[ LORRY RATE ]]</f>
        <v>14200</v>
      </c>
      <c r="N386" s="17">
        <v>27700</v>
      </c>
      <c r="O386" s="17">
        <f>Table1[[#This Row],[ LORRY RATE ]]-Table1[[#This Row],[Adance Paid (INR)]]</f>
        <v>0</v>
      </c>
      <c r="P386" s="17" t="s">
        <v>147</v>
      </c>
      <c r="Q386" s="18" t="s">
        <v>1533</v>
      </c>
      <c r="R386" s="17"/>
      <c r="S386" s="18" t="s">
        <v>1543</v>
      </c>
      <c r="T386" s="18" t="s">
        <v>1543</v>
      </c>
      <c r="U386" s="15" t="s">
        <v>54</v>
      </c>
      <c r="V386" s="15" t="s">
        <v>529</v>
      </c>
      <c r="W386" s="15"/>
    </row>
    <row r="387" spans="1:23" hidden="1" x14ac:dyDescent="0.3">
      <c r="A387" s="15">
        <v>387</v>
      </c>
      <c r="B387" s="15" t="s">
        <v>1318</v>
      </c>
      <c r="C387" s="19">
        <v>45713</v>
      </c>
      <c r="D387" s="19" t="s">
        <v>56</v>
      </c>
      <c r="E387" s="21" t="s">
        <v>38</v>
      </c>
      <c r="F387" s="21">
        <v>9515412075</v>
      </c>
      <c r="G387" s="15" t="s">
        <v>6</v>
      </c>
      <c r="H387" s="15" t="s">
        <v>1505</v>
      </c>
      <c r="I387" s="15" t="s">
        <v>1506</v>
      </c>
      <c r="J387" s="15" t="s">
        <v>59</v>
      </c>
      <c r="K387" s="16">
        <v>45780</v>
      </c>
      <c r="L387" s="16">
        <v>50720</v>
      </c>
      <c r="M387" s="17">
        <f>Table1[[#This Row],[Billing Rate Charges]]-Table1[[#This Row],[ LORRY RATE ]]</f>
        <v>4940</v>
      </c>
      <c r="N387" s="17">
        <v>45780</v>
      </c>
      <c r="O387" s="17">
        <f>Table1[[#This Row],[ LORRY RATE ]]-Table1[[#This Row],[Adance Paid (INR)]]</f>
        <v>0</v>
      </c>
      <c r="P387" s="17" t="s">
        <v>147</v>
      </c>
      <c r="Q387" s="18" t="s">
        <v>1518</v>
      </c>
      <c r="R387" s="17"/>
      <c r="S387" s="18" t="s">
        <v>1545</v>
      </c>
      <c r="T387" s="18" t="s">
        <v>1545</v>
      </c>
      <c r="U387" s="15" t="s">
        <v>54</v>
      </c>
      <c r="V387" s="15" t="s">
        <v>56</v>
      </c>
      <c r="W387" s="15" t="s">
        <v>1319</v>
      </c>
    </row>
    <row r="388" spans="1:23" hidden="1" x14ac:dyDescent="0.3">
      <c r="A388" s="15">
        <v>388</v>
      </c>
      <c r="B388" s="15" t="s">
        <v>1318</v>
      </c>
      <c r="C388" s="19">
        <v>45713</v>
      </c>
      <c r="D388" s="19" t="s">
        <v>51</v>
      </c>
      <c r="E388" s="21" t="s">
        <v>1448</v>
      </c>
      <c r="F388" s="21">
        <v>9108592771</v>
      </c>
      <c r="G388" s="15" t="s">
        <v>6</v>
      </c>
      <c r="H388" s="15" t="s">
        <v>26</v>
      </c>
      <c r="I388" s="15" t="s">
        <v>1503</v>
      </c>
      <c r="J388" s="15" t="s">
        <v>7</v>
      </c>
      <c r="K388" s="16">
        <v>32600</v>
      </c>
      <c r="L388" s="16">
        <v>45990</v>
      </c>
      <c r="M388" s="17">
        <f>Table1[[#This Row],[Billing Rate Charges]]-Table1[[#This Row],[ LORRY RATE ]]</f>
        <v>13390</v>
      </c>
      <c r="N388" s="17">
        <v>32600</v>
      </c>
      <c r="O388" s="17">
        <f>Table1[[#This Row],[ LORRY RATE ]]-Table1[[#This Row],[Adance Paid (INR)]]</f>
        <v>0</v>
      </c>
      <c r="P388" s="17" t="s">
        <v>147</v>
      </c>
      <c r="Q388" s="18" t="s">
        <v>1534</v>
      </c>
      <c r="R388" s="17"/>
      <c r="S388" s="18" t="s">
        <v>1545</v>
      </c>
      <c r="T388" s="18" t="s">
        <v>1545</v>
      </c>
      <c r="U388" s="15" t="s">
        <v>54</v>
      </c>
      <c r="V388" s="15" t="s">
        <v>439</v>
      </c>
      <c r="W388" s="15" t="s">
        <v>1319</v>
      </c>
    </row>
    <row r="389" spans="1:23" hidden="1" x14ac:dyDescent="0.3">
      <c r="A389" s="15">
        <v>389</v>
      </c>
      <c r="B389" s="15" t="s">
        <v>1318</v>
      </c>
      <c r="C389" s="19">
        <v>45714</v>
      </c>
      <c r="D389" s="19" t="s">
        <v>51</v>
      </c>
      <c r="E389" s="21" t="s">
        <v>380</v>
      </c>
      <c r="F389" s="21"/>
      <c r="G389" s="15" t="s">
        <v>6</v>
      </c>
      <c r="H389" s="15" t="s">
        <v>26</v>
      </c>
      <c r="I389" s="15" t="s">
        <v>1569</v>
      </c>
      <c r="J389" s="15" t="s">
        <v>381</v>
      </c>
      <c r="K389" s="16">
        <v>63600</v>
      </c>
      <c r="L389" s="16">
        <v>74060</v>
      </c>
      <c r="M389" s="17">
        <f>Table1[[#This Row],[Billing Rate Charges]]-Table1[[#This Row],[ LORRY RATE ]]</f>
        <v>10460</v>
      </c>
      <c r="N389" s="17">
        <v>63600</v>
      </c>
      <c r="O389" s="17">
        <f>Table1[[#This Row],[ LORRY RATE ]]-Table1[[#This Row],[Adance Paid (INR)]]</f>
        <v>0</v>
      </c>
      <c r="P389" s="17" t="s">
        <v>147</v>
      </c>
      <c r="Q389" s="18" t="s">
        <v>1605</v>
      </c>
      <c r="R389" s="17"/>
      <c r="S389" s="18" t="s">
        <v>1543</v>
      </c>
      <c r="T389" s="18" t="s">
        <v>1543</v>
      </c>
      <c r="U389" s="15" t="s">
        <v>54</v>
      </c>
      <c r="V389" s="15" t="s">
        <v>380</v>
      </c>
      <c r="W389" s="15" t="s">
        <v>1552</v>
      </c>
    </row>
    <row r="390" spans="1:23" hidden="1" x14ac:dyDescent="0.3">
      <c r="A390" s="15">
        <v>390</v>
      </c>
      <c r="B390" s="15" t="s">
        <v>1318</v>
      </c>
      <c r="C390" s="19">
        <v>45714</v>
      </c>
      <c r="D390" s="19" t="s">
        <v>51</v>
      </c>
      <c r="E390" s="21" t="s">
        <v>380</v>
      </c>
      <c r="F390" s="21"/>
      <c r="G390" s="15" t="s">
        <v>6</v>
      </c>
      <c r="H390" s="15" t="s">
        <v>26</v>
      </c>
      <c r="I390" s="15" t="s">
        <v>1570</v>
      </c>
      <c r="J390" s="15" t="s">
        <v>381</v>
      </c>
      <c r="K390" s="16">
        <v>68190</v>
      </c>
      <c r="L390" s="16">
        <v>76140</v>
      </c>
      <c r="M390" s="17">
        <f>Table1[[#This Row],[Billing Rate Charges]]-Table1[[#This Row],[ LORRY RATE ]]</f>
        <v>7950</v>
      </c>
      <c r="N390" s="17">
        <v>68190</v>
      </c>
      <c r="O390" s="17">
        <f>Table1[[#This Row],[ LORRY RATE ]]-Table1[[#This Row],[Adance Paid (INR)]]</f>
        <v>0</v>
      </c>
      <c r="P390" s="17" t="s">
        <v>147</v>
      </c>
      <c r="Q390" s="18" t="s">
        <v>1606</v>
      </c>
      <c r="R390" s="17"/>
      <c r="S390" s="18" t="s">
        <v>1543</v>
      </c>
      <c r="T390" s="18" t="s">
        <v>1543</v>
      </c>
      <c r="U390" s="15" t="s">
        <v>54</v>
      </c>
      <c r="V390" s="15" t="s">
        <v>380</v>
      </c>
      <c r="W390" s="15" t="s">
        <v>1553</v>
      </c>
    </row>
    <row r="391" spans="1:23" hidden="1" x14ac:dyDescent="0.3">
      <c r="A391" s="15">
        <v>391</v>
      </c>
      <c r="B391" s="15" t="s">
        <v>1318</v>
      </c>
      <c r="C391" s="19">
        <v>45714</v>
      </c>
      <c r="D391" s="19" t="s">
        <v>51</v>
      </c>
      <c r="E391" s="21" t="s">
        <v>380</v>
      </c>
      <c r="F391" s="21"/>
      <c r="G391" s="15" t="s">
        <v>6</v>
      </c>
      <c r="H391" s="15" t="s">
        <v>26</v>
      </c>
      <c r="I391" s="15" t="s">
        <v>1571</v>
      </c>
      <c r="J391" s="15" t="s">
        <v>381</v>
      </c>
      <c r="K391" s="16">
        <v>45740</v>
      </c>
      <c r="L391" s="16">
        <v>49100</v>
      </c>
      <c r="M391" s="17">
        <f>Table1[[#This Row],[Billing Rate Charges]]-Table1[[#This Row],[ LORRY RATE ]]</f>
        <v>3360</v>
      </c>
      <c r="N391" s="17">
        <v>45740</v>
      </c>
      <c r="O391" s="17">
        <f>Table1[[#This Row],[ LORRY RATE ]]-Table1[[#This Row],[Adance Paid (INR)]]</f>
        <v>0</v>
      </c>
      <c r="P391" s="17" t="s">
        <v>147</v>
      </c>
      <c r="Q391" s="18" t="s">
        <v>1607</v>
      </c>
      <c r="R391" s="17"/>
      <c r="S391" s="18" t="s">
        <v>1543</v>
      </c>
      <c r="T391" s="18" t="s">
        <v>1543</v>
      </c>
      <c r="U391" s="15" t="s">
        <v>54</v>
      </c>
      <c r="V391" s="15" t="s">
        <v>380</v>
      </c>
      <c r="W391" s="15" t="s">
        <v>1554</v>
      </c>
    </row>
    <row r="392" spans="1:23" hidden="1" x14ac:dyDescent="0.3">
      <c r="A392" s="15">
        <v>392</v>
      </c>
      <c r="B392" s="15" t="s">
        <v>1318</v>
      </c>
      <c r="C392" s="19">
        <v>45714</v>
      </c>
      <c r="D392" s="19" t="s">
        <v>51</v>
      </c>
      <c r="E392" s="21" t="s">
        <v>380</v>
      </c>
      <c r="F392" s="21"/>
      <c r="G392" s="15" t="s">
        <v>6</v>
      </c>
      <c r="H392" s="15" t="s">
        <v>26</v>
      </c>
      <c r="I392" s="15" t="s">
        <v>1572</v>
      </c>
      <c r="J392" s="15" t="s">
        <v>381</v>
      </c>
      <c r="K392" s="16">
        <v>54620</v>
      </c>
      <c r="L392" s="16">
        <v>64010</v>
      </c>
      <c r="M392" s="17">
        <f>Table1[[#This Row],[Billing Rate Charges]]-Table1[[#This Row],[ LORRY RATE ]]</f>
        <v>9390</v>
      </c>
      <c r="N392" s="17">
        <v>54620</v>
      </c>
      <c r="O392" s="17">
        <f>Table1[[#This Row],[ LORRY RATE ]]-Table1[[#This Row],[Adance Paid (INR)]]</f>
        <v>0</v>
      </c>
      <c r="P392" s="17" t="s">
        <v>147</v>
      </c>
      <c r="Q392" s="18" t="s">
        <v>1608</v>
      </c>
      <c r="R392" s="17"/>
      <c r="S392" s="18" t="s">
        <v>1543</v>
      </c>
      <c r="T392" s="18" t="s">
        <v>1543</v>
      </c>
      <c r="U392" s="15" t="s">
        <v>54</v>
      </c>
      <c r="V392" s="15" t="s">
        <v>380</v>
      </c>
      <c r="W392" s="15" t="s">
        <v>1555</v>
      </c>
    </row>
    <row r="393" spans="1:23" hidden="1" x14ac:dyDescent="0.3">
      <c r="A393" s="15">
        <v>393</v>
      </c>
      <c r="B393" s="15" t="s">
        <v>1318</v>
      </c>
      <c r="C393" s="19">
        <v>45715</v>
      </c>
      <c r="D393" s="19" t="s">
        <v>472</v>
      </c>
      <c r="E393" s="21" t="s">
        <v>380</v>
      </c>
      <c r="F393" s="21"/>
      <c r="G393" s="15" t="s">
        <v>6</v>
      </c>
      <c r="H393" s="15" t="s">
        <v>26</v>
      </c>
      <c r="I393" s="15" t="s">
        <v>1573</v>
      </c>
      <c r="J393" s="15" t="s">
        <v>381</v>
      </c>
      <c r="K393" s="16">
        <v>29830</v>
      </c>
      <c r="L393" s="16">
        <v>32430</v>
      </c>
      <c r="M393" s="17">
        <f>Table1[[#This Row],[Billing Rate Charges]]-Table1[[#This Row],[ LORRY RATE ]]</f>
        <v>2600</v>
      </c>
      <c r="N393" s="17">
        <v>29830</v>
      </c>
      <c r="O393" s="17">
        <f>Table1[[#This Row],[ LORRY RATE ]]-Table1[[#This Row],[Adance Paid (INR)]]</f>
        <v>0</v>
      </c>
      <c r="P393" s="17" t="s">
        <v>147</v>
      </c>
      <c r="Q393" s="18" t="s">
        <v>1609</v>
      </c>
      <c r="R393" s="17"/>
      <c r="S393" s="18" t="s">
        <v>1545</v>
      </c>
      <c r="T393" s="18" t="s">
        <v>1545</v>
      </c>
      <c r="U393" s="15" t="s">
        <v>54</v>
      </c>
      <c r="V393" s="15" t="s">
        <v>380</v>
      </c>
      <c r="W393" s="15" t="s">
        <v>1556</v>
      </c>
    </row>
    <row r="394" spans="1:23" hidden="1" x14ac:dyDescent="0.3">
      <c r="A394" s="15">
        <v>394</v>
      </c>
      <c r="B394" s="15" t="s">
        <v>1318</v>
      </c>
      <c r="C394" s="19">
        <v>45715</v>
      </c>
      <c r="D394" s="19" t="s">
        <v>51</v>
      </c>
      <c r="E394" s="21" t="s">
        <v>380</v>
      </c>
      <c r="F394" s="21"/>
      <c r="G394" s="15" t="s">
        <v>6</v>
      </c>
      <c r="H394" s="15" t="s">
        <v>26</v>
      </c>
      <c r="I394" s="15" t="s">
        <v>1574</v>
      </c>
      <c r="J394" s="15" t="s">
        <v>381</v>
      </c>
      <c r="K394" s="16">
        <v>91960</v>
      </c>
      <c r="L394" s="16">
        <v>99730</v>
      </c>
      <c r="M394" s="17">
        <f>Table1[[#This Row],[Billing Rate Charges]]-Table1[[#This Row],[ LORRY RATE ]]</f>
        <v>7770</v>
      </c>
      <c r="N394" s="17">
        <v>91960</v>
      </c>
      <c r="O394" s="17">
        <f>Table1[[#This Row],[ LORRY RATE ]]-Table1[[#This Row],[Adance Paid (INR)]]</f>
        <v>0</v>
      </c>
      <c r="P394" s="17" t="s">
        <v>147</v>
      </c>
      <c r="Q394" s="18" t="s">
        <v>1610</v>
      </c>
      <c r="R394" s="17"/>
      <c r="S394" s="18" t="s">
        <v>1545</v>
      </c>
      <c r="T394" s="18" t="s">
        <v>1557</v>
      </c>
      <c r="U394" s="15" t="s">
        <v>54</v>
      </c>
      <c r="V394" s="15" t="s">
        <v>380</v>
      </c>
      <c r="W394" s="15" t="s">
        <v>1558</v>
      </c>
    </row>
    <row r="395" spans="1:23" hidden="1" x14ac:dyDescent="0.3">
      <c r="A395" s="15">
        <v>395</v>
      </c>
      <c r="B395" s="15" t="s">
        <v>1318</v>
      </c>
      <c r="C395" s="19">
        <v>45706</v>
      </c>
      <c r="D395" s="19" t="s">
        <v>56</v>
      </c>
      <c r="E395" s="21" t="s">
        <v>38</v>
      </c>
      <c r="F395" s="21">
        <v>9515412075</v>
      </c>
      <c r="G395" s="15" t="s">
        <v>1561</v>
      </c>
      <c r="H395" s="15" t="s">
        <v>1560</v>
      </c>
      <c r="I395" s="15" t="s">
        <v>1599</v>
      </c>
      <c r="J395" s="15" t="s">
        <v>59</v>
      </c>
      <c r="K395" s="16">
        <v>2430</v>
      </c>
      <c r="L395" s="16">
        <v>4410</v>
      </c>
      <c r="M395" s="17">
        <f>Table1[[#This Row],[Billing Rate Charges]]-Table1[[#This Row],[ LORRY RATE ]]</f>
        <v>1980</v>
      </c>
      <c r="N395" s="17">
        <v>2430</v>
      </c>
      <c r="O395" s="17">
        <f>Table1[[#This Row],[ LORRY RATE ]]-Table1[[#This Row],[Adance Paid (INR)]]</f>
        <v>0</v>
      </c>
      <c r="P395" s="17" t="s">
        <v>147</v>
      </c>
      <c r="Q395" s="18" t="s">
        <v>1611</v>
      </c>
      <c r="R395" s="17"/>
      <c r="S395" s="18" t="s">
        <v>1457</v>
      </c>
      <c r="T395" s="18" t="s">
        <v>1457</v>
      </c>
      <c r="U395" s="15" t="s">
        <v>54</v>
      </c>
      <c r="V395" s="15" t="s">
        <v>56</v>
      </c>
      <c r="W395" s="15"/>
    </row>
    <row r="396" spans="1:23" hidden="1" x14ac:dyDescent="0.3">
      <c r="A396" s="15">
        <v>396</v>
      </c>
      <c r="B396" s="15" t="s">
        <v>1318</v>
      </c>
      <c r="C396" s="19">
        <v>45708</v>
      </c>
      <c r="D396" s="19" t="s">
        <v>56</v>
      </c>
      <c r="E396" s="21" t="s">
        <v>38</v>
      </c>
      <c r="F396" s="21">
        <v>9515412075</v>
      </c>
      <c r="G396" s="15" t="s">
        <v>1561</v>
      </c>
      <c r="H396" s="15" t="s">
        <v>233</v>
      </c>
      <c r="I396" s="15" t="s">
        <v>1600</v>
      </c>
      <c r="J396" s="15" t="s">
        <v>59</v>
      </c>
      <c r="K396" s="16">
        <v>2430</v>
      </c>
      <c r="L396" s="16">
        <v>4410</v>
      </c>
      <c r="M396" s="17">
        <f>Table1[[#This Row],[Billing Rate Charges]]-Table1[[#This Row],[ LORRY RATE ]]</f>
        <v>1980</v>
      </c>
      <c r="N396" s="17">
        <v>2430</v>
      </c>
      <c r="O396" s="17">
        <f>Table1[[#This Row],[ LORRY RATE ]]-Table1[[#This Row],[Adance Paid (INR)]]</f>
        <v>0</v>
      </c>
      <c r="P396" s="17" t="s">
        <v>147</v>
      </c>
      <c r="Q396" s="18" t="s">
        <v>1613</v>
      </c>
      <c r="R396" s="17"/>
      <c r="S396" s="18" t="s">
        <v>1563</v>
      </c>
      <c r="T396" s="18" t="s">
        <v>1563</v>
      </c>
      <c r="U396" s="15" t="s">
        <v>54</v>
      </c>
      <c r="V396" s="15" t="s">
        <v>56</v>
      </c>
      <c r="W396" s="15"/>
    </row>
    <row r="397" spans="1:23" hidden="1" x14ac:dyDescent="0.3">
      <c r="A397" s="15">
        <v>397</v>
      </c>
      <c r="B397" s="15" t="s">
        <v>1318</v>
      </c>
      <c r="C397" s="19">
        <v>45708</v>
      </c>
      <c r="D397" s="19" t="s">
        <v>56</v>
      </c>
      <c r="E397" s="21" t="s">
        <v>38</v>
      </c>
      <c r="F397" s="21">
        <v>9515412075</v>
      </c>
      <c r="G397" s="15" t="s">
        <v>1561</v>
      </c>
      <c r="H397" s="15" t="s">
        <v>233</v>
      </c>
      <c r="I397" s="15" t="s">
        <v>1601</v>
      </c>
      <c r="J397" s="15" t="s">
        <v>59</v>
      </c>
      <c r="K397" s="16">
        <v>2430</v>
      </c>
      <c r="L397" s="16">
        <v>4410</v>
      </c>
      <c r="M397" s="17">
        <f>Table1[[#This Row],[Billing Rate Charges]]-Table1[[#This Row],[ LORRY RATE ]]</f>
        <v>1980</v>
      </c>
      <c r="N397" s="17">
        <v>2430</v>
      </c>
      <c r="O397" s="17">
        <f>Table1[[#This Row],[ LORRY RATE ]]-Table1[[#This Row],[Adance Paid (INR)]]</f>
        <v>0</v>
      </c>
      <c r="P397" s="17" t="s">
        <v>147</v>
      </c>
      <c r="Q397" s="18" t="s">
        <v>1614</v>
      </c>
      <c r="R397" s="17"/>
      <c r="S397" s="18" t="s">
        <v>1563</v>
      </c>
      <c r="T397" s="18" t="s">
        <v>1563</v>
      </c>
      <c r="U397" s="15" t="s">
        <v>54</v>
      </c>
      <c r="V397" s="15" t="s">
        <v>56</v>
      </c>
      <c r="W397" s="15"/>
    </row>
    <row r="398" spans="1:23" hidden="1" x14ac:dyDescent="0.3">
      <c r="A398" s="15">
        <v>398</v>
      </c>
      <c r="B398" s="15" t="s">
        <v>1318</v>
      </c>
      <c r="C398" s="19">
        <v>45709</v>
      </c>
      <c r="D398" s="19" t="s">
        <v>56</v>
      </c>
      <c r="E398" s="21" t="s">
        <v>1562</v>
      </c>
      <c r="F398" s="21">
        <v>9515412075</v>
      </c>
      <c r="G398" s="15" t="s">
        <v>1561</v>
      </c>
      <c r="H398" s="15" t="s">
        <v>233</v>
      </c>
      <c r="I398" s="15" t="s">
        <v>1602</v>
      </c>
      <c r="J398" s="15" t="s">
        <v>59</v>
      </c>
      <c r="K398" s="16">
        <v>2430</v>
      </c>
      <c r="L398" s="16">
        <v>4410</v>
      </c>
      <c r="M398" s="17">
        <f>Table1[[#This Row],[Billing Rate Charges]]-Table1[[#This Row],[ LORRY RATE ]]</f>
        <v>1980</v>
      </c>
      <c r="N398" s="17">
        <v>2430</v>
      </c>
      <c r="O398" s="17">
        <f>Table1[[#This Row],[ LORRY RATE ]]-Table1[[#This Row],[Adance Paid (INR)]]</f>
        <v>0</v>
      </c>
      <c r="P398" s="17" t="s">
        <v>147</v>
      </c>
      <c r="Q398" s="18" t="s">
        <v>1615</v>
      </c>
      <c r="R398" s="17"/>
      <c r="S398" s="18" t="s">
        <v>1564</v>
      </c>
      <c r="T398" s="18" t="s">
        <v>1564</v>
      </c>
      <c r="U398" s="15" t="s">
        <v>54</v>
      </c>
      <c r="V398" s="15" t="s">
        <v>56</v>
      </c>
      <c r="W398" s="15"/>
    </row>
    <row r="399" spans="1:23" hidden="1" x14ac:dyDescent="0.3">
      <c r="A399" s="15">
        <v>399</v>
      </c>
      <c r="B399" s="15" t="s">
        <v>1318</v>
      </c>
      <c r="C399" s="19">
        <v>45715</v>
      </c>
      <c r="D399" s="19" t="s">
        <v>51</v>
      </c>
      <c r="E399" s="21" t="s">
        <v>1565</v>
      </c>
      <c r="F399" s="21">
        <v>9137963915</v>
      </c>
      <c r="G399" s="15" t="s">
        <v>1566</v>
      </c>
      <c r="H399" s="15" t="s">
        <v>233</v>
      </c>
      <c r="I399" s="15" t="s">
        <v>1603</v>
      </c>
      <c r="J399" s="15" t="s">
        <v>1567</v>
      </c>
      <c r="K399" s="16">
        <v>1540</v>
      </c>
      <c r="L399" s="16">
        <v>3150</v>
      </c>
      <c r="M399" s="17">
        <f>Table1[[#This Row],[Billing Rate Charges]]-Table1[[#This Row],[ LORRY RATE ]]</f>
        <v>1610</v>
      </c>
      <c r="N399" s="17">
        <v>1540</v>
      </c>
      <c r="O399" s="17">
        <f>Table1[[#This Row],[ LORRY RATE ]]-Table1[[#This Row],[Adance Paid (INR)]]</f>
        <v>0</v>
      </c>
      <c r="P399" s="17" t="s">
        <v>147</v>
      </c>
      <c r="Q399" s="18" t="s">
        <v>1616</v>
      </c>
      <c r="R399" s="17"/>
      <c r="S399" s="18" t="s">
        <v>1568</v>
      </c>
      <c r="T399" s="18" t="s">
        <v>1568</v>
      </c>
      <c r="U399" s="15" t="s">
        <v>54</v>
      </c>
      <c r="V399" s="15" t="s">
        <v>700</v>
      </c>
      <c r="W399" s="15"/>
    </row>
    <row r="400" spans="1:23" hidden="1" x14ac:dyDescent="0.3">
      <c r="A400" s="15">
        <v>395</v>
      </c>
      <c r="B400" s="15" t="s">
        <v>1318</v>
      </c>
      <c r="C400" s="19">
        <v>45715</v>
      </c>
      <c r="D400" s="19" t="s">
        <v>51</v>
      </c>
      <c r="E400" s="21" t="s">
        <v>1535</v>
      </c>
      <c r="F400" s="21">
        <v>9412166704</v>
      </c>
      <c r="G400" s="15" t="s">
        <v>6</v>
      </c>
      <c r="H400" s="15" t="s">
        <v>440</v>
      </c>
      <c r="I400" s="15" t="s">
        <v>1575</v>
      </c>
      <c r="J400" s="15" t="s">
        <v>168</v>
      </c>
      <c r="K400" s="16">
        <v>28780</v>
      </c>
      <c r="L400" s="16">
        <v>41900</v>
      </c>
      <c r="M400" s="17">
        <f>Table1[[#This Row],[Billing Rate Charges]]-Table1[[#This Row],[ LORRY RATE ]]</f>
        <v>13120</v>
      </c>
      <c r="N400" s="17">
        <v>28780</v>
      </c>
      <c r="O400" s="17">
        <f>Table1[[#This Row],[ LORRY RATE ]]-Table1[[#This Row],[Adance Paid (INR)]]</f>
        <v>0</v>
      </c>
      <c r="P400" s="17" t="s">
        <v>147</v>
      </c>
      <c r="Q400" s="18" t="s">
        <v>1617</v>
      </c>
      <c r="R400" s="17"/>
      <c r="S400" s="18" t="s">
        <v>1594</v>
      </c>
      <c r="T400" s="18" t="s">
        <v>1595</v>
      </c>
      <c r="U400" s="15" t="s">
        <v>54</v>
      </c>
      <c r="V400" s="15" t="s">
        <v>529</v>
      </c>
      <c r="W400" s="15" t="s">
        <v>1548</v>
      </c>
    </row>
    <row r="401" spans="1:23" hidden="1" x14ac:dyDescent="0.3">
      <c r="A401" s="15">
        <v>396</v>
      </c>
      <c r="B401" s="15" t="s">
        <v>1318</v>
      </c>
      <c r="C401" s="19">
        <v>45716</v>
      </c>
      <c r="D401" s="19" t="s">
        <v>51</v>
      </c>
      <c r="E401" s="21" t="s">
        <v>1536</v>
      </c>
      <c r="F401" s="21">
        <v>9404651256</v>
      </c>
      <c r="G401" s="15" t="s">
        <v>6</v>
      </c>
      <c r="H401" s="15" t="s">
        <v>1576</v>
      </c>
      <c r="I401" s="15" t="s">
        <v>1577</v>
      </c>
      <c r="J401" s="15" t="s">
        <v>168</v>
      </c>
      <c r="K401" s="16">
        <v>28650</v>
      </c>
      <c r="L401" s="16">
        <v>48200</v>
      </c>
      <c r="M401" s="17">
        <f>Table1[[#This Row],[Billing Rate Charges]]-Table1[[#This Row],[ LORRY RATE ]]</f>
        <v>19550</v>
      </c>
      <c r="N401" s="17">
        <v>28650</v>
      </c>
      <c r="O401" s="17">
        <f>Table1[[#This Row],[ LORRY RATE ]]-Table1[[#This Row],[Adance Paid (INR)]]</f>
        <v>0</v>
      </c>
      <c r="P401" s="17" t="s">
        <v>147</v>
      </c>
      <c r="Q401" s="18" t="s">
        <v>1618</v>
      </c>
      <c r="R401" s="17"/>
      <c r="S401" s="18" t="s">
        <v>1596</v>
      </c>
      <c r="T401" s="18" t="s">
        <v>1596</v>
      </c>
      <c r="U401" s="15" t="s">
        <v>54</v>
      </c>
      <c r="V401" s="15" t="s">
        <v>439</v>
      </c>
      <c r="W401" s="15"/>
    </row>
    <row r="402" spans="1:23" hidden="1" x14ac:dyDescent="0.3">
      <c r="A402" s="15">
        <v>397</v>
      </c>
      <c r="B402" s="15" t="s">
        <v>1318</v>
      </c>
      <c r="C402" s="22">
        <v>45716</v>
      </c>
      <c r="D402" s="19" t="s">
        <v>56</v>
      </c>
      <c r="E402" s="21" t="s">
        <v>38</v>
      </c>
      <c r="F402" s="21">
        <v>9515412075</v>
      </c>
      <c r="G402" s="15" t="s">
        <v>1537</v>
      </c>
      <c r="H402" s="15" t="s">
        <v>26</v>
      </c>
      <c r="I402" s="15" t="s">
        <v>1598</v>
      </c>
      <c r="J402" s="15" t="s">
        <v>59</v>
      </c>
      <c r="K402" s="16">
        <v>51880</v>
      </c>
      <c r="L402" s="16">
        <v>91350</v>
      </c>
      <c r="M402" s="17">
        <f>Table1[[#This Row],[Billing Rate Charges]]-Table1[[#This Row],[ LORRY RATE ]]</f>
        <v>39470</v>
      </c>
      <c r="N402" s="17">
        <v>51880</v>
      </c>
      <c r="O402" s="17">
        <f>Table1[[#This Row],[ LORRY RATE ]]-Table1[[#This Row],[Adance Paid (INR)]]</f>
        <v>0</v>
      </c>
      <c r="P402" s="17" t="s">
        <v>147</v>
      </c>
      <c r="Q402" s="18" t="s">
        <v>1619</v>
      </c>
      <c r="R402" s="17"/>
      <c r="S402" s="18" t="s">
        <v>1594</v>
      </c>
      <c r="T402" s="18" t="s">
        <v>1595</v>
      </c>
      <c r="U402" s="15" t="s">
        <v>54</v>
      </c>
      <c r="V402" s="15" t="s">
        <v>56</v>
      </c>
      <c r="W402" s="15"/>
    </row>
    <row r="403" spans="1:23" hidden="1" x14ac:dyDescent="0.3">
      <c r="A403" s="15">
        <v>398</v>
      </c>
      <c r="B403" s="15" t="s">
        <v>1318</v>
      </c>
      <c r="C403" s="19">
        <v>45716</v>
      </c>
      <c r="D403" s="19" t="s">
        <v>51</v>
      </c>
      <c r="E403" s="21" t="s">
        <v>153</v>
      </c>
      <c r="F403" s="21">
        <v>9479119465</v>
      </c>
      <c r="G403" s="15" t="s">
        <v>1093</v>
      </c>
      <c r="H403" s="15" t="s">
        <v>26</v>
      </c>
      <c r="I403" s="15" t="s">
        <v>1592</v>
      </c>
      <c r="J403" s="15" t="s">
        <v>7</v>
      </c>
      <c r="K403" s="16">
        <v>66940</v>
      </c>
      <c r="L403" s="16">
        <v>96390</v>
      </c>
      <c r="M403" s="17">
        <f>Table1[[#This Row],[Billing Rate Charges]]-Table1[[#This Row],[ LORRY RATE ]]</f>
        <v>29450</v>
      </c>
      <c r="N403" s="17">
        <v>66940</v>
      </c>
      <c r="O403" s="17">
        <f>Table1[[#This Row],[ LORRY RATE ]]-Table1[[#This Row],[Adance Paid (INR)]]</f>
        <v>0</v>
      </c>
      <c r="P403" s="17" t="s">
        <v>147</v>
      </c>
      <c r="Q403" s="18" t="s">
        <v>1620</v>
      </c>
      <c r="R403" s="17"/>
      <c r="S403" s="18" t="s">
        <v>1595</v>
      </c>
      <c r="T403" s="18" t="s">
        <v>1595</v>
      </c>
      <c r="U403" s="15" t="s">
        <v>54</v>
      </c>
      <c r="V403" s="15" t="s">
        <v>439</v>
      </c>
      <c r="W403" s="15"/>
    </row>
    <row r="404" spans="1:23" hidden="1" x14ac:dyDescent="0.3">
      <c r="A404" s="15">
        <v>399</v>
      </c>
      <c r="B404" s="15" t="s">
        <v>1538</v>
      </c>
      <c r="C404" s="47" t="s">
        <v>1539</v>
      </c>
      <c r="D404" s="19" t="s">
        <v>56</v>
      </c>
      <c r="E404" s="21" t="s">
        <v>60</v>
      </c>
      <c r="F404" s="21">
        <v>9589264337</v>
      </c>
      <c r="G404" s="15" t="s">
        <v>6</v>
      </c>
      <c r="H404" s="15" t="s">
        <v>1578</v>
      </c>
      <c r="I404" s="15" t="s">
        <v>1579</v>
      </c>
      <c r="J404" s="15" t="s">
        <v>7</v>
      </c>
      <c r="K404" s="16">
        <v>45170</v>
      </c>
      <c r="L404" s="16">
        <v>46620</v>
      </c>
      <c r="M404" s="17">
        <f>Table1[[#This Row],[Billing Rate Charges]]-Table1[[#This Row],[ LORRY RATE ]]</f>
        <v>1450</v>
      </c>
      <c r="N404" s="17">
        <v>45170</v>
      </c>
      <c r="O404" s="17">
        <f>Table1[[#This Row],[ LORRY RATE ]]-Table1[[#This Row],[Adance Paid (INR)]]</f>
        <v>0</v>
      </c>
      <c r="P404" s="17" t="s">
        <v>147</v>
      </c>
      <c r="Q404" s="18" t="s">
        <v>1621</v>
      </c>
      <c r="R404" s="17"/>
      <c r="S404" s="18" t="s">
        <v>1595</v>
      </c>
      <c r="T404" s="18" t="s">
        <v>1596</v>
      </c>
      <c r="U404" s="15" t="s">
        <v>54</v>
      </c>
      <c r="V404" s="15" t="s">
        <v>56</v>
      </c>
      <c r="W404" s="15"/>
    </row>
    <row r="405" spans="1:23" hidden="1" x14ac:dyDescent="0.3">
      <c r="A405" s="15">
        <v>400</v>
      </c>
      <c r="B405" s="15" t="s">
        <v>1538</v>
      </c>
      <c r="C405" s="19">
        <v>45717</v>
      </c>
      <c r="D405" s="21" t="s">
        <v>51</v>
      </c>
      <c r="E405" s="21" t="s">
        <v>1540</v>
      </c>
      <c r="F405" s="21">
        <v>9225675104</v>
      </c>
      <c r="G405" s="15" t="s">
        <v>1093</v>
      </c>
      <c r="H405" s="15" t="s">
        <v>26</v>
      </c>
      <c r="I405" s="15" t="s">
        <v>1593</v>
      </c>
      <c r="J405" s="15" t="s">
        <v>168</v>
      </c>
      <c r="K405" s="16">
        <v>50210</v>
      </c>
      <c r="L405" s="16">
        <v>59850</v>
      </c>
      <c r="M405" s="17">
        <f>Table1[[#This Row],[Billing Rate Charges]]-Table1[[#This Row],[ LORRY RATE ]]</f>
        <v>9640</v>
      </c>
      <c r="N405" s="17">
        <v>50210</v>
      </c>
      <c r="O405" s="17">
        <f>Table1[[#This Row],[ LORRY RATE ]]-Table1[[#This Row],[Adance Paid (INR)]]</f>
        <v>0</v>
      </c>
      <c r="P405" s="17" t="s">
        <v>147</v>
      </c>
      <c r="Q405" s="18" t="s">
        <v>1622</v>
      </c>
      <c r="R405" s="17"/>
      <c r="S405" s="18" t="s">
        <v>1595</v>
      </c>
      <c r="T405" s="18" t="s">
        <v>1596</v>
      </c>
      <c r="U405" s="15" t="s">
        <v>54</v>
      </c>
      <c r="V405" s="15" t="s">
        <v>439</v>
      </c>
      <c r="W405" s="15"/>
    </row>
    <row r="406" spans="1:23" hidden="1" x14ac:dyDescent="0.3">
      <c r="A406" s="15">
        <v>401</v>
      </c>
      <c r="B406" s="15" t="s">
        <v>1538</v>
      </c>
      <c r="C406" s="19">
        <v>45719</v>
      </c>
      <c r="D406" s="19" t="s">
        <v>51</v>
      </c>
      <c r="E406" s="21" t="s">
        <v>1541</v>
      </c>
      <c r="F406" s="21">
        <v>9229766792</v>
      </c>
      <c r="G406" s="15" t="s">
        <v>1542</v>
      </c>
      <c r="H406" s="15" t="s">
        <v>26</v>
      </c>
      <c r="I406" s="15" t="s">
        <v>1591</v>
      </c>
      <c r="J406" s="15" t="s">
        <v>7</v>
      </c>
      <c r="K406" s="16">
        <v>18300</v>
      </c>
      <c r="L406" s="16">
        <v>22050</v>
      </c>
      <c r="M406" s="17">
        <f>Table1[[#This Row],[Billing Rate Charges]]-Table1[[#This Row],[ LORRY RATE ]]</f>
        <v>3750</v>
      </c>
      <c r="N406" s="17">
        <v>18300</v>
      </c>
      <c r="O406" s="17">
        <f>Table1[[#This Row],[ LORRY RATE ]]-Table1[[#This Row],[Adance Paid (INR)]]</f>
        <v>0</v>
      </c>
      <c r="P406" s="17" t="s">
        <v>147</v>
      </c>
      <c r="Q406" s="18" t="s">
        <v>1623</v>
      </c>
      <c r="R406" s="17"/>
      <c r="S406" s="18" t="s">
        <v>1595</v>
      </c>
      <c r="T406" s="18" t="s">
        <v>1595</v>
      </c>
      <c r="U406" s="15" t="s">
        <v>54</v>
      </c>
      <c r="V406" s="15" t="s">
        <v>1546</v>
      </c>
      <c r="W406" s="15"/>
    </row>
    <row r="407" spans="1:23" hidden="1" x14ac:dyDescent="0.3">
      <c r="A407" s="15">
        <v>402</v>
      </c>
      <c r="B407" s="15" t="s">
        <v>1538</v>
      </c>
      <c r="C407" s="19">
        <v>45719</v>
      </c>
      <c r="D407" s="19" t="s">
        <v>51</v>
      </c>
      <c r="E407" s="21" t="s">
        <v>1549</v>
      </c>
      <c r="F407" s="21">
        <v>9501087125</v>
      </c>
      <c r="G407" s="15" t="s">
        <v>6</v>
      </c>
      <c r="H407" s="15" t="s">
        <v>1580</v>
      </c>
      <c r="I407" s="15" t="s">
        <v>1581</v>
      </c>
      <c r="J407" s="15" t="s">
        <v>59</v>
      </c>
      <c r="K407" s="16">
        <v>30320</v>
      </c>
      <c r="L407" s="16">
        <v>45040</v>
      </c>
      <c r="M407" s="17">
        <f>Table1[[#This Row],[Billing Rate Charges]]-Table1[[#This Row],[ LORRY RATE ]]</f>
        <v>14720</v>
      </c>
      <c r="N407" s="17">
        <v>30320</v>
      </c>
      <c r="O407" s="17">
        <f>Table1[[#This Row],[ LORRY RATE ]]-Table1[[#This Row],[Adance Paid (INR)]]</f>
        <v>0</v>
      </c>
      <c r="P407" s="17" t="s">
        <v>147</v>
      </c>
      <c r="Q407" s="18" t="s">
        <v>1624</v>
      </c>
      <c r="R407" s="17"/>
      <c r="S407" s="18" t="s">
        <v>1597</v>
      </c>
      <c r="T407" s="18" t="s">
        <v>1597</v>
      </c>
      <c r="U407" s="15" t="s">
        <v>54</v>
      </c>
      <c r="V407" s="15" t="s">
        <v>439</v>
      </c>
      <c r="W407" s="15"/>
    </row>
    <row r="408" spans="1:23" hidden="1" x14ac:dyDescent="0.3">
      <c r="A408" s="15">
        <v>403</v>
      </c>
      <c r="B408" s="15" t="s">
        <v>1538</v>
      </c>
      <c r="C408" s="19">
        <v>45721</v>
      </c>
      <c r="D408" s="19" t="s">
        <v>51</v>
      </c>
      <c r="E408" s="21" t="s">
        <v>153</v>
      </c>
      <c r="F408" s="21">
        <v>9479119465</v>
      </c>
      <c r="G408" s="15" t="s">
        <v>6</v>
      </c>
      <c r="H408" s="15" t="s">
        <v>26</v>
      </c>
      <c r="I408" s="15" t="s">
        <v>1583</v>
      </c>
      <c r="J408" s="15" t="s">
        <v>7</v>
      </c>
      <c r="K408" s="16">
        <v>31750</v>
      </c>
      <c r="L408" s="16">
        <v>40320</v>
      </c>
      <c r="M408" s="17">
        <f>Table1[[#This Row],[Billing Rate Charges]]-Table1[[#This Row],[ LORRY RATE ]]</f>
        <v>8570</v>
      </c>
      <c r="N408" s="17">
        <v>31750</v>
      </c>
      <c r="O408" s="17">
        <f>Table1[[#This Row],[ LORRY RATE ]]-Table1[[#This Row],[Adance Paid (INR)]]</f>
        <v>0</v>
      </c>
      <c r="P408" s="17" t="s">
        <v>147</v>
      </c>
      <c r="Q408" s="18" t="s">
        <v>1625</v>
      </c>
      <c r="R408" s="17"/>
      <c r="S408" s="18" t="s">
        <v>1686</v>
      </c>
      <c r="T408" s="18" t="s">
        <v>1686</v>
      </c>
      <c r="U408" s="15" t="s">
        <v>54</v>
      </c>
      <c r="V408" s="15" t="s">
        <v>439</v>
      </c>
      <c r="W408" s="15"/>
    </row>
    <row r="409" spans="1:23" hidden="1" x14ac:dyDescent="0.3">
      <c r="A409" s="15">
        <v>404</v>
      </c>
      <c r="B409" s="15" t="s">
        <v>1538</v>
      </c>
      <c r="C409" s="19">
        <v>45721</v>
      </c>
      <c r="D409" s="19" t="s">
        <v>51</v>
      </c>
      <c r="E409" s="21" t="s">
        <v>979</v>
      </c>
      <c r="F409" s="21">
        <v>9336977588</v>
      </c>
      <c r="G409" s="15" t="s">
        <v>6</v>
      </c>
      <c r="H409" s="15" t="s">
        <v>1685</v>
      </c>
      <c r="I409" s="15" t="s">
        <v>1582</v>
      </c>
      <c r="J409" s="15" t="s">
        <v>168</v>
      </c>
      <c r="K409" s="16">
        <v>27170</v>
      </c>
      <c r="L409" s="16">
        <v>41900</v>
      </c>
      <c r="M409" s="17">
        <f>Table1[[#This Row],[Billing Rate Charges]]-Table1[[#This Row],[ LORRY RATE ]]</f>
        <v>14730</v>
      </c>
      <c r="N409" s="17">
        <v>27170</v>
      </c>
      <c r="O409" s="17">
        <f>Table1[[#This Row],[ LORRY RATE ]]-Table1[[#This Row],[Adance Paid (INR)]]</f>
        <v>0</v>
      </c>
      <c r="P409" s="17" t="s">
        <v>147</v>
      </c>
      <c r="Q409" s="18" t="s">
        <v>1626</v>
      </c>
      <c r="R409" s="17"/>
      <c r="S409" s="18" t="s">
        <v>1687</v>
      </c>
      <c r="T409" s="18" t="s">
        <v>1687</v>
      </c>
      <c r="U409" s="15" t="s">
        <v>54</v>
      </c>
      <c r="V409" s="15" t="s">
        <v>439</v>
      </c>
      <c r="W409" s="15"/>
    </row>
    <row r="410" spans="1:23" hidden="1" x14ac:dyDescent="0.3">
      <c r="A410" s="15">
        <v>405</v>
      </c>
      <c r="B410" s="15" t="s">
        <v>1538</v>
      </c>
      <c r="C410" s="19">
        <v>45721</v>
      </c>
      <c r="D410" s="19" t="s">
        <v>56</v>
      </c>
      <c r="E410" s="21" t="s">
        <v>38</v>
      </c>
      <c r="F410" s="21">
        <v>9515412075</v>
      </c>
      <c r="G410" s="15" t="s">
        <v>6</v>
      </c>
      <c r="H410" s="15" t="s">
        <v>1584</v>
      </c>
      <c r="I410" s="15" t="s">
        <v>1585</v>
      </c>
      <c r="J410" s="15" t="s">
        <v>59</v>
      </c>
      <c r="K410" s="16">
        <v>45880</v>
      </c>
      <c r="L410" s="16">
        <v>51340</v>
      </c>
      <c r="M410" s="17">
        <f>Table1[[#This Row],[Billing Rate Charges]]-Table1[[#This Row],[ LORRY RATE ]]</f>
        <v>5460</v>
      </c>
      <c r="N410" s="17">
        <v>45880</v>
      </c>
      <c r="O410" s="17">
        <f>Table1[[#This Row],[ LORRY RATE ]]-Table1[[#This Row],[Adance Paid (INR)]]</f>
        <v>0</v>
      </c>
      <c r="P410" s="17" t="s">
        <v>147</v>
      </c>
      <c r="Q410" s="18" t="s">
        <v>1627</v>
      </c>
      <c r="R410" s="17"/>
      <c r="S410" s="18" t="s">
        <v>1687</v>
      </c>
      <c r="T410" s="18" t="s">
        <v>1687</v>
      </c>
      <c r="U410" s="15" t="s">
        <v>54</v>
      </c>
      <c r="V410" s="15" t="s">
        <v>56</v>
      </c>
      <c r="W410" s="15"/>
    </row>
    <row r="411" spans="1:23" hidden="1" x14ac:dyDescent="0.3">
      <c r="A411" s="15">
        <v>406</v>
      </c>
      <c r="B411" s="15" t="s">
        <v>1538</v>
      </c>
      <c r="C411" s="19">
        <v>45721</v>
      </c>
      <c r="D411" s="19" t="s">
        <v>51</v>
      </c>
      <c r="E411" s="21" t="s">
        <v>1550</v>
      </c>
      <c r="F411" s="21">
        <v>9651106045</v>
      </c>
      <c r="G411" s="15" t="s">
        <v>1093</v>
      </c>
      <c r="H411" s="15" t="s">
        <v>26</v>
      </c>
      <c r="I411" s="15" t="s">
        <v>1604</v>
      </c>
      <c r="J411" s="15" t="s">
        <v>7</v>
      </c>
      <c r="K411" s="16">
        <v>70690</v>
      </c>
      <c r="L411" s="16">
        <v>96390</v>
      </c>
      <c r="M411" s="17">
        <f>Table1[[#This Row],[Billing Rate Charges]]-Table1[[#This Row],[ LORRY RATE ]]</f>
        <v>25700</v>
      </c>
      <c r="N411" s="17">
        <v>70690</v>
      </c>
      <c r="O411" s="17">
        <f>Table1[[#This Row],[ LORRY RATE ]]-Table1[[#This Row],[Adance Paid (INR)]]</f>
        <v>0</v>
      </c>
      <c r="P411" s="17" t="s">
        <v>147</v>
      </c>
      <c r="Q411" s="18" t="s">
        <v>1628</v>
      </c>
      <c r="R411" s="17"/>
      <c r="S411" s="18" t="s">
        <v>1686</v>
      </c>
      <c r="T411" s="18" t="s">
        <v>1686</v>
      </c>
      <c r="U411" s="15" t="s">
        <v>54</v>
      </c>
      <c r="V411" s="15" t="s">
        <v>1551</v>
      </c>
      <c r="W411" s="15"/>
    </row>
    <row r="412" spans="1:23" hidden="1" x14ac:dyDescent="0.3">
      <c r="A412" s="15">
        <v>407</v>
      </c>
      <c r="B412" s="15" t="s">
        <v>1538</v>
      </c>
      <c r="C412" s="19">
        <v>45722</v>
      </c>
      <c r="D412" s="19" t="s">
        <v>51</v>
      </c>
      <c r="E412" s="21" t="s">
        <v>795</v>
      </c>
      <c r="F412" s="21">
        <v>9973550893</v>
      </c>
      <c r="G412" s="15" t="s">
        <v>6</v>
      </c>
      <c r="H412" s="15" t="s">
        <v>1588</v>
      </c>
      <c r="I412" s="15" t="s">
        <v>1587</v>
      </c>
      <c r="J412" s="15" t="s">
        <v>59</v>
      </c>
      <c r="K412" s="16">
        <v>29250</v>
      </c>
      <c r="L412" s="16">
        <v>45040</v>
      </c>
      <c r="M412" s="17">
        <f>Table1[[#This Row],[Billing Rate Charges]]-Table1[[#This Row],[ LORRY RATE ]]</f>
        <v>15790</v>
      </c>
      <c r="N412" s="17">
        <v>29250</v>
      </c>
      <c r="O412" s="17">
        <f>Table1[[#This Row],[ LORRY RATE ]]-Table1[[#This Row],[Adance Paid (INR)]]</f>
        <v>0</v>
      </c>
      <c r="P412" s="17" t="s">
        <v>147</v>
      </c>
      <c r="Q412" s="18" t="s">
        <v>1612</v>
      </c>
      <c r="R412" s="17"/>
      <c r="S412" s="18" t="s">
        <v>1687</v>
      </c>
      <c r="T412" s="18" t="s">
        <v>1687</v>
      </c>
      <c r="U412" s="15" t="s">
        <v>54</v>
      </c>
      <c r="V412" s="15" t="s">
        <v>1551</v>
      </c>
      <c r="W412" s="15"/>
    </row>
    <row r="413" spans="1:23" hidden="1" x14ac:dyDescent="0.3">
      <c r="A413" s="15">
        <v>408</v>
      </c>
      <c r="B413" s="15" t="s">
        <v>1538</v>
      </c>
      <c r="C413" s="19">
        <v>45722</v>
      </c>
      <c r="D413" s="19" t="s">
        <v>51</v>
      </c>
      <c r="E413" s="21" t="s">
        <v>1559</v>
      </c>
      <c r="F413" s="21">
        <v>9717182270</v>
      </c>
      <c r="G413" s="15" t="s">
        <v>6</v>
      </c>
      <c r="H413" s="15" t="s">
        <v>26</v>
      </c>
      <c r="I413" s="15" t="s">
        <v>1586</v>
      </c>
      <c r="J413" s="15" t="s">
        <v>7</v>
      </c>
      <c r="K413" s="16">
        <v>31750</v>
      </c>
      <c r="L413" s="16">
        <v>40320</v>
      </c>
      <c r="M413" s="17">
        <f>Table1[[#This Row],[Billing Rate Charges]]-Table1[[#This Row],[ LORRY RATE ]]</f>
        <v>8570</v>
      </c>
      <c r="N413" s="17">
        <v>31750</v>
      </c>
      <c r="O413" s="17">
        <f>Table1[[#This Row],[ LORRY RATE ]]-Table1[[#This Row],[Adance Paid (INR)]]</f>
        <v>0</v>
      </c>
      <c r="P413" s="17" t="s">
        <v>147</v>
      </c>
      <c r="Q413" s="18" t="s">
        <v>1629</v>
      </c>
      <c r="R413" s="17"/>
      <c r="S413" s="18" t="s">
        <v>1687</v>
      </c>
      <c r="T413" s="18" t="s">
        <v>1687</v>
      </c>
      <c r="U413" s="15" t="s">
        <v>54</v>
      </c>
      <c r="V413" s="15" t="s">
        <v>529</v>
      </c>
      <c r="W413" s="15"/>
    </row>
    <row r="414" spans="1:23" hidden="1" x14ac:dyDescent="0.3">
      <c r="A414" s="15">
        <v>409</v>
      </c>
      <c r="B414" s="15" t="s">
        <v>1538</v>
      </c>
      <c r="C414" s="19">
        <v>45722</v>
      </c>
      <c r="D414" s="19" t="s">
        <v>56</v>
      </c>
      <c r="E414" s="21" t="s">
        <v>60</v>
      </c>
      <c r="F414" s="21">
        <v>9589264337</v>
      </c>
      <c r="G414" s="15" t="s">
        <v>1093</v>
      </c>
      <c r="H414" s="15" t="s">
        <v>1631</v>
      </c>
      <c r="I414" s="15" t="s">
        <v>1630</v>
      </c>
      <c r="J414" s="15" t="s">
        <v>7</v>
      </c>
      <c r="K414" s="16">
        <v>53580</v>
      </c>
      <c r="L414" s="16">
        <v>102690</v>
      </c>
      <c r="M414" s="17">
        <f>Table1[[#This Row],[Billing Rate Charges]]-Table1[[#This Row],[ LORRY RATE ]]</f>
        <v>49110</v>
      </c>
      <c r="N414" s="17">
        <v>53580</v>
      </c>
      <c r="O414" s="17">
        <f>Table1[[#This Row],[ LORRY RATE ]]-Table1[[#This Row],[Adance Paid (INR)]]</f>
        <v>0</v>
      </c>
      <c r="P414" s="17" t="s">
        <v>147</v>
      </c>
      <c r="Q414" s="18" t="s">
        <v>1632</v>
      </c>
      <c r="R414" s="17"/>
      <c r="S414" s="18" t="s">
        <v>1691</v>
      </c>
      <c r="T414" s="18" t="s">
        <v>1691</v>
      </c>
      <c r="U414" s="15" t="s">
        <v>54</v>
      </c>
      <c r="V414" s="15" t="s">
        <v>56</v>
      </c>
      <c r="W414" s="15"/>
    </row>
    <row r="415" spans="1:23" hidden="1" x14ac:dyDescent="0.3">
      <c r="A415" s="15">
        <v>410</v>
      </c>
      <c r="B415" s="15" t="s">
        <v>1538</v>
      </c>
      <c r="C415" s="19">
        <v>45723</v>
      </c>
      <c r="D415" s="19" t="s">
        <v>51</v>
      </c>
      <c r="E415" s="21" t="s">
        <v>980</v>
      </c>
      <c r="F415" s="21">
        <v>9235279810</v>
      </c>
      <c r="G415" s="15" t="s">
        <v>6</v>
      </c>
      <c r="H415" s="15" t="s">
        <v>1589</v>
      </c>
      <c r="I415" s="15" t="s">
        <v>1590</v>
      </c>
      <c r="J415" s="15" t="s">
        <v>7</v>
      </c>
      <c r="K415" s="16">
        <v>34710</v>
      </c>
      <c r="L415" s="16">
        <v>52920</v>
      </c>
      <c r="M415" s="17">
        <f>Table1[[#This Row],[Billing Rate Charges]]-Table1[[#This Row],[ LORRY RATE ]]</f>
        <v>18210</v>
      </c>
      <c r="N415" s="17">
        <v>34710</v>
      </c>
      <c r="O415" s="17">
        <f>Table1[[#This Row],[ LORRY RATE ]]-Table1[[#This Row],[Adance Paid (INR)]]</f>
        <v>0</v>
      </c>
      <c r="P415" s="17" t="s">
        <v>147</v>
      </c>
      <c r="Q415" s="18" t="s">
        <v>1633</v>
      </c>
      <c r="R415" s="17"/>
      <c r="S415" s="18" t="s">
        <v>1691</v>
      </c>
      <c r="T415" s="18" t="s">
        <v>1691</v>
      </c>
      <c r="U415" s="15" t="s">
        <v>54</v>
      </c>
      <c r="V415" s="15" t="s">
        <v>439</v>
      </c>
      <c r="W415" s="15"/>
    </row>
    <row r="416" spans="1:23" hidden="1" x14ac:dyDescent="0.3">
      <c r="A416" s="15">
        <v>411</v>
      </c>
      <c r="B416" s="15" t="s">
        <v>1538</v>
      </c>
      <c r="C416" s="19">
        <v>45723</v>
      </c>
      <c r="D416" s="19" t="s">
        <v>51</v>
      </c>
      <c r="E416" s="21" t="s">
        <v>547</v>
      </c>
      <c r="F416" s="21">
        <v>9674193351</v>
      </c>
      <c r="G416" s="15" t="s">
        <v>1093</v>
      </c>
      <c r="H416" s="15" t="s">
        <v>26</v>
      </c>
      <c r="I416" s="15" t="s">
        <v>1645</v>
      </c>
      <c r="J416" s="15" t="s">
        <v>168</v>
      </c>
      <c r="K416" s="16">
        <v>50210</v>
      </c>
      <c r="L416" s="16">
        <v>59850</v>
      </c>
      <c r="M416" s="17">
        <f>Table1[[#This Row],[Billing Rate Charges]]-Table1[[#This Row],[ LORRY RATE ]]</f>
        <v>9640</v>
      </c>
      <c r="N416" s="17">
        <v>50210</v>
      </c>
      <c r="O416" s="17">
        <f>Table1[[#This Row],[ LORRY RATE ]]-Table1[[#This Row],[Adance Paid (INR)]]</f>
        <v>0</v>
      </c>
      <c r="P416" s="17" t="s">
        <v>147</v>
      </c>
      <c r="Q416" s="18" t="s">
        <v>1708</v>
      </c>
      <c r="R416" s="17"/>
      <c r="S416" s="18" t="s">
        <v>1691</v>
      </c>
      <c r="T416" s="18" t="s">
        <v>1691</v>
      </c>
      <c r="U416" s="15" t="s">
        <v>54</v>
      </c>
      <c r="V416" s="15" t="s">
        <v>439</v>
      </c>
      <c r="W416" s="15"/>
    </row>
    <row r="417" spans="1:23" hidden="1" x14ac:dyDescent="0.3">
      <c r="A417" s="15">
        <v>412</v>
      </c>
      <c r="B417" s="15" t="s">
        <v>1538</v>
      </c>
      <c r="C417" s="19">
        <v>45724</v>
      </c>
      <c r="D417" s="19" t="s">
        <v>51</v>
      </c>
      <c r="E417" s="21" t="s">
        <v>435</v>
      </c>
      <c r="F417" s="21">
        <v>9654538123</v>
      </c>
      <c r="G417" s="15" t="s">
        <v>6</v>
      </c>
      <c r="H417" s="15" t="s">
        <v>1646</v>
      </c>
      <c r="I417" s="15" t="s">
        <v>1647</v>
      </c>
      <c r="J417" s="15" t="s">
        <v>168</v>
      </c>
      <c r="K417" s="16">
        <v>26630</v>
      </c>
      <c r="L417" s="16">
        <v>41900</v>
      </c>
      <c r="M417" s="17">
        <f>Table1[[#This Row],[Billing Rate Charges]]-Table1[[#This Row],[ LORRY RATE ]]</f>
        <v>15270</v>
      </c>
      <c r="N417" s="17">
        <v>26630</v>
      </c>
      <c r="O417" s="17">
        <f>Table1[[#This Row],[ LORRY RATE ]]-Table1[[#This Row],[Adance Paid (INR)]]</f>
        <v>0</v>
      </c>
      <c r="P417" s="17" t="s">
        <v>147</v>
      </c>
      <c r="Q417" s="18" t="s">
        <v>1709</v>
      </c>
      <c r="R417" s="17"/>
      <c r="S417" s="18" t="s">
        <v>1689</v>
      </c>
      <c r="T417" s="18" t="s">
        <v>1689</v>
      </c>
      <c r="U417" s="15" t="s">
        <v>54</v>
      </c>
      <c r="V417" s="15" t="s">
        <v>439</v>
      </c>
      <c r="W417" s="15"/>
    </row>
    <row r="418" spans="1:23" hidden="1" x14ac:dyDescent="0.3">
      <c r="A418" s="15">
        <v>413</v>
      </c>
      <c r="B418" s="15" t="s">
        <v>1538</v>
      </c>
      <c r="C418" s="19">
        <v>45727</v>
      </c>
      <c r="D418" s="19" t="s">
        <v>51</v>
      </c>
      <c r="E418" s="21" t="s">
        <v>1634</v>
      </c>
      <c r="F418" s="21">
        <v>9521881687</v>
      </c>
      <c r="G418" s="15" t="s">
        <v>6</v>
      </c>
      <c r="H418" s="15" t="s">
        <v>26</v>
      </c>
      <c r="I418" s="15" t="s">
        <v>1648</v>
      </c>
      <c r="J418" s="15" t="s">
        <v>7</v>
      </c>
      <c r="K418" s="16">
        <v>32290</v>
      </c>
      <c r="L418" s="16">
        <v>40320</v>
      </c>
      <c r="M418" s="17">
        <f>Table1[[#This Row],[Billing Rate Charges]]-Table1[[#This Row],[ LORRY RATE ]]</f>
        <v>8030</v>
      </c>
      <c r="N418" s="17">
        <v>32290</v>
      </c>
      <c r="O418" s="17">
        <f>Table1[[#This Row],[ LORRY RATE ]]-Table1[[#This Row],[Adance Paid (INR)]]</f>
        <v>0</v>
      </c>
      <c r="P418" s="17" t="s">
        <v>147</v>
      </c>
      <c r="Q418" s="18" t="s">
        <v>1710</v>
      </c>
      <c r="R418" s="17"/>
      <c r="S418" s="18" t="s">
        <v>1694</v>
      </c>
      <c r="T418" s="18" t="s">
        <v>1694</v>
      </c>
      <c r="U418" s="15" t="s">
        <v>54</v>
      </c>
      <c r="V418" s="15" t="s">
        <v>529</v>
      </c>
      <c r="W418" s="15"/>
    </row>
    <row r="419" spans="1:23" hidden="1" x14ac:dyDescent="0.3">
      <c r="A419" s="15">
        <v>414</v>
      </c>
      <c r="B419" s="15" t="s">
        <v>1538</v>
      </c>
      <c r="C419" s="19">
        <v>45727</v>
      </c>
      <c r="D419" s="19" t="s">
        <v>51</v>
      </c>
      <c r="E419" s="21" t="s">
        <v>878</v>
      </c>
      <c r="F419" s="21">
        <v>9709943303</v>
      </c>
      <c r="G419" s="15" t="s">
        <v>6</v>
      </c>
      <c r="H419" s="15" t="s">
        <v>1649</v>
      </c>
      <c r="I419" s="15" t="s">
        <v>1650</v>
      </c>
      <c r="J419" s="15" t="s">
        <v>623</v>
      </c>
      <c r="K419" s="16">
        <v>28110</v>
      </c>
      <c r="L419" s="16">
        <v>48200</v>
      </c>
      <c r="M419" s="17">
        <f>Table1[[#This Row],[Billing Rate Charges]]-Table1[[#This Row],[ LORRY RATE ]]</f>
        <v>20090</v>
      </c>
      <c r="N419" s="17">
        <v>28110</v>
      </c>
      <c r="O419" s="17">
        <f>Table1[[#This Row],[ LORRY RATE ]]-Table1[[#This Row],[Adance Paid (INR)]]</f>
        <v>0</v>
      </c>
      <c r="P419" s="17" t="s">
        <v>147</v>
      </c>
      <c r="Q419" s="18" t="s">
        <v>1711</v>
      </c>
      <c r="R419" s="17"/>
      <c r="S419" s="18" t="s">
        <v>1694</v>
      </c>
      <c r="T419" s="18" t="s">
        <v>1694</v>
      </c>
      <c r="U419" s="15" t="s">
        <v>54</v>
      </c>
      <c r="V419" s="15" t="s">
        <v>1551</v>
      </c>
      <c r="W419" s="15"/>
    </row>
    <row r="420" spans="1:23" hidden="1" x14ac:dyDescent="0.3">
      <c r="A420" s="15">
        <v>415</v>
      </c>
      <c r="B420" s="15" t="s">
        <v>1538</v>
      </c>
      <c r="C420" s="19">
        <v>45727</v>
      </c>
      <c r="D420" s="19" t="s">
        <v>56</v>
      </c>
      <c r="E420" s="21" t="s">
        <v>60</v>
      </c>
      <c r="F420" s="21">
        <v>9589264337</v>
      </c>
      <c r="G420" s="15" t="s">
        <v>6</v>
      </c>
      <c r="H420" s="15" t="s">
        <v>1651</v>
      </c>
      <c r="I420" s="15" t="s">
        <v>1652</v>
      </c>
      <c r="J420" s="15" t="s">
        <v>7</v>
      </c>
      <c r="K420" s="16">
        <v>45170</v>
      </c>
      <c r="L420" s="16">
        <v>46620</v>
      </c>
      <c r="M420" s="17">
        <f>Table1[[#This Row],[Billing Rate Charges]]-Table1[[#This Row],[ LORRY RATE ]]</f>
        <v>1450</v>
      </c>
      <c r="N420" s="17">
        <v>45170</v>
      </c>
      <c r="O420" s="17">
        <f>Table1[[#This Row],[ LORRY RATE ]]-Table1[[#This Row],[Adance Paid (INR)]]</f>
        <v>0</v>
      </c>
      <c r="P420" s="17" t="s">
        <v>147</v>
      </c>
      <c r="Q420" s="18" t="s">
        <v>1712</v>
      </c>
      <c r="R420" s="17"/>
      <c r="S420" s="18" t="s">
        <v>1695</v>
      </c>
      <c r="T420" s="18" t="s">
        <v>1695</v>
      </c>
      <c r="U420" s="15" t="s">
        <v>54</v>
      </c>
      <c r="V420" s="15" t="s">
        <v>56</v>
      </c>
      <c r="W420" s="15"/>
    </row>
    <row r="421" spans="1:23" hidden="1" x14ac:dyDescent="0.3">
      <c r="A421" s="15">
        <v>416</v>
      </c>
      <c r="B421" s="15" t="s">
        <v>1538</v>
      </c>
      <c r="C421" s="22">
        <v>45727</v>
      </c>
      <c r="D421" s="19" t="s">
        <v>56</v>
      </c>
      <c r="E421" s="21" t="s">
        <v>38</v>
      </c>
      <c r="F421" s="21">
        <v>9515412075</v>
      </c>
      <c r="G421" s="15" t="s">
        <v>105</v>
      </c>
      <c r="H421" s="15" t="s">
        <v>26</v>
      </c>
      <c r="I421" s="15" t="s">
        <v>1683</v>
      </c>
      <c r="J421" s="15" t="s">
        <v>25</v>
      </c>
      <c r="K421" s="16">
        <v>51880</v>
      </c>
      <c r="L421" s="16">
        <v>91350</v>
      </c>
      <c r="M421" s="17">
        <f>Table1[[#This Row],[Billing Rate Charges]]-Table1[[#This Row],[ LORRY RATE ]]</f>
        <v>39470</v>
      </c>
      <c r="N421" s="17">
        <v>51880</v>
      </c>
      <c r="O421" s="17">
        <f>Table1[[#This Row],[ LORRY RATE ]]-Table1[[#This Row],[Adance Paid (INR)]]</f>
        <v>0</v>
      </c>
      <c r="P421" s="17" t="s">
        <v>147</v>
      </c>
      <c r="Q421" s="18" t="s">
        <v>1713</v>
      </c>
      <c r="R421" s="17"/>
      <c r="S421" s="18" t="s">
        <v>1694</v>
      </c>
      <c r="T421" s="18" t="s">
        <v>1694</v>
      </c>
      <c r="U421" s="15" t="s">
        <v>54</v>
      </c>
      <c r="V421" s="15" t="s">
        <v>56</v>
      </c>
      <c r="W421" s="15"/>
    </row>
    <row r="422" spans="1:23" hidden="1" x14ac:dyDescent="0.3">
      <c r="A422" s="15">
        <v>417</v>
      </c>
      <c r="B422" s="15" t="s">
        <v>1538</v>
      </c>
      <c r="C422" s="19">
        <v>45728</v>
      </c>
      <c r="D422" s="19" t="s">
        <v>51</v>
      </c>
      <c r="E422" s="21" t="s">
        <v>1448</v>
      </c>
      <c r="F422" s="21">
        <v>9108592771</v>
      </c>
      <c r="G422" s="15" t="s">
        <v>6</v>
      </c>
      <c r="H422" s="15" t="s">
        <v>1653</v>
      </c>
      <c r="I422" s="15" t="s">
        <v>1654</v>
      </c>
      <c r="J422" s="15" t="s">
        <v>7</v>
      </c>
      <c r="K422" s="16">
        <v>33770</v>
      </c>
      <c r="L422" s="16">
        <v>46620</v>
      </c>
      <c r="M422" s="17">
        <f>Table1[[#This Row],[Billing Rate Charges]]-Table1[[#This Row],[ LORRY RATE ]]</f>
        <v>12850</v>
      </c>
      <c r="N422" s="17">
        <v>33770</v>
      </c>
      <c r="O422" s="17">
        <f>Table1[[#This Row],[ LORRY RATE ]]-Table1[[#This Row],[Adance Paid (INR)]]</f>
        <v>0</v>
      </c>
      <c r="P422" s="17" t="s">
        <v>147</v>
      </c>
      <c r="Q422" s="18" t="s">
        <v>1714</v>
      </c>
      <c r="R422" s="17"/>
      <c r="S422" s="18" t="s">
        <v>1695</v>
      </c>
      <c r="T422" s="18" t="s">
        <v>1695</v>
      </c>
      <c r="U422" s="15" t="s">
        <v>54</v>
      </c>
      <c r="V422" s="15" t="s">
        <v>439</v>
      </c>
      <c r="W422" s="15"/>
    </row>
    <row r="423" spans="1:23" hidden="1" x14ac:dyDescent="0.3">
      <c r="A423" s="15">
        <v>418</v>
      </c>
      <c r="B423" s="15" t="s">
        <v>1538</v>
      </c>
      <c r="C423" s="19">
        <v>45729</v>
      </c>
      <c r="D423" s="19" t="s">
        <v>56</v>
      </c>
      <c r="E423" s="21" t="s">
        <v>1635</v>
      </c>
      <c r="F423" s="21">
        <v>9472230553</v>
      </c>
      <c r="G423" s="15" t="s">
        <v>6</v>
      </c>
      <c r="H423" s="15" t="s">
        <v>1655</v>
      </c>
      <c r="I423" s="15" t="s">
        <v>1656</v>
      </c>
      <c r="J423" s="15" t="s">
        <v>7</v>
      </c>
      <c r="K423" s="16">
        <v>46110</v>
      </c>
      <c r="L423" s="16">
        <v>52920</v>
      </c>
      <c r="M423" s="17">
        <f>Table1[[#This Row],[Billing Rate Charges]]-Table1[[#This Row],[ LORRY RATE ]]</f>
        <v>6810</v>
      </c>
      <c r="N423" s="17">
        <v>46110</v>
      </c>
      <c r="O423" s="17">
        <f>Table1[[#This Row],[ LORRY RATE ]]-Table1[[#This Row],[Adance Paid (INR)]]</f>
        <v>0</v>
      </c>
      <c r="P423" s="17" t="s">
        <v>147</v>
      </c>
      <c r="Q423" s="18" t="s">
        <v>1715</v>
      </c>
      <c r="R423" s="17"/>
      <c r="S423" s="18" t="s">
        <v>1696</v>
      </c>
      <c r="T423" s="18" t="s">
        <v>1696</v>
      </c>
      <c r="U423" s="15" t="s">
        <v>54</v>
      </c>
      <c r="V423" s="15" t="s">
        <v>56</v>
      </c>
      <c r="W423" s="15"/>
    </row>
    <row r="424" spans="1:23" hidden="1" x14ac:dyDescent="0.3">
      <c r="A424" s="15">
        <v>419</v>
      </c>
      <c r="B424" s="15" t="s">
        <v>1538</v>
      </c>
      <c r="C424" s="19">
        <v>45730</v>
      </c>
      <c r="D424" s="19" t="s">
        <v>51</v>
      </c>
      <c r="E424" s="21" t="s">
        <v>1636</v>
      </c>
      <c r="F424" s="21">
        <v>9909957772</v>
      </c>
      <c r="G424" s="15" t="s">
        <v>1093</v>
      </c>
      <c r="H424" s="15" t="s">
        <v>26</v>
      </c>
      <c r="I424" s="15" t="s">
        <v>1657</v>
      </c>
      <c r="J424" s="15" t="s">
        <v>7</v>
      </c>
      <c r="K424" s="16">
        <v>66940</v>
      </c>
      <c r="L424" s="16">
        <v>96390</v>
      </c>
      <c r="M424" s="17">
        <f>Table1[[#This Row],[Billing Rate Charges]]-Table1[[#This Row],[ LORRY RATE ]]</f>
        <v>29450</v>
      </c>
      <c r="N424" s="17">
        <v>66940</v>
      </c>
      <c r="O424" s="17">
        <f>Table1[[#This Row],[ LORRY RATE ]]-Table1[[#This Row],[Adance Paid (INR)]]</f>
        <v>0</v>
      </c>
      <c r="P424" s="17" t="s">
        <v>147</v>
      </c>
      <c r="Q424" s="18" t="s">
        <v>1716</v>
      </c>
      <c r="R424" s="17"/>
      <c r="S424" s="18" t="s">
        <v>1688</v>
      </c>
      <c r="T424" s="18" t="s">
        <v>1688</v>
      </c>
      <c r="U424" s="15" t="s">
        <v>54</v>
      </c>
      <c r="V424" s="15" t="s">
        <v>1551</v>
      </c>
      <c r="W424" s="15"/>
    </row>
    <row r="425" spans="1:23" hidden="1" x14ac:dyDescent="0.3">
      <c r="A425" s="15">
        <v>420</v>
      </c>
      <c r="B425" s="15" t="s">
        <v>1538</v>
      </c>
      <c r="C425" s="19">
        <v>45733</v>
      </c>
      <c r="D425" s="19" t="s">
        <v>56</v>
      </c>
      <c r="E425" s="21" t="s">
        <v>60</v>
      </c>
      <c r="F425" s="21">
        <v>9589264337</v>
      </c>
      <c r="G425" s="15" t="s">
        <v>1093</v>
      </c>
      <c r="H425" s="15" t="s">
        <v>26</v>
      </c>
      <c r="I425" s="15" t="s">
        <v>1706</v>
      </c>
      <c r="J425" s="15" t="s">
        <v>7</v>
      </c>
      <c r="K425" s="16">
        <v>52630</v>
      </c>
      <c r="L425" s="16">
        <v>96390</v>
      </c>
      <c r="M425" s="17">
        <f>Table1[[#This Row],[Billing Rate Charges]]-Table1[[#This Row],[ LORRY RATE ]]</f>
        <v>43760</v>
      </c>
      <c r="N425" s="17">
        <v>52630</v>
      </c>
      <c r="O425" s="17">
        <f>Table1[[#This Row],[ LORRY RATE ]]-Table1[[#This Row],[Adance Paid (INR)]]</f>
        <v>0</v>
      </c>
      <c r="P425" s="17" t="s">
        <v>147</v>
      </c>
      <c r="Q425" s="18" t="s">
        <v>1717</v>
      </c>
      <c r="R425" s="17"/>
      <c r="S425" s="18" t="s">
        <v>1563</v>
      </c>
      <c r="T425" s="18" t="s">
        <v>1563</v>
      </c>
      <c r="U425" s="15" t="s">
        <v>54</v>
      </c>
      <c r="V425" s="15" t="s">
        <v>56</v>
      </c>
      <c r="W425" s="15"/>
    </row>
    <row r="426" spans="1:23" hidden="1" x14ac:dyDescent="0.3">
      <c r="A426" s="15">
        <v>421</v>
      </c>
      <c r="B426" s="15" t="s">
        <v>1538</v>
      </c>
      <c r="C426" s="19">
        <v>45734</v>
      </c>
      <c r="D426" s="19" t="s">
        <v>56</v>
      </c>
      <c r="E426" s="21" t="s">
        <v>1635</v>
      </c>
      <c r="F426" s="21">
        <v>9472230553</v>
      </c>
      <c r="G426" s="15" t="s">
        <v>1093</v>
      </c>
      <c r="H426" s="15" t="s">
        <v>26</v>
      </c>
      <c r="I426" s="15" t="s">
        <v>1702</v>
      </c>
      <c r="J426" s="15" t="s">
        <v>7</v>
      </c>
      <c r="K426" s="16">
        <v>52630</v>
      </c>
      <c r="L426" s="16">
        <v>96390</v>
      </c>
      <c r="M426" s="17">
        <f>Table1[[#This Row],[Billing Rate Charges]]-Table1[[#This Row],[ LORRY RATE ]]</f>
        <v>43760</v>
      </c>
      <c r="N426" s="17">
        <v>52630</v>
      </c>
      <c r="O426" s="17">
        <f>Table1[[#This Row],[ LORRY RATE ]]-Table1[[#This Row],[Adance Paid (INR)]]</f>
        <v>0</v>
      </c>
      <c r="P426" s="17" t="s">
        <v>147</v>
      </c>
      <c r="Q426" s="18" t="s">
        <v>1718</v>
      </c>
      <c r="R426" s="17"/>
      <c r="S426" s="18" t="s">
        <v>1564</v>
      </c>
      <c r="T426" s="18" t="s">
        <v>1564</v>
      </c>
      <c r="U426" s="15" t="s">
        <v>54</v>
      </c>
      <c r="V426" s="15" t="s">
        <v>56</v>
      </c>
      <c r="W426" s="15"/>
    </row>
    <row r="427" spans="1:23" hidden="1" x14ac:dyDescent="0.3">
      <c r="A427" s="15">
        <v>422</v>
      </c>
      <c r="B427" s="15" t="s">
        <v>1538</v>
      </c>
      <c r="C427" s="19">
        <v>45734</v>
      </c>
      <c r="D427" s="19" t="s">
        <v>56</v>
      </c>
      <c r="E427" s="21" t="s">
        <v>1637</v>
      </c>
      <c r="F427" s="21">
        <v>9025368773</v>
      </c>
      <c r="G427" s="15" t="s">
        <v>6</v>
      </c>
      <c r="H427" s="15" t="s">
        <v>1658</v>
      </c>
      <c r="I427" s="15" t="s">
        <v>1659</v>
      </c>
      <c r="J427" s="15" t="s">
        <v>7</v>
      </c>
      <c r="K427" s="16">
        <v>45170</v>
      </c>
      <c r="L427" s="16">
        <v>46620</v>
      </c>
      <c r="M427" s="17">
        <f>Table1[[#This Row],[Billing Rate Charges]]-Table1[[#This Row],[ LORRY RATE ]]</f>
        <v>1450</v>
      </c>
      <c r="N427" s="17">
        <v>45170</v>
      </c>
      <c r="O427" s="17">
        <f>Table1[[#This Row],[ LORRY RATE ]]-Table1[[#This Row],[Adance Paid (INR)]]</f>
        <v>0</v>
      </c>
      <c r="P427" s="17" t="s">
        <v>147</v>
      </c>
      <c r="Q427" s="18" t="s">
        <v>1719</v>
      </c>
      <c r="R427" s="17"/>
      <c r="S427" s="18" t="s">
        <v>1564</v>
      </c>
      <c r="T427" s="18" t="s">
        <v>1564</v>
      </c>
      <c r="U427" s="15" t="s">
        <v>54</v>
      </c>
      <c r="V427" s="15" t="s">
        <v>56</v>
      </c>
      <c r="W427" s="15"/>
    </row>
    <row r="428" spans="1:23" hidden="1" x14ac:dyDescent="0.3">
      <c r="A428" s="15">
        <v>423</v>
      </c>
      <c r="B428" s="15" t="s">
        <v>1538</v>
      </c>
      <c r="C428" s="19">
        <v>45735</v>
      </c>
      <c r="D428" s="19" t="s">
        <v>56</v>
      </c>
      <c r="E428" s="21" t="s">
        <v>38</v>
      </c>
      <c r="F428" s="21">
        <v>9515412075</v>
      </c>
      <c r="G428" s="15" t="s">
        <v>6</v>
      </c>
      <c r="H428" s="15" t="s">
        <v>1660</v>
      </c>
      <c r="I428" s="15" t="s">
        <v>1661</v>
      </c>
      <c r="J428" s="15" t="s">
        <v>59</v>
      </c>
      <c r="K428" s="16">
        <v>44930</v>
      </c>
      <c r="L428" s="16">
        <v>45040</v>
      </c>
      <c r="M428" s="17">
        <f>Table1[[#This Row],[Billing Rate Charges]]-Table1[[#This Row],[ LORRY RATE ]]</f>
        <v>110</v>
      </c>
      <c r="N428" s="17">
        <v>44930</v>
      </c>
      <c r="O428" s="17">
        <f>Table1[[#This Row],[ LORRY RATE ]]-Table1[[#This Row],[Adance Paid (INR)]]</f>
        <v>0</v>
      </c>
      <c r="P428" s="17" t="s">
        <v>147</v>
      </c>
      <c r="Q428" s="18" t="s">
        <v>1720</v>
      </c>
      <c r="R428" s="17"/>
      <c r="S428" s="18" t="s">
        <v>1693</v>
      </c>
      <c r="T428" s="18" t="s">
        <v>1693</v>
      </c>
      <c r="U428" s="15" t="s">
        <v>54</v>
      </c>
      <c r="V428" s="15" t="s">
        <v>56</v>
      </c>
      <c r="W428" s="15"/>
    </row>
    <row r="429" spans="1:23" hidden="1" x14ac:dyDescent="0.3">
      <c r="A429" s="15">
        <v>424</v>
      </c>
      <c r="B429" s="15" t="s">
        <v>1538</v>
      </c>
      <c r="C429" s="19">
        <v>45735</v>
      </c>
      <c r="D429" s="19" t="s">
        <v>51</v>
      </c>
      <c r="E429" s="21" t="s">
        <v>1638</v>
      </c>
      <c r="F429" s="21">
        <v>9715948483</v>
      </c>
      <c r="G429" s="15" t="s">
        <v>6</v>
      </c>
      <c r="H429" s="15" t="s">
        <v>26</v>
      </c>
      <c r="I429" s="15" t="s">
        <v>1662</v>
      </c>
      <c r="J429" s="15" t="s">
        <v>7</v>
      </c>
      <c r="K429" s="16">
        <v>32290</v>
      </c>
      <c r="L429" s="16">
        <v>40320</v>
      </c>
      <c r="M429" s="17">
        <f>Table1[[#This Row],[Billing Rate Charges]]-Table1[[#This Row],[ LORRY RATE ]]</f>
        <v>8030</v>
      </c>
      <c r="N429" s="17">
        <v>32290</v>
      </c>
      <c r="O429" s="17">
        <f>Table1[[#This Row],[ LORRY RATE ]]-Table1[[#This Row],[Adance Paid (INR)]]</f>
        <v>0</v>
      </c>
      <c r="P429" s="17" t="s">
        <v>147</v>
      </c>
      <c r="Q429" s="18" t="s">
        <v>1721</v>
      </c>
      <c r="R429" s="17"/>
      <c r="S429" s="18" t="s">
        <v>1693</v>
      </c>
      <c r="T429" s="18" t="s">
        <v>1693</v>
      </c>
      <c r="U429" s="15" t="s">
        <v>54</v>
      </c>
      <c r="V429" s="15" t="s">
        <v>529</v>
      </c>
      <c r="W429" s="15"/>
    </row>
    <row r="430" spans="1:23" hidden="1" x14ac:dyDescent="0.3">
      <c r="A430" s="15">
        <v>425</v>
      </c>
      <c r="B430" s="15" t="s">
        <v>1538</v>
      </c>
      <c r="C430" s="19">
        <v>45736</v>
      </c>
      <c r="D430" s="19" t="s">
        <v>56</v>
      </c>
      <c r="E430" s="21" t="s">
        <v>60</v>
      </c>
      <c r="F430" s="21">
        <v>9589264337</v>
      </c>
      <c r="G430" s="15" t="s">
        <v>6</v>
      </c>
      <c r="H430" s="15" t="s">
        <v>1663</v>
      </c>
      <c r="I430" s="15" t="s">
        <v>1664</v>
      </c>
      <c r="J430" s="15" t="s">
        <v>7</v>
      </c>
      <c r="K430" s="16">
        <v>46110</v>
      </c>
      <c r="L430" s="16">
        <v>52920</v>
      </c>
      <c r="M430" s="17">
        <f>Table1[[#This Row],[Billing Rate Charges]]-Table1[[#This Row],[ LORRY RATE ]]</f>
        <v>6810</v>
      </c>
      <c r="N430" s="17">
        <v>46110</v>
      </c>
      <c r="O430" s="17">
        <f>Table1[[#This Row],[ LORRY RATE ]]-Table1[[#This Row],[Adance Paid (INR)]]</f>
        <v>0</v>
      </c>
      <c r="P430" s="17" t="s">
        <v>147</v>
      </c>
      <c r="Q430" s="18" t="s">
        <v>1722</v>
      </c>
      <c r="R430" s="17"/>
      <c r="S430" s="18" t="s">
        <v>1697</v>
      </c>
      <c r="T430" s="18" t="s">
        <v>1697</v>
      </c>
      <c r="U430" s="15" t="s">
        <v>54</v>
      </c>
      <c r="V430" s="15" t="s">
        <v>56</v>
      </c>
      <c r="W430" s="15"/>
    </row>
    <row r="431" spans="1:23" hidden="1" x14ac:dyDescent="0.3">
      <c r="A431" s="15">
        <v>426</v>
      </c>
      <c r="B431" s="15" t="s">
        <v>1538</v>
      </c>
      <c r="C431" s="19">
        <v>45737</v>
      </c>
      <c r="D431" s="19" t="s">
        <v>51</v>
      </c>
      <c r="E431" s="21" t="s">
        <v>1639</v>
      </c>
      <c r="F431" s="21">
        <v>9947564191</v>
      </c>
      <c r="G431" s="15" t="s">
        <v>6</v>
      </c>
      <c r="H431" s="15" t="s">
        <v>1665</v>
      </c>
      <c r="I431" s="15" t="s">
        <v>1666</v>
      </c>
      <c r="J431" s="15" t="s">
        <v>623</v>
      </c>
      <c r="K431" s="16">
        <v>28240</v>
      </c>
      <c r="L431" s="16">
        <v>41900</v>
      </c>
      <c r="M431" s="17">
        <f>Table1[[#This Row],[Billing Rate Charges]]-Table1[[#This Row],[ LORRY RATE ]]</f>
        <v>13660</v>
      </c>
      <c r="N431" s="17">
        <v>28240</v>
      </c>
      <c r="O431" s="17">
        <f>Table1[[#This Row],[ LORRY RATE ]]-Table1[[#This Row],[Adance Paid (INR)]]</f>
        <v>0</v>
      </c>
      <c r="P431" s="17" t="s">
        <v>147</v>
      </c>
      <c r="Q431" s="18" t="s">
        <v>1723</v>
      </c>
      <c r="R431" s="17"/>
      <c r="S431" s="18" t="s">
        <v>1698</v>
      </c>
      <c r="T431" s="18" t="s">
        <v>1698</v>
      </c>
      <c r="U431" s="15" t="s">
        <v>54</v>
      </c>
      <c r="V431" s="15" t="s">
        <v>529</v>
      </c>
      <c r="W431" s="15"/>
    </row>
    <row r="432" spans="1:23" hidden="1" x14ac:dyDescent="0.3">
      <c r="A432" s="15">
        <v>427</v>
      </c>
      <c r="B432" s="15" t="s">
        <v>1538</v>
      </c>
      <c r="C432" s="19">
        <v>45737</v>
      </c>
      <c r="D432" s="19" t="s">
        <v>51</v>
      </c>
      <c r="E432" s="21" t="s">
        <v>1640</v>
      </c>
      <c r="F432" s="21">
        <v>9420671345</v>
      </c>
      <c r="G432" s="15" t="s">
        <v>6</v>
      </c>
      <c r="H432" s="15" t="s">
        <v>26</v>
      </c>
      <c r="I432" s="15" t="s">
        <v>1667</v>
      </c>
      <c r="J432" s="15" t="s">
        <v>59</v>
      </c>
      <c r="K432" s="16">
        <v>29370</v>
      </c>
      <c r="L432" s="16">
        <v>38740</v>
      </c>
      <c r="M432" s="17">
        <f>Table1[[#This Row],[Billing Rate Charges]]-Table1[[#This Row],[ LORRY RATE ]]</f>
        <v>9370</v>
      </c>
      <c r="N432" s="17">
        <v>29370</v>
      </c>
      <c r="O432" s="17">
        <f>Table1[[#This Row],[ LORRY RATE ]]-Table1[[#This Row],[Adance Paid (INR)]]</f>
        <v>0</v>
      </c>
      <c r="P432" s="17" t="s">
        <v>147</v>
      </c>
      <c r="Q432" s="18" t="s">
        <v>1724</v>
      </c>
      <c r="R432" s="17"/>
      <c r="S432" s="18" t="s">
        <v>1697</v>
      </c>
      <c r="T432" s="18" t="s">
        <v>1697</v>
      </c>
      <c r="U432" s="15" t="s">
        <v>54</v>
      </c>
      <c r="V432" s="15" t="s">
        <v>529</v>
      </c>
      <c r="W432" s="15"/>
    </row>
    <row r="433" spans="1:23" hidden="1" x14ac:dyDescent="0.3">
      <c r="A433" s="15">
        <v>428</v>
      </c>
      <c r="B433" s="15" t="s">
        <v>1538</v>
      </c>
      <c r="C433" s="19">
        <v>45738</v>
      </c>
      <c r="D433" s="19" t="s">
        <v>56</v>
      </c>
      <c r="E433" s="21" t="s">
        <v>1635</v>
      </c>
      <c r="F433" s="21">
        <v>9472230553</v>
      </c>
      <c r="G433" s="15" t="s">
        <v>6</v>
      </c>
      <c r="H433" s="15" t="s">
        <v>1668</v>
      </c>
      <c r="I433" s="15" t="s">
        <v>1669</v>
      </c>
      <c r="J433" s="15" t="s">
        <v>7</v>
      </c>
      <c r="K433" s="16">
        <v>46110</v>
      </c>
      <c r="L433" s="16">
        <v>52920</v>
      </c>
      <c r="M433" s="17">
        <f>Table1[[#This Row],[Billing Rate Charges]]-Table1[[#This Row],[ LORRY RATE ]]</f>
        <v>6810</v>
      </c>
      <c r="N433" s="17">
        <v>46110</v>
      </c>
      <c r="O433" s="17">
        <f>Table1[[#This Row],[ LORRY RATE ]]-Table1[[#This Row],[Adance Paid (INR)]]</f>
        <v>0</v>
      </c>
      <c r="P433" s="17" t="s">
        <v>147</v>
      </c>
      <c r="Q433" s="18" t="s">
        <v>1726</v>
      </c>
      <c r="R433" s="17"/>
      <c r="S433" s="18" t="s">
        <v>1698</v>
      </c>
      <c r="T433" s="18" t="s">
        <v>1698</v>
      </c>
      <c r="U433" s="15" t="s">
        <v>54</v>
      </c>
      <c r="V433" s="15" t="s">
        <v>56</v>
      </c>
      <c r="W433" s="15"/>
    </row>
    <row r="434" spans="1:23" hidden="1" x14ac:dyDescent="0.3">
      <c r="A434" s="15">
        <v>429</v>
      </c>
      <c r="B434" s="15" t="s">
        <v>1538</v>
      </c>
      <c r="C434" s="19">
        <v>45738</v>
      </c>
      <c r="D434" s="19" t="s">
        <v>56</v>
      </c>
      <c r="E434" s="21" t="s">
        <v>1637</v>
      </c>
      <c r="F434" s="21">
        <v>9025368773</v>
      </c>
      <c r="G434" s="15" t="s">
        <v>1093</v>
      </c>
      <c r="H434" s="15" t="s">
        <v>26</v>
      </c>
      <c r="I434" s="15" t="s">
        <v>1704</v>
      </c>
      <c r="J434" s="15" t="s">
        <v>7</v>
      </c>
      <c r="K434" s="16">
        <v>52630</v>
      </c>
      <c r="L434" s="16">
        <v>96390</v>
      </c>
      <c r="M434" s="17">
        <f>Table1[[#This Row],[Billing Rate Charges]]-Table1[[#This Row],[ LORRY RATE ]]</f>
        <v>43760</v>
      </c>
      <c r="N434" s="17">
        <v>52630</v>
      </c>
      <c r="O434" s="17">
        <f>Table1[[#This Row],[ LORRY RATE ]]-Table1[[#This Row],[Adance Paid (INR)]]</f>
        <v>0</v>
      </c>
      <c r="P434" s="17" t="s">
        <v>147</v>
      </c>
      <c r="Q434" s="18" t="s">
        <v>1725</v>
      </c>
      <c r="R434" s="17"/>
      <c r="S434" s="18" t="s">
        <v>1699</v>
      </c>
      <c r="T434" s="18" t="s">
        <v>1699</v>
      </c>
      <c r="U434" s="15" t="s">
        <v>54</v>
      </c>
      <c r="V434" s="15" t="s">
        <v>56</v>
      </c>
      <c r="W434" s="15"/>
    </row>
    <row r="435" spans="1:23" hidden="1" x14ac:dyDescent="0.3">
      <c r="A435" s="15">
        <v>430</v>
      </c>
      <c r="B435" s="15" t="s">
        <v>1538</v>
      </c>
      <c r="C435" s="19">
        <v>45740</v>
      </c>
      <c r="D435" s="19" t="s">
        <v>51</v>
      </c>
      <c r="E435" s="21" t="s">
        <v>547</v>
      </c>
      <c r="F435" s="21">
        <v>9674193351</v>
      </c>
      <c r="G435" s="15" t="s">
        <v>6</v>
      </c>
      <c r="H435" s="15" t="s">
        <v>26</v>
      </c>
      <c r="I435" s="15" t="s">
        <v>1670</v>
      </c>
      <c r="J435" s="15" t="s">
        <v>168</v>
      </c>
      <c r="K435" s="16">
        <v>25690</v>
      </c>
      <c r="L435" s="16">
        <v>35600</v>
      </c>
      <c r="M435" s="17">
        <f>Table1[[#This Row],[Billing Rate Charges]]-Table1[[#This Row],[ LORRY RATE ]]</f>
        <v>9910</v>
      </c>
      <c r="N435" s="17">
        <v>25690</v>
      </c>
      <c r="O435" s="17">
        <f>Table1[[#This Row],[ LORRY RATE ]]-Table1[[#This Row],[Adance Paid (INR)]]</f>
        <v>0</v>
      </c>
      <c r="P435" s="17" t="s">
        <v>147</v>
      </c>
      <c r="Q435" s="18" t="s">
        <v>1727</v>
      </c>
      <c r="R435" s="17"/>
      <c r="S435" s="18" t="s">
        <v>1568</v>
      </c>
      <c r="T435" s="18" t="s">
        <v>1568</v>
      </c>
      <c r="U435" s="15" t="s">
        <v>54</v>
      </c>
      <c r="V435" s="15" t="s">
        <v>439</v>
      </c>
      <c r="W435" s="15"/>
    </row>
    <row r="436" spans="1:23" hidden="1" x14ac:dyDescent="0.3">
      <c r="A436" s="15">
        <v>431</v>
      </c>
      <c r="B436" s="15" t="s">
        <v>1538</v>
      </c>
      <c r="C436" s="19">
        <v>45740</v>
      </c>
      <c r="D436" s="19" t="s">
        <v>56</v>
      </c>
      <c r="E436" s="21" t="s">
        <v>1641</v>
      </c>
      <c r="F436" s="21">
        <v>9281983602</v>
      </c>
      <c r="G436" s="15" t="s">
        <v>6</v>
      </c>
      <c r="H436" s="15" t="s">
        <v>1671</v>
      </c>
      <c r="I436" s="15" t="s">
        <v>1672</v>
      </c>
      <c r="J436" s="15" t="s">
        <v>7</v>
      </c>
      <c r="K436" s="16">
        <v>39120</v>
      </c>
      <c r="L436" s="16">
        <v>46620</v>
      </c>
      <c r="M436" s="17">
        <f>Table1[[#This Row],[Billing Rate Charges]]-Table1[[#This Row],[ LORRY RATE ]]</f>
        <v>7500</v>
      </c>
      <c r="N436" s="17">
        <v>39120</v>
      </c>
      <c r="O436" s="17">
        <f>Table1[[#This Row],[ LORRY RATE ]]-Table1[[#This Row],[Adance Paid (INR)]]</f>
        <v>0</v>
      </c>
      <c r="P436" s="17" t="s">
        <v>147</v>
      </c>
      <c r="Q436" s="18" t="s">
        <v>1728</v>
      </c>
      <c r="R436" s="17"/>
      <c r="S436" s="18" t="s">
        <v>1568</v>
      </c>
      <c r="T436" s="18" t="s">
        <v>1568</v>
      </c>
      <c r="U436" s="15" t="s">
        <v>54</v>
      </c>
      <c r="V436" s="15" t="s">
        <v>56</v>
      </c>
      <c r="W436" s="15"/>
    </row>
    <row r="437" spans="1:23" hidden="1" x14ac:dyDescent="0.3">
      <c r="A437" s="15">
        <v>432</v>
      </c>
      <c r="B437" s="15" t="s">
        <v>1538</v>
      </c>
      <c r="C437" s="19">
        <v>45741</v>
      </c>
      <c r="D437" s="19" t="s">
        <v>56</v>
      </c>
      <c r="E437" s="21" t="s">
        <v>38</v>
      </c>
      <c r="F437" s="21">
        <v>9515412075</v>
      </c>
      <c r="G437" s="15" t="s">
        <v>1093</v>
      </c>
      <c r="H437" s="15" t="s">
        <v>26</v>
      </c>
      <c r="I437" s="15" t="s">
        <v>1684</v>
      </c>
      <c r="J437" s="15" t="s">
        <v>25</v>
      </c>
      <c r="K437" s="16">
        <v>51880</v>
      </c>
      <c r="L437" s="16">
        <v>91350</v>
      </c>
      <c r="M437" s="17">
        <f>Table1[[#This Row],[Billing Rate Charges]]-Table1[[#This Row],[ LORRY RATE ]]</f>
        <v>39470</v>
      </c>
      <c r="N437" s="17">
        <v>51880</v>
      </c>
      <c r="O437" s="17">
        <f>Table1[[#This Row],[ LORRY RATE ]]-Table1[[#This Row],[Adance Paid (INR)]]</f>
        <v>0</v>
      </c>
      <c r="P437" s="17" t="s">
        <v>147</v>
      </c>
      <c r="Q437" s="18" t="s">
        <v>1729</v>
      </c>
      <c r="R437" s="17"/>
      <c r="S437" s="18" t="s">
        <v>1568</v>
      </c>
      <c r="T437" s="18" t="s">
        <v>1568</v>
      </c>
      <c r="U437" s="15" t="s">
        <v>54</v>
      </c>
      <c r="V437" s="15" t="s">
        <v>56</v>
      </c>
      <c r="W437" s="15"/>
    </row>
    <row r="438" spans="1:23" hidden="1" x14ac:dyDescent="0.3">
      <c r="A438" s="15">
        <v>433</v>
      </c>
      <c r="B438" s="15" t="s">
        <v>1538</v>
      </c>
      <c r="C438" s="19">
        <v>45742</v>
      </c>
      <c r="D438" s="19" t="s">
        <v>56</v>
      </c>
      <c r="E438" s="21" t="s">
        <v>1637</v>
      </c>
      <c r="F438" s="21">
        <v>9025368773</v>
      </c>
      <c r="G438" s="15" t="s">
        <v>6</v>
      </c>
      <c r="H438" s="15" t="s">
        <v>1673</v>
      </c>
      <c r="I438" s="15" t="s">
        <v>1674</v>
      </c>
      <c r="J438" s="15" t="s">
        <v>7</v>
      </c>
      <c r="K438" s="16">
        <v>40070</v>
      </c>
      <c r="L438" s="16">
        <v>52920</v>
      </c>
      <c r="M438" s="17">
        <f>Table1[[#This Row],[Billing Rate Charges]]-Table1[[#This Row],[ LORRY RATE ]]</f>
        <v>12850</v>
      </c>
      <c r="N438" s="17">
        <v>40070</v>
      </c>
      <c r="O438" s="17">
        <f>Table1[[#This Row],[ LORRY RATE ]]-Table1[[#This Row],[Adance Paid (INR)]]</f>
        <v>0</v>
      </c>
      <c r="P438" s="17" t="s">
        <v>147</v>
      </c>
      <c r="Q438" s="18" t="s">
        <v>1730</v>
      </c>
      <c r="R438" s="17"/>
      <c r="S438" s="18" t="s">
        <v>1690</v>
      </c>
      <c r="T438" s="18" t="s">
        <v>1690</v>
      </c>
      <c r="U438" s="15" t="s">
        <v>54</v>
      </c>
      <c r="V438" s="15" t="s">
        <v>56</v>
      </c>
      <c r="W438" s="15"/>
    </row>
    <row r="439" spans="1:23" hidden="1" x14ac:dyDescent="0.3">
      <c r="A439" s="15">
        <v>434</v>
      </c>
      <c r="B439" s="15" t="s">
        <v>1538</v>
      </c>
      <c r="C439" s="19">
        <v>45742</v>
      </c>
      <c r="D439" s="19" t="s">
        <v>51</v>
      </c>
      <c r="E439" s="21" t="s">
        <v>1642</v>
      </c>
      <c r="F439" s="21">
        <v>9219784442</v>
      </c>
      <c r="G439" s="15" t="s">
        <v>6</v>
      </c>
      <c r="H439" s="15" t="s">
        <v>26</v>
      </c>
      <c r="I439" s="15" t="s">
        <v>1675</v>
      </c>
      <c r="J439" s="15" t="s">
        <v>59</v>
      </c>
      <c r="K439" s="16">
        <v>28840</v>
      </c>
      <c r="L439" s="16">
        <v>38740</v>
      </c>
      <c r="M439" s="17">
        <f>Table1[[#This Row],[Billing Rate Charges]]-Table1[[#This Row],[ LORRY RATE ]]</f>
        <v>9900</v>
      </c>
      <c r="N439" s="17">
        <v>28840</v>
      </c>
      <c r="O439" s="17">
        <f>Table1[[#This Row],[ LORRY RATE ]]-Table1[[#This Row],[Adance Paid (INR)]]</f>
        <v>0</v>
      </c>
      <c r="P439" s="17" t="s">
        <v>147</v>
      </c>
      <c r="Q439" s="18" t="s">
        <v>1731</v>
      </c>
      <c r="R439" s="17"/>
      <c r="S439" s="18" t="s">
        <v>1690</v>
      </c>
      <c r="T439" s="18" t="s">
        <v>1690</v>
      </c>
      <c r="U439" s="15" t="s">
        <v>54</v>
      </c>
      <c r="V439" s="15" t="s">
        <v>439</v>
      </c>
      <c r="W439" s="15"/>
    </row>
    <row r="440" spans="1:23" hidden="1" x14ac:dyDescent="0.3">
      <c r="A440" s="15">
        <v>435</v>
      </c>
      <c r="B440" s="15" t="s">
        <v>1538</v>
      </c>
      <c r="C440" s="19">
        <v>45743</v>
      </c>
      <c r="D440" s="19" t="s">
        <v>56</v>
      </c>
      <c r="E440" s="21" t="s">
        <v>38</v>
      </c>
      <c r="F440" s="21">
        <v>9515412075</v>
      </c>
      <c r="G440" s="15" t="s">
        <v>6</v>
      </c>
      <c r="H440" s="15" t="s">
        <v>1676</v>
      </c>
      <c r="I440" s="15" t="s">
        <v>1677</v>
      </c>
      <c r="J440" s="15" t="s">
        <v>59</v>
      </c>
      <c r="K440" s="16">
        <v>44930</v>
      </c>
      <c r="L440" s="16">
        <v>45040</v>
      </c>
      <c r="M440" s="17">
        <f>Table1[[#This Row],[Billing Rate Charges]]-Table1[[#This Row],[ LORRY RATE ]]</f>
        <v>110</v>
      </c>
      <c r="N440" s="17">
        <v>44930</v>
      </c>
      <c r="O440" s="17">
        <f>Table1[[#This Row],[ LORRY RATE ]]-Table1[[#This Row],[Adance Paid (INR)]]</f>
        <v>0</v>
      </c>
      <c r="P440" s="17" t="s">
        <v>147</v>
      </c>
      <c r="Q440" s="18" t="s">
        <v>1732</v>
      </c>
      <c r="R440" s="17"/>
      <c r="S440" s="18" t="s">
        <v>1700</v>
      </c>
      <c r="T440" s="18" t="s">
        <v>1700</v>
      </c>
      <c r="U440" s="15" t="s">
        <v>54</v>
      </c>
      <c r="V440" s="15" t="s">
        <v>56</v>
      </c>
      <c r="W440" s="15"/>
    </row>
    <row r="441" spans="1:23" hidden="1" x14ac:dyDescent="0.3">
      <c r="A441" s="15">
        <v>436</v>
      </c>
      <c r="B441" s="15" t="s">
        <v>1538</v>
      </c>
      <c r="C441" s="19">
        <v>45743</v>
      </c>
      <c r="D441" s="19" t="s">
        <v>56</v>
      </c>
      <c r="E441" s="21" t="s">
        <v>60</v>
      </c>
      <c r="F441" s="21">
        <v>9589264337</v>
      </c>
      <c r="G441" s="15" t="s">
        <v>1093</v>
      </c>
      <c r="H441" s="15" t="s">
        <v>26</v>
      </c>
      <c r="I441" s="15" t="s">
        <v>1707</v>
      </c>
      <c r="J441" s="15" t="s">
        <v>172</v>
      </c>
      <c r="K441" s="16">
        <v>52630</v>
      </c>
      <c r="L441" s="16">
        <v>96390</v>
      </c>
      <c r="M441" s="17">
        <f>Table1[[#This Row],[Billing Rate Charges]]-Table1[[#This Row],[ LORRY RATE ]]</f>
        <v>43760</v>
      </c>
      <c r="N441" s="17">
        <v>52630</v>
      </c>
      <c r="O441" s="17">
        <f>Table1[[#This Row],[ LORRY RATE ]]-Table1[[#This Row],[Adance Paid (INR)]]</f>
        <v>0</v>
      </c>
      <c r="P441" s="17" t="s">
        <v>147</v>
      </c>
      <c r="Q441" s="18" t="s">
        <v>1733</v>
      </c>
      <c r="R441" s="17"/>
      <c r="S441" s="18" t="s">
        <v>1700</v>
      </c>
      <c r="T441" s="18" t="s">
        <v>1700</v>
      </c>
      <c r="U441" s="15" t="s">
        <v>54</v>
      </c>
      <c r="V441" s="15" t="s">
        <v>56</v>
      </c>
      <c r="W441" s="15"/>
    </row>
    <row r="442" spans="1:23" hidden="1" x14ac:dyDescent="0.3">
      <c r="A442" s="15">
        <v>437</v>
      </c>
      <c r="B442" s="15" t="s">
        <v>1538</v>
      </c>
      <c r="C442" s="19">
        <v>45743</v>
      </c>
      <c r="D442" s="19" t="s">
        <v>51</v>
      </c>
      <c r="E442" s="21" t="s">
        <v>380</v>
      </c>
      <c r="F442" s="21"/>
      <c r="G442" s="15" t="s">
        <v>6</v>
      </c>
      <c r="H442" s="15" t="s">
        <v>26</v>
      </c>
      <c r="I442" s="15" t="s">
        <v>1735</v>
      </c>
      <c r="J442" s="15" t="s">
        <v>381</v>
      </c>
      <c r="K442" s="16">
        <v>14480</v>
      </c>
      <c r="L442" s="16">
        <v>16560</v>
      </c>
      <c r="M442" s="17">
        <f>Table1[[#This Row],[Billing Rate Charges]]-Table1[[#This Row],[ LORRY RATE ]]</f>
        <v>2080</v>
      </c>
      <c r="N442" s="17">
        <v>14480</v>
      </c>
      <c r="O442" s="17">
        <f>Table1[[#This Row],[ LORRY RATE ]]-Table1[[#This Row],[Adance Paid (INR)]]</f>
        <v>0</v>
      </c>
      <c r="P442" s="17" t="s">
        <v>147</v>
      </c>
      <c r="Q442" s="18" t="s">
        <v>1736</v>
      </c>
      <c r="R442" s="17"/>
      <c r="S442" s="18" t="s">
        <v>1568</v>
      </c>
      <c r="T442" s="18" t="s">
        <v>1568</v>
      </c>
      <c r="U442" s="15" t="s">
        <v>54</v>
      </c>
      <c r="V442" s="15" t="s">
        <v>380</v>
      </c>
      <c r="W442" s="15" t="s">
        <v>1734</v>
      </c>
    </row>
    <row r="443" spans="1:23" hidden="1" x14ac:dyDescent="0.3">
      <c r="A443" s="15">
        <v>438</v>
      </c>
      <c r="B443" s="15" t="s">
        <v>1538</v>
      </c>
      <c r="C443" s="19">
        <v>45744</v>
      </c>
      <c r="D443" s="19" t="s">
        <v>51</v>
      </c>
      <c r="E443" s="21" t="s">
        <v>435</v>
      </c>
      <c r="F443" s="21">
        <v>9654538123</v>
      </c>
      <c r="G443" s="15" t="s">
        <v>6</v>
      </c>
      <c r="H443" s="15" t="s">
        <v>26</v>
      </c>
      <c r="I443" s="15" t="s">
        <v>1680</v>
      </c>
      <c r="J443" s="15" t="s">
        <v>623</v>
      </c>
      <c r="K443" s="16">
        <v>26540</v>
      </c>
      <c r="L443" s="16">
        <v>41260</v>
      </c>
      <c r="M443" s="17">
        <f>Table1[[#This Row],[Billing Rate Charges]]-Table1[[#This Row],[ LORRY RATE ]]</f>
        <v>14720</v>
      </c>
      <c r="N443" s="17">
        <v>26540</v>
      </c>
      <c r="O443" s="17">
        <f>Table1[[#This Row],[ LORRY RATE ]]-Table1[[#This Row],[Adance Paid (INR)]]</f>
        <v>0</v>
      </c>
      <c r="P443" s="17" t="s">
        <v>147</v>
      </c>
      <c r="Q443" s="18" t="s">
        <v>1737</v>
      </c>
      <c r="R443" s="17"/>
      <c r="S443" s="18" t="s">
        <v>1692</v>
      </c>
      <c r="T443" s="18" t="s">
        <v>1701</v>
      </c>
      <c r="U443" s="15" t="s">
        <v>54</v>
      </c>
      <c r="V443" s="15" t="s">
        <v>439</v>
      </c>
      <c r="W443" s="15" t="s">
        <v>1319</v>
      </c>
    </row>
    <row r="444" spans="1:23" hidden="1" x14ac:dyDescent="0.3">
      <c r="A444" s="15">
        <v>439</v>
      </c>
      <c r="B444" s="15" t="s">
        <v>1538</v>
      </c>
      <c r="C444" s="19">
        <v>45744</v>
      </c>
      <c r="D444" s="19" t="s">
        <v>51</v>
      </c>
      <c r="E444" s="21" t="s">
        <v>1643</v>
      </c>
      <c r="F444" s="21">
        <v>9725073745</v>
      </c>
      <c r="G444" s="15" t="s">
        <v>6</v>
      </c>
      <c r="H444" s="15" t="s">
        <v>1678</v>
      </c>
      <c r="I444" s="15" t="s">
        <v>1679</v>
      </c>
      <c r="J444" s="15" t="s">
        <v>168</v>
      </c>
      <c r="K444" s="16">
        <v>29500</v>
      </c>
      <c r="L444" s="16">
        <v>53860</v>
      </c>
      <c r="M444" s="17">
        <f>Table1[[#This Row],[Billing Rate Charges]]-Table1[[#This Row],[ LORRY RATE ]]</f>
        <v>24360</v>
      </c>
      <c r="N444" s="17">
        <v>29500</v>
      </c>
      <c r="O444" s="17">
        <f>Table1[[#This Row],[ LORRY RATE ]]-Table1[[#This Row],[Adance Paid (INR)]]</f>
        <v>0</v>
      </c>
      <c r="P444" s="17" t="s">
        <v>147</v>
      </c>
      <c r="Q444" s="18" t="s">
        <v>1738</v>
      </c>
      <c r="R444" s="17"/>
      <c r="S444" s="18" t="s">
        <v>1700</v>
      </c>
      <c r="T444" s="18" t="s">
        <v>1700</v>
      </c>
      <c r="U444" s="15" t="s">
        <v>54</v>
      </c>
      <c r="V444" s="15" t="s">
        <v>529</v>
      </c>
      <c r="W444" s="15" t="s">
        <v>1319</v>
      </c>
    </row>
    <row r="445" spans="1:23" hidden="1" x14ac:dyDescent="0.3">
      <c r="A445" s="15">
        <v>440</v>
      </c>
      <c r="B445" s="15" t="s">
        <v>1538</v>
      </c>
      <c r="C445" s="19">
        <v>45744</v>
      </c>
      <c r="D445" s="19" t="s">
        <v>56</v>
      </c>
      <c r="E445" s="21" t="s">
        <v>1641</v>
      </c>
      <c r="F445" s="21">
        <v>9281983602</v>
      </c>
      <c r="G445" s="15" t="s">
        <v>377</v>
      </c>
      <c r="H445" s="15" t="s">
        <v>26</v>
      </c>
      <c r="I445" s="15" t="s">
        <v>1739</v>
      </c>
      <c r="J445" s="15" t="s">
        <v>7</v>
      </c>
      <c r="K445" s="16">
        <v>47440</v>
      </c>
      <c r="L445" s="16">
        <v>102060</v>
      </c>
      <c r="M445" s="17">
        <f>Table1[[#This Row],[Billing Rate Charges]]-Table1[[#This Row],[ LORRY RATE ]]</f>
        <v>54620</v>
      </c>
      <c r="N445" s="17">
        <v>47440</v>
      </c>
      <c r="O445" s="17">
        <f>Table1[[#This Row],[ LORRY RATE ]]-Table1[[#This Row],[Adance Paid (INR)]]</f>
        <v>0</v>
      </c>
      <c r="P445" s="17" t="s">
        <v>147</v>
      </c>
      <c r="Q445" s="18" t="s">
        <v>1740</v>
      </c>
      <c r="R445" s="17"/>
      <c r="S445" s="18" t="s">
        <v>1692</v>
      </c>
      <c r="T445" s="18" t="s">
        <v>1692</v>
      </c>
      <c r="U445" s="15" t="s">
        <v>54</v>
      </c>
      <c r="V445" s="15" t="s">
        <v>56</v>
      </c>
      <c r="W445" s="15" t="s">
        <v>1319</v>
      </c>
    </row>
    <row r="446" spans="1:23" hidden="1" x14ac:dyDescent="0.3">
      <c r="A446" s="15">
        <v>441</v>
      </c>
      <c r="B446" s="15" t="s">
        <v>1538</v>
      </c>
      <c r="C446" s="19">
        <v>45745</v>
      </c>
      <c r="D446" s="19" t="s">
        <v>56</v>
      </c>
      <c r="E446" s="21" t="s">
        <v>1644</v>
      </c>
      <c r="F446" s="21">
        <v>9902798068</v>
      </c>
      <c r="G446" s="15" t="s">
        <v>6</v>
      </c>
      <c r="H446" s="15" t="s">
        <v>1681</v>
      </c>
      <c r="I446" s="15" t="s">
        <v>1682</v>
      </c>
      <c r="J446" s="15" t="s">
        <v>7</v>
      </c>
      <c r="K446" s="16">
        <v>39970</v>
      </c>
      <c r="L446" s="16">
        <v>52290</v>
      </c>
      <c r="M446" s="17">
        <f>Table1[[#This Row],[Billing Rate Charges]]-Table1[[#This Row],[ LORRY RATE ]]</f>
        <v>12320</v>
      </c>
      <c r="N446" s="17">
        <v>39970</v>
      </c>
      <c r="O446" s="17">
        <f>Table1[[#This Row],[ LORRY RATE ]]-Table1[[#This Row],[Adance Paid (INR)]]</f>
        <v>0</v>
      </c>
      <c r="P446" s="17" t="s">
        <v>147</v>
      </c>
      <c r="Q446" s="18" t="s">
        <v>1741</v>
      </c>
      <c r="R446" s="17"/>
      <c r="S446" s="18" t="s">
        <v>1692</v>
      </c>
      <c r="T446" s="18" t="s">
        <v>1701</v>
      </c>
      <c r="U446" s="15" t="s">
        <v>54</v>
      </c>
      <c r="V446" s="15" t="s">
        <v>56</v>
      </c>
      <c r="W446" s="15" t="s">
        <v>1319</v>
      </c>
    </row>
    <row r="447" spans="1:23" hidden="1" x14ac:dyDescent="0.3">
      <c r="A447" s="15">
        <v>442</v>
      </c>
      <c r="B447" s="15" t="s">
        <v>1538</v>
      </c>
      <c r="C447" s="19">
        <v>45745</v>
      </c>
      <c r="D447" s="19" t="s">
        <v>56</v>
      </c>
      <c r="E447" s="21" t="s">
        <v>1635</v>
      </c>
      <c r="F447" s="21">
        <v>9472230553</v>
      </c>
      <c r="G447" s="15" t="s">
        <v>1093</v>
      </c>
      <c r="H447" s="15" t="s">
        <v>26</v>
      </c>
      <c r="I447" s="15" t="s">
        <v>1703</v>
      </c>
      <c r="J447" s="15" t="s">
        <v>7</v>
      </c>
      <c r="K447" s="16">
        <v>47440</v>
      </c>
      <c r="L447" s="16">
        <v>102060</v>
      </c>
      <c r="M447" s="17">
        <f>Table1[[#This Row],[Billing Rate Charges]]-Table1[[#This Row],[ LORRY RATE ]]</f>
        <v>54620</v>
      </c>
      <c r="N447" s="17">
        <v>47440</v>
      </c>
      <c r="O447" s="17">
        <f>Table1[[#This Row],[ LORRY RATE ]]-Table1[[#This Row],[Adance Paid (INR)]]</f>
        <v>0</v>
      </c>
      <c r="P447" s="17" t="s">
        <v>147</v>
      </c>
      <c r="Q447" s="18" t="s">
        <v>1742</v>
      </c>
      <c r="R447" s="17"/>
      <c r="S447" s="18" t="s">
        <v>1692</v>
      </c>
      <c r="T447" s="18" t="s">
        <v>1692</v>
      </c>
      <c r="U447" s="15" t="s">
        <v>54</v>
      </c>
      <c r="V447" s="15" t="s">
        <v>56</v>
      </c>
      <c r="W447" s="15" t="s">
        <v>1319</v>
      </c>
    </row>
    <row r="448" spans="1:23" hidden="1" x14ac:dyDescent="0.3">
      <c r="A448" s="15">
        <v>443</v>
      </c>
      <c r="B448" s="15" t="s">
        <v>1538</v>
      </c>
      <c r="C448" s="19">
        <v>45746</v>
      </c>
      <c r="D448" s="19" t="s">
        <v>56</v>
      </c>
      <c r="E448" s="15" t="s">
        <v>1637</v>
      </c>
      <c r="F448" s="15">
        <v>9025368773</v>
      </c>
      <c r="G448" s="15" t="s">
        <v>1093</v>
      </c>
      <c r="H448" s="15" t="s">
        <v>26</v>
      </c>
      <c r="I448" s="15" t="s">
        <v>1705</v>
      </c>
      <c r="J448" s="15" t="s">
        <v>7</v>
      </c>
      <c r="K448" s="16">
        <v>47440</v>
      </c>
      <c r="L448" s="16">
        <v>102060</v>
      </c>
      <c r="M448" s="17">
        <f>Table1[[#This Row],[Billing Rate Charges]]-Table1[[#This Row],[ LORRY RATE ]]</f>
        <v>54620</v>
      </c>
      <c r="N448" s="17">
        <v>47440</v>
      </c>
      <c r="O448" s="17">
        <f>Table1[[#This Row],[ LORRY RATE ]]-Table1[[#This Row],[Adance Paid (INR)]]</f>
        <v>0</v>
      </c>
      <c r="P448" s="17" t="s">
        <v>147</v>
      </c>
      <c r="Q448" s="18" t="s">
        <v>1743</v>
      </c>
      <c r="R448" s="17"/>
      <c r="S448" s="18" t="s">
        <v>1745</v>
      </c>
      <c r="T448" s="18" t="s">
        <v>1745</v>
      </c>
      <c r="U448" s="15" t="s">
        <v>54</v>
      </c>
      <c r="V448" s="15" t="s">
        <v>56</v>
      </c>
      <c r="W448" s="15" t="s">
        <v>1319</v>
      </c>
    </row>
    <row r="449" spans="1:23" hidden="1" x14ac:dyDescent="0.3">
      <c r="A449" s="15">
        <v>444</v>
      </c>
      <c r="B449" s="15" t="s">
        <v>1538</v>
      </c>
      <c r="C449" s="19">
        <v>45747</v>
      </c>
      <c r="D449" s="19" t="s">
        <v>56</v>
      </c>
      <c r="E449" s="15" t="s">
        <v>38</v>
      </c>
      <c r="F449" s="15">
        <v>9515412075</v>
      </c>
      <c r="G449" s="15" t="s">
        <v>377</v>
      </c>
      <c r="H449" s="15" t="s">
        <v>26</v>
      </c>
      <c r="I449" s="15" t="s">
        <v>1777</v>
      </c>
      <c r="J449" s="15" t="s">
        <v>59</v>
      </c>
      <c r="K449" s="16">
        <v>51880</v>
      </c>
      <c r="L449" s="16">
        <v>91350</v>
      </c>
      <c r="M449" s="17">
        <f>Table1[[#This Row],[Billing Rate Charges]]-Table1[[#This Row],[ LORRY RATE ]]</f>
        <v>39470</v>
      </c>
      <c r="N449" s="17">
        <v>51880</v>
      </c>
      <c r="O449" s="17">
        <f>Table1[[#This Row],[ LORRY RATE ]]-Table1[[#This Row],[Adance Paid (INR)]]</f>
        <v>0</v>
      </c>
      <c r="P449" s="17" t="s">
        <v>147</v>
      </c>
      <c r="Q449" s="18" t="s">
        <v>1781</v>
      </c>
      <c r="R449" s="17"/>
      <c r="S449" s="18" t="s">
        <v>1744</v>
      </c>
      <c r="T449" s="18" t="s">
        <v>1744</v>
      </c>
      <c r="U449" s="15" t="s">
        <v>54</v>
      </c>
      <c r="V449" s="15" t="s">
        <v>56</v>
      </c>
      <c r="W449" s="15"/>
    </row>
    <row r="450" spans="1:23" x14ac:dyDescent="0.3">
      <c r="A450" s="15">
        <v>445</v>
      </c>
      <c r="B450" s="15" t="s">
        <v>1746</v>
      </c>
      <c r="C450" s="19">
        <v>45749</v>
      </c>
      <c r="D450" s="19" t="s">
        <v>56</v>
      </c>
      <c r="E450" s="15" t="s">
        <v>1635</v>
      </c>
      <c r="F450" s="15">
        <v>9472230553</v>
      </c>
      <c r="G450" s="15" t="s">
        <v>6</v>
      </c>
      <c r="H450" s="15" t="s">
        <v>1782</v>
      </c>
      <c r="I450" s="15" t="s">
        <v>1783</v>
      </c>
      <c r="J450" s="15" t="s">
        <v>7</v>
      </c>
      <c r="K450" s="16">
        <v>9830</v>
      </c>
      <c r="L450" s="16">
        <v>22680</v>
      </c>
      <c r="M450" s="17">
        <f>Table1[[#This Row],[Billing Rate Charges]]-Table1[[#This Row],[ LORRY RATE ]]</f>
        <v>12850</v>
      </c>
      <c r="N450" s="17">
        <v>9830</v>
      </c>
      <c r="O450" s="17">
        <f>Table1[[#This Row],[ LORRY RATE ]]-Table1[[#This Row],[Adance Paid (INR)]]</f>
        <v>0</v>
      </c>
      <c r="P450" s="17" t="s">
        <v>147</v>
      </c>
      <c r="Q450" s="18" t="s">
        <v>1785</v>
      </c>
      <c r="R450" s="17"/>
      <c r="S450" s="18" t="s">
        <v>1744</v>
      </c>
      <c r="T450" s="18" t="s">
        <v>1744</v>
      </c>
      <c r="U450" s="15" t="s">
        <v>54</v>
      </c>
      <c r="V450" s="15" t="s">
        <v>56</v>
      </c>
      <c r="W450" s="15"/>
    </row>
    <row r="451" spans="1:23" x14ac:dyDescent="0.3">
      <c r="A451" s="15">
        <v>446</v>
      </c>
      <c r="B451" s="15" t="s">
        <v>1746</v>
      </c>
      <c r="C451" s="19">
        <v>45749</v>
      </c>
      <c r="D451" s="19" t="s">
        <v>56</v>
      </c>
      <c r="E451" s="21" t="s">
        <v>1641</v>
      </c>
      <c r="F451" s="21">
        <v>9281983602</v>
      </c>
      <c r="G451" s="15" t="s">
        <v>6</v>
      </c>
      <c r="H451" s="15" t="s">
        <v>26</v>
      </c>
      <c r="I451" s="15" t="s">
        <v>1757</v>
      </c>
      <c r="J451" s="15" t="s">
        <v>7</v>
      </c>
      <c r="K451" s="16">
        <v>39220</v>
      </c>
      <c r="L451" s="16">
        <v>47250</v>
      </c>
      <c r="M451" s="17">
        <f>Table1[[#This Row],[Billing Rate Charges]]-Table1[[#This Row],[ LORRY RATE ]]</f>
        <v>8030</v>
      </c>
      <c r="N451" s="17">
        <v>39220</v>
      </c>
      <c r="O451" s="17">
        <f>Table1[[#This Row],[ LORRY RATE ]]-Table1[[#This Row],[Adance Paid (INR)]]</f>
        <v>0</v>
      </c>
      <c r="P451" s="17" t="s">
        <v>147</v>
      </c>
      <c r="Q451" s="18" t="s">
        <v>1784</v>
      </c>
      <c r="R451" s="17"/>
      <c r="S451" s="18" t="s">
        <v>1748</v>
      </c>
      <c r="T451" s="18" t="s">
        <v>1748</v>
      </c>
      <c r="U451" s="15" t="s">
        <v>54</v>
      </c>
      <c r="V451" s="15" t="s">
        <v>56</v>
      </c>
      <c r="W451" s="15"/>
    </row>
    <row r="452" spans="1:23" x14ac:dyDescent="0.3">
      <c r="A452" s="15">
        <v>447</v>
      </c>
      <c r="B452" s="15" t="s">
        <v>1746</v>
      </c>
      <c r="C452" s="19">
        <v>45750</v>
      </c>
      <c r="D452" s="19" t="s">
        <v>56</v>
      </c>
      <c r="E452" s="21" t="s">
        <v>60</v>
      </c>
      <c r="F452" s="21">
        <v>9220186371</v>
      </c>
      <c r="G452" s="15" t="s">
        <v>6</v>
      </c>
      <c r="H452" s="15" t="s">
        <v>1758</v>
      </c>
      <c r="I452" s="15" t="s">
        <v>1759</v>
      </c>
      <c r="J452" s="15" t="s">
        <v>7</v>
      </c>
      <c r="K452" s="16">
        <v>46110</v>
      </c>
      <c r="L452" s="16">
        <v>52920</v>
      </c>
      <c r="M452" s="17">
        <f>Table1[[#This Row],[Billing Rate Charges]]-Table1[[#This Row],[ LORRY RATE ]]</f>
        <v>6810</v>
      </c>
      <c r="N452" s="17">
        <v>46110</v>
      </c>
      <c r="O452" s="17">
        <f>Table1[[#This Row],[ LORRY RATE ]]-Table1[[#This Row],[Adance Paid (INR)]]</f>
        <v>0</v>
      </c>
      <c r="P452" s="17" t="s">
        <v>147</v>
      </c>
      <c r="Q452" s="18" t="s">
        <v>1789</v>
      </c>
      <c r="R452" s="17"/>
      <c r="S452" s="18" t="s">
        <v>1749</v>
      </c>
      <c r="T452" s="18" t="s">
        <v>1751</v>
      </c>
      <c r="U452" s="15" t="s">
        <v>54</v>
      </c>
      <c r="V452" s="15" t="s">
        <v>56</v>
      </c>
      <c r="W452" s="15"/>
    </row>
    <row r="453" spans="1:23" x14ac:dyDescent="0.3">
      <c r="A453" s="15">
        <v>448</v>
      </c>
      <c r="B453" s="15" t="s">
        <v>1746</v>
      </c>
      <c r="C453" s="19">
        <v>45751</v>
      </c>
      <c r="D453" s="19" t="s">
        <v>56</v>
      </c>
      <c r="E453" s="21" t="s">
        <v>1635</v>
      </c>
      <c r="F453" s="21">
        <v>9472230553</v>
      </c>
      <c r="G453" s="15" t="s">
        <v>6</v>
      </c>
      <c r="H453" s="15" t="s">
        <v>1760</v>
      </c>
      <c r="I453" s="15" t="s">
        <v>1761</v>
      </c>
      <c r="J453" s="15" t="s">
        <v>7</v>
      </c>
      <c r="K453" s="16">
        <v>40070</v>
      </c>
      <c r="L453" s="16">
        <v>52920</v>
      </c>
      <c r="M453" s="17">
        <f>Table1[[#This Row],[Billing Rate Charges]]-Table1[[#This Row],[ LORRY RATE ]]</f>
        <v>12850</v>
      </c>
      <c r="N453" s="17">
        <v>40070</v>
      </c>
      <c r="O453" s="17">
        <f>Table1[[#This Row],[ LORRY RATE ]]-Table1[[#This Row],[Adance Paid (INR)]]</f>
        <v>0</v>
      </c>
      <c r="P453" s="17" t="s">
        <v>147</v>
      </c>
      <c r="Q453" s="18" t="s">
        <v>1786</v>
      </c>
      <c r="R453" s="17"/>
      <c r="S453" s="18" t="s">
        <v>1749</v>
      </c>
      <c r="T453" s="18" t="s">
        <v>1749</v>
      </c>
      <c r="U453" s="15" t="s">
        <v>54</v>
      </c>
      <c r="V453" s="15" t="s">
        <v>56</v>
      </c>
      <c r="W453" s="15"/>
    </row>
    <row r="454" spans="1:23" x14ac:dyDescent="0.3">
      <c r="A454" s="15">
        <v>449</v>
      </c>
      <c r="B454" s="15" t="s">
        <v>1746</v>
      </c>
      <c r="C454" s="19">
        <v>45751</v>
      </c>
      <c r="D454" s="19" t="s">
        <v>56</v>
      </c>
      <c r="E454" s="21" t="s">
        <v>1644</v>
      </c>
      <c r="F454" s="21">
        <v>9902798068</v>
      </c>
      <c r="G454" s="15" t="s">
        <v>377</v>
      </c>
      <c r="H454" s="15" t="s">
        <v>26</v>
      </c>
      <c r="I454" s="15" t="s">
        <v>1774</v>
      </c>
      <c r="J454" s="15" t="s">
        <v>7</v>
      </c>
      <c r="K454" s="16">
        <v>46590</v>
      </c>
      <c r="L454" s="16">
        <v>96390</v>
      </c>
      <c r="M454" s="17">
        <f>Table1[[#This Row],[Billing Rate Charges]]-Table1[[#This Row],[ LORRY RATE ]]</f>
        <v>49800</v>
      </c>
      <c r="N454" s="17">
        <v>46590</v>
      </c>
      <c r="O454" s="17">
        <f>Table1[[#This Row],[ LORRY RATE ]]-Table1[[#This Row],[Adance Paid (INR)]]</f>
        <v>0</v>
      </c>
      <c r="P454" s="17" t="s">
        <v>147</v>
      </c>
      <c r="Q454" s="18" t="s">
        <v>1787</v>
      </c>
      <c r="R454" s="17"/>
      <c r="S454" s="18" t="s">
        <v>1749</v>
      </c>
      <c r="T454" s="18" t="s">
        <v>1749</v>
      </c>
      <c r="U454" s="15" t="s">
        <v>54</v>
      </c>
      <c r="V454" s="15" t="s">
        <v>56</v>
      </c>
      <c r="W454" s="15"/>
    </row>
    <row r="455" spans="1:23" x14ac:dyDescent="0.3">
      <c r="A455" s="15">
        <v>450</v>
      </c>
      <c r="B455" s="15" t="s">
        <v>1746</v>
      </c>
      <c r="C455" s="19">
        <v>45752</v>
      </c>
      <c r="D455" s="19" t="s">
        <v>51</v>
      </c>
      <c r="E455" s="21" t="s">
        <v>696</v>
      </c>
      <c r="F455" s="21">
        <v>9891277624</v>
      </c>
      <c r="G455" s="15" t="s">
        <v>1093</v>
      </c>
      <c r="H455" s="15" t="s">
        <v>26</v>
      </c>
      <c r="I455" s="15" t="s">
        <v>1779</v>
      </c>
      <c r="J455" s="15" t="s">
        <v>7</v>
      </c>
      <c r="K455" s="16">
        <v>66940</v>
      </c>
      <c r="L455" s="16">
        <v>96390</v>
      </c>
      <c r="M455" s="17">
        <f>Table1[[#This Row],[Billing Rate Charges]]-Table1[[#This Row],[ LORRY RATE ]]</f>
        <v>29450</v>
      </c>
      <c r="N455" s="17">
        <v>66940</v>
      </c>
      <c r="O455" s="17">
        <f>Table1[[#This Row],[ LORRY RATE ]]-Table1[[#This Row],[Adance Paid (INR)]]</f>
        <v>0</v>
      </c>
      <c r="P455" s="17" t="s">
        <v>147</v>
      </c>
      <c r="Q455" s="18" t="s">
        <v>1790</v>
      </c>
      <c r="R455" s="17"/>
      <c r="S455" s="18" t="s">
        <v>1751</v>
      </c>
      <c r="T455" s="18" t="s">
        <v>1751</v>
      </c>
      <c r="U455" s="15" t="s">
        <v>54</v>
      </c>
      <c r="V455" s="15" t="s">
        <v>439</v>
      </c>
      <c r="W455" s="15"/>
    </row>
    <row r="456" spans="1:23" x14ac:dyDescent="0.3">
      <c r="A456" s="15">
        <v>451</v>
      </c>
      <c r="B456" s="15" t="s">
        <v>1746</v>
      </c>
      <c r="C456" s="19">
        <v>45752</v>
      </c>
      <c r="D456" s="19" t="s">
        <v>56</v>
      </c>
      <c r="E456" s="21" t="s">
        <v>1637</v>
      </c>
      <c r="F456" s="21">
        <v>9025368773</v>
      </c>
      <c r="G456" s="15" t="s">
        <v>6</v>
      </c>
      <c r="H456" s="15" t="s">
        <v>26</v>
      </c>
      <c r="I456" s="15" t="s">
        <v>1762</v>
      </c>
      <c r="J456" s="15" t="s">
        <v>7</v>
      </c>
      <c r="K456" s="16">
        <v>38180</v>
      </c>
      <c r="L456" s="16">
        <v>40320</v>
      </c>
      <c r="M456" s="17">
        <f>Table1[[#This Row],[Billing Rate Charges]]-Table1[[#This Row],[ LORRY RATE ]]</f>
        <v>2140</v>
      </c>
      <c r="N456" s="17">
        <v>38180</v>
      </c>
      <c r="O456" s="17">
        <f>Table1[[#This Row],[ LORRY RATE ]]-Table1[[#This Row],[Adance Paid (INR)]]</f>
        <v>0</v>
      </c>
      <c r="P456" s="17" t="s">
        <v>147</v>
      </c>
      <c r="Q456" s="18" t="s">
        <v>1791</v>
      </c>
      <c r="R456" s="17"/>
      <c r="S456" s="18" t="s">
        <v>1751</v>
      </c>
      <c r="T456" s="18" t="s">
        <v>1751</v>
      </c>
      <c r="U456" s="15" t="s">
        <v>54</v>
      </c>
      <c r="V456" s="15" t="s">
        <v>56</v>
      </c>
      <c r="W456" s="15"/>
    </row>
    <row r="457" spans="1:23" x14ac:dyDescent="0.3">
      <c r="A457" s="15">
        <v>452</v>
      </c>
      <c r="B457" s="15" t="s">
        <v>1746</v>
      </c>
      <c r="C457" s="19">
        <v>45752</v>
      </c>
      <c r="D457" s="19" t="s">
        <v>56</v>
      </c>
      <c r="E457" s="21" t="s">
        <v>38</v>
      </c>
      <c r="F457" s="21">
        <v>9515412075</v>
      </c>
      <c r="G457" s="15" t="s">
        <v>6</v>
      </c>
      <c r="H457" s="15" t="s">
        <v>26</v>
      </c>
      <c r="I457" s="15" t="s">
        <v>1763</v>
      </c>
      <c r="J457" s="15" t="s">
        <v>7</v>
      </c>
      <c r="K457" s="16">
        <v>45070</v>
      </c>
      <c r="L457" s="16">
        <v>45990</v>
      </c>
      <c r="M457" s="17">
        <f>Table1[[#This Row],[Billing Rate Charges]]-Table1[[#This Row],[ LORRY RATE ]]</f>
        <v>920</v>
      </c>
      <c r="N457" s="17">
        <v>45070</v>
      </c>
      <c r="O457" s="17">
        <f>Table1[[#This Row],[ LORRY RATE ]]-Table1[[#This Row],[Adance Paid (INR)]]</f>
        <v>0</v>
      </c>
      <c r="P457" s="17" t="s">
        <v>147</v>
      </c>
      <c r="Q457" s="18" t="s">
        <v>1792</v>
      </c>
      <c r="R457" s="17"/>
      <c r="S457" s="18" t="s">
        <v>1751</v>
      </c>
      <c r="T457" s="18" t="s">
        <v>1751</v>
      </c>
      <c r="U457" s="15" t="s">
        <v>54</v>
      </c>
      <c r="V457" s="15" t="s">
        <v>56</v>
      </c>
      <c r="W457" s="15" t="s">
        <v>1319</v>
      </c>
    </row>
    <row r="458" spans="1:23" x14ac:dyDescent="0.3">
      <c r="A458" s="15">
        <v>453</v>
      </c>
      <c r="B458" s="15" t="s">
        <v>1746</v>
      </c>
      <c r="C458" s="19">
        <v>45754</v>
      </c>
      <c r="D458" s="19" t="s">
        <v>56</v>
      </c>
      <c r="E458" s="15" t="s">
        <v>1750</v>
      </c>
      <c r="F458" s="15">
        <v>9902798068</v>
      </c>
      <c r="G458" s="15" t="s">
        <v>6</v>
      </c>
      <c r="H458" s="15" t="s">
        <v>1764</v>
      </c>
      <c r="I458" s="15" t="s">
        <v>1765</v>
      </c>
      <c r="J458" s="15" t="s">
        <v>7</v>
      </c>
      <c r="K458" s="16">
        <v>40070</v>
      </c>
      <c r="L458" s="16">
        <v>52920</v>
      </c>
      <c r="M458" s="17">
        <f>Table1[[#This Row],[Billing Rate Charges]]-Table1[[#This Row],[ LORRY RATE ]]</f>
        <v>12850</v>
      </c>
      <c r="N458" s="17">
        <v>40070</v>
      </c>
      <c r="O458" s="17">
        <f>Table1[[#This Row],[ LORRY RATE ]]-Table1[[#This Row],[Adance Paid (INR)]]</f>
        <v>0</v>
      </c>
      <c r="P458" s="17" t="s">
        <v>147</v>
      </c>
      <c r="Q458" s="18" t="s">
        <v>1788</v>
      </c>
      <c r="R458" s="17"/>
      <c r="S458" s="18" t="s">
        <v>1752</v>
      </c>
      <c r="T458" s="18" t="s">
        <v>1753</v>
      </c>
      <c r="U458" s="15" t="s">
        <v>54</v>
      </c>
      <c r="V458" s="15" t="s">
        <v>56</v>
      </c>
      <c r="W458" s="15"/>
    </row>
    <row r="459" spans="1:23" x14ac:dyDescent="0.3">
      <c r="A459" s="15">
        <v>454</v>
      </c>
      <c r="B459" s="15" t="s">
        <v>1746</v>
      </c>
      <c r="C459" s="19">
        <v>45755</v>
      </c>
      <c r="D459" s="19" t="s">
        <v>56</v>
      </c>
      <c r="E459" s="21" t="s">
        <v>1641</v>
      </c>
      <c r="F459" s="21">
        <v>9281983602</v>
      </c>
      <c r="G459" s="15" t="s">
        <v>1093</v>
      </c>
      <c r="H459" s="15" t="s">
        <v>26</v>
      </c>
      <c r="I459" s="15" t="s">
        <v>1776</v>
      </c>
      <c r="J459" s="15" t="s">
        <v>7</v>
      </c>
      <c r="K459" s="16">
        <v>46590</v>
      </c>
      <c r="L459" s="16">
        <v>96390</v>
      </c>
      <c r="M459" s="17">
        <f>Table1[[#This Row],[Billing Rate Charges]]-Table1[[#This Row],[ LORRY RATE ]]</f>
        <v>49800</v>
      </c>
      <c r="N459" s="17">
        <v>46590</v>
      </c>
      <c r="O459" s="17">
        <f>Table1[[#This Row],[ LORRY RATE ]]-Table1[[#This Row],[Adance Paid (INR)]]</f>
        <v>0</v>
      </c>
      <c r="P459" s="17" t="s">
        <v>147</v>
      </c>
      <c r="Q459" s="18" t="s">
        <v>1793</v>
      </c>
      <c r="R459" s="17"/>
      <c r="S459" s="18" t="s">
        <v>1752</v>
      </c>
      <c r="T459" s="18" t="s">
        <v>1752</v>
      </c>
      <c r="U459" s="15" t="s">
        <v>54</v>
      </c>
      <c r="V459" s="15" t="s">
        <v>56</v>
      </c>
      <c r="W459" s="15"/>
    </row>
    <row r="460" spans="1:23" x14ac:dyDescent="0.3">
      <c r="A460" s="15">
        <v>455</v>
      </c>
      <c r="B460" s="15" t="s">
        <v>1746</v>
      </c>
      <c r="C460" s="19">
        <v>45756</v>
      </c>
      <c r="D460" s="19" t="s">
        <v>56</v>
      </c>
      <c r="E460" s="21" t="s">
        <v>1637</v>
      </c>
      <c r="F460" s="21">
        <v>9025368773</v>
      </c>
      <c r="G460" s="15" t="s">
        <v>1808</v>
      </c>
      <c r="H460" s="15" t="s">
        <v>26</v>
      </c>
      <c r="I460" s="15" t="s">
        <v>6</v>
      </c>
      <c r="J460" s="15" t="s">
        <v>7</v>
      </c>
      <c r="K460" s="16">
        <v>39930</v>
      </c>
      <c r="L460" s="16">
        <v>51980</v>
      </c>
      <c r="M460" s="17">
        <f>Table1[[#This Row],[Billing Rate Charges]]-Table1[[#This Row],[ LORRY RATE ]]</f>
        <v>12050</v>
      </c>
      <c r="N460" s="17">
        <v>39930</v>
      </c>
      <c r="O460" s="17">
        <f>Table1[[#This Row],[ LORRY RATE ]]-Table1[[#This Row],[Adance Paid (INR)]]</f>
        <v>0</v>
      </c>
      <c r="P460" s="17" t="s">
        <v>147</v>
      </c>
      <c r="Q460" s="18" t="s">
        <v>26</v>
      </c>
      <c r="R460" s="17"/>
      <c r="S460" s="18" t="s">
        <v>1754</v>
      </c>
      <c r="T460" s="18" t="s">
        <v>1754</v>
      </c>
      <c r="U460" s="15" t="s">
        <v>54</v>
      </c>
      <c r="V460" s="15" t="s">
        <v>56</v>
      </c>
      <c r="W460" s="15" t="s">
        <v>1809</v>
      </c>
    </row>
    <row r="461" spans="1:23" x14ac:dyDescent="0.3">
      <c r="A461" s="15">
        <v>456</v>
      </c>
      <c r="B461" s="15" t="s">
        <v>1746</v>
      </c>
      <c r="C461" s="19">
        <v>45756</v>
      </c>
      <c r="D461" s="19" t="s">
        <v>51</v>
      </c>
      <c r="E461" s="21" t="s">
        <v>696</v>
      </c>
      <c r="F461" s="21">
        <v>9891277624</v>
      </c>
      <c r="G461" s="15" t="s">
        <v>6</v>
      </c>
      <c r="H461" s="15" t="s">
        <v>1766</v>
      </c>
      <c r="I461" s="15" t="s">
        <v>1767</v>
      </c>
      <c r="J461" s="15" t="s">
        <v>7</v>
      </c>
      <c r="K461" s="16">
        <v>33230</v>
      </c>
      <c r="L461" s="16">
        <v>46620</v>
      </c>
      <c r="M461" s="17">
        <f>Table1[[#This Row],[Billing Rate Charges]]-Table1[[#This Row],[ LORRY RATE ]]</f>
        <v>13390</v>
      </c>
      <c r="N461" s="17">
        <v>33230</v>
      </c>
      <c r="O461" s="17">
        <f>Table1[[#This Row],[ LORRY RATE ]]-Table1[[#This Row],[Adance Paid (INR)]]</f>
        <v>0</v>
      </c>
      <c r="P461" s="17" t="s">
        <v>147</v>
      </c>
      <c r="Q461" s="18" t="s">
        <v>1794</v>
      </c>
      <c r="R461" s="17"/>
      <c r="S461" s="18" t="s">
        <v>1754</v>
      </c>
      <c r="T461" s="18" t="s">
        <v>1754</v>
      </c>
      <c r="U461" s="15" t="s">
        <v>54</v>
      </c>
      <c r="V461" s="15" t="s">
        <v>439</v>
      </c>
      <c r="W461" s="15"/>
    </row>
    <row r="462" spans="1:23" x14ac:dyDescent="0.3">
      <c r="A462" s="15">
        <v>457</v>
      </c>
      <c r="B462" s="15" t="s">
        <v>1746</v>
      </c>
      <c r="C462" s="19">
        <v>45756</v>
      </c>
      <c r="D462" s="19" t="s">
        <v>56</v>
      </c>
      <c r="E462" s="21" t="s">
        <v>1635</v>
      </c>
      <c r="F462" s="21">
        <v>9472230553</v>
      </c>
      <c r="G462" s="15" t="s">
        <v>1093</v>
      </c>
      <c r="H462" s="15" t="s">
        <v>1795</v>
      </c>
      <c r="I462" s="15" t="s">
        <v>6</v>
      </c>
      <c r="J462" s="15" t="s">
        <v>7</v>
      </c>
      <c r="K462" s="16">
        <v>47530</v>
      </c>
      <c r="L462" s="16">
        <v>102690</v>
      </c>
      <c r="M462" s="17">
        <f>Table1[[#This Row],[Billing Rate Charges]]-Table1[[#This Row],[ LORRY RATE ]]</f>
        <v>55160</v>
      </c>
      <c r="N462" s="17">
        <v>47530</v>
      </c>
      <c r="O462" s="17">
        <f>Table1[[#This Row],[ LORRY RATE ]]-Table1[[#This Row],[Adance Paid (INR)]]</f>
        <v>0</v>
      </c>
      <c r="P462" s="17" t="s">
        <v>147</v>
      </c>
      <c r="Q462" s="18" t="s">
        <v>1796</v>
      </c>
      <c r="R462" s="17"/>
      <c r="S462" s="18" t="s">
        <v>1753</v>
      </c>
      <c r="T462" s="18" t="s">
        <v>1753</v>
      </c>
      <c r="U462" s="15" t="s">
        <v>54</v>
      </c>
      <c r="V462" s="15" t="s">
        <v>56</v>
      </c>
      <c r="W462" s="15"/>
    </row>
    <row r="463" spans="1:23" x14ac:dyDescent="0.3">
      <c r="A463" s="15">
        <v>458</v>
      </c>
      <c r="B463" s="15" t="s">
        <v>1746</v>
      </c>
      <c r="C463" s="19">
        <v>45757</v>
      </c>
      <c r="D463" s="19" t="s">
        <v>56</v>
      </c>
      <c r="E463" s="21" t="s">
        <v>1641</v>
      </c>
      <c r="F463" s="21">
        <v>9281983602</v>
      </c>
      <c r="G463" s="15" t="s">
        <v>6</v>
      </c>
      <c r="H463" s="15" t="s">
        <v>1768</v>
      </c>
      <c r="I463" s="15" t="s">
        <v>1769</v>
      </c>
      <c r="J463" s="15" t="s">
        <v>7</v>
      </c>
      <c r="K463" s="16">
        <v>39120</v>
      </c>
      <c r="L463" s="16">
        <v>46620</v>
      </c>
      <c r="M463" s="17">
        <f>Table1[[#This Row],[Billing Rate Charges]]-Table1[[#This Row],[ LORRY RATE ]]</f>
        <v>7500</v>
      </c>
      <c r="N463" s="17">
        <v>39120</v>
      </c>
      <c r="O463" s="17">
        <f>Table1[[#This Row],[ LORRY RATE ]]-Table1[[#This Row],[Adance Paid (INR)]]</f>
        <v>0</v>
      </c>
      <c r="P463" s="17" t="s">
        <v>147</v>
      </c>
      <c r="Q463" s="18" t="s">
        <v>1797</v>
      </c>
      <c r="R463" s="17"/>
      <c r="S463" s="18" t="s">
        <v>1755</v>
      </c>
      <c r="T463" s="18" t="s">
        <v>1755</v>
      </c>
      <c r="U463" s="15" t="s">
        <v>54</v>
      </c>
      <c r="V463" s="15" t="s">
        <v>56</v>
      </c>
      <c r="W463" s="15"/>
    </row>
    <row r="464" spans="1:23" x14ac:dyDescent="0.3">
      <c r="A464" s="15">
        <v>459</v>
      </c>
      <c r="B464" s="15" t="s">
        <v>1746</v>
      </c>
      <c r="C464" s="19">
        <v>45758</v>
      </c>
      <c r="D464" s="19" t="s">
        <v>56</v>
      </c>
      <c r="E464" s="21" t="s">
        <v>60</v>
      </c>
      <c r="F464" s="21">
        <v>9220186371</v>
      </c>
      <c r="G464" s="15" t="s">
        <v>1093</v>
      </c>
      <c r="H464" s="15" t="s">
        <v>1780</v>
      </c>
      <c r="I464" s="15" t="s">
        <v>6</v>
      </c>
      <c r="J464" s="15" t="s">
        <v>7</v>
      </c>
      <c r="K464" s="16">
        <v>48480</v>
      </c>
      <c r="L464" s="16">
        <v>108990</v>
      </c>
      <c r="M464" s="17">
        <f>Table1[[#This Row],[Billing Rate Charges]]-Table1[[#This Row],[ LORRY RATE ]]</f>
        <v>60510</v>
      </c>
      <c r="N464" s="17">
        <v>48480</v>
      </c>
      <c r="O464" s="17">
        <f>Table1[[#This Row],[ LORRY RATE ]]-Table1[[#This Row],[Adance Paid (INR)]]</f>
        <v>0</v>
      </c>
      <c r="P464" s="17" t="s">
        <v>147</v>
      </c>
      <c r="Q464" s="18" t="s">
        <v>1799</v>
      </c>
      <c r="R464" s="17"/>
      <c r="S464" s="18" t="s">
        <v>1756</v>
      </c>
      <c r="T464" s="18" t="s">
        <v>1756</v>
      </c>
      <c r="U464" s="15" t="s">
        <v>54</v>
      </c>
      <c r="V464" s="15" t="s">
        <v>56</v>
      </c>
      <c r="W464" s="15"/>
    </row>
    <row r="465" spans="1:23" x14ac:dyDescent="0.3">
      <c r="A465" s="15">
        <v>460</v>
      </c>
      <c r="B465" s="15" t="s">
        <v>1746</v>
      </c>
      <c r="C465" s="19">
        <v>45758</v>
      </c>
      <c r="D465" s="19" t="s">
        <v>56</v>
      </c>
      <c r="E465" s="15" t="s">
        <v>1635</v>
      </c>
      <c r="F465" s="15">
        <v>9472230553</v>
      </c>
      <c r="G465" s="15" t="s">
        <v>6</v>
      </c>
      <c r="H465" s="15" t="s">
        <v>26</v>
      </c>
      <c r="I465" s="15" t="s">
        <v>1770</v>
      </c>
      <c r="J465" s="15" t="s">
        <v>7</v>
      </c>
      <c r="K465" s="16">
        <v>38180</v>
      </c>
      <c r="L465" s="16">
        <v>40320</v>
      </c>
      <c r="M465" s="17">
        <f>Table1[[#This Row],[Billing Rate Charges]]-Table1[[#This Row],[ LORRY RATE ]]</f>
        <v>2140</v>
      </c>
      <c r="N465" s="17">
        <v>38180</v>
      </c>
      <c r="O465" s="17">
        <f>Table1[[#This Row],[ LORRY RATE ]]-Table1[[#This Row],[Adance Paid (INR)]]</f>
        <v>0</v>
      </c>
      <c r="P465" s="17" t="s">
        <v>147</v>
      </c>
      <c r="Q465" s="18" t="s">
        <v>1798</v>
      </c>
      <c r="R465" s="17"/>
      <c r="S465" s="18" t="s">
        <v>1755</v>
      </c>
      <c r="T465" s="18" t="s">
        <v>1755</v>
      </c>
      <c r="U465" s="15" t="s">
        <v>54</v>
      </c>
      <c r="V465" s="15" t="s">
        <v>56</v>
      </c>
      <c r="W465" s="15"/>
    </row>
    <row r="466" spans="1:23" x14ac:dyDescent="0.3">
      <c r="A466" s="15">
        <v>461</v>
      </c>
      <c r="B466" s="15" t="s">
        <v>1746</v>
      </c>
      <c r="C466" s="19">
        <v>45758</v>
      </c>
      <c r="D466" s="19" t="s">
        <v>56</v>
      </c>
      <c r="E466" s="15" t="s">
        <v>38</v>
      </c>
      <c r="F466" s="15">
        <v>9515412075</v>
      </c>
      <c r="G466" s="15" t="s">
        <v>1537</v>
      </c>
      <c r="H466" s="15" t="s">
        <v>26</v>
      </c>
      <c r="I466" s="15" t="s">
        <v>1778</v>
      </c>
      <c r="J466" s="15" t="s">
        <v>59</v>
      </c>
      <c r="K466" s="16">
        <v>45830</v>
      </c>
      <c r="L466" s="16">
        <v>91350</v>
      </c>
      <c r="M466" s="17">
        <f>Table1[[#This Row],[Billing Rate Charges]]-Table1[[#This Row],[ LORRY RATE ]]</f>
        <v>45520</v>
      </c>
      <c r="N466" s="17">
        <v>45830</v>
      </c>
      <c r="O466" s="17">
        <f>Table1[[#This Row],[ LORRY RATE ]]-Table1[[#This Row],[Adance Paid (INR)]]</f>
        <v>0</v>
      </c>
      <c r="P466" s="17" t="s">
        <v>147</v>
      </c>
      <c r="Q466" s="18" t="s">
        <v>1800</v>
      </c>
      <c r="R466" s="17"/>
      <c r="S466" s="18" t="s">
        <v>1755</v>
      </c>
      <c r="T466" s="18" t="s">
        <v>1755</v>
      </c>
      <c r="U466" s="15" t="s">
        <v>54</v>
      </c>
      <c r="V466" s="15" t="s">
        <v>56</v>
      </c>
      <c r="W466" s="15"/>
    </row>
    <row r="467" spans="1:23" x14ac:dyDescent="0.3">
      <c r="A467" s="15">
        <v>462</v>
      </c>
      <c r="B467" s="15" t="s">
        <v>1746</v>
      </c>
      <c r="C467" s="19">
        <v>45759</v>
      </c>
      <c r="D467" s="19" t="s">
        <v>56</v>
      </c>
      <c r="E467" s="21" t="s">
        <v>1637</v>
      </c>
      <c r="F467" s="21">
        <v>9950016408</v>
      </c>
      <c r="G467" s="15" t="s">
        <v>6</v>
      </c>
      <c r="H467" s="15" t="s">
        <v>26</v>
      </c>
      <c r="I467" s="15" t="s">
        <v>1771</v>
      </c>
      <c r="J467" s="15" t="s">
        <v>172</v>
      </c>
      <c r="K467" s="16">
        <v>38180</v>
      </c>
      <c r="L467" s="16">
        <v>40320</v>
      </c>
      <c r="M467" s="17">
        <f>Table1[[#This Row],[Billing Rate Charges]]-Table1[[#This Row],[ LORRY RATE ]]</f>
        <v>2140</v>
      </c>
      <c r="N467" s="17">
        <v>38180</v>
      </c>
      <c r="O467" s="17">
        <f>Table1[[#This Row],[ LORRY RATE ]]-Table1[[#This Row],[Adance Paid (INR)]]</f>
        <v>0</v>
      </c>
      <c r="P467" s="17" t="s">
        <v>147</v>
      </c>
      <c r="Q467" s="18" t="s">
        <v>1801</v>
      </c>
      <c r="R467" s="17"/>
      <c r="S467" s="18" t="s">
        <v>1811</v>
      </c>
      <c r="T467" s="18" t="s">
        <v>1811</v>
      </c>
      <c r="U467" s="15" t="s">
        <v>54</v>
      </c>
      <c r="V467" s="15" t="s">
        <v>56</v>
      </c>
      <c r="W467" s="15"/>
    </row>
    <row r="468" spans="1:23" x14ac:dyDescent="0.3">
      <c r="A468" s="15">
        <v>463</v>
      </c>
      <c r="B468" s="15" t="s">
        <v>1746</v>
      </c>
      <c r="C468" s="19">
        <v>45760</v>
      </c>
      <c r="D468" s="19" t="s">
        <v>56</v>
      </c>
      <c r="E468" s="21" t="s">
        <v>60</v>
      </c>
      <c r="F468" s="21">
        <v>9220186371</v>
      </c>
      <c r="G468" s="15" t="s">
        <v>6</v>
      </c>
      <c r="H468" s="15" t="s">
        <v>1772</v>
      </c>
      <c r="I468" s="15" t="s">
        <v>1773</v>
      </c>
      <c r="J468" s="15" t="s">
        <v>172</v>
      </c>
      <c r="K468" s="16">
        <v>39120</v>
      </c>
      <c r="L468" s="16">
        <v>46620</v>
      </c>
      <c r="M468" s="17">
        <f>Table1[[#This Row],[Billing Rate Charges]]-Table1[[#This Row],[ LORRY RATE ]]</f>
        <v>7500</v>
      </c>
      <c r="N468" s="17">
        <v>39120</v>
      </c>
      <c r="O468" s="17">
        <f>Table1[[#This Row],[ LORRY RATE ]]-Table1[[#This Row],[Adance Paid (INR)]]</f>
        <v>0</v>
      </c>
      <c r="P468" s="17" t="s">
        <v>147</v>
      </c>
      <c r="Q468" s="18" t="s">
        <v>1802</v>
      </c>
      <c r="R468" s="17"/>
      <c r="S468" s="18" t="s">
        <v>1811</v>
      </c>
      <c r="T468" s="18" t="s">
        <v>1811</v>
      </c>
      <c r="U468" s="15" t="s">
        <v>54</v>
      </c>
      <c r="V468" s="15" t="s">
        <v>56</v>
      </c>
      <c r="W468" s="15"/>
    </row>
    <row r="469" spans="1:23" x14ac:dyDescent="0.3">
      <c r="A469" s="15">
        <v>464</v>
      </c>
      <c r="B469" s="15" t="s">
        <v>1746</v>
      </c>
      <c r="C469" s="19">
        <v>45760</v>
      </c>
      <c r="D469" s="19" t="s">
        <v>56</v>
      </c>
      <c r="E469" s="21" t="s">
        <v>1644</v>
      </c>
      <c r="F469" s="21">
        <v>9902798068</v>
      </c>
      <c r="G469" s="15" t="s">
        <v>1093</v>
      </c>
      <c r="H469" s="15" t="s">
        <v>26</v>
      </c>
      <c r="I469" s="15" t="s">
        <v>1775</v>
      </c>
      <c r="J469" s="15" t="s">
        <v>172</v>
      </c>
      <c r="K469" s="16">
        <v>46590</v>
      </c>
      <c r="L469" s="16">
        <v>96390</v>
      </c>
      <c r="M469" s="17">
        <f>Table1[[#This Row],[Billing Rate Charges]]-Table1[[#This Row],[ LORRY RATE ]]</f>
        <v>49800</v>
      </c>
      <c r="N469" s="17">
        <v>46590</v>
      </c>
      <c r="O469" s="17">
        <f>Table1[[#This Row],[ LORRY RATE ]]-Table1[[#This Row],[Adance Paid (INR)]]</f>
        <v>0</v>
      </c>
      <c r="P469" s="17" t="s">
        <v>147</v>
      </c>
      <c r="Q469" s="18" t="s">
        <v>1803</v>
      </c>
      <c r="R469" s="17"/>
      <c r="S469" s="18" t="s">
        <v>1805</v>
      </c>
      <c r="T469" s="18" t="s">
        <v>1805</v>
      </c>
      <c r="U469" s="15" t="s">
        <v>54</v>
      </c>
      <c r="V469" s="15" t="s">
        <v>56</v>
      </c>
      <c r="W469" s="15"/>
    </row>
    <row r="470" spans="1:23" x14ac:dyDescent="0.3">
      <c r="A470" s="15">
        <v>465</v>
      </c>
      <c r="B470" s="15" t="s">
        <v>1746</v>
      </c>
      <c r="C470" s="19">
        <v>45761</v>
      </c>
      <c r="D470" s="19" t="s">
        <v>56</v>
      </c>
      <c r="E470" s="21" t="s">
        <v>38</v>
      </c>
      <c r="F470" s="21">
        <v>9515412075</v>
      </c>
      <c r="G470" s="15" t="s">
        <v>6</v>
      </c>
      <c r="H470" s="15" t="s">
        <v>1826</v>
      </c>
      <c r="I470" s="15" t="s">
        <v>1827</v>
      </c>
      <c r="J470" s="15" t="s">
        <v>59</v>
      </c>
      <c r="K470" s="16">
        <v>38890</v>
      </c>
      <c r="L470" s="16">
        <v>45040</v>
      </c>
      <c r="M470" s="17">
        <f>Table1[[#This Row],[Billing Rate Charges]]-Table1[[#This Row],[ LORRY RATE ]]</f>
        <v>6150</v>
      </c>
      <c r="N470" s="17">
        <v>38890</v>
      </c>
      <c r="O470" s="17">
        <f>Table1[[#This Row],[ LORRY RATE ]]-Table1[[#This Row],[Adance Paid (INR)]]</f>
        <v>0</v>
      </c>
      <c r="P470" s="17" t="s">
        <v>147</v>
      </c>
      <c r="Q470" s="18" t="s">
        <v>1854</v>
      </c>
      <c r="R470" s="17"/>
      <c r="S470" s="18" t="s">
        <v>1812</v>
      </c>
      <c r="T470" s="18" t="s">
        <v>1813</v>
      </c>
      <c r="U470" s="15" t="s">
        <v>54</v>
      </c>
      <c r="V470" s="15" t="s">
        <v>56</v>
      </c>
      <c r="W470" s="15"/>
    </row>
    <row r="471" spans="1:23" x14ac:dyDescent="0.3">
      <c r="A471" s="15">
        <v>466</v>
      </c>
      <c r="B471" s="15" t="s">
        <v>1746</v>
      </c>
      <c r="C471" s="19">
        <v>45761</v>
      </c>
      <c r="D471" s="19" t="s">
        <v>51</v>
      </c>
      <c r="E471" s="21" t="s">
        <v>1804</v>
      </c>
      <c r="F471" s="21">
        <v>9501216636</v>
      </c>
      <c r="G471" s="15" t="s">
        <v>6</v>
      </c>
      <c r="H471" s="15" t="s">
        <v>26</v>
      </c>
      <c r="I471" s="15" t="s">
        <v>1828</v>
      </c>
      <c r="J471" s="15" t="s">
        <v>172</v>
      </c>
      <c r="K471" s="16">
        <v>31750</v>
      </c>
      <c r="L471" s="16">
        <v>40320</v>
      </c>
      <c r="M471" s="17">
        <f>Table1[[#This Row],[Billing Rate Charges]]-Table1[[#This Row],[ LORRY RATE ]]</f>
        <v>8570</v>
      </c>
      <c r="N471" s="17">
        <v>31750</v>
      </c>
      <c r="O471" s="17">
        <f>Table1[[#This Row],[ LORRY RATE ]]-Table1[[#This Row],[Adance Paid (INR)]]</f>
        <v>0</v>
      </c>
      <c r="P471" s="17" t="s">
        <v>147</v>
      </c>
      <c r="Q471" s="18" t="s">
        <v>1856</v>
      </c>
      <c r="R471" s="17"/>
      <c r="S471" s="18" t="s">
        <v>1812</v>
      </c>
      <c r="T471" s="18" t="s">
        <v>1812</v>
      </c>
      <c r="U471" s="15" t="s">
        <v>54</v>
      </c>
      <c r="V471" s="15" t="s">
        <v>529</v>
      </c>
      <c r="W471" s="15"/>
    </row>
    <row r="472" spans="1:23" x14ac:dyDescent="0.3">
      <c r="A472" s="15">
        <v>467</v>
      </c>
      <c r="B472" s="15" t="s">
        <v>1746</v>
      </c>
      <c r="C472" s="19">
        <v>45762</v>
      </c>
      <c r="D472" s="19" t="s">
        <v>56</v>
      </c>
      <c r="E472" s="21" t="s">
        <v>1635</v>
      </c>
      <c r="F472" s="21">
        <v>9472230553</v>
      </c>
      <c r="G472" s="15" t="s">
        <v>1093</v>
      </c>
      <c r="H472" s="15" t="s">
        <v>26</v>
      </c>
      <c r="I472" s="15" t="s">
        <v>1848</v>
      </c>
      <c r="J472" s="15" t="s">
        <v>172</v>
      </c>
      <c r="K472" s="16">
        <v>46590</v>
      </c>
      <c r="L472" s="16">
        <v>96390</v>
      </c>
      <c r="M472" s="17">
        <f>Table1[[#This Row],[Billing Rate Charges]]-Table1[[#This Row],[ LORRY RATE ]]</f>
        <v>49800</v>
      </c>
      <c r="N472" s="17">
        <v>46590</v>
      </c>
      <c r="O472" s="17">
        <f>Table1[[#This Row],[ LORRY RATE ]]-Table1[[#This Row],[Adance Paid (INR)]]</f>
        <v>0</v>
      </c>
      <c r="P472" s="17" t="s">
        <v>147</v>
      </c>
      <c r="Q472" s="18" t="s">
        <v>1858</v>
      </c>
      <c r="R472" s="17"/>
      <c r="S472" s="18" t="s">
        <v>1813</v>
      </c>
      <c r="T472" s="18" t="s">
        <v>1813</v>
      </c>
      <c r="U472" s="15" t="s">
        <v>54</v>
      </c>
      <c r="V472" s="15" t="s">
        <v>56</v>
      </c>
      <c r="W472" s="15"/>
    </row>
    <row r="473" spans="1:23" x14ac:dyDescent="0.3">
      <c r="A473" s="15">
        <v>468</v>
      </c>
      <c r="B473" s="15" t="s">
        <v>1746</v>
      </c>
      <c r="C473" s="19">
        <v>45763</v>
      </c>
      <c r="D473" s="19" t="s">
        <v>56</v>
      </c>
      <c r="E473" s="21" t="s">
        <v>1644</v>
      </c>
      <c r="F473" s="21">
        <v>9902798068</v>
      </c>
      <c r="G473" s="15" t="s">
        <v>6</v>
      </c>
      <c r="H473" s="15" t="s">
        <v>1829</v>
      </c>
      <c r="I473" s="15" t="s">
        <v>1830</v>
      </c>
      <c r="J473" s="15" t="s">
        <v>1806</v>
      </c>
      <c r="K473" s="16">
        <v>39120</v>
      </c>
      <c r="L473" s="16">
        <v>46620</v>
      </c>
      <c r="M473" s="17">
        <f>Table1[[#This Row],[Billing Rate Charges]]-Table1[[#This Row],[ LORRY RATE ]]</f>
        <v>7500</v>
      </c>
      <c r="N473" s="17">
        <v>39120</v>
      </c>
      <c r="O473" s="17">
        <f>Table1[[#This Row],[ LORRY RATE ]]-Table1[[#This Row],[Adance Paid (INR)]]</f>
        <v>0</v>
      </c>
      <c r="P473" s="17" t="s">
        <v>147</v>
      </c>
      <c r="Q473" s="18" t="s">
        <v>1859</v>
      </c>
      <c r="R473" s="17"/>
      <c r="S473" s="18" t="s">
        <v>1813</v>
      </c>
      <c r="T473" s="18" t="s">
        <v>1813</v>
      </c>
      <c r="U473" s="15" t="s">
        <v>54</v>
      </c>
      <c r="V473" s="15" t="s">
        <v>56</v>
      </c>
      <c r="W473" s="15"/>
    </row>
    <row r="474" spans="1:23" x14ac:dyDescent="0.3">
      <c r="A474" s="15">
        <v>469</v>
      </c>
      <c r="B474" s="15" t="s">
        <v>1746</v>
      </c>
      <c r="C474" s="19">
        <v>45763</v>
      </c>
      <c r="D474" s="19" t="s">
        <v>51</v>
      </c>
      <c r="E474" s="21" t="s">
        <v>1559</v>
      </c>
      <c r="F474" s="21">
        <v>9717182270</v>
      </c>
      <c r="G474" s="15" t="s">
        <v>6</v>
      </c>
      <c r="H474" s="15" t="s">
        <v>1831</v>
      </c>
      <c r="I474" s="15" t="s">
        <v>1832</v>
      </c>
      <c r="J474" s="15" t="s">
        <v>172</v>
      </c>
      <c r="K474" s="16">
        <v>33230</v>
      </c>
      <c r="L474" s="16">
        <v>46620</v>
      </c>
      <c r="M474" s="17">
        <f>Table1[[#This Row],[Billing Rate Charges]]-Table1[[#This Row],[ LORRY RATE ]]</f>
        <v>13390</v>
      </c>
      <c r="N474" s="17">
        <v>33230</v>
      </c>
      <c r="O474" s="17">
        <f>Table1[[#This Row],[ LORRY RATE ]]-Table1[[#This Row],[Adance Paid (INR)]]</f>
        <v>0</v>
      </c>
      <c r="P474" s="17" t="s">
        <v>147</v>
      </c>
      <c r="Q474" s="18" t="s">
        <v>1861</v>
      </c>
      <c r="R474" s="17"/>
      <c r="S474" s="18" t="s">
        <v>1817</v>
      </c>
      <c r="T474" s="18" t="s">
        <v>1817</v>
      </c>
      <c r="U474" s="15" t="s">
        <v>54</v>
      </c>
      <c r="V474" s="15" t="s">
        <v>529</v>
      </c>
      <c r="W474" s="15"/>
    </row>
    <row r="475" spans="1:23" x14ac:dyDescent="0.3">
      <c r="A475" s="15">
        <v>470</v>
      </c>
      <c r="B475" s="15" t="s">
        <v>1746</v>
      </c>
      <c r="C475" s="19">
        <v>45764</v>
      </c>
      <c r="D475" s="19" t="s">
        <v>56</v>
      </c>
      <c r="E475" s="21" t="s">
        <v>1641</v>
      </c>
      <c r="F475" s="21">
        <v>9281983602</v>
      </c>
      <c r="G475" s="15" t="s">
        <v>1093</v>
      </c>
      <c r="H475" s="15" t="s">
        <v>26</v>
      </c>
      <c r="I475" s="15" t="s">
        <v>1849</v>
      </c>
      <c r="J475" s="15" t="s">
        <v>172</v>
      </c>
      <c r="K475" s="16">
        <v>46590</v>
      </c>
      <c r="L475" s="16">
        <v>96390</v>
      </c>
      <c r="M475" s="17">
        <f>Table1[[#This Row],[Billing Rate Charges]]-Table1[[#This Row],[ LORRY RATE ]]</f>
        <v>49800</v>
      </c>
      <c r="N475" s="17">
        <v>46590</v>
      </c>
      <c r="O475" s="17">
        <f>Table1[[#This Row],[ LORRY RATE ]]-Table1[[#This Row],[Adance Paid (INR)]]</f>
        <v>0</v>
      </c>
      <c r="P475" s="17" t="s">
        <v>147</v>
      </c>
      <c r="Q475" s="18" t="s">
        <v>1862</v>
      </c>
      <c r="R475" s="17"/>
      <c r="S475" s="18" t="s">
        <v>1814</v>
      </c>
      <c r="T475" s="18" t="s">
        <v>1814</v>
      </c>
      <c r="U475" s="15" t="s">
        <v>54</v>
      </c>
      <c r="V475" s="15" t="s">
        <v>56</v>
      </c>
      <c r="W475" s="15"/>
    </row>
    <row r="476" spans="1:23" x14ac:dyDescent="0.3">
      <c r="A476" s="15">
        <v>471</v>
      </c>
      <c r="B476" s="15" t="s">
        <v>1746</v>
      </c>
      <c r="C476" s="19">
        <v>45765</v>
      </c>
      <c r="D476" s="19" t="s">
        <v>56</v>
      </c>
      <c r="E476" s="21" t="s">
        <v>1635</v>
      </c>
      <c r="F476" s="21">
        <v>9472230553</v>
      </c>
      <c r="G476" s="15" t="s">
        <v>6</v>
      </c>
      <c r="H476" s="15" t="s">
        <v>1833</v>
      </c>
      <c r="I476" s="15" t="s">
        <v>1834</v>
      </c>
      <c r="J476" s="15" t="s">
        <v>172</v>
      </c>
      <c r="K476" s="16">
        <v>39120</v>
      </c>
      <c r="L476" s="16">
        <v>46620</v>
      </c>
      <c r="M476" s="17">
        <f>Table1[[#This Row],[Billing Rate Charges]]-Table1[[#This Row],[ LORRY RATE ]]</f>
        <v>7500</v>
      </c>
      <c r="N476" s="17">
        <v>39120</v>
      </c>
      <c r="O476" s="17">
        <f>Table1[[#This Row],[ LORRY RATE ]]-Table1[[#This Row],[Adance Paid (INR)]]</f>
        <v>0</v>
      </c>
      <c r="P476" s="17" t="s">
        <v>147</v>
      </c>
      <c r="Q476" s="18" t="s">
        <v>1863</v>
      </c>
      <c r="R476" s="17"/>
      <c r="S476" s="18" t="s">
        <v>1817</v>
      </c>
      <c r="T476" s="18" t="s">
        <v>1817</v>
      </c>
      <c r="U476" s="15" t="s">
        <v>54</v>
      </c>
      <c r="V476" s="15" t="s">
        <v>56</v>
      </c>
      <c r="W476" s="15"/>
    </row>
    <row r="477" spans="1:23" x14ac:dyDescent="0.3">
      <c r="A477" s="15">
        <v>472</v>
      </c>
      <c r="B477" s="15" t="s">
        <v>1746</v>
      </c>
      <c r="C477" s="19">
        <v>45765</v>
      </c>
      <c r="D477" s="19" t="s">
        <v>51</v>
      </c>
      <c r="E477" s="21" t="s">
        <v>1807</v>
      </c>
      <c r="F477" s="21">
        <v>9079688527</v>
      </c>
      <c r="G477" s="15" t="s">
        <v>6</v>
      </c>
      <c r="H477" s="15" t="s">
        <v>26</v>
      </c>
      <c r="I477" s="15" t="s">
        <v>1835</v>
      </c>
      <c r="J477" s="15" t="s">
        <v>172</v>
      </c>
      <c r="K477" s="16">
        <v>31750</v>
      </c>
      <c r="L477" s="16">
        <v>40320</v>
      </c>
      <c r="M477" s="17">
        <f>Table1[[#This Row],[Billing Rate Charges]]-Table1[[#This Row],[ LORRY RATE ]]</f>
        <v>8570</v>
      </c>
      <c r="N477" s="17">
        <v>31750</v>
      </c>
      <c r="O477" s="17">
        <f>Table1[[#This Row],[ LORRY RATE ]]-Table1[[#This Row],[Adance Paid (INR)]]</f>
        <v>0</v>
      </c>
      <c r="P477" s="17" t="s">
        <v>147</v>
      </c>
      <c r="Q477" s="18" t="s">
        <v>1865</v>
      </c>
      <c r="R477" s="17"/>
      <c r="S477" s="18" t="s">
        <v>1817</v>
      </c>
      <c r="T477" s="18" t="s">
        <v>1817</v>
      </c>
      <c r="U477" s="15" t="s">
        <v>54</v>
      </c>
      <c r="V477" s="15" t="s">
        <v>529</v>
      </c>
      <c r="W477" s="15"/>
    </row>
    <row r="478" spans="1:23" x14ac:dyDescent="0.3">
      <c r="A478" s="15">
        <v>473</v>
      </c>
      <c r="B478" s="15" t="s">
        <v>1746</v>
      </c>
      <c r="C478" s="19">
        <v>45765</v>
      </c>
      <c r="D478" s="19" t="s">
        <v>56</v>
      </c>
      <c r="E478" s="21" t="s">
        <v>1637</v>
      </c>
      <c r="F478" s="21">
        <v>9950016408</v>
      </c>
      <c r="G478" s="15" t="s">
        <v>1093</v>
      </c>
      <c r="H478" s="15" t="s">
        <v>26</v>
      </c>
      <c r="I478" s="15" t="s">
        <v>1853</v>
      </c>
      <c r="J478" s="15" t="s">
        <v>172</v>
      </c>
      <c r="K478" s="16">
        <v>46590</v>
      </c>
      <c r="L478" s="16">
        <v>96390</v>
      </c>
      <c r="M478" s="17">
        <f>Table1[[#This Row],[Billing Rate Charges]]-Table1[[#This Row],[ LORRY RATE ]]</f>
        <v>49800</v>
      </c>
      <c r="N478" s="17">
        <v>46590</v>
      </c>
      <c r="O478" s="17">
        <f>Table1[[#This Row],[ LORRY RATE ]]-Table1[[#This Row],[Adance Paid (INR)]]</f>
        <v>0</v>
      </c>
      <c r="P478" s="17" t="s">
        <v>147</v>
      </c>
      <c r="Q478" s="18" t="s">
        <v>1866</v>
      </c>
      <c r="R478" s="17"/>
      <c r="S478" s="18" t="s">
        <v>1817</v>
      </c>
      <c r="T478" s="18" t="s">
        <v>1817</v>
      </c>
      <c r="U478" s="15" t="s">
        <v>54</v>
      </c>
      <c r="V478" s="15" t="s">
        <v>56</v>
      </c>
      <c r="W478" s="15"/>
    </row>
    <row r="479" spans="1:23" x14ac:dyDescent="0.3">
      <c r="A479" s="15">
        <v>474</v>
      </c>
      <c r="B479" s="15" t="s">
        <v>1746</v>
      </c>
      <c r="C479" s="19">
        <v>45765</v>
      </c>
      <c r="D479" s="19" t="s">
        <v>56</v>
      </c>
      <c r="E479" s="15" t="s">
        <v>1644</v>
      </c>
      <c r="F479" s="15">
        <v>9902798068</v>
      </c>
      <c r="G479" s="15" t="s">
        <v>1810</v>
      </c>
      <c r="H479" s="15" t="s">
        <v>26</v>
      </c>
      <c r="I479" s="15" t="s">
        <v>1542</v>
      </c>
      <c r="J479" s="15" t="s">
        <v>172</v>
      </c>
      <c r="K479" s="16">
        <v>39220</v>
      </c>
      <c r="L479" s="16">
        <v>47250</v>
      </c>
      <c r="M479" s="17">
        <f>Table1[[#This Row],[Billing Rate Charges]]-Table1[[#This Row],[ LORRY RATE ]]</f>
        <v>8030</v>
      </c>
      <c r="N479" s="17">
        <v>39220</v>
      </c>
      <c r="O479" s="17">
        <f>Table1[[#This Row],[ LORRY RATE ]]-Table1[[#This Row],[Adance Paid (INR)]]</f>
        <v>0</v>
      </c>
      <c r="P479" s="17" t="s">
        <v>147</v>
      </c>
      <c r="Q479" s="17" t="s">
        <v>26</v>
      </c>
      <c r="R479" s="17"/>
      <c r="S479" s="18" t="s">
        <v>1817</v>
      </c>
      <c r="T479" s="18" t="s">
        <v>1817</v>
      </c>
      <c r="U479" s="15" t="s">
        <v>54</v>
      </c>
      <c r="V479" s="15" t="s">
        <v>56</v>
      </c>
      <c r="W479" s="15" t="s">
        <v>1819</v>
      </c>
    </row>
    <row r="480" spans="1:23" x14ac:dyDescent="0.3">
      <c r="A480" s="15">
        <v>475</v>
      </c>
      <c r="B480" s="15" t="s">
        <v>1746</v>
      </c>
      <c r="C480" s="19">
        <v>45766</v>
      </c>
      <c r="D480" s="19" t="s">
        <v>56</v>
      </c>
      <c r="E480" s="21" t="s">
        <v>38</v>
      </c>
      <c r="F480" s="21">
        <v>9515412075</v>
      </c>
      <c r="G480" s="15" t="s">
        <v>1093</v>
      </c>
      <c r="H480" s="15" t="s">
        <v>26</v>
      </c>
      <c r="I480" s="15" t="s">
        <v>1852</v>
      </c>
      <c r="J480" s="15" t="s">
        <v>59</v>
      </c>
      <c r="K480" s="16">
        <v>45830</v>
      </c>
      <c r="L480" s="16">
        <v>91350</v>
      </c>
      <c r="M480" s="17">
        <f>Table1[[#This Row],[Billing Rate Charges]]-Table1[[#This Row],[ LORRY RATE ]]</f>
        <v>45520</v>
      </c>
      <c r="N480" s="17">
        <v>45830</v>
      </c>
      <c r="O480" s="17">
        <f>Table1[[#This Row],[ LORRY RATE ]]-Table1[[#This Row],[Adance Paid (INR)]]</f>
        <v>0</v>
      </c>
      <c r="P480" s="17" t="s">
        <v>147</v>
      </c>
      <c r="Q480" s="18" t="s">
        <v>1867</v>
      </c>
      <c r="R480" s="17"/>
      <c r="S480" s="18" t="s">
        <v>1818</v>
      </c>
      <c r="T480" s="18" t="s">
        <v>1818</v>
      </c>
      <c r="U480" s="15" t="s">
        <v>54</v>
      </c>
      <c r="V480" s="15" t="s">
        <v>56</v>
      </c>
      <c r="W480" s="15"/>
    </row>
    <row r="481" spans="1:23" x14ac:dyDescent="0.3">
      <c r="A481" s="15">
        <v>476</v>
      </c>
      <c r="B481" s="15" t="s">
        <v>1746</v>
      </c>
      <c r="C481" s="19">
        <v>45766</v>
      </c>
      <c r="D481" s="19" t="s">
        <v>56</v>
      </c>
      <c r="E481" s="21" t="s">
        <v>60</v>
      </c>
      <c r="F481" s="21">
        <v>9220186371</v>
      </c>
      <c r="G481" s="15" t="s">
        <v>1093</v>
      </c>
      <c r="H481" s="15" t="s">
        <v>1850</v>
      </c>
      <c r="I481" s="15" t="s">
        <v>1851</v>
      </c>
      <c r="J481" s="15" t="s">
        <v>1815</v>
      </c>
      <c r="K481" s="16">
        <v>47530</v>
      </c>
      <c r="L481" s="16">
        <v>102690</v>
      </c>
      <c r="M481" s="17">
        <f>Table1[[#This Row],[Billing Rate Charges]]-Table1[[#This Row],[ LORRY RATE ]]</f>
        <v>55160</v>
      </c>
      <c r="N481" s="17">
        <v>47530</v>
      </c>
      <c r="O481" s="17">
        <f>Table1[[#This Row],[ LORRY RATE ]]-Table1[[#This Row],[Adance Paid (INR)]]</f>
        <v>0</v>
      </c>
      <c r="P481" s="17" t="s">
        <v>147</v>
      </c>
      <c r="Q481" s="18" t="s">
        <v>1855</v>
      </c>
      <c r="R481" s="17"/>
      <c r="S481" s="18" t="s">
        <v>1818</v>
      </c>
      <c r="T481" s="18" t="s">
        <v>1818</v>
      </c>
      <c r="U481" s="15" t="s">
        <v>54</v>
      </c>
      <c r="V481" s="15" t="s">
        <v>56</v>
      </c>
      <c r="W481" s="15"/>
    </row>
    <row r="482" spans="1:23" x14ac:dyDescent="0.3">
      <c r="A482" s="15">
        <v>477</v>
      </c>
      <c r="B482" s="15" t="s">
        <v>1746</v>
      </c>
      <c r="C482" s="19">
        <v>45767</v>
      </c>
      <c r="D482" s="19" t="s">
        <v>56</v>
      </c>
      <c r="E482" s="21" t="s">
        <v>1641</v>
      </c>
      <c r="F482" s="21">
        <v>9281983602</v>
      </c>
      <c r="G482" s="15" t="s">
        <v>6</v>
      </c>
      <c r="H482" s="15" t="s">
        <v>1836</v>
      </c>
      <c r="I482" s="15" t="s">
        <v>1837</v>
      </c>
      <c r="J482" s="15" t="s">
        <v>172</v>
      </c>
      <c r="K482" s="16">
        <v>39120</v>
      </c>
      <c r="L482" s="16">
        <v>46620</v>
      </c>
      <c r="M482" s="17">
        <f>Table1[[#This Row],[Billing Rate Charges]]-Table1[[#This Row],[ LORRY RATE ]]</f>
        <v>7500</v>
      </c>
      <c r="N482" s="17">
        <v>39120</v>
      </c>
      <c r="O482" s="17">
        <f>Table1[[#This Row],[ LORRY RATE ]]-Table1[[#This Row],[Adance Paid (INR)]]</f>
        <v>0</v>
      </c>
      <c r="P482" s="17" t="s">
        <v>147</v>
      </c>
      <c r="Q482" s="18" t="s">
        <v>1857</v>
      </c>
      <c r="R482" s="17"/>
      <c r="S482" s="18" t="s">
        <v>1818</v>
      </c>
      <c r="T482" s="18" t="s">
        <v>1818</v>
      </c>
      <c r="U482" s="15" t="s">
        <v>54</v>
      </c>
      <c r="V482" s="15" t="s">
        <v>56</v>
      </c>
      <c r="W482" s="15"/>
    </row>
    <row r="483" spans="1:23" x14ac:dyDescent="0.3">
      <c r="A483" s="15">
        <v>478</v>
      </c>
      <c r="B483" s="15" t="s">
        <v>1746</v>
      </c>
      <c r="C483" s="19">
        <v>45768</v>
      </c>
      <c r="D483" s="19" t="s">
        <v>56</v>
      </c>
      <c r="E483" s="21" t="s">
        <v>1635</v>
      </c>
      <c r="F483" s="21">
        <v>9472230553</v>
      </c>
      <c r="G483" s="15" t="s">
        <v>41</v>
      </c>
      <c r="H483" s="15" t="s">
        <v>26</v>
      </c>
      <c r="I483" s="15" t="s">
        <v>1816</v>
      </c>
      <c r="J483" s="15" t="s">
        <v>172</v>
      </c>
      <c r="K483" s="16">
        <v>45170</v>
      </c>
      <c r="L483" s="16">
        <v>54810</v>
      </c>
      <c r="M483" s="17">
        <f>Table1[[#This Row],[Billing Rate Charges]]-Table1[[#This Row],[ LORRY RATE ]]</f>
        <v>9640</v>
      </c>
      <c r="N483" s="17">
        <v>45170</v>
      </c>
      <c r="O483" s="17">
        <f>Table1[[#This Row],[ LORRY RATE ]]-Table1[[#This Row],[Adance Paid (INR)]]</f>
        <v>0</v>
      </c>
      <c r="P483" s="17" t="s">
        <v>147</v>
      </c>
      <c r="Q483" s="17" t="s">
        <v>26</v>
      </c>
      <c r="R483" s="17"/>
      <c r="S483" s="18" t="s">
        <v>1822</v>
      </c>
      <c r="T483" s="18" t="s">
        <v>1822</v>
      </c>
      <c r="U483" s="15" t="s">
        <v>54</v>
      </c>
      <c r="V483" s="15" t="s">
        <v>56</v>
      </c>
      <c r="W483" s="15" t="s">
        <v>1820</v>
      </c>
    </row>
    <row r="484" spans="1:23" x14ac:dyDescent="0.3">
      <c r="A484" s="15">
        <v>479</v>
      </c>
      <c r="B484" s="15" t="s">
        <v>1746</v>
      </c>
      <c r="C484" s="19">
        <v>45768</v>
      </c>
      <c r="D484" s="19" t="s">
        <v>56</v>
      </c>
      <c r="E484" s="21" t="s">
        <v>1637</v>
      </c>
      <c r="F484" s="21">
        <v>9950016408</v>
      </c>
      <c r="G484" s="15" t="s">
        <v>6</v>
      </c>
      <c r="H484" s="15" t="s">
        <v>1838</v>
      </c>
      <c r="I484" s="15" t="s">
        <v>1839</v>
      </c>
      <c r="J484" s="15" t="s">
        <v>172</v>
      </c>
      <c r="K484" s="16">
        <v>39120</v>
      </c>
      <c r="L484" s="16">
        <v>46620</v>
      </c>
      <c r="M484" s="17">
        <f>Table1[[#This Row],[Billing Rate Charges]]-Table1[[#This Row],[ LORRY RATE ]]</f>
        <v>7500</v>
      </c>
      <c r="N484" s="17">
        <v>39120</v>
      </c>
      <c r="O484" s="17">
        <f>Table1[[#This Row],[ LORRY RATE ]]-Table1[[#This Row],[Adance Paid (INR)]]</f>
        <v>0</v>
      </c>
      <c r="P484" s="17" t="s">
        <v>147</v>
      </c>
      <c r="Q484" s="18" t="s">
        <v>1868</v>
      </c>
      <c r="R484" s="17"/>
      <c r="S484" s="18" t="s">
        <v>1823</v>
      </c>
      <c r="T484" s="18" t="s">
        <v>1823</v>
      </c>
      <c r="U484" s="15" t="s">
        <v>54</v>
      </c>
      <c r="V484" s="15" t="s">
        <v>56</v>
      </c>
      <c r="W484" s="15"/>
    </row>
    <row r="485" spans="1:23" x14ac:dyDescent="0.3">
      <c r="A485" s="15">
        <v>480</v>
      </c>
      <c r="B485" s="15" t="s">
        <v>1746</v>
      </c>
      <c r="C485" s="19">
        <v>45769</v>
      </c>
      <c r="D485" s="19" t="s">
        <v>56</v>
      </c>
      <c r="E485" s="21" t="s">
        <v>1644</v>
      </c>
      <c r="F485" s="21">
        <v>9902798068</v>
      </c>
      <c r="G485" s="15" t="s">
        <v>6</v>
      </c>
      <c r="H485" s="15" t="s">
        <v>1840</v>
      </c>
      <c r="I485" s="15" t="s">
        <v>1841</v>
      </c>
      <c r="J485" s="15" t="s">
        <v>172</v>
      </c>
      <c r="K485" s="16">
        <v>39120</v>
      </c>
      <c r="L485" s="16">
        <v>46620</v>
      </c>
      <c r="M485" s="17">
        <f>Table1[[#This Row],[Billing Rate Charges]]-Table1[[#This Row],[ LORRY RATE ]]</f>
        <v>7500</v>
      </c>
      <c r="N485" s="17">
        <v>39120</v>
      </c>
      <c r="O485" s="17">
        <f>Table1[[#This Row],[ LORRY RATE ]]-Table1[[#This Row],[Adance Paid (INR)]]</f>
        <v>0</v>
      </c>
      <c r="P485" s="17" t="s">
        <v>147</v>
      </c>
      <c r="Q485" s="18" t="s">
        <v>1864</v>
      </c>
      <c r="R485" s="17"/>
      <c r="S485" s="18" t="s">
        <v>1824</v>
      </c>
      <c r="T485" s="18" t="s">
        <v>1824</v>
      </c>
      <c r="U485" s="15" t="s">
        <v>54</v>
      </c>
      <c r="V485" s="15" t="s">
        <v>56</v>
      </c>
      <c r="W485" s="15"/>
    </row>
    <row r="486" spans="1:23" x14ac:dyDescent="0.3">
      <c r="A486" s="15">
        <v>481</v>
      </c>
      <c r="B486" s="15" t="s">
        <v>1746</v>
      </c>
      <c r="C486" s="19">
        <v>45769</v>
      </c>
      <c r="D486" s="19" t="s">
        <v>56</v>
      </c>
      <c r="E486" s="21" t="s">
        <v>60</v>
      </c>
      <c r="F486" s="21">
        <v>9220186371</v>
      </c>
      <c r="G486" s="15" t="s">
        <v>6</v>
      </c>
      <c r="H486" s="15" t="s">
        <v>1842</v>
      </c>
      <c r="I486" s="15" t="s">
        <v>1843</v>
      </c>
      <c r="J486" s="15" t="s">
        <v>172</v>
      </c>
      <c r="K486" s="16">
        <v>39120</v>
      </c>
      <c r="L486" s="16">
        <v>46620</v>
      </c>
      <c r="M486" s="17">
        <f>Table1[[#This Row],[Billing Rate Charges]]-Table1[[#This Row],[ LORRY RATE ]]</f>
        <v>7500</v>
      </c>
      <c r="N486" s="17">
        <v>39120</v>
      </c>
      <c r="O486" s="17">
        <f>Table1[[#This Row],[ LORRY RATE ]]-Table1[[#This Row],[Adance Paid (INR)]]</f>
        <v>0</v>
      </c>
      <c r="P486" s="17" t="s">
        <v>147</v>
      </c>
      <c r="Q486" s="18" t="s">
        <v>1860</v>
      </c>
      <c r="R486" s="17"/>
      <c r="S486" s="18" t="s">
        <v>1824</v>
      </c>
      <c r="T486" s="18" t="s">
        <v>1824</v>
      </c>
      <c r="U486" s="15" t="s">
        <v>54</v>
      </c>
      <c r="V486" s="15" t="s">
        <v>56</v>
      </c>
      <c r="W486" s="15"/>
    </row>
    <row r="487" spans="1:23" x14ac:dyDescent="0.3">
      <c r="A487" s="15">
        <v>482</v>
      </c>
      <c r="B487" s="15" t="s">
        <v>1746</v>
      </c>
      <c r="C487" s="19">
        <v>45770</v>
      </c>
      <c r="D487" s="19" t="s">
        <v>56</v>
      </c>
      <c r="E487" s="21" t="s">
        <v>38</v>
      </c>
      <c r="F487" s="21">
        <v>9515412075</v>
      </c>
      <c r="G487" s="15" t="s">
        <v>6</v>
      </c>
      <c r="H487" s="15" t="s">
        <v>26</v>
      </c>
      <c r="I487" s="15" t="s">
        <v>1844</v>
      </c>
      <c r="J487" s="15" t="s">
        <v>59</v>
      </c>
      <c r="K487" s="16">
        <v>37940</v>
      </c>
      <c r="L487" s="16">
        <v>38740</v>
      </c>
      <c r="M487" s="17">
        <f>Table1[[#This Row],[Billing Rate Charges]]-Table1[[#This Row],[ LORRY RATE ]]</f>
        <v>800</v>
      </c>
      <c r="N487" s="17">
        <v>37940</v>
      </c>
      <c r="O487" s="17">
        <f>Table1[[#This Row],[ LORRY RATE ]]-Table1[[#This Row],[Adance Paid (INR)]]</f>
        <v>0</v>
      </c>
      <c r="P487" s="17" t="s">
        <v>147</v>
      </c>
      <c r="Q487" s="18" t="s">
        <v>1869</v>
      </c>
      <c r="R487" s="17"/>
      <c r="S487" s="18" t="s">
        <v>1824</v>
      </c>
      <c r="T487" s="18" t="s">
        <v>1824</v>
      </c>
      <c r="U487" s="15" t="s">
        <v>54</v>
      </c>
      <c r="V487" s="15" t="s">
        <v>56</v>
      </c>
      <c r="W487" s="15"/>
    </row>
    <row r="488" spans="1:23" x14ac:dyDescent="0.3">
      <c r="A488" s="15">
        <v>483</v>
      </c>
      <c r="B488" s="15" t="s">
        <v>1746</v>
      </c>
      <c r="C488" s="19">
        <v>45770</v>
      </c>
      <c r="D488" s="19" t="s">
        <v>51</v>
      </c>
      <c r="E488" s="21" t="s">
        <v>1821</v>
      </c>
      <c r="F488" s="21">
        <v>9247094792</v>
      </c>
      <c r="G488" s="15" t="s">
        <v>6</v>
      </c>
      <c r="H488" s="15" t="s">
        <v>1845</v>
      </c>
      <c r="I488" s="15" t="s">
        <v>1846</v>
      </c>
      <c r="J488" s="15" t="s">
        <v>623</v>
      </c>
      <c r="K488" s="16">
        <v>27170</v>
      </c>
      <c r="L488" s="16">
        <v>41900</v>
      </c>
      <c r="M488" s="17">
        <f>Table1[[#This Row],[Billing Rate Charges]]-Table1[[#This Row],[ LORRY RATE ]]</f>
        <v>14730</v>
      </c>
      <c r="N488" s="17">
        <v>27170</v>
      </c>
      <c r="O488" s="17">
        <f>Table1[[#This Row],[ LORRY RATE ]]-Table1[[#This Row],[Adance Paid (INR)]]</f>
        <v>0</v>
      </c>
      <c r="P488" s="17" t="s">
        <v>147</v>
      </c>
      <c r="Q488" s="18" t="s">
        <v>1870</v>
      </c>
      <c r="R488" s="17"/>
      <c r="S488" s="18" t="s">
        <v>1825</v>
      </c>
      <c r="T488" s="18" t="s">
        <v>1825</v>
      </c>
      <c r="U488" s="15" t="s">
        <v>54</v>
      </c>
      <c r="V488" s="15" t="s">
        <v>529</v>
      </c>
      <c r="W488" s="15"/>
    </row>
    <row r="489" spans="1:23" x14ac:dyDescent="0.3">
      <c r="A489" s="15">
        <v>484</v>
      </c>
      <c r="B489" s="15" t="s">
        <v>1746</v>
      </c>
      <c r="C489" s="19">
        <v>45772</v>
      </c>
      <c r="D489" s="19" t="s">
        <v>56</v>
      </c>
      <c r="E489" s="21" t="s">
        <v>1635</v>
      </c>
      <c r="F489" s="21">
        <v>9472230553</v>
      </c>
      <c r="G489" s="15" t="s">
        <v>6</v>
      </c>
      <c r="H489" s="15" t="s">
        <v>26</v>
      </c>
      <c r="I489" s="15" t="s">
        <v>1847</v>
      </c>
      <c r="J489" s="15" t="s">
        <v>172</v>
      </c>
      <c r="K489" s="16">
        <v>38180</v>
      </c>
      <c r="L489" s="16">
        <v>40320</v>
      </c>
      <c r="M489" s="17">
        <f>Table1[[#This Row],[Billing Rate Charges]]-Table1[[#This Row],[ LORRY RATE ]]</f>
        <v>2140</v>
      </c>
      <c r="N489" s="17">
        <v>38180</v>
      </c>
      <c r="O489" s="17">
        <f>Table1[[#This Row],[ LORRY RATE ]]-Table1[[#This Row],[Adance Paid (INR)]]</f>
        <v>0</v>
      </c>
      <c r="P489" s="17" t="s">
        <v>147</v>
      </c>
      <c r="Q489" s="18" t="s">
        <v>1871</v>
      </c>
      <c r="R489" s="17"/>
      <c r="S489" s="18" t="s">
        <v>1875</v>
      </c>
      <c r="T489" s="18" t="s">
        <v>1875</v>
      </c>
      <c r="U489" s="15" t="s">
        <v>54</v>
      </c>
      <c r="V489" s="15" t="s">
        <v>56</v>
      </c>
      <c r="W489" s="15"/>
    </row>
    <row r="490" spans="1:23" x14ac:dyDescent="0.3">
      <c r="A490" s="15">
        <v>485</v>
      </c>
      <c r="B490" s="15" t="s">
        <v>1746</v>
      </c>
      <c r="C490" s="19">
        <v>45772</v>
      </c>
      <c r="D490" s="19" t="s">
        <v>56</v>
      </c>
      <c r="E490" s="21" t="s">
        <v>1641</v>
      </c>
      <c r="F490" s="21">
        <v>9281983602</v>
      </c>
      <c r="G490" s="15" t="s">
        <v>1537</v>
      </c>
      <c r="H490" s="15" t="s">
        <v>26</v>
      </c>
      <c r="I490" s="15" t="s">
        <v>1872</v>
      </c>
      <c r="J490" s="15" t="s">
        <v>172</v>
      </c>
      <c r="K490" s="16">
        <v>46590</v>
      </c>
      <c r="L490" s="16">
        <v>96390</v>
      </c>
      <c r="M490" s="17">
        <f>Table1[[#This Row],[Billing Rate Charges]]-Table1[[#This Row],[ LORRY RATE ]]</f>
        <v>49800</v>
      </c>
      <c r="N490" s="17">
        <v>46590</v>
      </c>
      <c r="O490" s="17">
        <f>Table1[[#This Row],[ LORRY RATE ]]-Table1[[#This Row],[Adance Paid (INR)]]</f>
        <v>0</v>
      </c>
      <c r="P490" s="17" t="s">
        <v>147</v>
      </c>
      <c r="Q490" s="18" t="s">
        <v>1873</v>
      </c>
      <c r="R490" s="17"/>
      <c r="S490" s="18" t="s">
        <v>1875</v>
      </c>
      <c r="T490" s="18" t="s">
        <v>1875</v>
      </c>
      <c r="U490" s="15" t="s">
        <v>54</v>
      </c>
      <c r="V490" s="15" t="s">
        <v>56</v>
      </c>
      <c r="W490" s="15"/>
    </row>
    <row r="491" spans="1:23" x14ac:dyDescent="0.3">
      <c r="A491" s="15">
        <v>486</v>
      </c>
      <c r="B491" s="15" t="s">
        <v>1746</v>
      </c>
      <c r="C491" s="19">
        <v>45773</v>
      </c>
      <c r="D491" s="19" t="s">
        <v>56</v>
      </c>
      <c r="E491" s="15" t="s">
        <v>38</v>
      </c>
      <c r="F491" s="15">
        <v>9515412075</v>
      </c>
      <c r="G491" s="15" t="s">
        <v>1093</v>
      </c>
      <c r="H491" s="15" t="s">
        <v>1874</v>
      </c>
      <c r="I491" s="15" t="s">
        <v>6</v>
      </c>
      <c r="J491" s="15" t="s">
        <v>59</v>
      </c>
      <c r="K491" s="16">
        <v>45830</v>
      </c>
      <c r="L491" s="16">
        <v>91350</v>
      </c>
      <c r="M491" s="17">
        <f>Table1[[#This Row],[Billing Rate Charges]]-Table1[[#This Row],[ LORRY RATE ]]</f>
        <v>45520</v>
      </c>
      <c r="N491" s="17">
        <v>45830</v>
      </c>
      <c r="O491" s="17">
        <f>Table1[[#This Row],[ LORRY RATE ]]-Table1[[#This Row],[Adance Paid (INR)]]</f>
        <v>0</v>
      </c>
      <c r="P491" s="17" t="s">
        <v>147</v>
      </c>
      <c r="Q491" s="18" t="s">
        <v>1913</v>
      </c>
      <c r="R491" s="17"/>
      <c r="S491" s="18" t="s">
        <v>1879</v>
      </c>
      <c r="T491" s="18" t="s">
        <v>1879</v>
      </c>
      <c r="U491" s="15" t="s">
        <v>54</v>
      </c>
      <c r="V491" s="15" t="s">
        <v>56</v>
      </c>
      <c r="W491" s="15"/>
    </row>
    <row r="492" spans="1:23" x14ac:dyDescent="0.3">
      <c r="A492" s="15">
        <v>487</v>
      </c>
      <c r="B492" s="15" t="s">
        <v>1746</v>
      </c>
      <c r="C492" s="19">
        <v>45773</v>
      </c>
      <c r="D492" s="19" t="s">
        <v>51</v>
      </c>
      <c r="E492" s="21" t="s">
        <v>1876</v>
      </c>
      <c r="F492" s="21">
        <v>9179185332</v>
      </c>
      <c r="G492" s="15" t="s">
        <v>6</v>
      </c>
      <c r="H492" s="15" t="s">
        <v>440</v>
      </c>
      <c r="I492" s="15" t="s">
        <v>41</v>
      </c>
      <c r="J492" s="15" t="s">
        <v>172</v>
      </c>
      <c r="K492" s="16">
        <v>33770</v>
      </c>
      <c r="L492" s="16">
        <v>46620</v>
      </c>
      <c r="M492" s="17">
        <f>Table1[[#This Row],[Billing Rate Charges]]-Table1[[#This Row],[ LORRY RATE ]]</f>
        <v>12850</v>
      </c>
      <c r="N492" s="17">
        <v>33770</v>
      </c>
      <c r="O492" s="17">
        <f>Table1[[#This Row],[ LORRY RATE ]]-Table1[[#This Row],[Adance Paid (INR)]]</f>
        <v>0</v>
      </c>
      <c r="P492" s="17" t="s">
        <v>147</v>
      </c>
      <c r="Q492" s="18" t="s">
        <v>1917</v>
      </c>
      <c r="R492" s="17"/>
      <c r="S492" s="18" t="s">
        <v>1882</v>
      </c>
      <c r="T492" s="18" t="s">
        <v>1882</v>
      </c>
      <c r="U492" s="15" t="s">
        <v>54</v>
      </c>
      <c r="V492" s="15" t="s">
        <v>529</v>
      </c>
      <c r="W492" s="15"/>
    </row>
    <row r="493" spans="1:23" x14ac:dyDescent="0.3">
      <c r="A493" s="15">
        <v>488</v>
      </c>
      <c r="B493" s="15" t="s">
        <v>1746</v>
      </c>
      <c r="C493" s="19">
        <v>45776</v>
      </c>
      <c r="D493" s="19" t="s">
        <v>56</v>
      </c>
      <c r="E493" s="21" t="s">
        <v>1641</v>
      </c>
      <c r="F493" s="21">
        <v>9281983602</v>
      </c>
      <c r="G493" s="15" t="s">
        <v>6</v>
      </c>
      <c r="H493" s="15" t="s">
        <v>440</v>
      </c>
      <c r="I493" s="15" t="s">
        <v>41</v>
      </c>
      <c r="J493" s="15" t="s">
        <v>172</v>
      </c>
      <c r="K493" s="16">
        <v>39120</v>
      </c>
      <c r="L493" s="16">
        <v>46620</v>
      </c>
      <c r="M493" s="17">
        <f>Table1[[#This Row],[Billing Rate Charges]]-Table1[[#This Row],[ LORRY RATE ]]</f>
        <v>7500</v>
      </c>
      <c r="N493" s="17">
        <v>39120</v>
      </c>
      <c r="O493" s="17">
        <f>Table1[[#This Row],[ LORRY RATE ]]-Table1[[#This Row],[Adance Paid (INR)]]</f>
        <v>0</v>
      </c>
      <c r="P493" s="17" t="s">
        <v>147</v>
      </c>
      <c r="Q493" s="18" t="s">
        <v>1918</v>
      </c>
      <c r="R493" s="17"/>
      <c r="S493" s="18" t="s">
        <v>1883</v>
      </c>
      <c r="T493" s="18" t="s">
        <v>1883</v>
      </c>
      <c r="U493" s="15" t="s">
        <v>54</v>
      </c>
      <c r="V493" s="15" t="s">
        <v>56</v>
      </c>
      <c r="W493" s="15"/>
    </row>
    <row r="494" spans="1:23" x14ac:dyDescent="0.3">
      <c r="A494" s="15">
        <v>489</v>
      </c>
      <c r="B494" s="15" t="s">
        <v>1746</v>
      </c>
      <c r="C494" s="19">
        <v>45776</v>
      </c>
      <c r="D494" s="19" t="s">
        <v>56</v>
      </c>
      <c r="E494" s="21" t="s">
        <v>1635</v>
      </c>
      <c r="F494" s="21">
        <v>9472230553</v>
      </c>
      <c r="G494" s="15" t="s">
        <v>1093</v>
      </c>
      <c r="H494" s="15" t="s">
        <v>1874</v>
      </c>
      <c r="I494" s="15" t="s">
        <v>6</v>
      </c>
      <c r="J494" s="15" t="s">
        <v>172</v>
      </c>
      <c r="K494" s="16">
        <v>46590</v>
      </c>
      <c r="L494" s="16">
        <v>96390</v>
      </c>
      <c r="M494" s="17">
        <f>Table1[[#This Row],[Billing Rate Charges]]-Table1[[#This Row],[ LORRY RATE ]]</f>
        <v>49800</v>
      </c>
      <c r="N494" s="17">
        <v>46590</v>
      </c>
      <c r="O494" s="17">
        <f>Table1[[#This Row],[ LORRY RATE ]]-Table1[[#This Row],[Adance Paid (INR)]]</f>
        <v>0</v>
      </c>
      <c r="P494" s="17" t="s">
        <v>147</v>
      </c>
      <c r="Q494" s="18" t="s">
        <v>1928</v>
      </c>
      <c r="R494" s="17"/>
      <c r="S494" s="18" t="s">
        <v>1884</v>
      </c>
      <c r="T494" s="18" t="s">
        <v>1884</v>
      </c>
      <c r="U494" s="15" t="s">
        <v>54</v>
      </c>
      <c r="V494" s="15" t="s">
        <v>56</v>
      </c>
      <c r="W494" s="15"/>
    </row>
    <row r="495" spans="1:23" x14ac:dyDescent="0.3">
      <c r="A495" s="15">
        <v>490</v>
      </c>
      <c r="B495" s="15" t="s">
        <v>1746</v>
      </c>
      <c r="C495" s="19">
        <v>45777</v>
      </c>
      <c r="D495" s="19" t="s">
        <v>56</v>
      </c>
      <c r="E495" s="21" t="s">
        <v>60</v>
      </c>
      <c r="F495" s="21">
        <v>9220186371</v>
      </c>
      <c r="G495" s="15" t="s">
        <v>6</v>
      </c>
      <c r="H495" s="15" t="s">
        <v>1874</v>
      </c>
      <c r="I495" s="15" t="s">
        <v>440</v>
      </c>
      <c r="J495" s="15" t="s">
        <v>172</v>
      </c>
      <c r="K495" s="16">
        <v>38180</v>
      </c>
      <c r="L495" s="16">
        <v>40320</v>
      </c>
      <c r="M495" s="17">
        <f>Table1[[#This Row],[Billing Rate Charges]]-Table1[[#This Row],[ LORRY RATE ]]</f>
        <v>2140</v>
      </c>
      <c r="N495" s="17">
        <v>38180</v>
      </c>
      <c r="O495" s="17">
        <f>Table1[[#This Row],[ LORRY RATE ]]-Table1[[#This Row],[Adance Paid (INR)]]</f>
        <v>0</v>
      </c>
      <c r="P495" s="17" t="s">
        <v>147</v>
      </c>
      <c r="Q495" s="18" t="s">
        <v>1915</v>
      </c>
      <c r="R495" s="17"/>
      <c r="S495" s="18" t="s">
        <v>1883</v>
      </c>
      <c r="T495" s="18" t="s">
        <v>1883</v>
      </c>
      <c r="U495" s="15" t="s">
        <v>54</v>
      </c>
      <c r="V495" s="15" t="s">
        <v>56</v>
      </c>
      <c r="W495" s="15"/>
    </row>
    <row r="496" spans="1:23" hidden="1" x14ac:dyDescent="0.3">
      <c r="A496" s="15">
        <v>491</v>
      </c>
      <c r="B496" s="48">
        <v>45778</v>
      </c>
      <c r="C496" s="19">
        <v>45778</v>
      </c>
      <c r="D496" s="19" t="s">
        <v>56</v>
      </c>
      <c r="E496" s="21" t="s">
        <v>1637</v>
      </c>
      <c r="F496" s="21">
        <v>9950016408</v>
      </c>
      <c r="G496" s="15" t="s">
        <v>6</v>
      </c>
      <c r="H496" s="15" t="s">
        <v>440</v>
      </c>
      <c r="I496" s="15" t="s">
        <v>41</v>
      </c>
      <c r="J496" s="15" t="s">
        <v>172</v>
      </c>
      <c r="K496" s="16">
        <v>39120</v>
      </c>
      <c r="L496" s="16">
        <v>46620</v>
      </c>
      <c r="M496" s="17">
        <f>Table1[[#This Row],[Billing Rate Charges]]-Table1[[#This Row],[ LORRY RATE ]]</f>
        <v>7500</v>
      </c>
      <c r="N496" s="17">
        <v>39120</v>
      </c>
      <c r="O496" s="17">
        <f>Table1[[#This Row],[ LORRY RATE ]]-Table1[[#This Row],[Adance Paid (INR)]]</f>
        <v>0</v>
      </c>
      <c r="P496" s="17" t="s">
        <v>147</v>
      </c>
      <c r="Q496" s="18" t="s">
        <v>1930</v>
      </c>
      <c r="R496" s="17"/>
      <c r="S496" s="18" t="s">
        <v>1885</v>
      </c>
      <c r="T496" s="18" t="s">
        <v>1886</v>
      </c>
      <c r="U496" s="15" t="s">
        <v>54</v>
      </c>
      <c r="V496" s="15" t="s">
        <v>56</v>
      </c>
      <c r="W496" s="15"/>
    </row>
    <row r="497" spans="1:23" hidden="1" x14ac:dyDescent="0.3">
      <c r="A497" s="15">
        <v>492</v>
      </c>
      <c r="B497" s="48">
        <v>45778</v>
      </c>
      <c r="C497" s="19">
        <v>45779</v>
      </c>
      <c r="D497" s="19" t="s">
        <v>56</v>
      </c>
      <c r="E497" s="21" t="s">
        <v>1644</v>
      </c>
      <c r="F497" s="21">
        <v>9902798068</v>
      </c>
      <c r="G497" s="15" t="s">
        <v>6</v>
      </c>
      <c r="H497" s="15" t="s">
        <v>1874</v>
      </c>
      <c r="I497" s="15" t="s">
        <v>440</v>
      </c>
      <c r="J497" s="15" t="s">
        <v>172</v>
      </c>
      <c r="K497" s="16">
        <v>38180</v>
      </c>
      <c r="L497" s="16">
        <v>40320</v>
      </c>
      <c r="M497" s="17">
        <v>2140</v>
      </c>
      <c r="N497" s="17">
        <v>38180</v>
      </c>
      <c r="O497" s="17">
        <f>Table1[[#This Row],[ LORRY RATE ]]-Table1[[#This Row],[Adance Paid (INR)]]</f>
        <v>0</v>
      </c>
      <c r="P497" s="17" t="s">
        <v>147</v>
      </c>
      <c r="Q497" s="18" t="s">
        <v>1933</v>
      </c>
      <c r="R497" s="17"/>
      <c r="S497" s="18" t="s">
        <v>1886</v>
      </c>
      <c r="T497" s="18" t="s">
        <v>1886</v>
      </c>
      <c r="U497" s="15" t="s">
        <v>54</v>
      </c>
      <c r="V497" s="15" t="s">
        <v>56</v>
      </c>
      <c r="W497" s="15"/>
    </row>
    <row r="498" spans="1:23" hidden="1" x14ac:dyDescent="0.3">
      <c r="A498" s="15">
        <v>493</v>
      </c>
      <c r="B498" s="48">
        <v>45778</v>
      </c>
      <c r="C498" s="19">
        <v>45780</v>
      </c>
      <c r="D498" s="19" t="s">
        <v>56</v>
      </c>
      <c r="E498" s="21" t="s">
        <v>1635</v>
      </c>
      <c r="F498" s="21">
        <v>9472230553</v>
      </c>
      <c r="G498" s="15" t="s">
        <v>6</v>
      </c>
      <c r="H498" s="15" t="s">
        <v>440</v>
      </c>
      <c r="I498" s="15" t="s">
        <v>41</v>
      </c>
      <c r="J498" s="15" t="s">
        <v>172</v>
      </c>
      <c r="K498" s="16">
        <v>39120</v>
      </c>
      <c r="L498" s="16">
        <v>46620</v>
      </c>
      <c r="M498" s="17">
        <f>Table1[[#This Row],[Billing Rate Charges]]-Table1[[#This Row],[ LORRY RATE ]]</f>
        <v>7500</v>
      </c>
      <c r="N498" s="17">
        <v>39120</v>
      </c>
      <c r="O498" s="17">
        <f>Table1[[#This Row],[ LORRY RATE ]]-Table1[[#This Row],[Adance Paid (INR)]]</f>
        <v>0</v>
      </c>
      <c r="P498" s="17" t="s">
        <v>147</v>
      </c>
      <c r="Q498" s="18" t="s">
        <v>1934</v>
      </c>
      <c r="R498" s="17"/>
      <c r="S498" s="18" t="s">
        <v>1887</v>
      </c>
      <c r="T498" s="18" t="s">
        <v>1887</v>
      </c>
      <c r="U498" s="15" t="s">
        <v>54</v>
      </c>
      <c r="V498" s="15" t="s">
        <v>56</v>
      </c>
      <c r="W498" s="15"/>
    </row>
    <row r="499" spans="1:23" hidden="1" x14ac:dyDescent="0.3">
      <c r="A499" s="15">
        <v>494</v>
      </c>
      <c r="B499" s="48">
        <v>45778</v>
      </c>
      <c r="C499" s="19">
        <v>45780</v>
      </c>
      <c r="D499" s="19" t="s">
        <v>56</v>
      </c>
      <c r="E499" s="21" t="s">
        <v>38</v>
      </c>
      <c r="F499" s="21">
        <v>9515412075</v>
      </c>
      <c r="G499" s="15" t="s">
        <v>6</v>
      </c>
      <c r="H499" s="15" t="s">
        <v>1874</v>
      </c>
      <c r="I499" s="15" t="s">
        <v>440</v>
      </c>
      <c r="J499" s="15" t="s">
        <v>59</v>
      </c>
      <c r="K499" s="16">
        <v>37940</v>
      </c>
      <c r="L499" s="16">
        <v>38740</v>
      </c>
      <c r="M499" s="17">
        <f>Table1[[#This Row],[Billing Rate Charges]]-Table1[[#This Row],[ LORRY RATE ]]</f>
        <v>800</v>
      </c>
      <c r="N499" s="17">
        <v>37940</v>
      </c>
      <c r="O499" s="17">
        <f>Table1[[#This Row],[ LORRY RATE ]]-Table1[[#This Row],[Adance Paid (INR)]]</f>
        <v>0</v>
      </c>
      <c r="P499" s="17" t="s">
        <v>147</v>
      </c>
      <c r="Q499" s="18" t="s">
        <v>1921</v>
      </c>
      <c r="R499" s="17"/>
      <c r="S499" s="18" t="s">
        <v>1887</v>
      </c>
      <c r="T499" s="18" t="s">
        <v>1887</v>
      </c>
      <c r="U499" s="15" t="s">
        <v>54</v>
      </c>
      <c r="V499" s="15" t="s">
        <v>56</v>
      </c>
      <c r="W499" s="15"/>
    </row>
    <row r="500" spans="1:23" hidden="1" x14ac:dyDescent="0.3">
      <c r="A500" s="15">
        <v>495</v>
      </c>
      <c r="B500" s="48">
        <v>45778</v>
      </c>
      <c r="C500" s="19">
        <v>45780</v>
      </c>
      <c r="D500" s="19" t="s">
        <v>56</v>
      </c>
      <c r="E500" s="21" t="s">
        <v>1641</v>
      </c>
      <c r="F500" s="21">
        <v>9281983602</v>
      </c>
      <c r="G500" s="15" t="s">
        <v>1093</v>
      </c>
      <c r="H500" s="15" t="s">
        <v>105</v>
      </c>
      <c r="I500" s="15" t="s">
        <v>6</v>
      </c>
      <c r="J500" s="15" t="s">
        <v>172</v>
      </c>
      <c r="K500" s="16">
        <v>47530</v>
      </c>
      <c r="L500" s="16">
        <v>102690</v>
      </c>
      <c r="M500" s="17">
        <f>Table1[[#This Row],[Billing Rate Charges]]-Table1[[#This Row],[ LORRY RATE ]]</f>
        <v>55160</v>
      </c>
      <c r="N500" s="17">
        <v>47530</v>
      </c>
      <c r="O500" s="17">
        <f>Table1[[#This Row],[ LORRY RATE ]]-Table1[[#This Row],[Adance Paid (INR)]]</f>
        <v>0</v>
      </c>
      <c r="P500" s="17" t="s">
        <v>147</v>
      </c>
      <c r="Q500" s="18" t="s">
        <v>1920</v>
      </c>
      <c r="R500" s="17"/>
      <c r="S500" s="18" t="s">
        <v>1887</v>
      </c>
      <c r="T500" s="18" t="s">
        <v>1887</v>
      </c>
      <c r="U500" s="15" t="s">
        <v>54</v>
      </c>
      <c r="V500" s="15" t="s">
        <v>56</v>
      </c>
      <c r="W500" s="15"/>
    </row>
    <row r="501" spans="1:23" hidden="1" x14ac:dyDescent="0.3">
      <c r="A501" s="15">
        <v>496</v>
      </c>
      <c r="B501" s="48">
        <v>45778</v>
      </c>
      <c r="C501" s="19">
        <v>45783</v>
      </c>
      <c r="D501" s="19" t="s">
        <v>56</v>
      </c>
      <c r="E501" s="21" t="s">
        <v>1641</v>
      </c>
      <c r="F501" s="21">
        <v>9281983602</v>
      </c>
      <c r="G501" s="15" t="s">
        <v>6</v>
      </c>
      <c r="H501" s="15" t="s">
        <v>1874</v>
      </c>
      <c r="I501" s="15" t="s">
        <v>440</v>
      </c>
      <c r="J501" s="15" t="s">
        <v>172</v>
      </c>
      <c r="K501" s="16">
        <v>38180</v>
      </c>
      <c r="L501" s="16">
        <v>40320</v>
      </c>
      <c r="M501" s="17">
        <f>Table1[[#This Row],[Billing Rate Charges]]-Table1[[#This Row],[ LORRY RATE ]]</f>
        <v>2140</v>
      </c>
      <c r="N501" s="17">
        <v>38180</v>
      </c>
      <c r="O501" s="17">
        <f>Table1[[#This Row],[ LORRY RATE ]]-Table1[[#This Row],[Adance Paid (INR)]]</f>
        <v>0</v>
      </c>
      <c r="P501" s="17" t="s">
        <v>147</v>
      </c>
      <c r="Q501" s="18" t="s">
        <v>1919</v>
      </c>
      <c r="R501" s="17"/>
      <c r="S501" s="18" t="s">
        <v>1880</v>
      </c>
      <c r="T501" s="18" t="s">
        <v>1880</v>
      </c>
      <c r="U501" s="15" t="s">
        <v>54</v>
      </c>
      <c r="V501" s="15" t="s">
        <v>56</v>
      </c>
      <c r="W501" s="15"/>
    </row>
    <row r="502" spans="1:23" hidden="1" x14ac:dyDescent="0.3">
      <c r="A502" s="15">
        <v>497</v>
      </c>
      <c r="B502" s="48">
        <v>45778</v>
      </c>
      <c r="C502" s="19">
        <v>45784</v>
      </c>
      <c r="D502" s="19" t="s">
        <v>51</v>
      </c>
      <c r="E502" s="21" t="s">
        <v>1877</v>
      </c>
      <c r="F502" s="21">
        <v>9764630948</v>
      </c>
      <c r="G502" s="15" t="s">
        <v>6</v>
      </c>
      <c r="H502" s="15" t="s">
        <v>1874</v>
      </c>
      <c r="I502" s="15" t="s">
        <v>440</v>
      </c>
      <c r="J502" s="15" t="s">
        <v>168</v>
      </c>
      <c r="K502" s="16">
        <v>26400</v>
      </c>
      <c r="L502" s="16">
        <v>40320</v>
      </c>
      <c r="M502" s="17">
        <f>Table1[[#This Row],[Billing Rate Charges]]-Table1[[#This Row],[ LORRY RATE ]]</f>
        <v>13920</v>
      </c>
      <c r="N502" s="17">
        <v>26400</v>
      </c>
      <c r="O502" s="17">
        <f>Table1[[#This Row],[ LORRY RATE ]]-Table1[[#This Row],[Adance Paid (INR)]]</f>
        <v>0</v>
      </c>
      <c r="P502" s="17" t="s">
        <v>147</v>
      </c>
      <c r="Q502" s="18" t="s">
        <v>1935</v>
      </c>
      <c r="R502" s="17"/>
      <c r="S502" s="18" t="s">
        <v>1890</v>
      </c>
      <c r="T502" s="18" t="s">
        <v>1890</v>
      </c>
      <c r="U502" s="15" t="s">
        <v>54</v>
      </c>
      <c r="V502" s="15" t="s">
        <v>439</v>
      </c>
      <c r="W502" s="15"/>
    </row>
    <row r="503" spans="1:23" hidden="1" x14ac:dyDescent="0.3">
      <c r="A503" s="15">
        <v>498</v>
      </c>
      <c r="B503" s="48">
        <v>45778</v>
      </c>
      <c r="C503" s="19">
        <v>45784</v>
      </c>
      <c r="D503" s="19" t="s">
        <v>51</v>
      </c>
      <c r="E503" s="21" t="s">
        <v>1448</v>
      </c>
      <c r="F503" s="21">
        <v>9891277624</v>
      </c>
      <c r="G503" s="15" t="s">
        <v>6</v>
      </c>
      <c r="H503" s="15" t="s">
        <v>440</v>
      </c>
      <c r="I503" s="15" t="s">
        <v>41</v>
      </c>
      <c r="J503" s="15" t="s">
        <v>172</v>
      </c>
      <c r="K503" s="16">
        <v>33230</v>
      </c>
      <c r="L503" s="16">
        <v>46620</v>
      </c>
      <c r="M503" s="17">
        <f>Table1[[#This Row],[Billing Rate Charges]]-Table1[[#This Row],[ LORRY RATE ]]</f>
        <v>13390</v>
      </c>
      <c r="N503" s="17">
        <v>33230</v>
      </c>
      <c r="O503" s="17">
        <f>Table1[[#This Row],[ LORRY RATE ]]-Table1[[#This Row],[Adance Paid (INR)]]</f>
        <v>0</v>
      </c>
      <c r="P503" s="17" t="s">
        <v>147</v>
      </c>
      <c r="Q503" s="18" t="s">
        <v>1924</v>
      </c>
      <c r="R503" s="17"/>
      <c r="S503" s="18" t="s">
        <v>1890</v>
      </c>
      <c r="T503" s="18" t="s">
        <v>1890</v>
      </c>
      <c r="U503" s="15" t="s">
        <v>54</v>
      </c>
      <c r="V503" s="15" t="s">
        <v>439</v>
      </c>
      <c r="W503" s="15"/>
    </row>
    <row r="504" spans="1:23" hidden="1" x14ac:dyDescent="0.3">
      <c r="A504" s="15">
        <v>499</v>
      </c>
      <c r="B504" s="48">
        <v>45778</v>
      </c>
      <c r="C504" s="19">
        <v>45784</v>
      </c>
      <c r="D504" s="19" t="s">
        <v>56</v>
      </c>
      <c r="E504" s="21" t="s">
        <v>60</v>
      </c>
      <c r="F504" s="21">
        <v>9220186371</v>
      </c>
      <c r="G504" s="15" t="s">
        <v>1093</v>
      </c>
      <c r="H504" s="15" t="s">
        <v>1874</v>
      </c>
      <c r="I504" s="15" t="s">
        <v>6</v>
      </c>
      <c r="J504" s="15" t="s">
        <v>172</v>
      </c>
      <c r="K504" s="16">
        <v>46590</v>
      </c>
      <c r="L504" s="16">
        <v>96390</v>
      </c>
      <c r="M504" s="17">
        <f>Table1[[#This Row],[Billing Rate Charges]]-Table1[[#This Row],[ LORRY RATE ]]</f>
        <v>49800</v>
      </c>
      <c r="N504" s="17">
        <v>46590</v>
      </c>
      <c r="O504" s="17">
        <f>Table1[[#This Row],[ LORRY RATE ]]-Table1[[#This Row],[Adance Paid (INR)]]</f>
        <v>0</v>
      </c>
      <c r="P504" s="17" t="s">
        <v>147</v>
      </c>
      <c r="Q504" s="18" t="s">
        <v>1931</v>
      </c>
      <c r="R504" s="17"/>
      <c r="S504" s="18" t="s">
        <v>1891</v>
      </c>
      <c r="T504" s="18" t="s">
        <v>1891</v>
      </c>
      <c r="U504" s="15" t="s">
        <v>54</v>
      </c>
      <c r="V504" s="15" t="s">
        <v>56</v>
      </c>
      <c r="W504" s="15"/>
    </row>
    <row r="505" spans="1:23" hidden="1" x14ac:dyDescent="0.3">
      <c r="A505" s="15">
        <v>500</v>
      </c>
      <c r="B505" s="48">
        <v>45778</v>
      </c>
      <c r="C505" s="19">
        <v>45786</v>
      </c>
      <c r="D505" s="19" t="s">
        <v>51</v>
      </c>
      <c r="E505" s="21" t="s">
        <v>1878</v>
      </c>
      <c r="F505" s="21">
        <v>9412244022</v>
      </c>
      <c r="G505" s="15" t="s">
        <v>6</v>
      </c>
      <c r="H505" s="15" t="s">
        <v>440</v>
      </c>
      <c r="I505" s="15" t="s">
        <v>41</v>
      </c>
      <c r="J505" s="15" t="s">
        <v>172</v>
      </c>
      <c r="K505" s="16">
        <v>33770</v>
      </c>
      <c r="L505" s="16">
        <v>46620</v>
      </c>
      <c r="M505" s="17">
        <f>Table1[[#This Row],[Billing Rate Charges]]-Table1[[#This Row],[ LORRY RATE ]]</f>
        <v>12850</v>
      </c>
      <c r="N505" s="17">
        <v>30390</v>
      </c>
      <c r="O505" s="17">
        <f>Table1[[#This Row],[ LORRY RATE ]]-Table1[[#This Row],[Adance Paid (INR)]]</f>
        <v>3380</v>
      </c>
      <c r="P505" s="17" t="s">
        <v>147</v>
      </c>
      <c r="Q505" s="18" t="s">
        <v>1927</v>
      </c>
      <c r="R505" s="17"/>
      <c r="S505" s="18" t="s">
        <v>1888</v>
      </c>
      <c r="T505" s="18" t="s">
        <v>1888</v>
      </c>
      <c r="U505" s="15" t="s">
        <v>54</v>
      </c>
      <c r="V505" s="15" t="s">
        <v>213</v>
      </c>
      <c r="W505" s="15"/>
    </row>
    <row r="506" spans="1:23" hidden="1" x14ac:dyDescent="0.3">
      <c r="A506" s="15">
        <v>501</v>
      </c>
      <c r="B506" s="48">
        <v>45778</v>
      </c>
      <c r="C506" s="19">
        <v>45787</v>
      </c>
      <c r="D506" s="19" t="s">
        <v>56</v>
      </c>
      <c r="E506" s="21" t="s">
        <v>60</v>
      </c>
      <c r="F506" s="21">
        <v>9220186371</v>
      </c>
      <c r="G506" s="15" t="s">
        <v>6</v>
      </c>
      <c r="H506" s="15" t="s">
        <v>440</v>
      </c>
      <c r="I506" s="15" t="s">
        <v>41</v>
      </c>
      <c r="J506" s="15" t="s">
        <v>172</v>
      </c>
      <c r="K506" s="16">
        <v>33770</v>
      </c>
      <c r="L506" s="16">
        <v>46620</v>
      </c>
      <c r="M506" s="17">
        <f>Table1[[#This Row],[Billing Rate Charges]]-Table1[[#This Row],[ LORRY RATE ]]</f>
        <v>12850</v>
      </c>
      <c r="N506" s="17">
        <v>33770</v>
      </c>
      <c r="O506" s="17">
        <f>Table1[[#This Row],[ LORRY RATE ]]-Table1[[#This Row],[Adance Paid (INR)]]</f>
        <v>0</v>
      </c>
      <c r="P506" s="17" t="s">
        <v>147</v>
      </c>
      <c r="Q506" s="18" t="s">
        <v>1932</v>
      </c>
      <c r="R506" s="17"/>
      <c r="S506" s="18" t="s">
        <v>1888</v>
      </c>
      <c r="T506" s="18" t="s">
        <v>1888</v>
      </c>
      <c r="U506" s="15" t="s">
        <v>54</v>
      </c>
      <c r="V506" s="15" t="s">
        <v>56</v>
      </c>
      <c r="W506" s="15"/>
    </row>
    <row r="507" spans="1:23" hidden="1" x14ac:dyDescent="0.3">
      <c r="A507" s="15">
        <v>502</v>
      </c>
      <c r="B507" s="48">
        <v>45778</v>
      </c>
      <c r="C507" s="19">
        <v>45787</v>
      </c>
      <c r="D507" s="19" t="s">
        <v>56</v>
      </c>
      <c r="E507" s="21" t="s">
        <v>1641</v>
      </c>
      <c r="F507" s="21">
        <v>9281983602</v>
      </c>
      <c r="G507" s="15" t="s">
        <v>1093</v>
      </c>
      <c r="H507" s="15" t="s">
        <v>1874</v>
      </c>
      <c r="I507" s="15" t="s">
        <v>6</v>
      </c>
      <c r="J507" s="15" t="s">
        <v>172</v>
      </c>
      <c r="K507" s="16">
        <v>41230</v>
      </c>
      <c r="L507" s="16">
        <v>96390</v>
      </c>
      <c r="M507" s="17">
        <f>Table1[[#This Row],[Billing Rate Charges]]-Table1[[#This Row],[ LORRY RATE ]]</f>
        <v>55160</v>
      </c>
      <c r="N507" s="17">
        <v>41230</v>
      </c>
      <c r="O507" s="17">
        <f>Table1[[#This Row],[ LORRY RATE ]]-Table1[[#This Row],[Adance Paid (INR)]]</f>
        <v>0</v>
      </c>
      <c r="P507" s="17" t="s">
        <v>147</v>
      </c>
      <c r="Q507" s="18" t="s">
        <v>1926</v>
      </c>
      <c r="R507" s="17"/>
      <c r="S507" s="18" t="s">
        <v>1888</v>
      </c>
      <c r="T507" s="18" t="s">
        <v>1888</v>
      </c>
      <c r="U507" s="15" t="s">
        <v>54</v>
      </c>
      <c r="V507" s="15" t="s">
        <v>56</v>
      </c>
      <c r="W507" s="15"/>
    </row>
    <row r="508" spans="1:23" hidden="1" x14ac:dyDescent="0.3">
      <c r="A508" s="15">
        <v>503</v>
      </c>
      <c r="B508" s="48">
        <v>45778</v>
      </c>
      <c r="C508" s="19">
        <v>45788</v>
      </c>
      <c r="D508" s="19" t="s">
        <v>56</v>
      </c>
      <c r="E508" s="21" t="s">
        <v>38</v>
      </c>
      <c r="F508" s="21">
        <v>9515412075</v>
      </c>
      <c r="G508" s="15" t="s">
        <v>6</v>
      </c>
      <c r="H508" s="15" t="s">
        <v>440</v>
      </c>
      <c r="I508" s="15" t="s">
        <v>41</v>
      </c>
      <c r="J508" s="15" t="s">
        <v>59</v>
      </c>
      <c r="K508" s="16">
        <v>33530</v>
      </c>
      <c r="L508" s="16">
        <v>45040</v>
      </c>
      <c r="M508" s="17">
        <f>Table1[[#This Row],[Billing Rate Charges]]-Table1[[#This Row],[ LORRY RATE ]]</f>
        <v>11510</v>
      </c>
      <c r="N508" s="17">
        <v>33530</v>
      </c>
      <c r="O508" s="17">
        <f>Table1[[#This Row],[ LORRY RATE ]]-Table1[[#This Row],[Adance Paid (INR)]]</f>
        <v>0</v>
      </c>
      <c r="P508" s="17" t="s">
        <v>147</v>
      </c>
      <c r="Q508" s="18" t="s">
        <v>1922</v>
      </c>
      <c r="R508" s="17"/>
      <c r="S508" s="18" t="s">
        <v>1892</v>
      </c>
      <c r="T508" s="18" t="s">
        <v>1892</v>
      </c>
      <c r="U508" s="15" t="s">
        <v>54</v>
      </c>
      <c r="V508" s="15" t="s">
        <v>56</v>
      </c>
      <c r="W508" s="15"/>
    </row>
    <row r="509" spans="1:23" hidden="1" x14ac:dyDescent="0.3">
      <c r="A509" s="15">
        <v>504</v>
      </c>
      <c r="B509" s="48">
        <v>45778</v>
      </c>
      <c r="C509" s="19">
        <v>45790</v>
      </c>
      <c r="D509" s="19" t="s">
        <v>56</v>
      </c>
      <c r="E509" s="21" t="s">
        <v>1644</v>
      </c>
      <c r="F509" s="21">
        <v>9902798068</v>
      </c>
      <c r="G509" s="15" t="s">
        <v>6</v>
      </c>
      <c r="H509" s="15" t="s">
        <v>440</v>
      </c>
      <c r="I509" s="15" t="s">
        <v>41</v>
      </c>
      <c r="J509" s="15" t="s">
        <v>172</v>
      </c>
      <c r="K509" s="16">
        <v>33770</v>
      </c>
      <c r="L509" s="16">
        <v>46620</v>
      </c>
      <c r="M509" s="17">
        <f>Table1[[#This Row],[Billing Rate Charges]]-Table1[[#This Row],[ LORRY RATE ]]</f>
        <v>12850</v>
      </c>
      <c r="N509" s="17">
        <v>33770</v>
      </c>
      <c r="O509" s="17">
        <f>Table1[[#This Row],[ LORRY RATE ]]-Table1[[#This Row],[Adance Paid (INR)]]</f>
        <v>0</v>
      </c>
      <c r="P509" s="17" t="s">
        <v>147</v>
      </c>
      <c r="Q509" s="18" t="s">
        <v>1914</v>
      </c>
      <c r="R509" s="17"/>
      <c r="S509" s="18" t="s">
        <v>1889</v>
      </c>
      <c r="T509" s="18" t="s">
        <v>1889</v>
      </c>
      <c r="U509" s="15" t="s">
        <v>54</v>
      </c>
      <c r="V509" s="15" t="s">
        <v>56</v>
      </c>
      <c r="W509" s="15"/>
    </row>
    <row r="510" spans="1:23" hidden="1" x14ac:dyDescent="0.3">
      <c r="A510" s="15">
        <v>505</v>
      </c>
      <c r="B510" s="48">
        <v>45778</v>
      </c>
      <c r="C510" s="19">
        <v>45791</v>
      </c>
      <c r="D510" s="19" t="s">
        <v>56</v>
      </c>
      <c r="E510" s="21" t="s">
        <v>1635</v>
      </c>
      <c r="F510" s="21">
        <v>9472230553</v>
      </c>
      <c r="G510" s="15" t="s">
        <v>6</v>
      </c>
      <c r="H510" s="15" t="s">
        <v>1874</v>
      </c>
      <c r="I510" s="15" t="s">
        <v>440</v>
      </c>
      <c r="J510" s="15" t="s">
        <v>172</v>
      </c>
      <c r="K510" s="16">
        <v>32820</v>
      </c>
      <c r="L510" s="16">
        <v>40320</v>
      </c>
      <c r="M510" s="17">
        <f>Table1[[#This Row],[Billing Rate Charges]]-Table1[[#This Row],[ LORRY RATE ]]</f>
        <v>7500</v>
      </c>
      <c r="N510" s="17">
        <v>32820</v>
      </c>
      <c r="O510" s="17">
        <f>Table1[[#This Row],[ LORRY RATE ]]-Table1[[#This Row],[Adance Paid (INR)]]</f>
        <v>0</v>
      </c>
      <c r="P510" s="17" t="s">
        <v>147</v>
      </c>
      <c r="Q510" s="18" t="s">
        <v>1923</v>
      </c>
      <c r="R510" s="17"/>
      <c r="S510" s="18" t="s">
        <v>1892</v>
      </c>
      <c r="T510" s="18" t="s">
        <v>1892</v>
      </c>
      <c r="U510" s="15" t="s">
        <v>54</v>
      </c>
      <c r="V510" s="15" t="s">
        <v>56</v>
      </c>
      <c r="W510" s="15"/>
    </row>
    <row r="511" spans="1:23" hidden="1" x14ac:dyDescent="0.3">
      <c r="A511" s="15">
        <v>506</v>
      </c>
      <c r="B511" s="48">
        <v>45778</v>
      </c>
      <c r="C511" s="19">
        <v>45791</v>
      </c>
      <c r="D511" s="19" t="s">
        <v>56</v>
      </c>
      <c r="E511" s="21" t="s">
        <v>1637</v>
      </c>
      <c r="F511" s="21">
        <v>9025368773</v>
      </c>
      <c r="G511" s="15" t="s">
        <v>6</v>
      </c>
      <c r="H511" s="15" t="s">
        <v>440</v>
      </c>
      <c r="I511" s="15" t="s">
        <v>41</v>
      </c>
      <c r="J511" s="15" t="s">
        <v>172</v>
      </c>
      <c r="K511" s="16">
        <v>33770</v>
      </c>
      <c r="L511" s="16">
        <v>46620</v>
      </c>
      <c r="M511" s="17">
        <f>Table1[[#This Row],[Billing Rate Charges]]-Table1[[#This Row],[ LORRY RATE ]]</f>
        <v>12850</v>
      </c>
      <c r="N511" s="17">
        <v>33770</v>
      </c>
      <c r="O511" s="17">
        <f>Table1[[#This Row],[ LORRY RATE ]]-Table1[[#This Row],[Adance Paid (INR)]]</f>
        <v>0</v>
      </c>
      <c r="P511" s="17" t="s">
        <v>147</v>
      </c>
      <c r="Q511" s="18" t="s">
        <v>1925</v>
      </c>
      <c r="R511" s="17"/>
      <c r="S511" s="18" t="s">
        <v>1893</v>
      </c>
      <c r="T511" s="18" t="s">
        <v>1893</v>
      </c>
      <c r="U511" s="15" t="s">
        <v>54</v>
      </c>
      <c r="V511" s="15" t="s">
        <v>56</v>
      </c>
      <c r="W511" s="15"/>
    </row>
    <row r="512" spans="1:23" hidden="1" x14ac:dyDescent="0.3">
      <c r="A512" s="15">
        <v>507</v>
      </c>
      <c r="B512" s="48">
        <v>45778</v>
      </c>
      <c r="C512" s="19">
        <v>45791</v>
      </c>
      <c r="D512" s="19" t="s">
        <v>56</v>
      </c>
      <c r="E512" s="21" t="s">
        <v>60</v>
      </c>
      <c r="F512" s="21">
        <v>9220186371</v>
      </c>
      <c r="G512" s="15" t="s">
        <v>1093</v>
      </c>
      <c r="H512" s="15" t="s">
        <v>1874</v>
      </c>
      <c r="I512" s="15" t="s">
        <v>6</v>
      </c>
      <c r="J512" s="15" t="s">
        <v>172</v>
      </c>
      <c r="K512" s="16">
        <v>41230</v>
      </c>
      <c r="L512" s="16">
        <v>96390</v>
      </c>
      <c r="M512" s="17">
        <f>Table1[[#This Row],[Billing Rate Charges]]-Table1[[#This Row],[ LORRY RATE ]]</f>
        <v>55160</v>
      </c>
      <c r="N512" s="17">
        <v>41230</v>
      </c>
      <c r="O512" s="17">
        <f>Table1[[#This Row],[ LORRY RATE ]]-Table1[[#This Row],[Adance Paid (INR)]]</f>
        <v>0</v>
      </c>
      <c r="P512" s="17" t="s">
        <v>147</v>
      </c>
      <c r="Q512" s="18" t="s">
        <v>1936</v>
      </c>
      <c r="R512" s="17"/>
      <c r="S512" s="18" t="s">
        <v>1889</v>
      </c>
      <c r="T512" s="18" t="s">
        <v>1889</v>
      </c>
      <c r="U512" s="15" t="s">
        <v>54</v>
      </c>
      <c r="V512" s="15" t="s">
        <v>56</v>
      </c>
      <c r="W512" s="15"/>
    </row>
    <row r="513" spans="1:23" hidden="1" x14ac:dyDescent="0.3">
      <c r="A513" s="15">
        <v>508</v>
      </c>
      <c r="B513" s="48">
        <v>45778</v>
      </c>
      <c r="C513" s="19">
        <v>45792</v>
      </c>
      <c r="D513" s="19" t="s">
        <v>56</v>
      </c>
      <c r="E513" s="21" t="s">
        <v>1641</v>
      </c>
      <c r="F513" s="21">
        <v>9281983602</v>
      </c>
      <c r="G513" s="15" t="s">
        <v>6</v>
      </c>
      <c r="H513" s="15" t="s">
        <v>1874</v>
      </c>
      <c r="I513" s="15" t="s">
        <v>440</v>
      </c>
      <c r="J513" s="15" t="s">
        <v>172</v>
      </c>
      <c r="K513" s="16">
        <v>32820</v>
      </c>
      <c r="L513" s="16">
        <v>40320</v>
      </c>
      <c r="M513" s="17">
        <f>Table1[[#This Row],[Billing Rate Charges]]-Table1[[#This Row],[ LORRY RATE ]]</f>
        <v>7500</v>
      </c>
      <c r="N513" s="17">
        <v>32820</v>
      </c>
      <c r="O513" s="17">
        <f>Table1[[#This Row],[ LORRY RATE ]]-Table1[[#This Row],[Adance Paid (INR)]]</f>
        <v>0</v>
      </c>
      <c r="P513" s="17" t="s">
        <v>147</v>
      </c>
      <c r="Q513" s="18" t="s">
        <v>1937</v>
      </c>
      <c r="R513" s="17"/>
      <c r="S513" s="18" t="s">
        <v>1881</v>
      </c>
      <c r="T513" s="18" t="s">
        <v>1881</v>
      </c>
      <c r="U513" s="15" t="s">
        <v>54</v>
      </c>
      <c r="V513" s="15" t="s">
        <v>56</v>
      </c>
      <c r="W513" s="15"/>
    </row>
    <row r="514" spans="1:23" hidden="1" x14ac:dyDescent="0.3">
      <c r="A514" s="15">
        <v>509</v>
      </c>
      <c r="B514" s="48">
        <v>45778</v>
      </c>
      <c r="C514" s="19">
        <v>45794</v>
      </c>
      <c r="D514" s="19" t="s">
        <v>56</v>
      </c>
      <c r="E514" s="21" t="s">
        <v>60</v>
      </c>
      <c r="F514" s="21">
        <v>9589264337</v>
      </c>
      <c r="G514" s="15" t="s">
        <v>6</v>
      </c>
      <c r="H514" s="15" t="s">
        <v>440</v>
      </c>
      <c r="I514" s="15" t="s">
        <v>41</v>
      </c>
      <c r="J514" s="15" t="s">
        <v>172</v>
      </c>
      <c r="K514" s="16">
        <v>33770</v>
      </c>
      <c r="L514" s="16">
        <v>46620</v>
      </c>
      <c r="M514" s="17">
        <f>Table1[[#This Row],[Billing Rate Charges]]-Table1[[#This Row],[ LORRY RATE ]]</f>
        <v>12850</v>
      </c>
      <c r="N514" s="17">
        <v>33770</v>
      </c>
      <c r="O514" s="17">
        <f>Table1[[#This Row],[ LORRY RATE ]]-Table1[[#This Row],[Adance Paid (INR)]]</f>
        <v>0</v>
      </c>
      <c r="P514" s="17" t="s">
        <v>147</v>
      </c>
      <c r="Q514" s="18" t="s">
        <v>1938</v>
      </c>
      <c r="R514" s="17"/>
      <c r="S514" s="18" t="s">
        <v>1897</v>
      </c>
      <c r="T514" s="18" t="s">
        <v>1897</v>
      </c>
      <c r="U514" s="15" t="s">
        <v>54</v>
      </c>
      <c r="V514" s="15" t="s">
        <v>56</v>
      </c>
      <c r="W514" s="15"/>
    </row>
    <row r="515" spans="1:23" hidden="1" x14ac:dyDescent="0.3">
      <c r="A515" s="15">
        <v>510</v>
      </c>
      <c r="B515" s="48">
        <v>45778</v>
      </c>
      <c r="C515" s="19">
        <v>45794</v>
      </c>
      <c r="D515" s="19" t="s">
        <v>56</v>
      </c>
      <c r="E515" s="21" t="s">
        <v>38</v>
      </c>
      <c r="F515" s="21">
        <v>9515412075</v>
      </c>
      <c r="G515" s="15" t="s">
        <v>1093</v>
      </c>
      <c r="H515" s="15" t="s">
        <v>1874</v>
      </c>
      <c r="I515" s="15" t="s">
        <v>6</v>
      </c>
      <c r="J515" s="15" t="s">
        <v>59</v>
      </c>
      <c r="K515" s="16">
        <v>40480</v>
      </c>
      <c r="L515" s="16">
        <v>91350</v>
      </c>
      <c r="M515" s="17">
        <f>Table1[[#This Row],[Billing Rate Charges]]-Table1[[#This Row],[ LORRY RATE ]]</f>
        <v>50870</v>
      </c>
      <c r="N515" s="17">
        <v>40480</v>
      </c>
      <c r="O515" s="17">
        <f>Table1[[#This Row],[ LORRY RATE ]]-Table1[[#This Row],[Adance Paid (INR)]]</f>
        <v>0</v>
      </c>
      <c r="P515" s="17" t="s">
        <v>147</v>
      </c>
      <c r="Q515" s="18" t="s">
        <v>1939</v>
      </c>
      <c r="R515" s="17"/>
      <c r="S515" s="18" t="s">
        <v>1897</v>
      </c>
      <c r="T515" s="18" t="s">
        <v>1897</v>
      </c>
      <c r="U515" s="15" t="s">
        <v>54</v>
      </c>
      <c r="V515" s="15" t="s">
        <v>56</v>
      </c>
      <c r="W515" s="15"/>
    </row>
    <row r="516" spans="1:23" hidden="1" x14ac:dyDescent="0.3">
      <c r="A516" s="15">
        <v>511</v>
      </c>
      <c r="B516" s="48">
        <v>45778</v>
      </c>
      <c r="C516" s="19">
        <v>45795</v>
      </c>
      <c r="D516" s="19" t="s">
        <v>56</v>
      </c>
      <c r="E516" s="21" t="s">
        <v>1644</v>
      </c>
      <c r="F516" s="21">
        <v>9902798068</v>
      </c>
      <c r="G516" s="15" t="s">
        <v>1093</v>
      </c>
      <c r="H516" s="15" t="s">
        <v>1874</v>
      </c>
      <c r="I516" s="15" t="s">
        <v>6</v>
      </c>
      <c r="J516" s="15" t="s">
        <v>172</v>
      </c>
      <c r="K516" s="16">
        <v>41230</v>
      </c>
      <c r="L516" s="16">
        <v>96390</v>
      </c>
      <c r="M516" s="17">
        <f>Table1[[#This Row],[Billing Rate Charges]]-Table1[[#This Row],[ LORRY RATE ]]</f>
        <v>55160</v>
      </c>
      <c r="N516" s="17">
        <v>41230</v>
      </c>
      <c r="O516" s="17">
        <f>Table1[[#This Row],[ LORRY RATE ]]-Table1[[#This Row],[Adance Paid (INR)]]</f>
        <v>0</v>
      </c>
      <c r="P516" s="17" t="s">
        <v>147</v>
      </c>
      <c r="Q516" s="18" t="s">
        <v>1940</v>
      </c>
      <c r="R516" s="17"/>
      <c r="S516" s="18" t="s">
        <v>1897</v>
      </c>
      <c r="T516" s="18" t="s">
        <v>1897</v>
      </c>
      <c r="U516" s="15" t="s">
        <v>54</v>
      </c>
      <c r="V516" s="15" t="s">
        <v>56</v>
      </c>
      <c r="W516" s="15"/>
    </row>
    <row r="517" spans="1:23" hidden="1" x14ac:dyDescent="0.3">
      <c r="A517" s="15">
        <v>512</v>
      </c>
      <c r="B517" s="48">
        <v>45778</v>
      </c>
      <c r="C517" s="19">
        <v>45797</v>
      </c>
      <c r="D517" s="19" t="s">
        <v>56</v>
      </c>
      <c r="E517" s="21" t="s">
        <v>1635</v>
      </c>
      <c r="F517" s="21">
        <v>9472230553</v>
      </c>
      <c r="G517" s="15" t="s">
        <v>1093</v>
      </c>
      <c r="H517" s="15"/>
      <c r="I517" s="15" t="s">
        <v>6</v>
      </c>
      <c r="J517" s="15" t="s">
        <v>172</v>
      </c>
      <c r="K517" s="16">
        <v>41230</v>
      </c>
      <c r="L517" s="16">
        <v>96390</v>
      </c>
      <c r="M517" s="17">
        <f>Table1[[#This Row],[Billing Rate Charges]]-Table1[[#This Row],[ LORRY RATE ]]</f>
        <v>55160</v>
      </c>
      <c r="N517" s="17">
        <v>41230</v>
      </c>
      <c r="O517" s="17">
        <f>Table1[[#This Row],[ LORRY RATE ]]-Table1[[#This Row],[Adance Paid (INR)]]</f>
        <v>0</v>
      </c>
      <c r="P517" s="17" t="s">
        <v>147</v>
      </c>
      <c r="Q517" s="18" t="s">
        <v>1941</v>
      </c>
      <c r="R517" s="17"/>
      <c r="S517" s="18" t="s">
        <v>1900</v>
      </c>
      <c r="T517" s="18" t="s">
        <v>1900</v>
      </c>
      <c r="U517" s="15" t="s">
        <v>54</v>
      </c>
      <c r="V517" s="15" t="s">
        <v>56</v>
      </c>
      <c r="W517" s="15"/>
    </row>
    <row r="518" spans="1:23" hidden="1" x14ac:dyDescent="0.3">
      <c r="A518" s="15">
        <v>513</v>
      </c>
      <c r="B518" s="48">
        <v>45778</v>
      </c>
      <c r="C518" s="19">
        <v>45797</v>
      </c>
      <c r="D518" s="19" t="s">
        <v>51</v>
      </c>
      <c r="E518" s="21" t="s">
        <v>1909</v>
      </c>
      <c r="F518" s="21">
        <v>9119138448</v>
      </c>
      <c r="G518" s="15" t="s">
        <v>6</v>
      </c>
      <c r="H518" s="15" t="s">
        <v>1910</v>
      </c>
      <c r="I518" s="15" t="s">
        <v>6</v>
      </c>
      <c r="J518" s="15" t="s">
        <v>445</v>
      </c>
      <c r="K518" s="16">
        <v>620</v>
      </c>
      <c r="L518" s="16">
        <v>940</v>
      </c>
      <c r="M518" s="17">
        <f>Table1[[#This Row],[Billing Rate Charges]]-Table1[[#This Row],[ LORRY RATE ]]</f>
        <v>320</v>
      </c>
      <c r="N518" s="17">
        <v>620</v>
      </c>
      <c r="O518" s="17">
        <f>Table1[[#This Row],[ LORRY RATE ]]-Table1[[#This Row],[Adance Paid (INR)]]</f>
        <v>0</v>
      </c>
      <c r="P518" s="17" t="s">
        <v>147</v>
      </c>
      <c r="Q518" s="18" t="s">
        <v>1964</v>
      </c>
      <c r="R518" s="17"/>
      <c r="S518" s="18" t="s">
        <v>1897</v>
      </c>
      <c r="T518" s="18" t="s">
        <v>1897</v>
      </c>
      <c r="U518" s="15" t="s">
        <v>54</v>
      </c>
      <c r="V518" s="15" t="s">
        <v>51</v>
      </c>
      <c r="W518" s="15" t="s">
        <v>1911</v>
      </c>
    </row>
    <row r="519" spans="1:23" hidden="1" x14ac:dyDescent="0.3">
      <c r="A519" s="15">
        <v>514</v>
      </c>
      <c r="B519" s="48">
        <v>45778</v>
      </c>
      <c r="C519" s="19">
        <v>45797</v>
      </c>
      <c r="D519" s="19" t="s">
        <v>51</v>
      </c>
      <c r="E519" s="21" t="s">
        <v>1895</v>
      </c>
      <c r="F519" s="21">
        <v>9991890079</v>
      </c>
      <c r="G519" s="15" t="s">
        <v>6</v>
      </c>
      <c r="H519" s="15" t="s">
        <v>440</v>
      </c>
      <c r="I519" s="15" t="s">
        <v>41</v>
      </c>
      <c r="J519" s="15" t="s">
        <v>172</v>
      </c>
      <c r="K519" s="16">
        <v>33770</v>
      </c>
      <c r="L519" s="16">
        <v>46620</v>
      </c>
      <c r="M519" s="17">
        <f>Table1[[#This Row],[Billing Rate Charges]]-Table1[[#This Row],[ LORRY RATE ]]</f>
        <v>12850</v>
      </c>
      <c r="N519" s="17">
        <v>33770</v>
      </c>
      <c r="O519" s="17">
        <f>Table1[[#This Row],[ LORRY RATE ]]-Table1[[#This Row],[Adance Paid (INR)]]</f>
        <v>0</v>
      </c>
      <c r="P519" s="17" t="s">
        <v>147</v>
      </c>
      <c r="Q519" s="18" t="s">
        <v>1942</v>
      </c>
      <c r="R519" s="17"/>
      <c r="S519" s="18" t="s">
        <v>1901</v>
      </c>
      <c r="T519" s="18" t="s">
        <v>1901</v>
      </c>
      <c r="U519" s="15" t="s">
        <v>54</v>
      </c>
      <c r="V519" s="15" t="s">
        <v>529</v>
      </c>
      <c r="W519" s="15"/>
    </row>
    <row r="520" spans="1:23" hidden="1" x14ac:dyDescent="0.3">
      <c r="A520" s="15">
        <v>515</v>
      </c>
      <c r="B520" s="48">
        <v>45778</v>
      </c>
      <c r="C520" s="19">
        <v>45798</v>
      </c>
      <c r="D520" s="19" t="s">
        <v>51</v>
      </c>
      <c r="E520" s="21" t="s">
        <v>43</v>
      </c>
      <c r="F520" s="21">
        <v>9091859565</v>
      </c>
      <c r="G520" s="15" t="s">
        <v>6</v>
      </c>
      <c r="H520" s="15" t="s">
        <v>440</v>
      </c>
      <c r="I520" s="15" t="s">
        <v>41</v>
      </c>
      <c r="J520" s="15" t="s">
        <v>172</v>
      </c>
      <c r="K520" s="16">
        <v>33770</v>
      </c>
      <c r="L520" s="16">
        <v>46620</v>
      </c>
      <c r="M520" s="17">
        <f>Table1[[#This Row],[Billing Rate Charges]]-Table1[[#This Row],[ LORRY RATE ]]</f>
        <v>12850</v>
      </c>
      <c r="N520" s="17">
        <v>33770</v>
      </c>
      <c r="O520" s="17">
        <f>Table1[[#This Row],[ LORRY RATE ]]-Table1[[#This Row],[Adance Paid (INR)]]</f>
        <v>0</v>
      </c>
      <c r="P520" s="17" t="s">
        <v>147</v>
      </c>
      <c r="Q520" s="18" t="s">
        <v>1943</v>
      </c>
      <c r="R520" s="17"/>
      <c r="S520" s="18" t="s">
        <v>1900</v>
      </c>
      <c r="T520" s="18" t="s">
        <v>1901</v>
      </c>
      <c r="U520" s="15" t="s">
        <v>54</v>
      </c>
      <c r="V520" s="15" t="s">
        <v>213</v>
      </c>
      <c r="W520" s="15"/>
    </row>
    <row r="521" spans="1:23" hidden="1" x14ac:dyDescent="0.3">
      <c r="A521" s="15">
        <v>516</v>
      </c>
      <c r="B521" s="48">
        <v>45778</v>
      </c>
      <c r="C521" s="19">
        <v>45798</v>
      </c>
      <c r="D521" s="19" t="s">
        <v>56</v>
      </c>
      <c r="E521" s="21" t="s">
        <v>38</v>
      </c>
      <c r="F521" s="21">
        <v>9515412075</v>
      </c>
      <c r="G521" s="15" t="s">
        <v>6</v>
      </c>
      <c r="H521" s="15" t="s">
        <v>1874</v>
      </c>
      <c r="I521" s="15" t="s">
        <v>41</v>
      </c>
      <c r="J521" s="15" t="s">
        <v>59</v>
      </c>
      <c r="K521" s="16">
        <v>32590</v>
      </c>
      <c r="L521" s="16">
        <v>38740</v>
      </c>
      <c r="M521" s="17">
        <f>Table1[[#This Row],[Billing Rate Charges]]-Table1[[#This Row],[ LORRY RATE ]]</f>
        <v>6150</v>
      </c>
      <c r="N521" s="17">
        <v>32590</v>
      </c>
      <c r="O521" s="17">
        <f>Table1[[#This Row],[ LORRY RATE ]]-Table1[[#This Row],[Adance Paid (INR)]]</f>
        <v>0</v>
      </c>
      <c r="P521" s="17" t="s">
        <v>147</v>
      </c>
      <c r="Q521" s="18" t="s">
        <v>1916</v>
      </c>
      <c r="R521" s="17"/>
      <c r="S521" s="18" t="s">
        <v>1900</v>
      </c>
      <c r="T521" s="18" t="s">
        <v>1901</v>
      </c>
      <c r="U521" s="15" t="s">
        <v>54</v>
      </c>
      <c r="V521" s="15" t="s">
        <v>56</v>
      </c>
      <c r="W521" s="15"/>
    </row>
    <row r="522" spans="1:23" hidden="1" x14ac:dyDescent="0.3">
      <c r="A522" s="15">
        <v>517</v>
      </c>
      <c r="B522" s="48">
        <v>45778</v>
      </c>
      <c r="C522" s="19">
        <v>45798</v>
      </c>
      <c r="D522" s="19" t="s">
        <v>56</v>
      </c>
      <c r="E522" s="21" t="s">
        <v>1644</v>
      </c>
      <c r="F522" s="21">
        <v>9220186371</v>
      </c>
      <c r="G522" s="15" t="s">
        <v>6</v>
      </c>
      <c r="H522" s="15" t="s">
        <v>1874</v>
      </c>
      <c r="I522" s="15" t="s">
        <v>440</v>
      </c>
      <c r="J522" s="15" t="s">
        <v>172</v>
      </c>
      <c r="K522" s="16">
        <v>32820</v>
      </c>
      <c r="L522" s="16">
        <v>40320</v>
      </c>
      <c r="M522" s="17">
        <f>Table1[[#This Row],[Billing Rate Charges]]-Table1[[#This Row],[ LORRY RATE ]]</f>
        <v>7500</v>
      </c>
      <c r="N522" s="17">
        <v>32820</v>
      </c>
      <c r="O522" s="17">
        <f>Table1[[#This Row],[ LORRY RATE ]]-Table1[[#This Row],[Adance Paid (INR)]]</f>
        <v>0</v>
      </c>
      <c r="P522" s="17" t="s">
        <v>147</v>
      </c>
      <c r="Q522" s="18" t="s">
        <v>1944</v>
      </c>
      <c r="R522" s="17"/>
      <c r="S522" s="18" t="s">
        <v>1900</v>
      </c>
      <c r="T522" s="18" t="s">
        <v>1901</v>
      </c>
      <c r="U522" s="15" t="s">
        <v>54</v>
      </c>
      <c r="V522" s="15" t="s">
        <v>56</v>
      </c>
      <c r="W522" s="15"/>
    </row>
    <row r="523" spans="1:23" hidden="1" x14ac:dyDescent="0.3">
      <c r="A523" s="15">
        <v>518</v>
      </c>
      <c r="B523" s="48">
        <v>45778</v>
      </c>
      <c r="C523" s="19">
        <v>45798</v>
      </c>
      <c r="D523" s="19" t="s">
        <v>56</v>
      </c>
      <c r="E523" s="21" t="s">
        <v>1641</v>
      </c>
      <c r="F523" s="21">
        <v>9281983602</v>
      </c>
      <c r="G523" s="15" t="s">
        <v>1093</v>
      </c>
      <c r="H523" s="15" t="s">
        <v>1896</v>
      </c>
      <c r="I523" s="15" t="s">
        <v>6</v>
      </c>
      <c r="J523" s="15" t="s">
        <v>172</v>
      </c>
      <c r="K523" s="16">
        <v>42180</v>
      </c>
      <c r="L523" s="16">
        <v>102690</v>
      </c>
      <c r="M523" s="17">
        <f>Table1[[#This Row],[Billing Rate Charges]]-Table1[[#This Row],[ LORRY RATE ]]</f>
        <v>60510</v>
      </c>
      <c r="N523" s="17">
        <v>42180</v>
      </c>
      <c r="O523" s="17">
        <f>Table1[[#This Row],[ LORRY RATE ]]-Table1[[#This Row],[Adance Paid (INR)]]</f>
        <v>0</v>
      </c>
      <c r="P523" s="17" t="s">
        <v>147</v>
      </c>
      <c r="Q523" s="18" t="s">
        <v>1945</v>
      </c>
      <c r="R523" s="17"/>
      <c r="S523" s="18" t="s">
        <v>1900</v>
      </c>
      <c r="T523" s="18" t="s">
        <v>1900</v>
      </c>
      <c r="U523" s="15" t="s">
        <v>54</v>
      </c>
      <c r="V523" s="15" t="s">
        <v>56</v>
      </c>
      <c r="W523" s="15"/>
    </row>
    <row r="524" spans="1:23" hidden="1" x14ac:dyDescent="0.3">
      <c r="A524" s="15">
        <v>519</v>
      </c>
      <c r="B524" s="48">
        <v>45778</v>
      </c>
      <c r="C524" s="19">
        <v>45799</v>
      </c>
      <c r="D524" s="19" t="s">
        <v>51</v>
      </c>
      <c r="E524" s="21" t="s">
        <v>380</v>
      </c>
      <c r="F524" s="21"/>
      <c r="G524" s="15" t="s">
        <v>6</v>
      </c>
      <c r="H524" s="15" t="s">
        <v>1948</v>
      </c>
      <c r="I524" s="15" t="s">
        <v>1949</v>
      </c>
      <c r="J524" s="15" t="s">
        <v>381</v>
      </c>
      <c r="K524" s="16">
        <v>41380</v>
      </c>
      <c r="L524" s="16">
        <v>49810</v>
      </c>
      <c r="M524" s="17">
        <f>Table1[[#This Row],[Billing Rate Charges]]-Table1[[#This Row],[ LORRY RATE ]]</f>
        <v>8430</v>
      </c>
      <c r="N524" s="17">
        <v>41380</v>
      </c>
      <c r="O524" s="17">
        <f>Table1[[#This Row],[ LORRY RATE ]]-Table1[[#This Row],[Adance Paid (INR)]]</f>
        <v>0</v>
      </c>
      <c r="P524" s="17" t="s">
        <v>147</v>
      </c>
      <c r="Q524" s="18" t="s">
        <v>1965</v>
      </c>
      <c r="R524" s="17"/>
      <c r="S524" s="18" t="s">
        <v>1900</v>
      </c>
      <c r="T524" s="18" t="s">
        <v>1900</v>
      </c>
      <c r="U524" s="15" t="s">
        <v>54</v>
      </c>
      <c r="V524" s="15" t="s">
        <v>380</v>
      </c>
      <c r="W524" s="15" t="s">
        <v>1907</v>
      </c>
    </row>
    <row r="525" spans="1:23" hidden="1" x14ac:dyDescent="0.3">
      <c r="A525" s="15">
        <v>520</v>
      </c>
      <c r="B525" s="48">
        <v>45778</v>
      </c>
      <c r="C525" s="19">
        <v>45799</v>
      </c>
      <c r="D525" s="19" t="s">
        <v>51</v>
      </c>
      <c r="E525" s="21" t="s">
        <v>380</v>
      </c>
      <c r="F525" s="21"/>
      <c r="G525" s="15" t="s">
        <v>6</v>
      </c>
      <c r="H525" s="15"/>
      <c r="I525" s="15" t="s">
        <v>1950</v>
      </c>
      <c r="J525" s="15" t="s">
        <v>381</v>
      </c>
      <c r="K525" s="16">
        <v>34110</v>
      </c>
      <c r="L525" s="16">
        <v>35920</v>
      </c>
      <c r="M525" s="17">
        <f>Table1[[#This Row],[Billing Rate Charges]]-Table1[[#This Row],[ LORRY RATE ]]</f>
        <v>1810</v>
      </c>
      <c r="N525" s="17">
        <v>34110</v>
      </c>
      <c r="O525" s="17">
        <f>Table1[[#This Row],[ LORRY RATE ]]-Table1[[#This Row],[Adance Paid (INR)]]</f>
        <v>0</v>
      </c>
      <c r="P525" s="17" t="s">
        <v>147</v>
      </c>
      <c r="Q525" s="18" t="s">
        <v>1966</v>
      </c>
      <c r="R525" s="17"/>
      <c r="S525" s="18" t="s">
        <v>1900</v>
      </c>
      <c r="T525" s="18" t="s">
        <v>1900</v>
      </c>
      <c r="U525" s="15" t="s">
        <v>54</v>
      </c>
      <c r="V525" s="15" t="s">
        <v>380</v>
      </c>
      <c r="W525" s="15" t="s">
        <v>1908</v>
      </c>
    </row>
    <row r="526" spans="1:23" hidden="1" x14ac:dyDescent="0.3">
      <c r="A526" s="15">
        <v>521</v>
      </c>
      <c r="B526" s="48">
        <v>45778</v>
      </c>
      <c r="C526" s="19">
        <v>45800</v>
      </c>
      <c r="D526" s="19" t="s">
        <v>56</v>
      </c>
      <c r="E526" s="21" t="s">
        <v>60</v>
      </c>
      <c r="F526" s="21">
        <v>9589264337</v>
      </c>
      <c r="G526" s="15" t="s">
        <v>1093</v>
      </c>
      <c r="H526" s="15" t="s">
        <v>1874</v>
      </c>
      <c r="I526" s="15" t="s">
        <v>6</v>
      </c>
      <c r="J526" s="15" t="s">
        <v>172</v>
      </c>
      <c r="K526" s="16">
        <v>41230</v>
      </c>
      <c r="L526" s="16">
        <v>96390</v>
      </c>
      <c r="M526" s="17">
        <f>Table1[[#This Row],[Billing Rate Charges]]-Table1[[#This Row],[ LORRY RATE ]]</f>
        <v>55160</v>
      </c>
      <c r="N526" s="17">
        <v>41230</v>
      </c>
      <c r="O526" s="17">
        <f>Table1[[#This Row],[ LORRY RATE ]]-Table1[[#This Row],[Adance Paid (INR)]]</f>
        <v>0</v>
      </c>
      <c r="P526" s="17" t="s">
        <v>147</v>
      </c>
      <c r="Q526" s="18" t="s">
        <v>1946</v>
      </c>
      <c r="R526" s="17"/>
      <c r="S526" s="18" t="s">
        <v>1902</v>
      </c>
      <c r="T526" s="18" t="s">
        <v>1902</v>
      </c>
      <c r="U526" s="15" t="s">
        <v>54</v>
      </c>
      <c r="V526" s="15" t="s">
        <v>56</v>
      </c>
      <c r="W526" s="15"/>
    </row>
    <row r="527" spans="1:23" hidden="1" x14ac:dyDescent="0.3">
      <c r="A527" s="15">
        <v>522</v>
      </c>
      <c r="B527" s="48">
        <v>45778</v>
      </c>
      <c r="C527" s="19">
        <v>45801</v>
      </c>
      <c r="D527" s="19" t="s">
        <v>56</v>
      </c>
      <c r="E527" s="21" t="s">
        <v>1750</v>
      </c>
      <c r="F527" s="21">
        <v>9220186371</v>
      </c>
      <c r="G527" s="15" t="s">
        <v>1093</v>
      </c>
      <c r="H527" s="15" t="s">
        <v>1896</v>
      </c>
      <c r="I527" s="15" t="s">
        <v>6</v>
      </c>
      <c r="J527" s="15" t="s">
        <v>172</v>
      </c>
      <c r="K527" s="16">
        <v>42180</v>
      </c>
      <c r="L527" s="16">
        <v>102690</v>
      </c>
      <c r="M527" s="17">
        <f>Table1[[#This Row],[Billing Rate Charges]]-Table1[[#This Row],[ LORRY RATE ]]</f>
        <v>60510</v>
      </c>
      <c r="N527" s="17">
        <v>42180</v>
      </c>
      <c r="O527" s="17">
        <f>Table1[[#This Row],[ LORRY RATE ]]-Table1[[#This Row],[Adance Paid (INR)]]</f>
        <v>0</v>
      </c>
      <c r="P527" s="17" t="s">
        <v>147</v>
      </c>
      <c r="Q527" s="18" t="s">
        <v>1947</v>
      </c>
      <c r="R527" s="17"/>
      <c r="S527" s="18" t="s">
        <v>1904</v>
      </c>
      <c r="T527" s="18" t="s">
        <v>1904</v>
      </c>
      <c r="U527" s="15" t="s">
        <v>54</v>
      </c>
      <c r="V527" s="15" t="s">
        <v>56</v>
      </c>
      <c r="W527" s="15"/>
    </row>
    <row r="528" spans="1:23" hidden="1" x14ac:dyDescent="0.3">
      <c r="A528" s="15">
        <v>523</v>
      </c>
      <c r="B528" s="48">
        <v>45778</v>
      </c>
      <c r="C528" s="19">
        <v>45801</v>
      </c>
      <c r="D528" s="19" t="s">
        <v>56</v>
      </c>
      <c r="E528" s="21" t="s">
        <v>1641</v>
      </c>
      <c r="F528" s="21">
        <v>9281983602</v>
      </c>
      <c r="G528" s="15" t="s">
        <v>6</v>
      </c>
      <c r="H528" s="15" t="s">
        <v>440</v>
      </c>
      <c r="I528" s="15" t="s">
        <v>41</v>
      </c>
      <c r="J528" s="15" t="s">
        <v>172</v>
      </c>
      <c r="K528" s="16">
        <v>33770</v>
      </c>
      <c r="L528" s="16">
        <v>46620</v>
      </c>
      <c r="M528" s="17">
        <f>Table1[[#This Row],[Billing Rate Charges]]-Table1[[#This Row],[ LORRY RATE ]]</f>
        <v>12850</v>
      </c>
      <c r="N528" s="17">
        <v>33770</v>
      </c>
      <c r="O528" s="17">
        <f>Table1[[#This Row],[ LORRY RATE ]]-Table1[[#This Row],[Adance Paid (INR)]]</f>
        <v>0</v>
      </c>
      <c r="P528" s="17" t="s">
        <v>147</v>
      </c>
      <c r="Q528" s="18" t="s">
        <v>1929</v>
      </c>
      <c r="R528" s="17"/>
      <c r="S528" s="18" t="s">
        <v>1904</v>
      </c>
      <c r="T528" s="18" t="s">
        <v>1904</v>
      </c>
      <c r="U528" s="15" t="s">
        <v>54</v>
      </c>
      <c r="V528" s="15" t="s">
        <v>56</v>
      </c>
      <c r="W528" s="15"/>
    </row>
    <row r="529" spans="1:23" hidden="1" x14ac:dyDescent="0.3">
      <c r="A529" s="15">
        <v>524</v>
      </c>
      <c r="B529" s="48">
        <v>45778</v>
      </c>
      <c r="C529" s="19">
        <v>45803</v>
      </c>
      <c r="D529" s="19" t="s">
        <v>56</v>
      </c>
      <c r="E529" s="21" t="s">
        <v>1635</v>
      </c>
      <c r="F529" s="21">
        <v>9950016408</v>
      </c>
      <c r="G529" s="15" t="s">
        <v>6</v>
      </c>
      <c r="H529" s="15" t="s">
        <v>1874</v>
      </c>
      <c r="I529" s="15" t="s">
        <v>1951</v>
      </c>
      <c r="J529" s="15" t="s">
        <v>172</v>
      </c>
      <c r="K529" s="16">
        <v>32820</v>
      </c>
      <c r="L529" s="16">
        <v>40320</v>
      </c>
      <c r="M529" s="17">
        <f>Table1[[#This Row],[Billing Rate Charges]]-Table1[[#This Row],[ LORRY RATE ]]</f>
        <v>7500</v>
      </c>
      <c r="N529" s="17">
        <v>32820</v>
      </c>
      <c r="O529" s="17">
        <f>Table1[[#This Row],[ LORRY RATE ]]-Table1[[#This Row],[Adance Paid (INR)]]</f>
        <v>0</v>
      </c>
      <c r="P529" s="17" t="s">
        <v>147</v>
      </c>
      <c r="Q529" s="18" t="s">
        <v>1967</v>
      </c>
      <c r="R529" s="17"/>
      <c r="S529" s="18" t="s">
        <v>1903</v>
      </c>
      <c r="T529" s="18" t="s">
        <v>1903</v>
      </c>
      <c r="U529" s="15" t="s">
        <v>54</v>
      </c>
      <c r="V529" s="15" t="s">
        <v>56</v>
      </c>
      <c r="W529" s="15"/>
    </row>
    <row r="530" spans="1:23" hidden="1" x14ac:dyDescent="0.3">
      <c r="A530" s="15">
        <v>525</v>
      </c>
      <c r="B530" s="48">
        <v>45778</v>
      </c>
      <c r="C530" s="19">
        <v>45804</v>
      </c>
      <c r="D530" s="19" t="s">
        <v>56</v>
      </c>
      <c r="E530" s="21" t="s">
        <v>1637</v>
      </c>
      <c r="F530" s="21">
        <v>9025368773</v>
      </c>
      <c r="G530" s="15" t="s">
        <v>6</v>
      </c>
      <c r="H530" s="15" t="s">
        <v>1952</v>
      </c>
      <c r="I530" s="15" t="s">
        <v>1953</v>
      </c>
      <c r="J530" s="15" t="s">
        <v>172</v>
      </c>
      <c r="K530" s="16">
        <v>33770</v>
      </c>
      <c r="L530" s="16">
        <v>46620</v>
      </c>
      <c r="M530" s="17">
        <f>Table1[[#This Row],[Billing Rate Charges]]-Table1[[#This Row],[ LORRY RATE ]]</f>
        <v>12850</v>
      </c>
      <c r="N530" s="17">
        <v>33770</v>
      </c>
      <c r="O530" s="17">
        <f>Table1[[#This Row],[ LORRY RATE ]]-Table1[[#This Row],[Adance Paid (INR)]]</f>
        <v>0</v>
      </c>
      <c r="P530" s="17" t="s">
        <v>147</v>
      </c>
      <c r="Q530" s="18" t="s">
        <v>1968</v>
      </c>
      <c r="R530" s="17"/>
      <c r="S530" s="18" t="s">
        <v>1905</v>
      </c>
      <c r="T530" s="18" t="s">
        <v>1905</v>
      </c>
      <c r="U530" s="15" t="s">
        <v>54</v>
      </c>
      <c r="V530" s="15" t="s">
        <v>56</v>
      </c>
      <c r="W530" s="15"/>
    </row>
    <row r="531" spans="1:23" hidden="1" x14ac:dyDescent="0.3">
      <c r="A531" s="15">
        <v>526</v>
      </c>
      <c r="B531" s="48">
        <v>45778</v>
      </c>
      <c r="C531" s="19">
        <v>45804</v>
      </c>
      <c r="D531" s="19" t="s">
        <v>56</v>
      </c>
      <c r="E531" s="21" t="s">
        <v>38</v>
      </c>
      <c r="F531" s="21">
        <v>9515412075</v>
      </c>
      <c r="G531" s="15" t="s">
        <v>1093</v>
      </c>
      <c r="H531" s="15" t="s">
        <v>1874</v>
      </c>
      <c r="I531" s="15" t="s">
        <v>1969</v>
      </c>
      <c r="J531" s="15" t="s">
        <v>59</v>
      </c>
      <c r="K531" s="16">
        <v>40480</v>
      </c>
      <c r="L531" s="16">
        <v>91350</v>
      </c>
      <c r="M531" s="17">
        <f>Table1[[#This Row],[Billing Rate Charges]]-Table1[[#This Row],[ LORRY RATE ]]</f>
        <v>50870</v>
      </c>
      <c r="N531" s="17">
        <v>40480</v>
      </c>
      <c r="O531" s="17">
        <f>Table1[[#This Row],[ LORRY RATE ]]-Table1[[#This Row],[Adance Paid (INR)]]</f>
        <v>0</v>
      </c>
      <c r="P531" s="17" t="s">
        <v>147</v>
      </c>
      <c r="Q531" s="18" t="s">
        <v>1970</v>
      </c>
      <c r="R531" s="17"/>
      <c r="S531" s="18" t="s">
        <v>1903</v>
      </c>
      <c r="T531" s="18" t="s">
        <v>1903</v>
      </c>
      <c r="U531" s="15" t="s">
        <v>54</v>
      </c>
      <c r="V531" s="15" t="s">
        <v>56</v>
      </c>
      <c r="W531" s="15"/>
    </row>
    <row r="532" spans="1:23" hidden="1" x14ac:dyDescent="0.3">
      <c r="A532" s="15">
        <v>527</v>
      </c>
      <c r="B532" s="48">
        <v>45778</v>
      </c>
      <c r="C532" s="19">
        <v>45805</v>
      </c>
      <c r="D532" s="19" t="s">
        <v>56</v>
      </c>
      <c r="E532" s="21" t="s">
        <v>1644</v>
      </c>
      <c r="F532" s="21">
        <v>9220186371</v>
      </c>
      <c r="G532" s="15" t="s">
        <v>6</v>
      </c>
      <c r="H532" s="15" t="s">
        <v>1954</v>
      </c>
      <c r="I532" s="15" t="s">
        <v>1955</v>
      </c>
      <c r="J532" s="15" t="s">
        <v>172</v>
      </c>
      <c r="K532" s="16">
        <v>33770</v>
      </c>
      <c r="L532" s="16">
        <v>46620</v>
      </c>
      <c r="M532" s="17">
        <f>Table1[[#This Row],[Billing Rate Charges]]-Table1[[#This Row],[ LORRY RATE ]]</f>
        <v>12850</v>
      </c>
      <c r="N532" s="17">
        <v>33770</v>
      </c>
      <c r="O532" s="17">
        <f>Table1[[#This Row],[ LORRY RATE ]]-Table1[[#This Row],[Adance Paid (INR)]]</f>
        <v>0</v>
      </c>
      <c r="P532" s="17" t="s">
        <v>147</v>
      </c>
      <c r="Q532" s="18" t="s">
        <v>1971</v>
      </c>
      <c r="R532" s="17"/>
      <c r="S532" s="18" t="s">
        <v>1905</v>
      </c>
      <c r="T532" s="18" t="s">
        <v>1905</v>
      </c>
      <c r="U532" s="15" t="s">
        <v>54</v>
      </c>
      <c r="V532" s="15" t="s">
        <v>56</v>
      </c>
      <c r="W532" s="15"/>
    </row>
    <row r="533" spans="1:23" hidden="1" x14ac:dyDescent="0.3">
      <c r="A533" s="15">
        <v>528</v>
      </c>
      <c r="B533" s="48">
        <v>45778</v>
      </c>
      <c r="C533" s="19">
        <v>45806</v>
      </c>
      <c r="D533" s="19" t="s">
        <v>56</v>
      </c>
      <c r="E533" s="21" t="s">
        <v>60</v>
      </c>
      <c r="F533" s="21">
        <v>9589264337</v>
      </c>
      <c r="G533" s="15" t="s">
        <v>6</v>
      </c>
      <c r="H533" s="15" t="s">
        <v>1874</v>
      </c>
      <c r="I533" s="15" t="s">
        <v>1956</v>
      </c>
      <c r="J533" s="15" t="s">
        <v>172</v>
      </c>
      <c r="K533" s="16">
        <v>32820</v>
      </c>
      <c r="L533" s="16">
        <v>40320</v>
      </c>
      <c r="M533" s="17">
        <f>Table1[[#This Row],[Billing Rate Charges]]-Table1[[#This Row],[ LORRY RATE ]]</f>
        <v>7500</v>
      </c>
      <c r="N533" s="17">
        <v>32820</v>
      </c>
      <c r="O533" s="17">
        <f>Table1[[#This Row],[ LORRY RATE ]]-Table1[[#This Row],[Adance Paid (INR)]]</f>
        <v>0</v>
      </c>
      <c r="P533" s="17" t="s">
        <v>147</v>
      </c>
      <c r="Q533" s="18" t="s">
        <v>1972</v>
      </c>
      <c r="R533" s="17"/>
      <c r="S533" s="18" t="s">
        <v>1912</v>
      </c>
      <c r="T533" s="18" t="s">
        <v>1912</v>
      </c>
      <c r="U533" s="15" t="s">
        <v>54</v>
      </c>
      <c r="V533" s="15" t="s">
        <v>56</v>
      </c>
      <c r="W533" s="15"/>
    </row>
    <row r="534" spans="1:23" hidden="1" x14ac:dyDescent="0.3">
      <c r="A534" s="15">
        <v>529</v>
      </c>
      <c r="B534" s="48">
        <v>45778</v>
      </c>
      <c r="C534" s="19">
        <v>45807</v>
      </c>
      <c r="D534" s="19" t="s">
        <v>56</v>
      </c>
      <c r="E534" s="21" t="s">
        <v>38</v>
      </c>
      <c r="F534" s="21">
        <v>9515412075</v>
      </c>
      <c r="G534" s="15" t="s">
        <v>6</v>
      </c>
      <c r="H534" s="15" t="s">
        <v>1957</v>
      </c>
      <c r="I534" s="15" t="s">
        <v>1958</v>
      </c>
      <c r="J534" s="15" t="s">
        <v>59</v>
      </c>
      <c r="K534" s="16">
        <v>33530</v>
      </c>
      <c r="L534" s="16">
        <v>45040</v>
      </c>
      <c r="M534" s="17">
        <f>Table1[[#This Row],[Billing Rate Charges]]-Table1[[#This Row],[ LORRY RATE ]]</f>
        <v>11510</v>
      </c>
      <c r="N534" s="17">
        <v>33530</v>
      </c>
      <c r="O534" s="17">
        <f>Table1[[#This Row],[ LORRY RATE ]]-Table1[[#This Row],[Adance Paid (INR)]]</f>
        <v>0</v>
      </c>
      <c r="P534" s="17" t="s">
        <v>147</v>
      </c>
      <c r="Q534" s="18" t="s">
        <v>1973</v>
      </c>
      <c r="R534" s="17"/>
      <c r="S534" s="18" t="s">
        <v>1912</v>
      </c>
      <c r="T534" s="18" t="s">
        <v>1912</v>
      </c>
      <c r="U534" s="15" t="s">
        <v>54</v>
      </c>
      <c r="V534" s="15" t="s">
        <v>56</v>
      </c>
      <c r="W534" s="15"/>
    </row>
    <row r="535" spans="1:23" hidden="1" x14ac:dyDescent="0.3">
      <c r="A535" s="15">
        <v>530</v>
      </c>
      <c r="B535" s="48">
        <v>45778</v>
      </c>
      <c r="C535" s="19">
        <v>45808</v>
      </c>
      <c r="D535" s="19" t="s">
        <v>56</v>
      </c>
      <c r="E535" s="21" t="s">
        <v>1641</v>
      </c>
      <c r="F535" s="21">
        <v>9281983602</v>
      </c>
      <c r="G535" s="15" t="s">
        <v>6</v>
      </c>
      <c r="H535" s="15" t="s">
        <v>1959</v>
      </c>
      <c r="I535" s="15" t="s">
        <v>1960</v>
      </c>
      <c r="J535" s="15" t="s">
        <v>1898</v>
      </c>
      <c r="K535" s="16">
        <v>33770</v>
      </c>
      <c r="L535" s="16">
        <v>46620</v>
      </c>
      <c r="M535" s="17">
        <f>Table1[[#This Row],[Billing Rate Charges]]-Table1[[#This Row],[ LORRY RATE ]]</f>
        <v>12850</v>
      </c>
      <c r="N535" s="17">
        <v>33770</v>
      </c>
      <c r="O535" s="17">
        <f>Table1[[#This Row],[ LORRY RATE ]]-Table1[[#This Row],[Adance Paid (INR)]]</f>
        <v>0</v>
      </c>
      <c r="P535" s="17" t="s">
        <v>147</v>
      </c>
      <c r="Q535" s="18" t="s">
        <v>1974</v>
      </c>
      <c r="R535" s="17"/>
      <c r="S535" s="18" t="s">
        <v>1963</v>
      </c>
      <c r="T535" s="18" t="s">
        <v>1963</v>
      </c>
      <c r="U535" s="15" t="s">
        <v>54</v>
      </c>
      <c r="V535" s="15" t="s">
        <v>56</v>
      </c>
      <c r="W535" s="15"/>
    </row>
    <row r="536" spans="1:23" hidden="1" x14ac:dyDescent="0.3">
      <c r="A536" s="15">
        <v>531</v>
      </c>
      <c r="B536" s="48" t="s">
        <v>1899</v>
      </c>
      <c r="C536" s="19">
        <v>45809</v>
      </c>
      <c r="D536" s="19" t="s">
        <v>56</v>
      </c>
      <c r="E536" s="21" t="s">
        <v>1635</v>
      </c>
      <c r="F536" s="21">
        <v>9472230553</v>
      </c>
      <c r="G536" s="15" t="s">
        <v>1093</v>
      </c>
      <c r="H536" s="15" t="s">
        <v>1975</v>
      </c>
      <c r="I536" s="15" t="s">
        <v>6</v>
      </c>
      <c r="J536" s="15" t="s">
        <v>172</v>
      </c>
      <c r="K536" s="16">
        <v>42180</v>
      </c>
      <c r="L536" s="16">
        <v>102690</v>
      </c>
      <c r="M536" s="17">
        <f>Table1[[#This Row],[Billing Rate Charges]]-Table1[[#This Row],[ LORRY RATE ]]</f>
        <v>60510</v>
      </c>
      <c r="N536" s="17">
        <v>42180</v>
      </c>
      <c r="O536" s="17">
        <f>Table1[[#This Row],[ LORRY RATE ]]-Table1[[#This Row],[Adance Paid (INR)]]</f>
        <v>0</v>
      </c>
      <c r="P536" s="17" t="s">
        <v>147</v>
      </c>
      <c r="Q536" s="18" t="s">
        <v>1976</v>
      </c>
      <c r="R536" s="17"/>
      <c r="S536" s="18" t="s">
        <v>1979</v>
      </c>
      <c r="T536" s="18" t="s">
        <v>1979</v>
      </c>
      <c r="U536" s="15" t="s">
        <v>54</v>
      </c>
      <c r="V536" s="15" t="s">
        <v>56</v>
      </c>
      <c r="W536" s="15"/>
    </row>
    <row r="537" spans="1:23" hidden="1" x14ac:dyDescent="0.3">
      <c r="A537" s="15">
        <v>532</v>
      </c>
      <c r="B537" s="15" t="s">
        <v>1899</v>
      </c>
      <c r="C537" s="19">
        <v>45810</v>
      </c>
      <c r="D537" s="19" t="s">
        <v>51</v>
      </c>
      <c r="E537" s="21" t="s">
        <v>1448</v>
      </c>
      <c r="F537" s="21">
        <v>9108592771</v>
      </c>
      <c r="G537" s="15" t="s">
        <v>6</v>
      </c>
      <c r="H537" s="15" t="s">
        <v>1874</v>
      </c>
      <c r="I537" s="15" t="s">
        <v>1961</v>
      </c>
      <c r="J537" s="15" t="s">
        <v>1815</v>
      </c>
      <c r="K537" s="16">
        <v>31220</v>
      </c>
      <c r="L537" s="16">
        <v>40320</v>
      </c>
      <c r="M537" s="17">
        <f>Table1[[#This Row],[Billing Rate Charges]]-Table1[[#This Row],[ LORRY RATE ]]</f>
        <v>9100</v>
      </c>
      <c r="N537" s="17">
        <v>31220</v>
      </c>
      <c r="O537" s="17">
        <f>Table1[[#This Row],[ LORRY RATE ]]-Table1[[#This Row],[Adance Paid (INR)]]</f>
        <v>0</v>
      </c>
      <c r="P537" s="17" t="s">
        <v>147</v>
      </c>
      <c r="Q537" s="18" t="s">
        <v>1977</v>
      </c>
      <c r="R537" s="17"/>
      <c r="S537" s="18" t="s">
        <v>1981</v>
      </c>
      <c r="T537" s="18" t="s">
        <v>1981</v>
      </c>
      <c r="U537" s="15" t="s">
        <v>54</v>
      </c>
      <c r="V537" s="15" t="s">
        <v>439</v>
      </c>
      <c r="W537" s="15"/>
    </row>
    <row r="538" spans="1:23" hidden="1" x14ac:dyDescent="0.3">
      <c r="A538" s="15">
        <v>533</v>
      </c>
      <c r="B538" s="15" t="s">
        <v>1899</v>
      </c>
      <c r="C538" s="19">
        <v>45811</v>
      </c>
      <c r="D538" s="19" t="s">
        <v>51</v>
      </c>
      <c r="E538" s="21" t="s">
        <v>43</v>
      </c>
      <c r="F538" s="21">
        <v>9091859565</v>
      </c>
      <c r="G538" s="15" t="s">
        <v>6</v>
      </c>
      <c r="H538" s="15" t="s">
        <v>1874</v>
      </c>
      <c r="I538" s="15" t="s">
        <v>1962</v>
      </c>
      <c r="J538" s="15" t="s">
        <v>172</v>
      </c>
      <c r="K538" s="16">
        <v>32290</v>
      </c>
      <c r="L538" s="16">
        <v>40320</v>
      </c>
      <c r="M538" s="17">
        <f>Table1[[#This Row],[Billing Rate Charges]]-Table1[[#This Row],[ LORRY RATE ]]</f>
        <v>8030</v>
      </c>
      <c r="N538" s="17">
        <v>32290</v>
      </c>
      <c r="O538" s="17">
        <f>Table1[[#This Row],[ LORRY RATE ]]-Table1[[#This Row],[Adance Paid (INR)]]</f>
        <v>0</v>
      </c>
      <c r="P538" s="17" t="s">
        <v>147</v>
      </c>
      <c r="Q538" s="18" t="s">
        <v>1978</v>
      </c>
      <c r="R538" s="17"/>
      <c r="S538" s="18" t="s">
        <v>1983</v>
      </c>
      <c r="T538" s="18" t="s">
        <v>1983</v>
      </c>
      <c r="U538" s="15" t="s">
        <v>54</v>
      </c>
      <c r="V538" s="15" t="s">
        <v>213</v>
      </c>
      <c r="W538" s="15"/>
    </row>
    <row r="539" spans="1:23" hidden="1" x14ac:dyDescent="0.3">
      <c r="A539" s="15">
        <v>534</v>
      </c>
      <c r="B539" s="15" t="s">
        <v>1899</v>
      </c>
      <c r="C539" s="19">
        <v>45811</v>
      </c>
      <c r="D539" s="19" t="s">
        <v>56</v>
      </c>
      <c r="E539" s="15" t="s">
        <v>60</v>
      </c>
      <c r="F539" s="15">
        <v>9589264337</v>
      </c>
      <c r="G539" s="15" t="s">
        <v>1093</v>
      </c>
      <c r="H539" s="15" t="s">
        <v>2012</v>
      </c>
      <c r="I539" s="15" t="s">
        <v>2013</v>
      </c>
      <c r="J539" s="15" t="s">
        <v>172</v>
      </c>
      <c r="K539" s="16">
        <v>42180</v>
      </c>
      <c r="L539" s="16">
        <v>102690</v>
      </c>
      <c r="M539" s="17">
        <f>Table1[[#This Row],[Billing Rate Charges]]-Table1[[#This Row],[ LORRY RATE ]]</f>
        <v>60510</v>
      </c>
      <c r="N539" s="17">
        <v>42180</v>
      </c>
      <c r="O539" s="17">
        <f>Table1[[#This Row],[ LORRY RATE ]]-Table1[[#This Row],[Adance Paid (INR)]]</f>
        <v>0</v>
      </c>
      <c r="P539" s="17" t="s">
        <v>147</v>
      </c>
      <c r="Q539" s="18" t="s">
        <v>2024</v>
      </c>
      <c r="R539" s="17"/>
      <c r="S539" s="18" t="s">
        <v>1984</v>
      </c>
      <c r="T539" s="18" t="s">
        <v>1984</v>
      </c>
      <c r="U539" s="15" t="s">
        <v>54</v>
      </c>
      <c r="V539" s="15" t="s">
        <v>56</v>
      </c>
      <c r="W539" s="15"/>
    </row>
    <row r="540" spans="1:23" hidden="1" x14ac:dyDescent="0.3">
      <c r="A540" s="15">
        <v>535</v>
      </c>
      <c r="B540" s="15" t="s">
        <v>1899</v>
      </c>
      <c r="C540" s="19">
        <v>45812</v>
      </c>
      <c r="D540" s="19" t="s">
        <v>56</v>
      </c>
      <c r="E540" s="15" t="s">
        <v>1635</v>
      </c>
      <c r="F540" s="15">
        <v>9472230553</v>
      </c>
      <c r="G540" s="15" t="s">
        <v>6</v>
      </c>
      <c r="H540" s="15" t="s">
        <v>1994</v>
      </c>
      <c r="I540" s="15" t="s">
        <v>1995</v>
      </c>
      <c r="J540" s="15" t="s">
        <v>172</v>
      </c>
      <c r="K540" s="16">
        <v>33770</v>
      </c>
      <c r="L540" s="16">
        <v>46620</v>
      </c>
      <c r="M540" s="17">
        <f>Table1[[#This Row],[Billing Rate Charges]]-Table1[[#This Row],[ LORRY RATE ]]</f>
        <v>12850</v>
      </c>
      <c r="N540" s="17">
        <v>33770</v>
      </c>
      <c r="O540" s="17">
        <f>Table1[[#This Row],[ LORRY RATE ]]-Table1[[#This Row],[Adance Paid (INR)]]</f>
        <v>0</v>
      </c>
      <c r="P540" s="17" t="s">
        <v>147</v>
      </c>
      <c r="Q540" s="18" t="s">
        <v>2025</v>
      </c>
      <c r="R540" s="17"/>
      <c r="S540" s="18" t="s">
        <v>1981</v>
      </c>
      <c r="T540" s="18" t="s">
        <v>1981</v>
      </c>
      <c r="U540" s="15" t="s">
        <v>54</v>
      </c>
      <c r="V540" s="15" t="s">
        <v>56</v>
      </c>
      <c r="W540" s="15"/>
    </row>
    <row r="541" spans="1:23" hidden="1" x14ac:dyDescent="0.3">
      <c r="A541" s="15">
        <v>536</v>
      </c>
      <c r="B541" s="15" t="s">
        <v>1899</v>
      </c>
      <c r="C541" s="19">
        <v>45813</v>
      </c>
      <c r="D541" s="19" t="s">
        <v>51</v>
      </c>
      <c r="E541" s="21" t="s">
        <v>1980</v>
      </c>
      <c r="F541" s="21">
        <v>9426261943</v>
      </c>
      <c r="G541" s="15" t="s">
        <v>6</v>
      </c>
      <c r="H541" s="15" t="s">
        <v>1996</v>
      </c>
      <c r="I541" s="15" t="s">
        <v>1997</v>
      </c>
      <c r="J541" s="15" t="s">
        <v>172</v>
      </c>
      <c r="K541" s="16">
        <v>33230</v>
      </c>
      <c r="L541" s="16">
        <v>46620</v>
      </c>
      <c r="M541" s="17">
        <f>Table1[[#This Row],[Billing Rate Charges]]-Table1[[#This Row],[ LORRY RATE ]]</f>
        <v>13390</v>
      </c>
      <c r="N541" s="17">
        <v>33230</v>
      </c>
      <c r="O541" s="17">
        <f>Table1[[#This Row],[ LORRY RATE ]]-Table1[[#This Row],[Adance Paid (INR)]]</f>
        <v>0</v>
      </c>
      <c r="P541" s="17" t="s">
        <v>147</v>
      </c>
      <c r="Q541" s="18" t="s">
        <v>2027</v>
      </c>
      <c r="R541" s="17"/>
      <c r="S541" s="18" t="s">
        <v>1987</v>
      </c>
      <c r="T541" s="18" t="s">
        <v>1986</v>
      </c>
      <c r="U541" s="15" t="s">
        <v>54</v>
      </c>
      <c r="V541" s="15" t="s">
        <v>439</v>
      </c>
      <c r="W541" s="15"/>
    </row>
    <row r="542" spans="1:23" hidden="1" x14ac:dyDescent="0.3">
      <c r="A542" s="15">
        <v>537</v>
      </c>
      <c r="B542" s="15" t="s">
        <v>1899</v>
      </c>
      <c r="C542" s="19">
        <v>45813</v>
      </c>
      <c r="D542" s="19" t="s">
        <v>56</v>
      </c>
      <c r="E542" s="15" t="s">
        <v>38</v>
      </c>
      <c r="F542" s="15">
        <v>9515412075</v>
      </c>
      <c r="G542" s="15" t="s">
        <v>1093</v>
      </c>
      <c r="H542" s="15" t="s">
        <v>1874</v>
      </c>
      <c r="I542" s="15" t="s">
        <v>2015</v>
      </c>
      <c r="J542" s="15" t="s">
        <v>59</v>
      </c>
      <c r="K542" s="16">
        <v>40480</v>
      </c>
      <c r="L542" s="16">
        <v>91350</v>
      </c>
      <c r="M542" s="17">
        <f>Table1[[#This Row],[Billing Rate Charges]]-Table1[[#This Row],[ LORRY RATE ]]</f>
        <v>50870</v>
      </c>
      <c r="N542" s="17">
        <v>40480</v>
      </c>
      <c r="O542" s="17">
        <f>Table1[[#This Row],[ LORRY RATE ]]-Table1[[#This Row],[Adance Paid (INR)]]</f>
        <v>0</v>
      </c>
      <c r="P542" s="17" t="s">
        <v>147</v>
      </c>
      <c r="Q542" s="18" t="s">
        <v>2028</v>
      </c>
      <c r="R542" s="17"/>
      <c r="S542" s="18" t="s">
        <v>1988</v>
      </c>
      <c r="T542" s="18" t="s">
        <v>1988</v>
      </c>
      <c r="U542" s="15" t="s">
        <v>54</v>
      </c>
      <c r="V542" s="15" t="s">
        <v>56</v>
      </c>
      <c r="W542" s="15"/>
    </row>
    <row r="543" spans="1:23" hidden="1" x14ac:dyDescent="0.3">
      <c r="A543" s="15">
        <v>538</v>
      </c>
      <c r="B543" s="15" t="s">
        <v>1899</v>
      </c>
      <c r="C543" s="19">
        <v>45814</v>
      </c>
      <c r="D543" s="19" t="s">
        <v>51</v>
      </c>
      <c r="E543" s="15" t="s">
        <v>380</v>
      </c>
      <c r="F543" s="15"/>
      <c r="G543" s="15" t="s">
        <v>6</v>
      </c>
      <c r="H543" s="15" t="s">
        <v>1874</v>
      </c>
      <c r="I543" s="15" t="s">
        <v>1993</v>
      </c>
      <c r="J543" s="15" t="s">
        <v>381</v>
      </c>
      <c r="K543" s="16">
        <v>31580</v>
      </c>
      <c r="L543" s="16">
        <v>36450</v>
      </c>
      <c r="M543" s="17">
        <f>Table1[[#This Row],[Billing Rate Charges]]-Table1[[#This Row],[ LORRY RATE ]]</f>
        <v>4870</v>
      </c>
      <c r="N543" s="17">
        <v>31580</v>
      </c>
      <c r="O543" s="17">
        <f>Table1[[#This Row],[ LORRY RATE ]]-Table1[[#This Row],[Adance Paid (INR)]]</f>
        <v>0</v>
      </c>
      <c r="P543" s="17" t="s">
        <v>147</v>
      </c>
      <c r="Q543" s="18" t="s">
        <v>2029</v>
      </c>
      <c r="R543" s="17"/>
      <c r="S543" s="18" t="s">
        <v>1983</v>
      </c>
      <c r="T543" s="18" t="s">
        <v>1983</v>
      </c>
      <c r="U543" s="15" t="s">
        <v>54</v>
      </c>
      <c r="V543" s="15" t="s">
        <v>380</v>
      </c>
      <c r="W543" s="15" t="s">
        <v>1982</v>
      </c>
    </row>
    <row r="544" spans="1:23" hidden="1" x14ac:dyDescent="0.3">
      <c r="A544" s="15">
        <v>539</v>
      </c>
      <c r="B544" s="15" t="s">
        <v>1899</v>
      </c>
      <c r="C544" s="19">
        <v>45815</v>
      </c>
      <c r="D544" s="19" t="s">
        <v>56</v>
      </c>
      <c r="E544" s="15" t="s">
        <v>60</v>
      </c>
      <c r="F544" s="15">
        <v>9589264337</v>
      </c>
      <c r="G544" s="15" t="s">
        <v>6</v>
      </c>
      <c r="H544" s="15" t="s">
        <v>1998</v>
      </c>
      <c r="I544" s="15" t="s">
        <v>1999</v>
      </c>
      <c r="J544" s="15" t="s">
        <v>172</v>
      </c>
      <c r="K544" s="16">
        <v>33770</v>
      </c>
      <c r="L544" s="16">
        <v>46620</v>
      </c>
      <c r="M544" s="17">
        <f>Table1[[#This Row],[Billing Rate Charges]]-Table1[[#This Row],[ LORRY RATE ]]</f>
        <v>12850</v>
      </c>
      <c r="N544" s="17">
        <v>33770</v>
      </c>
      <c r="O544" s="17">
        <f>Table1[[#This Row],[ LORRY RATE ]]-Table1[[#This Row],[Adance Paid (INR)]]</f>
        <v>0</v>
      </c>
      <c r="P544" s="17" t="s">
        <v>147</v>
      </c>
      <c r="Q544" s="18" t="s">
        <v>2030</v>
      </c>
      <c r="R544" s="17"/>
      <c r="S544" s="18" t="s">
        <v>1986</v>
      </c>
      <c r="T544" s="18" t="s">
        <v>1989</v>
      </c>
      <c r="U544" s="15" t="s">
        <v>54</v>
      </c>
      <c r="V544" s="15" t="s">
        <v>56</v>
      </c>
      <c r="W544" s="15"/>
    </row>
    <row r="545" spans="1:23" hidden="1" x14ac:dyDescent="0.3">
      <c r="A545" s="15">
        <v>540</v>
      </c>
      <c r="B545" s="15" t="s">
        <v>1899</v>
      </c>
      <c r="C545" s="19">
        <v>45815</v>
      </c>
      <c r="D545" s="19" t="s">
        <v>56</v>
      </c>
      <c r="E545" s="15" t="s">
        <v>1641</v>
      </c>
      <c r="F545" s="15">
        <v>9281983602</v>
      </c>
      <c r="G545" s="15" t="s">
        <v>1537</v>
      </c>
      <c r="H545" s="15" t="s">
        <v>2020</v>
      </c>
      <c r="I545" s="15" t="s">
        <v>2021</v>
      </c>
      <c r="J545" s="15" t="s">
        <v>172</v>
      </c>
      <c r="K545" s="16">
        <v>42180</v>
      </c>
      <c r="L545" s="16">
        <v>102690</v>
      </c>
      <c r="M545" s="17">
        <f>Table1[[#This Row],[Billing Rate Charges]]-Table1[[#This Row],[ LORRY RATE ]]</f>
        <v>60510</v>
      </c>
      <c r="N545" s="17">
        <v>42180</v>
      </c>
      <c r="O545" s="17">
        <f>Table1[[#This Row],[ LORRY RATE ]]-Table1[[#This Row],[Adance Paid (INR)]]</f>
        <v>0</v>
      </c>
      <c r="P545" s="17" t="s">
        <v>147</v>
      </c>
      <c r="Q545" s="18" t="s">
        <v>2031</v>
      </c>
      <c r="R545" s="17"/>
      <c r="S545" s="18" t="s">
        <v>1987</v>
      </c>
      <c r="T545" s="18" t="s">
        <v>1987</v>
      </c>
      <c r="U545" s="15" t="s">
        <v>54</v>
      </c>
      <c r="V545" s="15" t="s">
        <v>56</v>
      </c>
      <c r="W545" s="15"/>
    </row>
    <row r="546" spans="1:23" hidden="1" x14ac:dyDescent="0.3">
      <c r="A546" s="15">
        <v>541</v>
      </c>
      <c r="B546" s="15" t="s">
        <v>1899</v>
      </c>
      <c r="C546" s="19">
        <v>45815</v>
      </c>
      <c r="D546" s="19" t="s">
        <v>51</v>
      </c>
      <c r="E546" s="21" t="s">
        <v>1985</v>
      </c>
      <c r="F546" s="21">
        <v>9376566432</v>
      </c>
      <c r="G546" s="15" t="s">
        <v>6</v>
      </c>
      <c r="H546" s="15" t="s">
        <v>2000</v>
      </c>
      <c r="I546" s="15" t="s">
        <v>2001</v>
      </c>
      <c r="J546" s="15" t="s">
        <v>172</v>
      </c>
      <c r="K546" s="16">
        <v>33770</v>
      </c>
      <c r="L546" s="16">
        <v>46620</v>
      </c>
      <c r="M546" s="17">
        <f>Table1[[#This Row],[Billing Rate Charges]]-Table1[[#This Row],[ LORRY RATE ]]</f>
        <v>12850</v>
      </c>
      <c r="N546" s="17">
        <v>33770</v>
      </c>
      <c r="O546" s="17">
        <f>Table1[[#This Row],[ LORRY RATE ]]-Table1[[#This Row],[Adance Paid (INR)]]</f>
        <v>0</v>
      </c>
      <c r="P546" s="17" t="s">
        <v>147</v>
      </c>
      <c r="Q546" s="18" t="s">
        <v>2032</v>
      </c>
      <c r="R546" s="17"/>
      <c r="S546" s="18" t="s">
        <v>1989</v>
      </c>
      <c r="T546" s="18" t="s">
        <v>1990</v>
      </c>
      <c r="U546" s="15" t="s">
        <v>54</v>
      </c>
      <c r="V546" s="15" t="s">
        <v>213</v>
      </c>
      <c r="W546" s="15"/>
    </row>
    <row r="547" spans="1:23" hidden="1" x14ac:dyDescent="0.3">
      <c r="A547" s="15">
        <v>542</v>
      </c>
      <c r="B547" s="15" t="s">
        <v>1899</v>
      </c>
      <c r="C547" s="19">
        <v>45817</v>
      </c>
      <c r="D547" s="19" t="s">
        <v>56</v>
      </c>
      <c r="E547" s="21" t="s">
        <v>1641</v>
      </c>
      <c r="F547" s="21">
        <v>9281983602</v>
      </c>
      <c r="G547" s="15" t="s">
        <v>6</v>
      </c>
      <c r="H547" s="15" t="s">
        <v>2002</v>
      </c>
      <c r="I547" s="15" t="s">
        <v>2003</v>
      </c>
      <c r="J547" s="15" t="s">
        <v>172</v>
      </c>
      <c r="K547" s="16">
        <v>33770</v>
      </c>
      <c r="L547" s="16">
        <v>46620</v>
      </c>
      <c r="M547" s="17">
        <f>Table1[[#This Row],[Billing Rate Charges]]-Table1[[#This Row],[ LORRY RATE ]]</f>
        <v>12850</v>
      </c>
      <c r="N547" s="17">
        <v>33770</v>
      </c>
      <c r="O547" s="17">
        <f>Table1[[#This Row],[ LORRY RATE ]]-Table1[[#This Row],[Adance Paid (INR)]]</f>
        <v>0</v>
      </c>
      <c r="P547" s="17" t="s">
        <v>147</v>
      </c>
      <c r="Q547" s="18" t="s">
        <v>2033</v>
      </c>
      <c r="R547" s="17"/>
      <c r="S547" s="18" t="s">
        <v>1990</v>
      </c>
      <c r="T547" s="18" t="s">
        <v>1991</v>
      </c>
      <c r="U547" s="15" t="s">
        <v>54</v>
      </c>
      <c r="V547" s="15" t="s">
        <v>56</v>
      </c>
      <c r="W547" s="15"/>
    </row>
    <row r="548" spans="1:23" hidden="1" x14ac:dyDescent="0.3">
      <c r="A548" s="15">
        <v>543</v>
      </c>
      <c r="B548" s="15" t="s">
        <v>1899</v>
      </c>
      <c r="C548" s="19">
        <v>45817</v>
      </c>
      <c r="D548" s="19" t="s">
        <v>56</v>
      </c>
      <c r="E548" s="21" t="s">
        <v>1644</v>
      </c>
      <c r="F548" s="21">
        <v>9220186371</v>
      </c>
      <c r="G548" s="15" t="s">
        <v>1093</v>
      </c>
      <c r="H548" s="15" t="s">
        <v>2016</v>
      </c>
      <c r="I548" s="15" t="s">
        <v>2017</v>
      </c>
      <c r="J548" s="15" t="s">
        <v>172</v>
      </c>
      <c r="K548" s="16">
        <v>42180</v>
      </c>
      <c r="L548" s="16">
        <v>102690</v>
      </c>
      <c r="M548" s="17">
        <f>Table1[[#This Row],[Billing Rate Charges]]-Table1[[#This Row],[ LORRY RATE ]]</f>
        <v>60510</v>
      </c>
      <c r="N548" s="17">
        <v>42180</v>
      </c>
      <c r="O548" s="17">
        <f>Table1[[#This Row],[ LORRY RATE ]]-Table1[[#This Row],[Adance Paid (INR)]]</f>
        <v>0</v>
      </c>
      <c r="P548" s="17" t="s">
        <v>147</v>
      </c>
      <c r="Q548" s="18" t="s">
        <v>2034</v>
      </c>
      <c r="R548" s="17"/>
      <c r="S548" s="18" t="s">
        <v>1990</v>
      </c>
      <c r="T548" s="18" t="s">
        <v>1990</v>
      </c>
      <c r="U548" s="15" t="s">
        <v>54</v>
      </c>
      <c r="V548" s="15" t="s">
        <v>56</v>
      </c>
      <c r="W548" s="15"/>
    </row>
    <row r="549" spans="1:23" hidden="1" x14ac:dyDescent="0.3">
      <c r="A549" s="15">
        <v>544</v>
      </c>
      <c r="B549" s="15" t="s">
        <v>1899</v>
      </c>
      <c r="C549" s="19">
        <v>45818</v>
      </c>
      <c r="D549" s="19" t="s">
        <v>56</v>
      </c>
      <c r="E549" s="15" t="s">
        <v>1637</v>
      </c>
      <c r="F549" s="15">
        <v>9025368773</v>
      </c>
      <c r="G549" s="15" t="s">
        <v>6</v>
      </c>
      <c r="H549" s="15" t="s">
        <v>2004</v>
      </c>
      <c r="I549" s="15" t="s">
        <v>2005</v>
      </c>
      <c r="J549" s="15" t="s">
        <v>172</v>
      </c>
      <c r="K549" s="16">
        <v>33770</v>
      </c>
      <c r="L549" s="16">
        <v>46620</v>
      </c>
      <c r="M549" s="17">
        <f>Table1[[#This Row],[Billing Rate Charges]]-Table1[[#This Row],[ LORRY RATE ]]</f>
        <v>12850</v>
      </c>
      <c r="N549" s="17">
        <v>33770</v>
      </c>
      <c r="O549" s="17">
        <f>Table1[[#This Row],[ LORRY RATE ]]-Table1[[#This Row],[Adance Paid (INR)]]</f>
        <v>0</v>
      </c>
      <c r="P549" s="17" t="s">
        <v>147</v>
      </c>
      <c r="Q549" s="18" t="s">
        <v>2035</v>
      </c>
      <c r="R549" s="17"/>
      <c r="S549" s="18" t="s">
        <v>1991</v>
      </c>
      <c r="T549" s="18" t="s">
        <v>2044</v>
      </c>
      <c r="U549" s="15" t="s">
        <v>54</v>
      </c>
      <c r="V549" s="15" t="s">
        <v>56</v>
      </c>
      <c r="W549" s="15"/>
    </row>
    <row r="550" spans="1:23" hidden="1" x14ac:dyDescent="0.3">
      <c r="A550" s="15">
        <v>545</v>
      </c>
      <c r="B550" s="15" t="s">
        <v>1899</v>
      </c>
      <c r="C550" s="19">
        <v>45819</v>
      </c>
      <c r="D550" s="19" t="s">
        <v>56</v>
      </c>
      <c r="E550" s="15" t="s">
        <v>38</v>
      </c>
      <c r="F550" s="15">
        <v>9515412075</v>
      </c>
      <c r="G550" s="15" t="s">
        <v>6</v>
      </c>
      <c r="H550" s="15" t="s">
        <v>2006</v>
      </c>
      <c r="I550" s="15" t="s">
        <v>1874</v>
      </c>
      <c r="J550" s="15" t="s">
        <v>59</v>
      </c>
      <c r="K550" s="16">
        <v>32590</v>
      </c>
      <c r="L550" s="16">
        <v>38740</v>
      </c>
      <c r="M550" s="17">
        <f>Table1[[#This Row],[Billing Rate Charges]]-Table1[[#This Row],[ LORRY RATE ]]</f>
        <v>6150</v>
      </c>
      <c r="N550" s="17">
        <v>32590</v>
      </c>
      <c r="O550" s="17">
        <f>Table1[[#This Row],[ LORRY RATE ]]-Table1[[#This Row],[Adance Paid (INR)]]</f>
        <v>0</v>
      </c>
      <c r="P550" s="17" t="s">
        <v>147</v>
      </c>
      <c r="Q550" s="18" t="s">
        <v>2026</v>
      </c>
      <c r="R550" s="17"/>
      <c r="S550" s="18" t="s">
        <v>2044</v>
      </c>
      <c r="T550" s="18" t="s">
        <v>2045</v>
      </c>
      <c r="U550" s="15" t="s">
        <v>54</v>
      </c>
      <c r="V550" s="15" t="s">
        <v>56</v>
      </c>
      <c r="W550" s="15"/>
    </row>
    <row r="551" spans="1:23" hidden="1" x14ac:dyDescent="0.3">
      <c r="A551" s="15">
        <v>546</v>
      </c>
      <c r="B551" s="15" t="s">
        <v>1899</v>
      </c>
      <c r="C551" s="19">
        <v>45819</v>
      </c>
      <c r="D551" s="19" t="s">
        <v>56</v>
      </c>
      <c r="E551" s="21" t="s">
        <v>1635</v>
      </c>
      <c r="F551" s="21">
        <v>9472230553</v>
      </c>
      <c r="G551" s="15" t="s">
        <v>1093</v>
      </c>
      <c r="H551" s="15" t="s">
        <v>2018</v>
      </c>
      <c r="I551" s="15" t="s">
        <v>2019</v>
      </c>
      <c r="J551" s="15" t="s">
        <v>172</v>
      </c>
      <c r="K551" s="16">
        <v>42180</v>
      </c>
      <c r="L551" s="16">
        <v>102690</v>
      </c>
      <c r="M551" s="17">
        <f>Table1[[#This Row],[Billing Rate Charges]]-Table1[[#This Row],[ LORRY RATE ]]</f>
        <v>60510</v>
      </c>
      <c r="N551" s="17">
        <v>42180</v>
      </c>
      <c r="O551" s="17">
        <f>Table1[[#This Row],[ LORRY RATE ]]-Table1[[#This Row],[Adance Paid (INR)]]</f>
        <v>0</v>
      </c>
      <c r="P551" s="17" t="s">
        <v>147</v>
      </c>
      <c r="Q551" s="18" t="s">
        <v>2036</v>
      </c>
      <c r="R551" s="17"/>
      <c r="S551" s="18" t="s">
        <v>2044</v>
      </c>
      <c r="T551" s="18" t="s">
        <v>2044</v>
      </c>
      <c r="U551" s="15" t="s">
        <v>54</v>
      </c>
      <c r="V551" s="15" t="s">
        <v>56</v>
      </c>
      <c r="W551" s="15"/>
    </row>
    <row r="552" spans="1:23" hidden="1" x14ac:dyDescent="0.3">
      <c r="A552" s="15">
        <v>547</v>
      </c>
      <c r="B552" s="15" t="s">
        <v>1899</v>
      </c>
      <c r="C552" s="19">
        <v>45820</v>
      </c>
      <c r="D552" s="19" t="s">
        <v>56</v>
      </c>
      <c r="E552" s="21" t="s">
        <v>1644</v>
      </c>
      <c r="F552" s="21">
        <v>9220186371</v>
      </c>
      <c r="G552" s="15" t="s">
        <v>6</v>
      </c>
      <c r="H552" s="15" t="s">
        <v>2007</v>
      </c>
      <c r="I552" s="15" t="s">
        <v>2008</v>
      </c>
      <c r="J552" s="15" t="s">
        <v>172</v>
      </c>
      <c r="K552" s="16">
        <v>33770</v>
      </c>
      <c r="L552" s="16">
        <v>46620</v>
      </c>
      <c r="M552" s="17">
        <f>Table1[[#This Row],[Billing Rate Charges]]-Table1[[#This Row],[ LORRY RATE ]]</f>
        <v>12850</v>
      </c>
      <c r="N552" s="17">
        <v>33770</v>
      </c>
      <c r="O552" s="17">
        <f>Table1[[#This Row],[ LORRY RATE ]]-Table1[[#This Row],[Adance Paid (INR)]]</f>
        <v>0</v>
      </c>
      <c r="P552" s="17" t="s">
        <v>147</v>
      </c>
      <c r="Q552" s="18" t="s">
        <v>2037</v>
      </c>
      <c r="R552" s="17"/>
      <c r="S552" s="18" t="s">
        <v>2044</v>
      </c>
      <c r="T552" s="18" t="s">
        <v>2044</v>
      </c>
      <c r="U552" s="15" t="s">
        <v>54</v>
      </c>
      <c r="V552" s="15" t="s">
        <v>56</v>
      </c>
      <c r="W552" s="15"/>
    </row>
    <row r="553" spans="1:23" hidden="1" x14ac:dyDescent="0.3">
      <c r="A553" s="15">
        <v>548</v>
      </c>
      <c r="B553" s="15" t="s">
        <v>1899</v>
      </c>
      <c r="C553" s="19">
        <v>45821</v>
      </c>
      <c r="D553" s="19" t="s">
        <v>51</v>
      </c>
      <c r="E553" s="21" t="s">
        <v>1992</v>
      </c>
      <c r="F553" s="21">
        <v>9055062589</v>
      </c>
      <c r="G553" s="15" t="s">
        <v>6</v>
      </c>
      <c r="H553" s="15" t="s">
        <v>1874</v>
      </c>
      <c r="I553" s="15" t="s">
        <v>2009</v>
      </c>
      <c r="J553" s="15" t="s">
        <v>172</v>
      </c>
      <c r="K553" s="16">
        <v>32290</v>
      </c>
      <c r="L553" s="16">
        <v>40320</v>
      </c>
      <c r="M553" s="17">
        <f>Table1[[#This Row],[Billing Rate Charges]]-Table1[[#This Row],[ LORRY RATE ]]</f>
        <v>8030</v>
      </c>
      <c r="N553" s="17">
        <v>29650</v>
      </c>
      <c r="O553" s="17">
        <f>Table1[[#This Row],[ LORRY RATE ]]-Table1[[#This Row],[Adance Paid (INR)]]</f>
        <v>2640</v>
      </c>
      <c r="P553" s="17" t="s">
        <v>147</v>
      </c>
      <c r="Q553" s="18" t="s">
        <v>2038</v>
      </c>
      <c r="R553" s="17"/>
      <c r="S553" s="18" t="s">
        <v>2048</v>
      </c>
      <c r="T553" s="18" t="s">
        <v>2048</v>
      </c>
      <c r="U553" s="15" t="s">
        <v>54</v>
      </c>
      <c r="V553" s="15" t="s">
        <v>213</v>
      </c>
      <c r="W553" s="15"/>
    </row>
    <row r="554" spans="1:23" hidden="1" x14ac:dyDescent="0.3">
      <c r="A554" s="15">
        <v>549</v>
      </c>
      <c r="B554" s="15" t="s">
        <v>1899</v>
      </c>
      <c r="C554" s="19">
        <v>45822</v>
      </c>
      <c r="D554" s="19" t="s">
        <v>56</v>
      </c>
      <c r="E554" s="21" t="s">
        <v>60</v>
      </c>
      <c r="F554" s="21">
        <v>9589264337</v>
      </c>
      <c r="G554" s="15" t="s">
        <v>1093</v>
      </c>
      <c r="H554" s="15" t="s">
        <v>1874</v>
      </c>
      <c r="I554" s="15" t="s">
        <v>2014</v>
      </c>
      <c r="J554" s="15" t="s">
        <v>172</v>
      </c>
      <c r="K554" s="16">
        <v>41230</v>
      </c>
      <c r="L554" s="16">
        <v>96390</v>
      </c>
      <c r="M554" s="17">
        <f>Table1[[#This Row],[Billing Rate Charges]]-Table1[[#This Row],[ LORRY RATE ]]</f>
        <v>55160</v>
      </c>
      <c r="N554" s="17">
        <v>41230</v>
      </c>
      <c r="O554" s="17">
        <f>Table1[[#This Row],[ LORRY RATE ]]-Table1[[#This Row],[Adance Paid (INR)]]</f>
        <v>0</v>
      </c>
      <c r="P554" s="17" t="s">
        <v>147</v>
      </c>
      <c r="Q554" s="18" t="s">
        <v>2039</v>
      </c>
      <c r="R554" s="17"/>
      <c r="S554" s="18" t="s">
        <v>2048</v>
      </c>
      <c r="T554" s="18" t="s">
        <v>2048</v>
      </c>
      <c r="U554" s="15" t="s">
        <v>54</v>
      </c>
      <c r="V554" s="15" t="s">
        <v>56</v>
      </c>
      <c r="W554" s="15"/>
    </row>
    <row r="555" spans="1:23" hidden="1" x14ac:dyDescent="0.3">
      <c r="A555" s="15">
        <v>550</v>
      </c>
      <c r="B555" s="15" t="s">
        <v>1899</v>
      </c>
      <c r="C555" s="19">
        <v>45822</v>
      </c>
      <c r="D555" s="19" t="s">
        <v>56</v>
      </c>
      <c r="E555" s="21" t="s">
        <v>1635</v>
      </c>
      <c r="F555" s="21">
        <v>9950016408</v>
      </c>
      <c r="G555" s="15" t="s">
        <v>6</v>
      </c>
      <c r="H555" s="15" t="s">
        <v>2010</v>
      </c>
      <c r="I555" s="15" t="s">
        <v>2011</v>
      </c>
      <c r="J555" s="15" t="s">
        <v>172</v>
      </c>
      <c r="K555" s="16">
        <v>33770</v>
      </c>
      <c r="L555" s="16">
        <v>46620</v>
      </c>
      <c r="M555" s="17">
        <f>Table1[[#This Row],[Billing Rate Charges]]-Table1[[#This Row],[ LORRY RATE ]]</f>
        <v>12850</v>
      </c>
      <c r="N555" s="17">
        <v>33770</v>
      </c>
      <c r="O555" s="17">
        <f>Table1[[#This Row],[ LORRY RATE ]]-Table1[[#This Row],[Adance Paid (INR)]]</f>
        <v>0</v>
      </c>
      <c r="P555" s="17" t="s">
        <v>147</v>
      </c>
      <c r="Q555" s="18" t="s">
        <v>2040</v>
      </c>
      <c r="R555" s="17"/>
      <c r="S555" s="18" t="s">
        <v>2049</v>
      </c>
      <c r="T555" s="18" t="s">
        <v>2049</v>
      </c>
      <c r="U555" s="15" t="s">
        <v>54</v>
      </c>
      <c r="V555" s="15" t="s">
        <v>56</v>
      </c>
      <c r="W555" s="15"/>
    </row>
    <row r="556" spans="1:23" hidden="1" x14ac:dyDescent="0.3">
      <c r="A556" s="15">
        <v>551</v>
      </c>
      <c r="B556" s="15" t="s">
        <v>1899</v>
      </c>
      <c r="C556" s="19">
        <v>45823</v>
      </c>
      <c r="D556" s="19" t="s">
        <v>56</v>
      </c>
      <c r="E556" s="21" t="s">
        <v>1641</v>
      </c>
      <c r="F556" s="21">
        <v>9281983602</v>
      </c>
      <c r="G556" s="15" t="s">
        <v>1093</v>
      </c>
      <c r="H556" s="15" t="s">
        <v>2023</v>
      </c>
      <c r="I556" s="15" t="s">
        <v>2022</v>
      </c>
      <c r="J556" s="15" t="s">
        <v>172</v>
      </c>
      <c r="K556" s="16">
        <v>42180</v>
      </c>
      <c r="L556" s="16">
        <v>102690</v>
      </c>
      <c r="M556" s="17">
        <f>Table1[[#This Row],[Billing Rate Charges]]-Table1[[#This Row],[ LORRY RATE ]]</f>
        <v>60510</v>
      </c>
      <c r="N556" s="17">
        <v>42180</v>
      </c>
      <c r="O556" s="17">
        <f>Table1[[#This Row],[ LORRY RATE ]]-Table1[[#This Row],[Adance Paid (INR)]]</f>
        <v>0</v>
      </c>
      <c r="P556" s="17" t="s">
        <v>147</v>
      </c>
      <c r="Q556" s="18" t="s">
        <v>2041</v>
      </c>
      <c r="R556" s="17"/>
      <c r="S556" s="18" t="s">
        <v>2050</v>
      </c>
      <c r="T556" s="18" t="s">
        <v>2050</v>
      </c>
      <c r="U556" s="15" t="s">
        <v>54</v>
      </c>
      <c r="V556" s="15" t="s">
        <v>56</v>
      </c>
      <c r="W556" s="15"/>
    </row>
    <row r="557" spans="1:23" hidden="1" x14ac:dyDescent="0.3">
      <c r="A557" s="15">
        <v>552</v>
      </c>
      <c r="B557" s="15" t="s">
        <v>1899</v>
      </c>
      <c r="C557" s="19">
        <v>45823</v>
      </c>
      <c r="D557" s="19" t="s">
        <v>51</v>
      </c>
      <c r="E557" s="21" t="s">
        <v>2042</v>
      </c>
      <c r="F557" s="21">
        <v>9954558236</v>
      </c>
      <c r="G557" s="15" t="s">
        <v>6</v>
      </c>
      <c r="H557" s="15" t="s">
        <v>2070</v>
      </c>
      <c r="I557" s="15" t="s">
        <v>2071</v>
      </c>
      <c r="J557" s="15" t="s">
        <v>168</v>
      </c>
      <c r="K557" s="16">
        <v>27700</v>
      </c>
      <c r="L557" s="16">
        <v>41900</v>
      </c>
      <c r="M557" s="17">
        <f>Table1[[#This Row],[Billing Rate Charges]]-Table1[[#This Row],[ LORRY RATE ]]</f>
        <v>14200</v>
      </c>
      <c r="N557" s="17">
        <v>26320</v>
      </c>
      <c r="O557" s="17">
        <f>Table1[[#This Row],[ LORRY RATE ]]-Table1[[#This Row],[Adance Paid (INR)]]</f>
        <v>1380</v>
      </c>
      <c r="P557" s="17" t="s">
        <v>147</v>
      </c>
      <c r="Q557" s="18" t="s">
        <v>2083</v>
      </c>
      <c r="R557" s="17"/>
      <c r="S557" s="18" t="s">
        <v>2049</v>
      </c>
      <c r="T557" s="18" t="s">
        <v>2049</v>
      </c>
      <c r="U557" s="15" t="s">
        <v>54</v>
      </c>
      <c r="V557" s="15" t="s">
        <v>2043</v>
      </c>
      <c r="W557" s="15"/>
    </row>
    <row r="558" spans="1:23" hidden="1" x14ac:dyDescent="0.3">
      <c r="A558" s="15">
        <v>553</v>
      </c>
      <c r="B558" s="15" t="s">
        <v>1899</v>
      </c>
      <c r="C558" s="19">
        <v>45824</v>
      </c>
      <c r="D558" s="19" t="s">
        <v>51</v>
      </c>
      <c r="E558" s="21" t="s">
        <v>1448</v>
      </c>
      <c r="F558" s="21">
        <v>9108592771</v>
      </c>
      <c r="G558" s="15" t="s">
        <v>6</v>
      </c>
      <c r="H558" s="15" t="s">
        <v>1874</v>
      </c>
      <c r="I558" s="15" t="s">
        <v>2072</v>
      </c>
      <c r="J558" s="15" t="s">
        <v>172</v>
      </c>
      <c r="K558" s="16">
        <v>31750</v>
      </c>
      <c r="L558" s="16">
        <v>40320</v>
      </c>
      <c r="M558" s="17">
        <f>Table1[[#This Row],[Billing Rate Charges]]-Table1[[#This Row],[ LORRY RATE ]]</f>
        <v>8570</v>
      </c>
      <c r="N558" s="17">
        <v>31750</v>
      </c>
      <c r="O558" s="17">
        <f>Table1[[#This Row],[ LORRY RATE ]]-Table1[[#This Row],[Adance Paid (INR)]]</f>
        <v>0</v>
      </c>
      <c r="P558" s="17" t="s">
        <v>147</v>
      </c>
      <c r="Q558" s="18" t="s">
        <v>2084</v>
      </c>
      <c r="R558" s="17"/>
      <c r="S558" s="18" t="s">
        <v>2049</v>
      </c>
      <c r="T558" s="18" t="s">
        <v>2049</v>
      </c>
      <c r="U558" s="15" t="s">
        <v>54</v>
      </c>
      <c r="V558" s="15" t="s">
        <v>439</v>
      </c>
      <c r="W558" s="15"/>
    </row>
    <row r="559" spans="1:23" hidden="1" x14ac:dyDescent="0.3">
      <c r="A559" s="15">
        <v>554</v>
      </c>
      <c r="B559" s="15" t="s">
        <v>1899</v>
      </c>
      <c r="C559" s="19">
        <v>45825</v>
      </c>
      <c r="D559" s="19" t="s">
        <v>51</v>
      </c>
      <c r="E559" s="21" t="s">
        <v>2046</v>
      </c>
      <c r="F559" s="21">
        <v>9639798777</v>
      </c>
      <c r="G559" s="15" t="s">
        <v>6</v>
      </c>
      <c r="H559" s="15" t="s">
        <v>1874</v>
      </c>
      <c r="I559" s="15" t="s">
        <v>2073</v>
      </c>
      <c r="J559" s="15" t="s">
        <v>168</v>
      </c>
      <c r="K559" s="16">
        <v>26220</v>
      </c>
      <c r="L559" s="16">
        <v>35600</v>
      </c>
      <c r="M559" s="17">
        <f>Table1[[#This Row],[Billing Rate Charges]]-Table1[[#This Row],[ LORRY RATE ]]</f>
        <v>9380</v>
      </c>
      <c r="N559" s="17">
        <v>26220</v>
      </c>
      <c r="O559" s="17">
        <f>Table1[[#This Row],[ LORRY RATE ]]-Table1[[#This Row],[Adance Paid (INR)]]</f>
        <v>0</v>
      </c>
      <c r="P559" s="17" t="s">
        <v>147</v>
      </c>
      <c r="Q559" s="18" t="s">
        <v>2085</v>
      </c>
      <c r="R559" s="17"/>
      <c r="S559" s="18" t="s">
        <v>2051</v>
      </c>
      <c r="T559" s="18" t="s">
        <v>2051</v>
      </c>
      <c r="U559" s="15" t="s">
        <v>54</v>
      </c>
      <c r="V559" s="15" t="s">
        <v>439</v>
      </c>
      <c r="W559" s="15"/>
    </row>
    <row r="560" spans="1:23" hidden="1" x14ac:dyDescent="0.3">
      <c r="A560" s="15">
        <v>555</v>
      </c>
      <c r="B560" s="15" t="s">
        <v>1899</v>
      </c>
      <c r="C560" s="19">
        <v>45826</v>
      </c>
      <c r="D560" s="19" t="s">
        <v>56</v>
      </c>
      <c r="E560" s="21" t="s">
        <v>60</v>
      </c>
      <c r="F560" s="21">
        <v>9589264337</v>
      </c>
      <c r="G560" s="15" t="s">
        <v>6</v>
      </c>
      <c r="H560" s="15" t="s">
        <v>2074</v>
      </c>
      <c r="I560" s="15" t="s">
        <v>2075</v>
      </c>
      <c r="J560" s="15" t="s">
        <v>172</v>
      </c>
      <c r="K560" s="16">
        <v>33770</v>
      </c>
      <c r="L560" s="16">
        <v>46620</v>
      </c>
      <c r="M560" s="17">
        <f>Table1[[#This Row],[Billing Rate Charges]]-Table1[[#This Row],[ LORRY RATE ]]</f>
        <v>12850</v>
      </c>
      <c r="N560" s="17">
        <v>33770</v>
      </c>
      <c r="O560" s="17">
        <f>Table1[[#This Row],[ LORRY RATE ]]-Table1[[#This Row],[Adance Paid (INR)]]</f>
        <v>0</v>
      </c>
      <c r="P560" s="17" t="s">
        <v>147</v>
      </c>
      <c r="Q560" s="18" t="s">
        <v>2086</v>
      </c>
      <c r="R560" s="17"/>
      <c r="S560" s="18" t="s">
        <v>2051</v>
      </c>
      <c r="T560" s="18" t="s">
        <v>2051</v>
      </c>
      <c r="U560" s="15" t="s">
        <v>54</v>
      </c>
      <c r="V560" s="15" t="s">
        <v>56</v>
      </c>
      <c r="W560" s="15"/>
    </row>
    <row r="561" spans="1:23" hidden="1" x14ac:dyDescent="0.3">
      <c r="A561" s="15">
        <v>556</v>
      </c>
      <c r="B561" s="15" t="s">
        <v>1899</v>
      </c>
      <c r="C561" s="19">
        <v>45826</v>
      </c>
      <c r="D561" s="19" t="s">
        <v>56</v>
      </c>
      <c r="E561" s="21" t="s">
        <v>1641</v>
      </c>
      <c r="F561" s="21">
        <v>9935813519</v>
      </c>
      <c r="G561" s="15" t="s">
        <v>6</v>
      </c>
      <c r="H561" s="15" t="s">
        <v>2076</v>
      </c>
      <c r="I561" s="15" t="s">
        <v>2077</v>
      </c>
      <c r="J561" s="15" t="s">
        <v>172</v>
      </c>
      <c r="K561" s="16">
        <v>33770</v>
      </c>
      <c r="L561" s="16">
        <v>46620</v>
      </c>
      <c r="M561" s="17">
        <f>Table1[[#This Row],[Billing Rate Charges]]-Table1[[#This Row],[ LORRY RATE ]]</f>
        <v>12850</v>
      </c>
      <c r="N561" s="17">
        <v>33770</v>
      </c>
      <c r="O561" s="17">
        <f>Table1[[#This Row],[ LORRY RATE ]]-Table1[[#This Row],[Adance Paid (INR)]]</f>
        <v>0</v>
      </c>
      <c r="P561" s="17" t="s">
        <v>147</v>
      </c>
      <c r="Q561" s="18" t="s">
        <v>2087</v>
      </c>
      <c r="R561" s="17"/>
      <c r="S561" s="18" t="s">
        <v>2051</v>
      </c>
      <c r="T561" s="18" t="s">
        <v>2051</v>
      </c>
      <c r="U561" s="15" t="s">
        <v>54</v>
      </c>
      <c r="V561" s="15" t="s">
        <v>56</v>
      </c>
      <c r="W561" s="15"/>
    </row>
    <row r="562" spans="1:23" hidden="1" x14ac:dyDescent="0.3">
      <c r="A562" s="15">
        <v>557</v>
      </c>
      <c r="B562" s="15" t="s">
        <v>1899</v>
      </c>
      <c r="C562" s="19">
        <v>45826</v>
      </c>
      <c r="D562" s="19" t="s">
        <v>56</v>
      </c>
      <c r="E562" s="21" t="s">
        <v>1637</v>
      </c>
      <c r="F562" s="21">
        <v>9025368773</v>
      </c>
      <c r="G562" s="15" t="s">
        <v>1093</v>
      </c>
      <c r="H562" s="15" t="s">
        <v>1874</v>
      </c>
      <c r="I562" s="15" t="s">
        <v>2078</v>
      </c>
      <c r="J562" s="15" t="s">
        <v>172</v>
      </c>
      <c r="K562" s="16">
        <v>41230</v>
      </c>
      <c r="L562" s="16">
        <v>96390</v>
      </c>
      <c r="M562" s="17">
        <f>Table1[[#This Row],[Billing Rate Charges]]-Table1[[#This Row],[ LORRY RATE ]]</f>
        <v>55160</v>
      </c>
      <c r="N562" s="17">
        <v>41230</v>
      </c>
      <c r="O562" s="17">
        <f>Table1[[#This Row],[ LORRY RATE ]]-Table1[[#This Row],[Adance Paid (INR)]]</f>
        <v>0</v>
      </c>
      <c r="P562" s="17" t="s">
        <v>147</v>
      </c>
      <c r="Q562" s="18" t="s">
        <v>2090</v>
      </c>
      <c r="R562" s="17"/>
      <c r="S562" s="18" t="s">
        <v>2051</v>
      </c>
      <c r="T562" s="18" t="s">
        <v>2051</v>
      </c>
      <c r="U562" s="15" t="s">
        <v>54</v>
      </c>
      <c r="V562" s="15" t="s">
        <v>56</v>
      </c>
      <c r="W562" s="15"/>
    </row>
    <row r="563" spans="1:23" hidden="1" x14ac:dyDescent="0.3">
      <c r="A563" s="15">
        <v>558</v>
      </c>
      <c r="B563" s="15" t="s">
        <v>1899</v>
      </c>
      <c r="C563" s="19">
        <v>45826</v>
      </c>
      <c r="D563" s="19" t="s">
        <v>56</v>
      </c>
      <c r="E563" s="21" t="s">
        <v>38</v>
      </c>
      <c r="F563" s="21">
        <v>9515412075</v>
      </c>
      <c r="G563" s="15" t="s">
        <v>1093</v>
      </c>
      <c r="H563" s="15" t="s">
        <v>1874</v>
      </c>
      <c r="I563" s="15" t="s">
        <v>2081</v>
      </c>
      <c r="J563" s="15" t="s">
        <v>59</v>
      </c>
      <c r="K563" s="16">
        <v>40480</v>
      </c>
      <c r="L563" s="16">
        <v>91350</v>
      </c>
      <c r="M563" s="17">
        <f>Table1[[#This Row],[Billing Rate Charges]]-Table1[[#This Row],[ LORRY RATE ]]</f>
        <v>50870</v>
      </c>
      <c r="N563" s="17">
        <v>40480</v>
      </c>
      <c r="O563" s="17">
        <f>Table1[[#This Row],[ LORRY RATE ]]-Table1[[#This Row],[Adance Paid (INR)]]</f>
        <v>0</v>
      </c>
      <c r="P563" s="17" t="s">
        <v>147</v>
      </c>
      <c r="Q563" s="18" t="s">
        <v>504</v>
      </c>
      <c r="R563" s="17"/>
      <c r="S563" s="18" t="s">
        <v>2052</v>
      </c>
      <c r="T563" s="18" t="s">
        <v>2052</v>
      </c>
      <c r="U563" s="15" t="s">
        <v>54</v>
      </c>
      <c r="V563" s="15" t="s">
        <v>56</v>
      </c>
      <c r="W563" s="15"/>
    </row>
    <row r="564" spans="1:23" hidden="1" x14ac:dyDescent="0.3">
      <c r="A564" s="15">
        <v>559</v>
      </c>
      <c r="B564" s="15" t="s">
        <v>1899</v>
      </c>
      <c r="C564" s="19">
        <v>45827</v>
      </c>
      <c r="D564" s="19" t="s">
        <v>51</v>
      </c>
      <c r="E564" s="15" t="s">
        <v>380</v>
      </c>
      <c r="F564" s="15"/>
      <c r="G564" s="15" t="s">
        <v>6</v>
      </c>
      <c r="H564" s="15" t="s">
        <v>1874</v>
      </c>
      <c r="I564" s="15" t="s">
        <v>2080</v>
      </c>
      <c r="J564" s="15" t="s">
        <v>381</v>
      </c>
      <c r="K564" s="16">
        <v>123840</v>
      </c>
      <c r="L564" s="16">
        <v>161030</v>
      </c>
      <c r="M564" s="17">
        <f>Table1[[#This Row],[Billing Rate Charges]]-Table1[[#This Row],[ LORRY RATE ]]</f>
        <v>37190</v>
      </c>
      <c r="N564" s="17">
        <v>66520</v>
      </c>
      <c r="O564" s="17">
        <f>Table1[[#This Row],[ LORRY RATE ]]-Table1[[#This Row],[Adance Paid (INR)]]</f>
        <v>57320</v>
      </c>
      <c r="P564" s="17" t="s">
        <v>147</v>
      </c>
      <c r="Q564" s="18" t="s">
        <v>505</v>
      </c>
      <c r="R564" s="17"/>
      <c r="S564" s="18" t="s">
        <v>2051</v>
      </c>
      <c r="T564" s="18" t="s">
        <v>2051</v>
      </c>
      <c r="U564" s="15" t="s">
        <v>54</v>
      </c>
      <c r="V564" s="15" t="s">
        <v>380</v>
      </c>
      <c r="W564" s="15" t="s">
        <v>2047</v>
      </c>
    </row>
    <row r="565" spans="1:23" hidden="1" x14ac:dyDescent="0.3">
      <c r="A565" s="15">
        <v>560</v>
      </c>
      <c r="B565" s="15" t="s">
        <v>1899</v>
      </c>
      <c r="C565" s="19">
        <v>45828</v>
      </c>
      <c r="D565" s="19" t="s">
        <v>56</v>
      </c>
      <c r="E565" s="21" t="s">
        <v>1644</v>
      </c>
      <c r="F565" s="21">
        <v>9220186371</v>
      </c>
      <c r="G565" s="15" t="s">
        <v>1093</v>
      </c>
      <c r="H565" s="15" t="s">
        <v>1874</v>
      </c>
      <c r="I565" s="15" t="s">
        <v>2082</v>
      </c>
      <c r="J565" s="15" t="s">
        <v>172</v>
      </c>
      <c r="K565" s="16">
        <v>41230</v>
      </c>
      <c r="L565" s="16">
        <v>96390</v>
      </c>
      <c r="M565" s="17">
        <f>Table1[[#This Row],[Billing Rate Charges]]-Table1[[#This Row],[ LORRY RATE ]]</f>
        <v>55160</v>
      </c>
      <c r="N565" s="17">
        <v>41230</v>
      </c>
      <c r="O565" s="17">
        <f>Table1[[#This Row],[ LORRY RATE ]]-Table1[[#This Row],[Adance Paid (INR)]]</f>
        <v>0</v>
      </c>
      <c r="P565" s="17" t="s">
        <v>147</v>
      </c>
      <c r="Q565" s="18" t="s">
        <v>506</v>
      </c>
      <c r="R565" s="17"/>
      <c r="S565" s="18" t="s">
        <v>2055</v>
      </c>
      <c r="T565" s="18" t="s">
        <v>2055</v>
      </c>
      <c r="U565" s="15" t="s">
        <v>54</v>
      </c>
      <c r="V565" s="15" t="s">
        <v>56</v>
      </c>
      <c r="W565" s="15"/>
    </row>
    <row r="566" spans="1:23" hidden="1" x14ac:dyDescent="0.3">
      <c r="A566" s="15">
        <v>561</v>
      </c>
      <c r="B566" s="15" t="s">
        <v>1899</v>
      </c>
      <c r="C566" s="19">
        <v>45829</v>
      </c>
      <c r="D566" s="19" t="s">
        <v>56</v>
      </c>
      <c r="E566" s="21" t="s">
        <v>60</v>
      </c>
      <c r="F566" s="21">
        <v>9589264337</v>
      </c>
      <c r="G566" s="15" t="s">
        <v>1093</v>
      </c>
      <c r="H566" s="15" t="s">
        <v>2088</v>
      </c>
      <c r="I566" s="15" t="s">
        <v>2089</v>
      </c>
      <c r="J566" s="15" t="s">
        <v>172</v>
      </c>
      <c r="K566" s="16">
        <v>42180</v>
      </c>
      <c r="L566" s="16">
        <v>102690</v>
      </c>
      <c r="M566" s="17">
        <f>Table1[[#This Row],[Billing Rate Charges]]-Table1[[#This Row],[ LORRY RATE ]]</f>
        <v>60510</v>
      </c>
      <c r="N566" s="17">
        <v>42180</v>
      </c>
      <c r="O566" s="17">
        <f>Table1[[#This Row],[ LORRY RATE ]]-Table1[[#This Row],[Adance Paid (INR)]]</f>
        <v>0</v>
      </c>
      <c r="P566" s="17" t="s">
        <v>147</v>
      </c>
      <c r="Q566" s="18" t="s">
        <v>507</v>
      </c>
      <c r="R566" s="17"/>
      <c r="S566" s="18" t="s">
        <v>2056</v>
      </c>
      <c r="T566" s="18" t="s">
        <v>2057</v>
      </c>
      <c r="U566" s="15" t="s">
        <v>54</v>
      </c>
      <c r="V566" s="15" t="s">
        <v>56</v>
      </c>
      <c r="W566" s="15"/>
    </row>
    <row r="567" spans="1:23" hidden="1" x14ac:dyDescent="0.3">
      <c r="A567" s="15">
        <v>562</v>
      </c>
      <c r="B567" s="15" t="s">
        <v>1899</v>
      </c>
      <c r="C567" s="19">
        <v>45829</v>
      </c>
      <c r="D567" s="19" t="s">
        <v>56</v>
      </c>
      <c r="E567" s="21" t="s">
        <v>1637</v>
      </c>
      <c r="F567" s="21">
        <v>9025368773</v>
      </c>
      <c r="G567" s="15" t="s">
        <v>6</v>
      </c>
      <c r="H567" s="15" t="s">
        <v>2059</v>
      </c>
      <c r="I567" s="15" t="s">
        <v>2060</v>
      </c>
      <c r="J567" s="15" t="s">
        <v>172</v>
      </c>
      <c r="K567" s="16">
        <v>33770</v>
      </c>
      <c r="L567" s="16">
        <v>46620</v>
      </c>
      <c r="M567" s="17">
        <f>Table1[[#This Row],[Billing Rate Charges]]-Table1[[#This Row],[ LORRY RATE ]]</f>
        <v>12850</v>
      </c>
      <c r="N567" s="17">
        <v>33770</v>
      </c>
      <c r="O567" s="17">
        <f>Table1[[#This Row],[ LORRY RATE ]]-Table1[[#This Row],[Adance Paid (INR)]]</f>
        <v>0</v>
      </c>
      <c r="P567" s="17" t="s">
        <v>147</v>
      </c>
      <c r="Q567" s="18" t="s">
        <v>508</v>
      </c>
      <c r="R567" s="17"/>
      <c r="S567" s="18" t="s">
        <v>2058</v>
      </c>
      <c r="T567" s="18" t="s">
        <v>2056</v>
      </c>
      <c r="U567" s="15" t="s">
        <v>54</v>
      </c>
      <c r="V567" s="15" t="s">
        <v>56</v>
      </c>
      <c r="W567" s="15"/>
    </row>
    <row r="568" spans="1:23" hidden="1" x14ac:dyDescent="0.3">
      <c r="A568" s="15">
        <v>563</v>
      </c>
      <c r="B568" s="15" t="s">
        <v>1899</v>
      </c>
      <c r="C568" s="19">
        <v>45831</v>
      </c>
      <c r="D568" s="19" t="s">
        <v>56</v>
      </c>
      <c r="E568" s="21" t="s">
        <v>38</v>
      </c>
      <c r="F568" s="21">
        <v>9515412075</v>
      </c>
      <c r="G568" s="15" t="s">
        <v>6</v>
      </c>
      <c r="H568" s="15" t="s">
        <v>1874</v>
      </c>
      <c r="I568" s="15" t="s">
        <v>2061</v>
      </c>
      <c r="J568" s="15" t="s">
        <v>59</v>
      </c>
      <c r="K568" s="16">
        <v>32540</v>
      </c>
      <c r="L568" s="16">
        <v>38430</v>
      </c>
      <c r="M568" s="17">
        <f>Table1[[#This Row],[Billing Rate Charges]]-Table1[[#This Row],[ LORRY RATE ]]</f>
        <v>5890</v>
      </c>
      <c r="N568" s="17">
        <v>32540</v>
      </c>
      <c r="O568" s="17">
        <f>Table1[[#This Row],[ LORRY RATE ]]-Table1[[#This Row],[Adance Paid (INR)]]</f>
        <v>0</v>
      </c>
      <c r="P568" s="17" t="s">
        <v>147</v>
      </c>
      <c r="Q568" s="18" t="s">
        <v>509</v>
      </c>
      <c r="R568" s="17"/>
      <c r="S568" s="18" t="s">
        <v>2057</v>
      </c>
      <c r="T568" s="18" t="s">
        <v>2057</v>
      </c>
      <c r="U568" s="15" t="s">
        <v>54</v>
      </c>
      <c r="V568" s="15" t="s">
        <v>56</v>
      </c>
      <c r="W568" s="15"/>
    </row>
    <row r="569" spans="1:23" hidden="1" x14ac:dyDescent="0.3">
      <c r="A569" s="15">
        <v>564</v>
      </c>
      <c r="B569" s="15" t="s">
        <v>1899</v>
      </c>
      <c r="C569" s="19">
        <v>45833</v>
      </c>
      <c r="D569" s="19" t="s">
        <v>56</v>
      </c>
      <c r="E569" s="21" t="s">
        <v>1644</v>
      </c>
      <c r="F569" s="21">
        <v>9220186371</v>
      </c>
      <c r="G569" s="15" t="s">
        <v>6</v>
      </c>
      <c r="H569" s="15" t="s">
        <v>2062</v>
      </c>
      <c r="I569" s="15" t="s">
        <v>2063</v>
      </c>
      <c r="J569" s="15" t="s">
        <v>172</v>
      </c>
      <c r="K569" s="16">
        <v>33770</v>
      </c>
      <c r="L569" s="16">
        <v>46620</v>
      </c>
      <c r="M569" s="17">
        <f>Table1[[#This Row],[Billing Rate Charges]]-Table1[[#This Row],[ LORRY RATE ]]</f>
        <v>12850</v>
      </c>
      <c r="N569" s="17">
        <v>33770</v>
      </c>
      <c r="O569" s="17">
        <f>Table1[[#This Row],[ LORRY RATE ]]-Table1[[#This Row],[Adance Paid (INR)]]</f>
        <v>0</v>
      </c>
      <c r="P569" s="17" t="s">
        <v>147</v>
      </c>
      <c r="Q569" s="18" t="s">
        <v>510</v>
      </c>
      <c r="R569" s="17"/>
      <c r="S569" s="18" t="s">
        <v>2096</v>
      </c>
      <c r="T569" s="18" t="s">
        <v>2096</v>
      </c>
      <c r="U569" s="15" t="s">
        <v>54</v>
      </c>
      <c r="V569" s="15" t="s">
        <v>56</v>
      </c>
      <c r="W569" s="15"/>
    </row>
    <row r="570" spans="1:23" hidden="1" x14ac:dyDescent="0.3">
      <c r="A570" s="15">
        <v>565</v>
      </c>
      <c r="B570" s="15" t="s">
        <v>1899</v>
      </c>
      <c r="C570" s="19">
        <v>45833</v>
      </c>
      <c r="D570" s="19" t="s">
        <v>51</v>
      </c>
      <c r="E570" s="21" t="s">
        <v>2053</v>
      </c>
      <c r="F570" s="21">
        <v>9308251477</v>
      </c>
      <c r="G570" s="15" t="s">
        <v>6</v>
      </c>
      <c r="H570" s="15" t="s">
        <v>2064</v>
      </c>
      <c r="I570" s="15" t="s">
        <v>2065</v>
      </c>
      <c r="J570" s="15" t="s">
        <v>172</v>
      </c>
      <c r="K570" s="16">
        <v>33770</v>
      </c>
      <c r="L570" s="16">
        <v>46620</v>
      </c>
      <c r="M570" s="17">
        <f>Table1[[#This Row],[Billing Rate Charges]]-Table1[[#This Row],[ LORRY RATE ]]</f>
        <v>12850</v>
      </c>
      <c r="N570" s="17">
        <v>33770</v>
      </c>
      <c r="O570" s="17">
        <f>Table1[[#This Row],[ LORRY RATE ]]-Table1[[#This Row],[Adance Paid (INR)]]</f>
        <v>0</v>
      </c>
      <c r="P570" s="17" t="s">
        <v>147</v>
      </c>
      <c r="Q570" s="18" t="s">
        <v>511</v>
      </c>
      <c r="R570" s="17"/>
      <c r="S570" s="18" t="s">
        <v>2099</v>
      </c>
      <c r="T570" s="18" t="s">
        <v>2099</v>
      </c>
      <c r="U570" s="15" t="s">
        <v>54</v>
      </c>
      <c r="V570" s="15" t="s">
        <v>213</v>
      </c>
      <c r="W570" s="15"/>
    </row>
    <row r="571" spans="1:23" hidden="1" x14ac:dyDescent="0.3">
      <c r="A571" s="15">
        <v>566</v>
      </c>
      <c r="B571" s="15" t="s">
        <v>1899</v>
      </c>
      <c r="C571" s="19">
        <v>45833</v>
      </c>
      <c r="D571" s="19" t="s">
        <v>56</v>
      </c>
      <c r="E571" s="21" t="s">
        <v>1637</v>
      </c>
      <c r="F571" s="21">
        <v>9025368773</v>
      </c>
      <c r="G571" s="15" t="s">
        <v>1093</v>
      </c>
      <c r="H571" s="15" t="s">
        <v>1874</v>
      </c>
      <c r="I571" s="15" t="s">
        <v>2079</v>
      </c>
      <c r="J571" s="15" t="s">
        <v>172</v>
      </c>
      <c r="K571" s="16">
        <v>41230</v>
      </c>
      <c r="L571" s="16">
        <v>96390</v>
      </c>
      <c r="M571" s="17">
        <f>Table1[[#This Row],[Billing Rate Charges]]-Table1[[#This Row],[ LORRY RATE ]]</f>
        <v>55160</v>
      </c>
      <c r="N571" s="17">
        <v>41230</v>
      </c>
      <c r="O571" s="17">
        <f>Table1[[#This Row],[ LORRY RATE ]]-Table1[[#This Row],[Adance Paid (INR)]]</f>
        <v>0</v>
      </c>
      <c r="P571" s="17" t="s">
        <v>147</v>
      </c>
      <c r="Q571" s="18" t="s">
        <v>512</v>
      </c>
      <c r="R571" s="17"/>
      <c r="S571" s="18" t="s">
        <v>2097</v>
      </c>
      <c r="T571" s="18" t="s">
        <v>2097</v>
      </c>
      <c r="U571" s="15" t="s">
        <v>54</v>
      </c>
      <c r="V571" s="15" t="s">
        <v>56</v>
      </c>
      <c r="W571" s="15"/>
    </row>
    <row r="572" spans="1:23" hidden="1" x14ac:dyDescent="0.3">
      <c r="A572" s="15">
        <v>567</v>
      </c>
      <c r="B572" s="15" t="s">
        <v>1899</v>
      </c>
      <c r="C572" s="19">
        <v>45834</v>
      </c>
      <c r="D572" s="19" t="s">
        <v>56</v>
      </c>
      <c r="E572" s="21" t="s">
        <v>60</v>
      </c>
      <c r="F572" s="21">
        <v>9589264337</v>
      </c>
      <c r="G572" s="15" t="s">
        <v>6</v>
      </c>
      <c r="H572" s="15" t="s">
        <v>2066</v>
      </c>
      <c r="I572" s="15" t="s">
        <v>2098</v>
      </c>
      <c r="J572" s="15" t="s">
        <v>172</v>
      </c>
      <c r="K572" s="16">
        <v>33770</v>
      </c>
      <c r="L572" s="16">
        <v>46620</v>
      </c>
      <c r="M572" s="17">
        <f>Table1[[#This Row],[Billing Rate Charges]]-Table1[[#This Row],[ LORRY RATE ]]</f>
        <v>12850</v>
      </c>
      <c r="N572" s="17">
        <v>33770</v>
      </c>
      <c r="O572" s="17">
        <f>Table1[[#This Row],[ LORRY RATE ]]-Table1[[#This Row],[Adance Paid (INR)]]</f>
        <v>0</v>
      </c>
      <c r="P572" s="17" t="s">
        <v>147</v>
      </c>
      <c r="Q572" s="18" t="s">
        <v>513</v>
      </c>
      <c r="R572" s="17"/>
      <c r="S572" s="18" t="s">
        <v>2099</v>
      </c>
      <c r="T572" s="18" t="s">
        <v>2100</v>
      </c>
      <c r="U572" s="15" t="s">
        <v>54</v>
      </c>
      <c r="V572" s="15" t="s">
        <v>56</v>
      </c>
      <c r="W572" s="15"/>
    </row>
    <row r="573" spans="1:23" hidden="1" x14ac:dyDescent="0.3">
      <c r="A573" s="15">
        <v>568</v>
      </c>
      <c r="B573" s="15" t="s">
        <v>1899</v>
      </c>
      <c r="C573" s="19">
        <v>45835</v>
      </c>
      <c r="D573" s="19" t="s">
        <v>56</v>
      </c>
      <c r="E573" s="21" t="s">
        <v>1641</v>
      </c>
      <c r="F573" s="21">
        <v>9935813519</v>
      </c>
      <c r="G573" s="15" t="s">
        <v>6</v>
      </c>
      <c r="H573" s="15" t="s">
        <v>2068</v>
      </c>
      <c r="I573" s="15" t="s">
        <v>2069</v>
      </c>
      <c r="J573" s="15" t="s">
        <v>172</v>
      </c>
      <c r="K573" s="16">
        <v>33770</v>
      </c>
      <c r="L573" s="16">
        <v>46620</v>
      </c>
      <c r="M573" s="17">
        <f>Table1[[#This Row],[Billing Rate Charges]]-Table1[[#This Row],[ LORRY RATE ]]</f>
        <v>12850</v>
      </c>
      <c r="N573" s="17">
        <v>33770</v>
      </c>
      <c r="O573" s="17">
        <f>Table1[[#This Row],[ LORRY RATE ]]-Table1[[#This Row],[Adance Paid (INR)]]</f>
        <v>0</v>
      </c>
      <c r="P573" s="17" t="s">
        <v>147</v>
      </c>
      <c r="Q573" s="18" t="s">
        <v>514</v>
      </c>
      <c r="R573" s="17"/>
      <c r="S573" s="18" t="s">
        <v>2099</v>
      </c>
      <c r="T573" s="18" t="s">
        <v>2100</v>
      </c>
      <c r="U573" s="15" t="s">
        <v>54</v>
      </c>
      <c r="V573" s="15" t="s">
        <v>56</v>
      </c>
      <c r="W573" s="15"/>
    </row>
    <row r="574" spans="1:23" hidden="1" x14ac:dyDescent="0.3">
      <c r="A574" s="15">
        <v>569</v>
      </c>
      <c r="B574" s="15" t="s">
        <v>1899</v>
      </c>
      <c r="C574" s="19">
        <v>45835</v>
      </c>
      <c r="D574" s="19" t="s">
        <v>51</v>
      </c>
      <c r="E574" s="21" t="s">
        <v>2054</v>
      </c>
      <c r="F574" s="21">
        <v>9570896331</v>
      </c>
      <c r="G574" s="15" t="s">
        <v>6</v>
      </c>
      <c r="H574" s="15" t="s">
        <v>1874</v>
      </c>
      <c r="I574" s="15" t="s">
        <v>2067</v>
      </c>
      <c r="J574" s="15" t="s">
        <v>168</v>
      </c>
      <c r="K574" s="16">
        <v>25690</v>
      </c>
      <c r="L574" s="16">
        <v>35600</v>
      </c>
      <c r="M574" s="17">
        <f>Table1[[#This Row],[Billing Rate Charges]]-Table1[[#This Row],[ LORRY RATE ]]</f>
        <v>9910</v>
      </c>
      <c r="N574" s="17">
        <v>25690</v>
      </c>
      <c r="O574" s="17">
        <f>Table1[[#This Row],[ LORRY RATE ]]-Table1[[#This Row],[Adance Paid (INR)]]</f>
        <v>0</v>
      </c>
      <c r="P574" s="17" t="s">
        <v>147</v>
      </c>
      <c r="Q574" s="18" t="s">
        <v>2091</v>
      </c>
      <c r="R574" s="17"/>
      <c r="S574" s="18" t="s">
        <v>2099</v>
      </c>
      <c r="T574" s="18" t="s">
        <v>2099</v>
      </c>
      <c r="U574" s="15" t="s">
        <v>54</v>
      </c>
      <c r="V574" s="15" t="s">
        <v>439</v>
      </c>
      <c r="W574" s="15"/>
    </row>
    <row r="575" spans="1:23" hidden="1" x14ac:dyDescent="0.3">
      <c r="A575" s="15">
        <v>570</v>
      </c>
      <c r="B575" s="15" t="s">
        <v>1899</v>
      </c>
      <c r="C575" s="19">
        <v>45836</v>
      </c>
      <c r="D575" s="19" t="s">
        <v>56</v>
      </c>
      <c r="E575" s="21" t="s">
        <v>1635</v>
      </c>
      <c r="F575" s="21">
        <v>9472230553</v>
      </c>
      <c r="G575" s="15" t="s">
        <v>1093</v>
      </c>
      <c r="H575" s="15"/>
      <c r="I575" s="15" t="s">
        <v>2152</v>
      </c>
      <c r="J575" s="15" t="s">
        <v>172</v>
      </c>
      <c r="K575" s="16">
        <v>41230</v>
      </c>
      <c r="L575" s="16">
        <v>96390</v>
      </c>
      <c r="M575" s="17">
        <f>Table1[[#This Row],[Billing Rate Charges]]-Table1[[#This Row],[ LORRY RATE ]]</f>
        <v>55160</v>
      </c>
      <c r="N575" s="17">
        <v>41230</v>
      </c>
      <c r="O575" s="17">
        <f>Table1[[#This Row],[ LORRY RATE ]]-Table1[[#This Row],[Adance Paid (INR)]]</f>
        <v>0</v>
      </c>
      <c r="P575" s="17" t="s">
        <v>147</v>
      </c>
      <c r="Q575" s="18" t="s">
        <v>516</v>
      </c>
      <c r="R575" s="17"/>
      <c r="S575" s="18" t="s">
        <v>2099</v>
      </c>
      <c r="T575" s="18" t="s">
        <v>2100</v>
      </c>
      <c r="U575" s="15" t="s">
        <v>54</v>
      </c>
      <c r="V575" s="15" t="s">
        <v>56</v>
      </c>
      <c r="W575" s="15"/>
    </row>
    <row r="576" spans="1:23" hidden="1" x14ac:dyDescent="0.3">
      <c r="A576" s="15">
        <v>571</v>
      </c>
      <c r="B576" s="15" t="s">
        <v>1899</v>
      </c>
      <c r="C576" s="19">
        <v>45836</v>
      </c>
      <c r="D576" s="19" t="s">
        <v>51</v>
      </c>
      <c r="E576" s="21" t="s">
        <v>2092</v>
      </c>
      <c r="F576" s="21">
        <v>9139752126</v>
      </c>
      <c r="G576" s="15" t="s">
        <v>6</v>
      </c>
      <c r="H576" s="15" t="s">
        <v>1874</v>
      </c>
      <c r="I576" s="15" t="s">
        <v>2120</v>
      </c>
      <c r="J576" s="15" t="s">
        <v>172</v>
      </c>
      <c r="K576" s="16">
        <v>31750</v>
      </c>
      <c r="L576" s="16">
        <v>40320</v>
      </c>
      <c r="M576" s="17">
        <f>Table1[[#This Row],[Billing Rate Charges]]-Table1[[#This Row],[ LORRY RATE ]]</f>
        <v>8570</v>
      </c>
      <c r="N576" s="17">
        <v>31750</v>
      </c>
      <c r="O576" s="17">
        <f>Table1[[#This Row],[ LORRY RATE ]]-Table1[[#This Row],[Adance Paid (INR)]]</f>
        <v>0</v>
      </c>
      <c r="P576" s="17" t="s">
        <v>147</v>
      </c>
      <c r="Q576" s="18" t="s">
        <v>519</v>
      </c>
      <c r="R576" s="17"/>
      <c r="S576" s="18" t="s">
        <v>2103</v>
      </c>
      <c r="T576" s="18" t="s">
        <v>2103</v>
      </c>
      <c r="U576" s="15" t="s">
        <v>54</v>
      </c>
      <c r="V576" s="15" t="s">
        <v>2043</v>
      </c>
      <c r="W576" s="15"/>
    </row>
    <row r="577" spans="1:23" hidden="1" x14ac:dyDescent="0.3">
      <c r="A577" s="15">
        <v>572</v>
      </c>
      <c r="B577" s="15" t="s">
        <v>1899</v>
      </c>
      <c r="C577" s="19">
        <v>45836</v>
      </c>
      <c r="D577" s="19" t="s">
        <v>51</v>
      </c>
      <c r="E577" s="21" t="s">
        <v>2093</v>
      </c>
      <c r="F577" s="21">
        <v>9431329162</v>
      </c>
      <c r="G577" s="15" t="s">
        <v>2094</v>
      </c>
      <c r="H577" s="15" t="s">
        <v>1874</v>
      </c>
      <c r="I577" s="15" t="s">
        <v>2146</v>
      </c>
      <c r="J577" s="15" t="s">
        <v>172</v>
      </c>
      <c r="K577" s="16">
        <v>65490</v>
      </c>
      <c r="L577" s="16">
        <v>83160</v>
      </c>
      <c r="M577" s="17">
        <f>Table1[[#This Row],[Billing Rate Charges]]-Table1[[#This Row],[ LORRY RATE ]]</f>
        <v>17670</v>
      </c>
      <c r="N577" s="17">
        <v>65490</v>
      </c>
      <c r="O577" s="17">
        <f>Table1[[#This Row],[ LORRY RATE ]]-Table1[[#This Row],[Adance Paid (INR)]]</f>
        <v>0</v>
      </c>
      <c r="P577" s="17" t="s">
        <v>147</v>
      </c>
      <c r="Q577" s="18" t="s">
        <v>521</v>
      </c>
      <c r="R577" s="17"/>
      <c r="S577" s="18" t="s">
        <v>2103</v>
      </c>
      <c r="T577" s="18" t="s">
        <v>2104</v>
      </c>
      <c r="U577" s="15" t="s">
        <v>54</v>
      </c>
      <c r="V577" s="15" t="s">
        <v>2095</v>
      </c>
      <c r="W577" s="15"/>
    </row>
    <row r="578" spans="1:23" hidden="1" x14ac:dyDescent="0.3">
      <c r="A578" s="15">
        <v>573</v>
      </c>
      <c r="B578" s="15" t="s">
        <v>1899</v>
      </c>
      <c r="C578" s="19">
        <v>45838</v>
      </c>
      <c r="D578" s="19" t="s">
        <v>56</v>
      </c>
      <c r="E578" s="21" t="s">
        <v>1637</v>
      </c>
      <c r="F578" s="21">
        <v>9025368773</v>
      </c>
      <c r="G578" s="15" t="s">
        <v>6</v>
      </c>
      <c r="H578" s="15" t="s">
        <v>2121</v>
      </c>
      <c r="I578" s="15" t="s">
        <v>2122</v>
      </c>
      <c r="J578" s="15" t="s">
        <v>172</v>
      </c>
      <c r="K578" s="16">
        <v>33770</v>
      </c>
      <c r="L578" s="16">
        <v>46620</v>
      </c>
      <c r="M578" s="17">
        <f>Table1[[#This Row],[Billing Rate Charges]]-Table1[[#This Row],[ LORRY RATE ]]</f>
        <v>12850</v>
      </c>
      <c r="N578" s="17">
        <v>33770</v>
      </c>
      <c r="O578" s="17">
        <f>Table1[[#This Row],[ LORRY RATE ]]-Table1[[#This Row],[Adance Paid (INR)]]</f>
        <v>0</v>
      </c>
      <c r="P578" s="17" t="s">
        <v>147</v>
      </c>
      <c r="Q578" s="18" t="s">
        <v>520</v>
      </c>
      <c r="R578" s="17"/>
      <c r="S578" s="18" t="s">
        <v>2104</v>
      </c>
      <c r="T578" s="18" t="s">
        <v>2107</v>
      </c>
      <c r="U578" s="15" t="s">
        <v>54</v>
      </c>
      <c r="V578" s="15" t="s">
        <v>56</v>
      </c>
      <c r="W578" s="15"/>
    </row>
    <row r="579" spans="1:23" hidden="1" x14ac:dyDescent="0.3">
      <c r="A579" s="15">
        <v>574</v>
      </c>
      <c r="B579" s="15" t="s">
        <v>2105</v>
      </c>
      <c r="C579" s="19">
        <v>45839</v>
      </c>
      <c r="D579" s="19" t="s">
        <v>56</v>
      </c>
      <c r="E579" s="21" t="s">
        <v>1635</v>
      </c>
      <c r="F579" s="21">
        <v>9472230553</v>
      </c>
      <c r="G579" s="15" t="s">
        <v>6</v>
      </c>
      <c r="H579" s="15" t="s">
        <v>2123</v>
      </c>
      <c r="I579" s="15" t="s">
        <v>2124</v>
      </c>
      <c r="J579" s="15" t="s">
        <v>172</v>
      </c>
      <c r="K579" s="16">
        <v>33770</v>
      </c>
      <c r="L579" s="16">
        <v>46620</v>
      </c>
      <c r="M579" s="17">
        <f>Table1[[#This Row],[Billing Rate Charges]]-Table1[[#This Row],[ LORRY RATE ]]</f>
        <v>12850</v>
      </c>
      <c r="N579" s="17">
        <v>33770</v>
      </c>
      <c r="O579" s="17">
        <f>Table1[[#This Row],[ LORRY RATE ]]-Table1[[#This Row],[Adance Paid (INR)]]</f>
        <v>0</v>
      </c>
      <c r="P579" s="17" t="s">
        <v>147</v>
      </c>
      <c r="Q579" s="18" t="s">
        <v>517</v>
      </c>
      <c r="R579" s="17"/>
      <c r="S579" s="18" t="s">
        <v>2109</v>
      </c>
      <c r="T579" s="18" t="s">
        <v>2109</v>
      </c>
      <c r="U579" s="15" t="s">
        <v>54</v>
      </c>
      <c r="V579" s="15" t="s">
        <v>56</v>
      </c>
      <c r="W579" s="15"/>
    </row>
    <row r="580" spans="1:23" hidden="1" x14ac:dyDescent="0.3">
      <c r="A580" s="15">
        <v>575</v>
      </c>
      <c r="B580" s="15" t="s">
        <v>2105</v>
      </c>
      <c r="C580" s="19">
        <v>45840</v>
      </c>
      <c r="D580" s="19" t="s">
        <v>51</v>
      </c>
      <c r="E580" s="21" t="s">
        <v>2101</v>
      </c>
      <c r="F580" s="21">
        <v>9224948161</v>
      </c>
      <c r="G580" s="15" t="s">
        <v>6</v>
      </c>
      <c r="H580" s="15" t="s">
        <v>1874</v>
      </c>
      <c r="I580" s="15" t="s">
        <v>2125</v>
      </c>
      <c r="J580" s="15" t="s">
        <v>168</v>
      </c>
      <c r="K580" s="16">
        <v>25690</v>
      </c>
      <c r="L580" s="16">
        <v>35600</v>
      </c>
      <c r="M580" s="17">
        <f>Table1[[#This Row],[Billing Rate Charges]]-Table1[[#This Row],[ LORRY RATE ]]</f>
        <v>9910</v>
      </c>
      <c r="N580" s="17">
        <v>25690</v>
      </c>
      <c r="O580" s="17">
        <f>Table1[[#This Row],[ LORRY RATE ]]-Table1[[#This Row],[Adance Paid (INR)]]</f>
        <v>0</v>
      </c>
      <c r="P580" s="17" t="s">
        <v>147</v>
      </c>
      <c r="Q580" s="18" t="s">
        <v>523</v>
      </c>
      <c r="R580" s="17"/>
      <c r="S580" s="18" t="s">
        <v>2110</v>
      </c>
      <c r="T580" s="18" t="s">
        <v>2110</v>
      </c>
      <c r="U580" s="15" t="s">
        <v>54</v>
      </c>
      <c r="V580" s="15" t="s">
        <v>439</v>
      </c>
      <c r="W580" s="15"/>
    </row>
    <row r="581" spans="1:23" hidden="1" x14ac:dyDescent="0.3">
      <c r="A581" s="15">
        <v>576</v>
      </c>
      <c r="B581" s="15" t="s">
        <v>2105</v>
      </c>
      <c r="C581" s="19">
        <v>45841</v>
      </c>
      <c r="D581" s="19" t="s">
        <v>51</v>
      </c>
      <c r="E581" s="21" t="s">
        <v>2102</v>
      </c>
      <c r="F581" s="21">
        <v>9042138450</v>
      </c>
      <c r="G581" s="15" t="s">
        <v>6</v>
      </c>
      <c r="H581" s="15" t="s">
        <v>1874</v>
      </c>
      <c r="I581" s="15" t="s">
        <v>2145</v>
      </c>
      <c r="J581" s="15" t="s">
        <v>168</v>
      </c>
      <c r="K581" s="16">
        <v>22460</v>
      </c>
      <c r="L581" s="16">
        <v>28350</v>
      </c>
      <c r="M581" s="17">
        <f>Table1[[#This Row],[Billing Rate Charges]]-Table1[[#This Row],[ LORRY RATE ]]</f>
        <v>5890</v>
      </c>
      <c r="N581" s="17">
        <v>22460</v>
      </c>
      <c r="O581" s="17">
        <f>Table1[[#This Row],[ LORRY RATE ]]-Table1[[#This Row],[Adance Paid (INR)]]</f>
        <v>0</v>
      </c>
      <c r="P581" s="17" t="s">
        <v>147</v>
      </c>
      <c r="Q581" s="18" t="s">
        <v>524</v>
      </c>
      <c r="R581" s="17"/>
      <c r="S581" s="18" t="s">
        <v>2111</v>
      </c>
      <c r="T581" s="18" t="s">
        <v>2111</v>
      </c>
      <c r="U581" s="15" t="s">
        <v>54</v>
      </c>
      <c r="V581" s="15" t="s">
        <v>529</v>
      </c>
      <c r="W581" s="15"/>
    </row>
    <row r="582" spans="1:23" hidden="1" x14ac:dyDescent="0.3">
      <c r="A582" s="15">
        <v>577</v>
      </c>
      <c r="B582" s="15" t="s">
        <v>2105</v>
      </c>
      <c r="C582" s="19">
        <v>45841</v>
      </c>
      <c r="D582" s="19" t="s">
        <v>56</v>
      </c>
      <c r="E582" s="15" t="s">
        <v>1644</v>
      </c>
      <c r="F582" s="15">
        <v>9220186371</v>
      </c>
      <c r="G582" s="15" t="s">
        <v>6</v>
      </c>
      <c r="H582" s="15" t="s">
        <v>2126</v>
      </c>
      <c r="I582" s="15" t="s">
        <v>2127</v>
      </c>
      <c r="J582" s="15" t="s">
        <v>172</v>
      </c>
      <c r="K582" s="16">
        <v>33770</v>
      </c>
      <c r="L582" s="16">
        <v>46620</v>
      </c>
      <c r="M582" s="17">
        <f>Table1[[#This Row],[Billing Rate Charges]]-Table1[[#This Row],[ LORRY RATE ]]</f>
        <v>12850</v>
      </c>
      <c r="N582" s="17">
        <v>33770</v>
      </c>
      <c r="O582" s="17">
        <f>Table1[[#This Row],[ LORRY RATE ]]-Table1[[#This Row],[Adance Paid (INR)]]</f>
        <v>0</v>
      </c>
      <c r="P582" s="17" t="s">
        <v>147</v>
      </c>
      <c r="Q582" s="18" t="s">
        <v>2154</v>
      </c>
      <c r="R582" s="17"/>
      <c r="S582" s="18" t="s">
        <v>2111</v>
      </c>
      <c r="T582" s="18" t="s">
        <v>2111</v>
      </c>
      <c r="U582" s="15" t="s">
        <v>54</v>
      </c>
      <c r="V582" s="15" t="s">
        <v>56</v>
      </c>
      <c r="W582" s="15"/>
    </row>
    <row r="583" spans="1:23" hidden="1" x14ac:dyDescent="0.3">
      <c r="A583" s="15">
        <v>578</v>
      </c>
      <c r="B583" s="15" t="s">
        <v>2105</v>
      </c>
      <c r="C583" s="19">
        <v>45842</v>
      </c>
      <c r="D583" s="19" t="s">
        <v>56</v>
      </c>
      <c r="E583" s="15" t="s">
        <v>38</v>
      </c>
      <c r="F583" s="21">
        <v>9515412075</v>
      </c>
      <c r="G583" s="15" t="s">
        <v>1093</v>
      </c>
      <c r="H583" s="15" t="s">
        <v>2148</v>
      </c>
      <c r="I583" s="15" t="s">
        <v>2149</v>
      </c>
      <c r="J583" s="15" t="s">
        <v>59</v>
      </c>
      <c r="K583" s="16">
        <v>40480</v>
      </c>
      <c r="L583" s="16">
        <v>91350</v>
      </c>
      <c r="M583" s="17">
        <f>Table1[[#This Row],[Billing Rate Charges]]-Table1[[#This Row],[ LORRY RATE ]]</f>
        <v>50870</v>
      </c>
      <c r="N583" s="17">
        <v>40480</v>
      </c>
      <c r="O583" s="17">
        <f>Table1[[#This Row],[ LORRY RATE ]]-Table1[[#This Row],[Adance Paid (INR)]]</f>
        <v>0</v>
      </c>
      <c r="P583" s="17" t="s">
        <v>147</v>
      </c>
      <c r="Q583" s="18" t="s">
        <v>2155</v>
      </c>
      <c r="R583" s="17"/>
      <c r="S583" s="18" t="s">
        <v>2111</v>
      </c>
      <c r="T583" s="18" t="s">
        <v>2111</v>
      </c>
      <c r="U583" s="15" t="s">
        <v>54</v>
      </c>
      <c r="V583" s="15" t="s">
        <v>56</v>
      </c>
      <c r="W583" s="15"/>
    </row>
    <row r="584" spans="1:23" hidden="1" x14ac:dyDescent="0.3">
      <c r="A584" s="15">
        <v>579</v>
      </c>
      <c r="B584" s="15" t="s">
        <v>2105</v>
      </c>
      <c r="C584" s="19">
        <v>45842</v>
      </c>
      <c r="D584" s="19" t="s">
        <v>51</v>
      </c>
      <c r="E584" s="21" t="s">
        <v>2108</v>
      </c>
      <c r="F584" s="21">
        <v>9947636074</v>
      </c>
      <c r="G584" s="15" t="s">
        <v>6</v>
      </c>
      <c r="H584" s="15" t="s">
        <v>2128</v>
      </c>
      <c r="I584" s="15" t="s">
        <v>2129</v>
      </c>
      <c r="J584" s="15" t="s">
        <v>172</v>
      </c>
      <c r="K584" s="16">
        <v>33230</v>
      </c>
      <c r="L584" s="16">
        <v>46620</v>
      </c>
      <c r="M584" s="17">
        <f>Table1[[#This Row],[Billing Rate Charges]]-Table1[[#This Row],[ LORRY RATE ]]</f>
        <v>13390</v>
      </c>
      <c r="N584" s="17">
        <v>33230</v>
      </c>
      <c r="O584" s="17">
        <f>Table1[[#This Row],[ LORRY RATE ]]-Table1[[#This Row],[Adance Paid (INR)]]</f>
        <v>0</v>
      </c>
      <c r="P584" s="17" t="s">
        <v>147</v>
      </c>
      <c r="Q584" s="18" t="s">
        <v>591</v>
      </c>
      <c r="R584" s="17"/>
      <c r="S584" s="18" t="s">
        <v>2113</v>
      </c>
      <c r="T584" s="18" t="s">
        <v>2113</v>
      </c>
      <c r="U584" s="15" t="s">
        <v>54</v>
      </c>
      <c r="V584" s="15" t="s">
        <v>439</v>
      </c>
      <c r="W584" s="15"/>
    </row>
    <row r="585" spans="1:23" hidden="1" x14ac:dyDescent="0.3">
      <c r="A585" s="15">
        <v>580</v>
      </c>
      <c r="B585" s="15" t="s">
        <v>2105</v>
      </c>
      <c r="C585" s="19">
        <v>45844</v>
      </c>
      <c r="D585" s="19" t="s">
        <v>56</v>
      </c>
      <c r="E585" s="21" t="s">
        <v>1635</v>
      </c>
      <c r="F585" s="21">
        <v>9472230553</v>
      </c>
      <c r="G585" s="15" t="s">
        <v>1093</v>
      </c>
      <c r="H585" s="15" t="s">
        <v>1874</v>
      </c>
      <c r="I585" s="15" t="s">
        <v>2153</v>
      </c>
      <c r="J585" s="15" t="s">
        <v>172</v>
      </c>
      <c r="K585" s="16">
        <v>41230</v>
      </c>
      <c r="L585" s="16">
        <v>96390</v>
      </c>
      <c r="M585" s="17">
        <f>Table1[[#This Row],[Billing Rate Charges]]-Table1[[#This Row],[ LORRY RATE ]]</f>
        <v>55160</v>
      </c>
      <c r="N585" s="17">
        <v>41230</v>
      </c>
      <c r="O585" s="17">
        <f>Table1[[#This Row],[ LORRY RATE ]]-Table1[[#This Row],[Adance Paid (INR)]]</f>
        <v>0</v>
      </c>
      <c r="P585" s="17" t="s">
        <v>147</v>
      </c>
      <c r="Q585" s="18" t="s">
        <v>593</v>
      </c>
      <c r="R585" s="17"/>
      <c r="S585" s="18" t="s">
        <v>2113</v>
      </c>
      <c r="T585" s="18" t="s">
        <v>2113</v>
      </c>
      <c r="U585" s="15" t="s">
        <v>54</v>
      </c>
      <c r="V585" s="15" t="s">
        <v>56</v>
      </c>
      <c r="W585" s="15"/>
    </row>
    <row r="586" spans="1:23" hidden="1" x14ac:dyDescent="0.3">
      <c r="A586" s="15">
        <v>581</v>
      </c>
      <c r="B586" s="15" t="s">
        <v>2105</v>
      </c>
      <c r="C586" s="19">
        <v>45844</v>
      </c>
      <c r="D586" s="19" t="s">
        <v>56</v>
      </c>
      <c r="E586" s="21" t="s">
        <v>38</v>
      </c>
      <c r="F586" s="21">
        <v>9515412075</v>
      </c>
      <c r="G586" s="15" t="s">
        <v>6</v>
      </c>
      <c r="H586" s="15" t="s">
        <v>2130</v>
      </c>
      <c r="I586" s="15" t="s">
        <v>2131</v>
      </c>
      <c r="J586" s="15" t="s">
        <v>59</v>
      </c>
      <c r="K586" s="16">
        <v>33770</v>
      </c>
      <c r="L586" s="16">
        <v>46620</v>
      </c>
      <c r="M586" s="17">
        <f>Table1[[#This Row],[Billing Rate Charges]]-Table1[[#This Row],[ LORRY RATE ]]</f>
        <v>12850</v>
      </c>
      <c r="N586" s="17">
        <v>33770</v>
      </c>
      <c r="O586" s="17">
        <f>Table1[[#This Row],[ LORRY RATE ]]-Table1[[#This Row],[Adance Paid (INR)]]</f>
        <v>0</v>
      </c>
      <c r="P586" s="17" t="s">
        <v>147</v>
      </c>
      <c r="Q586" s="18" t="s">
        <v>2156</v>
      </c>
      <c r="R586" s="17"/>
      <c r="S586" s="18" t="s">
        <v>2114</v>
      </c>
      <c r="T586" s="18" t="s">
        <v>2114</v>
      </c>
      <c r="U586" s="15" t="s">
        <v>54</v>
      </c>
      <c r="V586" s="15" t="s">
        <v>56</v>
      </c>
      <c r="W586" s="15"/>
    </row>
    <row r="587" spans="1:23" hidden="1" x14ac:dyDescent="0.3">
      <c r="A587" s="15">
        <v>582</v>
      </c>
      <c r="B587" s="15" t="s">
        <v>2105</v>
      </c>
      <c r="C587" s="19">
        <v>45845</v>
      </c>
      <c r="D587" s="19" t="s">
        <v>56</v>
      </c>
      <c r="E587" s="21" t="s">
        <v>60</v>
      </c>
      <c r="F587" s="21">
        <v>9220186371</v>
      </c>
      <c r="G587" s="15" t="s">
        <v>6</v>
      </c>
      <c r="H587" s="15" t="s">
        <v>1874</v>
      </c>
      <c r="I587" s="15" t="s">
        <v>2132</v>
      </c>
      <c r="J587" s="15" t="s">
        <v>172</v>
      </c>
      <c r="K587" s="16">
        <v>32820</v>
      </c>
      <c r="L587" s="16">
        <v>40320</v>
      </c>
      <c r="M587" s="17">
        <f>Table1[[#This Row],[Billing Rate Charges]]-Table1[[#This Row],[ LORRY RATE ]]</f>
        <v>7500</v>
      </c>
      <c r="N587" s="17">
        <v>32820</v>
      </c>
      <c r="O587" s="17">
        <f>Table1[[#This Row],[ LORRY RATE ]]-Table1[[#This Row],[Adance Paid (INR)]]</f>
        <v>0</v>
      </c>
      <c r="P587" s="17" t="s">
        <v>147</v>
      </c>
      <c r="Q587" s="18" t="s">
        <v>2157</v>
      </c>
      <c r="R587" s="17"/>
      <c r="S587" s="18" t="s">
        <v>2114</v>
      </c>
      <c r="T587" s="18" t="s">
        <v>2114</v>
      </c>
      <c r="U587" s="15" t="s">
        <v>54</v>
      </c>
      <c r="V587" s="15" t="s">
        <v>56</v>
      </c>
      <c r="W587" s="15"/>
    </row>
    <row r="588" spans="1:23" hidden="1" x14ac:dyDescent="0.3">
      <c r="A588" s="15">
        <v>583</v>
      </c>
      <c r="B588" s="15" t="s">
        <v>2105</v>
      </c>
      <c r="C588" s="19">
        <v>45845</v>
      </c>
      <c r="D588" s="19" t="s">
        <v>56</v>
      </c>
      <c r="E588" s="21" t="s">
        <v>1637</v>
      </c>
      <c r="F588" s="21">
        <v>9025368773</v>
      </c>
      <c r="G588" s="15" t="s">
        <v>6</v>
      </c>
      <c r="H588" s="15" t="s">
        <v>2133</v>
      </c>
      <c r="I588" s="15" t="s">
        <v>2134</v>
      </c>
      <c r="J588" s="15" t="s">
        <v>172</v>
      </c>
      <c r="K588" s="16">
        <v>33770</v>
      </c>
      <c r="L588" s="16">
        <v>46620</v>
      </c>
      <c r="M588" s="17">
        <f>Table1[[#This Row],[Billing Rate Charges]]-Table1[[#This Row],[ LORRY RATE ]]</f>
        <v>12850</v>
      </c>
      <c r="N588" s="17">
        <v>33770</v>
      </c>
      <c r="O588" s="17">
        <f>Table1[[#This Row],[ LORRY RATE ]]-Table1[[#This Row],[Adance Paid (INR)]]</f>
        <v>0</v>
      </c>
      <c r="P588" s="17" t="s">
        <v>147</v>
      </c>
      <c r="Q588" s="18" t="s">
        <v>594</v>
      </c>
      <c r="R588" s="17"/>
      <c r="S588" s="18" t="s">
        <v>2115</v>
      </c>
      <c r="T588" s="18" t="s">
        <v>2116</v>
      </c>
      <c r="U588" s="15" t="s">
        <v>54</v>
      </c>
      <c r="V588" s="15" t="s">
        <v>56</v>
      </c>
      <c r="W588" s="15"/>
    </row>
    <row r="589" spans="1:23" hidden="1" x14ac:dyDescent="0.3">
      <c r="A589" s="15">
        <v>584</v>
      </c>
      <c r="B589" s="15" t="s">
        <v>2105</v>
      </c>
      <c r="C589" s="19">
        <v>45846</v>
      </c>
      <c r="D589" s="19" t="s">
        <v>56</v>
      </c>
      <c r="E589" s="15" t="s">
        <v>1635</v>
      </c>
      <c r="F589" s="15">
        <v>9472230553</v>
      </c>
      <c r="G589" s="15" t="s">
        <v>6</v>
      </c>
      <c r="H589" s="15" t="s">
        <v>2135</v>
      </c>
      <c r="I589" s="15" t="s">
        <v>2136</v>
      </c>
      <c r="J589" s="15" t="s">
        <v>172</v>
      </c>
      <c r="K589" s="16">
        <v>33770</v>
      </c>
      <c r="L589" s="16">
        <v>46620</v>
      </c>
      <c r="M589" s="17">
        <f>Table1[[#This Row],[Billing Rate Charges]]-Table1[[#This Row],[ LORRY RATE ]]</f>
        <v>12850</v>
      </c>
      <c r="N589" s="17">
        <v>33770</v>
      </c>
      <c r="O589" s="17">
        <f>Table1[[#This Row],[ LORRY RATE ]]-Table1[[#This Row],[Adance Paid (INR)]]</f>
        <v>0</v>
      </c>
      <c r="P589" s="17" t="s">
        <v>147</v>
      </c>
      <c r="Q589" s="18" t="s">
        <v>598</v>
      </c>
      <c r="R589" s="17"/>
      <c r="S589" s="18" t="s">
        <v>2114</v>
      </c>
      <c r="T589" s="18" t="s">
        <v>2116</v>
      </c>
      <c r="U589" s="15" t="s">
        <v>54</v>
      </c>
      <c r="V589" s="15" t="s">
        <v>56</v>
      </c>
      <c r="W589" s="15"/>
    </row>
    <row r="590" spans="1:23" hidden="1" x14ac:dyDescent="0.3">
      <c r="A590" s="15">
        <v>585</v>
      </c>
      <c r="B590" s="15" t="s">
        <v>2105</v>
      </c>
      <c r="C590" s="19">
        <v>45846</v>
      </c>
      <c r="D590" s="19" t="s">
        <v>56</v>
      </c>
      <c r="E590" s="21" t="s">
        <v>1644</v>
      </c>
      <c r="F590" s="21">
        <v>9902798068</v>
      </c>
      <c r="G590" s="15" t="s">
        <v>1093</v>
      </c>
      <c r="H590" s="15" t="s">
        <v>2112</v>
      </c>
      <c r="I590" s="15" t="s">
        <v>2147</v>
      </c>
      <c r="J590" s="15" t="s">
        <v>172</v>
      </c>
      <c r="K590" s="16">
        <v>41230</v>
      </c>
      <c r="L590" s="16">
        <v>96390</v>
      </c>
      <c r="M590" s="17">
        <f>Table1[[#This Row],[Billing Rate Charges]]-Table1[[#This Row],[ LORRY RATE ]]</f>
        <v>55160</v>
      </c>
      <c r="N590" s="17">
        <v>41230</v>
      </c>
      <c r="O590" s="17">
        <f>Table1[[#This Row],[ LORRY RATE ]]-Table1[[#This Row],[Adance Paid (INR)]]</f>
        <v>0</v>
      </c>
      <c r="P590" s="17" t="s">
        <v>147</v>
      </c>
      <c r="Q590" s="18" t="s">
        <v>595</v>
      </c>
      <c r="R590" s="17"/>
      <c r="S590" s="18" t="s">
        <v>2115</v>
      </c>
      <c r="T590" s="18" t="s">
        <v>2115</v>
      </c>
      <c r="U590" s="15" t="s">
        <v>54</v>
      </c>
      <c r="V590" s="15" t="s">
        <v>56</v>
      </c>
      <c r="W590" s="15"/>
    </row>
    <row r="591" spans="1:23" hidden="1" x14ac:dyDescent="0.3">
      <c r="A591" s="15">
        <v>586</v>
      </c>
      <c r="B591" s="15" t="s">
        <v>2105</v>
      </c>
      <c r="C591" s="19">
        <v>45848</v>
      </c>
      <c r="D591" s="19" t="s">
        <v>56</v>
      </c>
      <c r="E591" s="21" t="s">
        <v>1641</v>
      </c>
      <c r="F591" s="21">
        <v>9281983602</v>
      </c>
      <c r="G591" s="15" t="s">
        <v>6</v>
      </c>
      <c r="H591" s="15" t="s">
        <v>2137</v>
      </c>
      <c r="I591" s="15" t="s">
        <v>2138</v>
      </c>
      <c r="J591" s="15" t="s">
        <v>172</v>
      </c>
      <c r="K591" s="16">
        <v>33770</v>
      </c>
      <c r="L591" s="16">
        <v>46620</v>
      </c>
      <c r="M591" s="17">
        <f>Table1[[#This Row],[Billing Rate Charges]]-Table1[[#This Row],[ LORRY RATE ]]</f>
        <v>12850</v>
      </c>
      <c r="N591" s="17">
        <v>33770</v>
      </c>
      <c r="O591" s="17">
        <f>Table1[[#This Row],[ LORRY RATE ]]-Table1[[#This Row],[Adance Paid (INR)]]</f>
        <v>0</v>
      </c>
      <c r="P591" s="17" t="s">
        <v>147</v>
      </c>
      <c r="Q591" s="18" t="s">
        <v>596</v>
      </c>
      <c r="R591" s="17"/>
      <c r="S591" s="18" t="s">
        <v>2117</v>
      </c>
      <c r="T591" s="18" t="s">
        <v>2118</v>
      </c>
      <c r="U591" s="15" t="s">
        <v>54</v>
      </c>
      <c r="V591" s="15" t="s">
        <v>56</v>
      </c>
      <c r="W591" s="15"/>
    </row>
    <row r="592" spans="1:23" hidden="1" x14ac:dyDescent="0.3">
      <c r="A592" s="15">
        <v>587</v>
      </c>
      <c r="B592" s="15" t="s">
        <v>2105</v>
      </c>
      <c r="C592" s="19">
        <v>45849</v>
      </c>
      <c r="D592" s="19" t="s">
        <v>56</v>
      </c>
      <c r="E592" s="21" t="s">
        <v>1644</v>
      </c>
      <c r="F592" s="21">
        <v>9220186371</v>
      </c>
      <c r="G592" s="15" t="s">
        <v>6</v>
      </c>
      <c r="H592" s="15" t="s">
        <v>2139</v>
      </c>
      <c r="I592" s="15" t="s">
        <v>2140</v>
      </c>
      <c r="J592" s="15" t="s">
        <v>172</v>
      </c>
      <c r="K592" s="16">
        <v>33770</v>
      </c>
      <c r="L592" s="16">
        <v>46620</v>
      </c>
      <c r="M592" s="17">
        <f>Table1[[#This Row],[Billing Rate Charges]]-Table1[[#This Row],[ LORRY RATE ]]</f>
        <v>12850</v>
      </c>
      <c r="N592" s="17">
        <v>33770</v>
      </c>
      <c r="O592" s="17">
        <f>Table1[[#This Row],[ LORRY RATE ]]-Table1[[#This Row],[Adance Paid (INR)]]</f>
        <v>0</v>
      </c>
      <c r="P592" s="17" t="s">
        <v>147</v>
      </c>
      <c r="Q592" s="18" t="s">
        <v>597</v>
      </c>
      <c r="R592" s="17"/>
      <c r="S592" s="18" t="s">
        <v>2118</v>
      </c>
      <c r="T592" s="18" t="s">
        <v>2118</v>
      </c>
      <c r="U592" s="15" t="s">
        <v>54</v>
      </c>
      <c r="V592" s="15" t="s">
        <v>56</v>
      </c>
      <c r="W592" s="15"/>
    </row>
    <row r="593" spans="1:23" hidden="1" x14ac:dyDescent="0.3">
      <c r="A593" s="15">
        <v>588</v>
      </c>
      <c r="B593" s="15" t="s">
        <v>2105</v>
      </c>
      <c r="C593" s="19">
        <v>45849</v>
      </c>
      <c r="D593" s="19" t="s">
        <v>56</v>
      </c>
      <c r="E593" s="21" t="s">
        <v>38</v>
      </c>
      <c r="F593" s="21">
        <v>9515412075</v>
      </c>
      <c r="G593" s="15" t="s">
        <v>105</v>
      </c>
      <c r="H593" s="15" t="s">
        <v>2150</v>
      </c>
      <c r="I593" s="15" t="s">
        <v>2151</v>
      </c>
      <c r="J593" s="15" t="s">
        <v>59</v>
      </c>
      <c r="K593" s="16">
        <v>40480</v>
      </c>
      <c r="L593" s="16">
        <v>91350</v>
      </c>
      <c r="M593" s="17">
        <f>Table1[[#This Row],[Billing Rate Charges]]-Table1[[#This Row],[ LORRY RATE ]]</f>
        <v>50870</v>
      </c>
      <c r="N593" s="17">
        <v>40480</v>
      </c>
      <c r="O593" s="17">
        <f>Table1[[#This Row],[ LORRY RATE ]]-Table1[[#This Row],[Adance Paid (INR)]]</f>
        <v>0</v>
      </c>
      <c r="P593" s="17" t="s">
        <v>147</v>
      </c>
      <c r="Q593" s="18" t="s">
        <v>599</v>
      </c>
      <c r="R593" s="17"/>
      <c r="S593" s="18" t="s">
        <v>2117</v>
      </c>
      <c r="T593" s="18" t="s">
        <v>2117</v>
      </c>
      <c r="U593" s="15" t="s">
        <v>54</v>
      </c>
      <c r="V593" s="15" t="s">
        <v>56</v>
      </c>
      <c r="W593" s="15"/>
    </row>
    <row r="594" spans="1:23" hidden="1" x14ac:dyDescent="0.3">
      <c r="A594" s="15">
        <v>589</v>
      </c>
      <c r="B594" s="15" t="s">
        <v>2105</v>
      </c>
      <c r="C594" s="19">
        <v>45850</v>
      </c>
      <c r="D594" s="19" t="s">
        <v>56</v>
      </c>
      <c r="E594" s="21" t="s">
        <v>60</v>
      </c>
      <c r="F594" s="21">
        <v>9220186371</v>
      </c>
      <c r="G594" s="15" t="s">
        <v>1093</v>
      </c>
      <c r="H594" s="15" t="s">
        <v>2159</v>
      </c>
      <c r="I594" s="15" t="s">
        <v>2160</v>
      </c>
      <c r="J594" s="15" t="s">
        <v>172</v>
      </c>
      <c r="K594" s="16">
        <v>42180</v>
      </c>
      <c r="L594" s="16">
        <v>102690</v>
      </c>
      <c r="M594" s="17">
        <f>Table1[[#This Row],[Billing Rate Charges]]-Table1[[#This Row],[ LORRY RATE ]]</f>
        <v>60510</v>
      </c>
      <c r="N594" s="17">
        <v>42180</v>
      </c>
      <c r="O594" s="17">
        <f>Table1[[#This Row],[ LORRY RATE ]]-Table1[[#This Row],[Adance Paid (INR)]]</f>
        <v>0</v>
      </c>
      <c r="P594" s="17" t="s">
        <v>147</v>
      </c>
      <c r="Q594" s="18" t="s">
        <v>592</v>
      </c>
      <c r="R594" s="17"/>
      <c r="S594" s="18" t="s">
        <v>2118</v>
      </c>
      <c r="T594" s="18" t="s">
        <v>2118</v>
      </c>
      <c r="U594" s="15" t="s">
        <v>54</v>
      </c>
      <c r="V594" s="15" t="s">
        <v>56</v>
      </c>
      <c r="W594" s="15"/>
    </row>
    <row r="595" spans="1:23" hidden="1" x14ac:dyDescent="0.3">
      <c r="A595" s="15">
        <v>590</v>
      </c>
      <c r="B595" s="15" t="s">
        <v>2105</v>
      </c>
      <c r="C595" s="19">
        <v>45850</v>
      </c>
      <c r="D595" s="19" t="s">
        <v>51</v>
      </c>
      <c r="E595" s="21" t="s">
        <v>1108</v>
      </c>
      <c r="F595" s="21">
        <v>9299677001</v>
      </c>
      <c r="G595" s="15" t="s">
        <v>6</v>
      </c>
      <c r="H595" s="15" t="s">
        <v>2141</v>
      </c>
      <c r="I595" s="15" t="s">
        <v>2142</v>
      </c>
      <c r="J595" s="15" t="s">
        <v>172</v>
      </c>
      <c r="K595" s="16">
        <v>33230</v>
      </c>
      <c r="L595" s="16">
        <v>46620</v>
      </c>
      <c r="M595" s="17">
        <f>Table1[[#This Row],[Billing Rate Charges]]-Table1[[#This Row],[ LORRY RATE ]]</f>
        <v>13390</v>
      </c>
      <c r="N595" s="17">
        <v>33230</v>
      </c>
      <c r="O595" s="17">
        <f>Table1[[#This Row],[ LORRY RATE ]]-Table1[[#This Row],[Adance Paid (INR)]]</f>
        <v>0</v>
      </c>
      <c r="P595" s="17" t="s">
        <v>147</v>
      </c>
      <c r="Q595" s="18" t="s">
        <v>600</v>
      </c>
      <c r="R595" s="17"/>
      <c r="S595" s="18" t="s">
        <v>2161</v>
      </c>
      <c r="T595" s="18" t="s">
        <v>2161</v>
      </c>
      <c r="U595" s="15" t="s">
        <v>54</v>
      </c>
      <c r="V595" s="15" t="s">
        <v>529</v>
      </c>
      <c r="W595" s="15"/>
    </row>
    <row r="596" spans="1:23" hidden="1" x14ac:dyDescent="0.3">
      <c r="A596" s="15">
        <v>591</v>
      </c>
      <c r="B596" s="15" t="s">
        <v>2105</v>
      </c>
      <c r="C596" s="19">
        <v>45851</v>
      </c>
      <c r="D596" s="19" t="s">
        <v>56</v>
      </c>
      <c r="E596" s="21" t="s">
        <v>1637</v>
      </c>
      <c r="F596" s="21">
        <v>9025368773</v>
      </c>
      <c r="G596" s="15" t="s">
        <v>1093</v>
      </c>
      <c r="H596" s="15" t="s">
        <v>1874</v>
      </c>
      <c r="I596" s="15" t="s">
        <v>2158</v>
      </c>
      <c r="J596" s="15" t="s">
        <v>172</v>
      </c>
      <c r="K596" s="16">
        <v>41230</v>
      </c>
      <c r="L596" s="16">
        <v>96390</v>
      </c>
      <c r="M596" s="17">
        <f>Table1[[#This Row],[Billing Rate Charges]]-Table1[[#This Row],[ LORRY RATE ]]</f>
        <v>55160</v>
      </c>
      <c r="N596" s="17">
        <v>41230</v>
      </c>
      <c r="O596" s="17">
        <f>Table1[[#This Row],[ LORRY RATE ]]-Table1[[#This Row],[Adance Paid (INR)]]</f>
        <v>0</v>
      </c>
      <c r="P596" s="17" t="s">
        <v>147</v>
      </c>
      <c r="Q596" s="18" t="s">
        <v>601</v>
      </c>
      <c r="R596" s="17"/>
      <c r="S596" s="18" t="s">
        <v>2119</v>
      </c>
      <c r="T596" s="18" t="s">
        <v>2119</v>
      </c>
      <c r="U596" s="15" t="s">
        <v>54</v>
      </c>
      <c r="V596" s="15" t="s">
        <v>56</v>
      </c>
      <c r="W596" s="15"/>
    </row>
    <row r="597" spans="1:23" hidden="1" x14ac:dyDescent="0.3">
      <c r="A597" s="15">
        <v>592</v>
      </c>
      <c r="B597" s="15" t="s">
        <v>2105</v>
      </c>
      <c r="C597" s="19">
        <v>45852</v>
      </c>
      <c r="D597" s="19" t="s">
        <v>56</v>
      </c>
      <c r="E597" s="21" t="s">
        <v>38</v>
      </c>
      <c r="F597" s="21">
        <v>9515412075</v>
      </c>
      <c r="G597" s="15" t="s">
        <v>6</v>
      </c>
      <c r="H597" s="15" t="s">
        <v>2143</v>
      </c>
      <c r="I597" s="15" t="s">
        <v>2144</v>
      </c>
      <c r="J597" s="15" t="s">
        <v>59</v>
      </c>
      <c r="K597" s="16">
        <v>33530</v>
      </c>
      <c r="L597" s="16">
        <v>45040</v>
      </c>
      <c r="M597" s="17">
        <f>Table1[[#This Row],[Billing Rate Charges]]-Table1[[#This Row],[ LORRY RATE ]]</f>
        <v>11510</v>
      </c>
      <c r="N597" s="17">
        <v>33530</v>
      </c>
      <c r="O597" s="17">
        <f>Table1[[#This Row],[ LORRY RATE ]]-Table1[[#This Row],[Adance Paid (INR)]]</f>
        <v>0</v>
      </c>
      <c r="P597" s="17" t="s">
        <v>147</v>
      </c>
      <c r="Q597" s="18" t="s">
        <v>602</v>
      </c>
      <c r="R597" s="17"/>
      <c r="S597" s="18" t="s">
        <v>2162</v>
      </c>
      <c r="T597" s="18" t="s">
        <v>2163</v>
      </c>
      <c r="U597" s="15" t="s">
        <v>54</v>
      </c>
      <c r="V597" s="15" t="s">
        <v>56</v>
      </c>
      <c r="W597" s="15"/>
    </row>
    <row r="598" spans="1:23" hidden="1" x14ac:dyDescent="0.3">
      <c r="A598" s="15">
        <v>593</v>
      </c>
      <c r="B598" s="15" t="s">
        <v>2105</v>
      </c>
      <c r="C598" s="19">
        <v>45853</v>
      </c>
      <c r="D598" s="19" t="s">
        <v>56</v>
      </c>
      <c r="E598" s="21" t="s">
        <v>60</v>
      </c>
      <c r="F598" s="21">
        <v>9220186371</v>
      </c>
      <c r="G598" s="15" t="s">
        <v>6</v>
      </c>
      <c r="H598" s="15" t="s">
        <v>2180</v>
      </c>
      <c r="I598" s="15" t="s">
        <v>2181</v>
      </c>
      <c r="J598" s="15" t="s">
        <v>172</v>
      </c>
      <c r="K598" s="16">
        <v>33770</v>
      </c>
      <c r="L598" s="16">
        <v>46620</v>
      </c>
      <c r="M598" s="17">
        <f>Table1[[#This Row],[Billing Rate Charges]]-Table1[[#This Row],[ LORRY RATE ]]</f>
        <v>12850</v>
      </c>
      <c r="N598" s="17">
        <v>33770</v>
      </c>
      <c r="O598" s="17">
        <f>Table1[[#This Row],[ LORRY RATE ]]-Table1[[#This Row],[Adance Paid (INR)]]</f>
        <v>0</v>
      </c>
      <c r="P598" s="17" t="s">
        <v>147</v>
      </c>
      <c r="Q598" s="18" t="s">
        <v>2194</v>
      </c>
      <c r="R598" s="17"/>
      <c r="S598" s="18" t="s">
        <v>2163</v>
      </c>
      <c r="T598" s="18" t="s">
        <v>2163</v>
      </c>
      <c r="U598" s="15" t="s">
        <v>54</v>
      </c>
      <c r="V598" s="15" t="s">
        <v>56</v>
      </c>
      <c r="W598" s="15"/>
    </row>
    <row r="599" spans="1:23" hidden="1" x14ac:dyDescent="0.3">
      <c r="A599" s="15">
        <v>594</v>
      </c>
      <c r="B599" s="15" t="s">
        <v>2105</v>
      </c>
      <c r="C599" s="19">
        <v>45854</v>
      </c>
      <c r="D599" s="19" t="s">
        <v>56</v>
      </c>
      <c r="E599" s="21" t="s">
        <v>1637</v>
      </c>
      <c r="F599" s="21">
        <v>9025368773</v>
      </c>
      <c r="G599" s="15" t="s">
        <v>6</v>
      </c>
      <c r="H599" s="15" t="s">
        <v>1874</v>
      </c>
      <c r="I599" s="15" t="s">
        <v>2182</v>
      </c>
      <c r="J599" s="15" t="s">
        <v>172</v>
      </c>
      <c r="K599" s="16">
        <v>32820</v>
      </c>
      <c r="L599" s="16">
        <v>40320</v>
      </c>
      <c r="M599" s="17">
        <f>Table1[[#This Row],[Billing Rate Charges]]-Table1[[#This Row],[ LORRY RATE ]]</f>
        <v>7500</v>
      </c>
      <c r="N599" s="17">
        <v>32820</v>
      </c>
      <c r="O599" s="17">
        <f>Table1[[#This Row],[ LORRY RATE ]]-Table1[[#This Row],[Adance Paid (INR)]]</f>
        <v>0</v>
      </c>
      <c r="P599" s="17" t="s">
        <v>147</v>
      </c>
      <c r="Q599" s="18" t="s">
        <v>665</v>
      </c>
      <c r="R599" s="17"/>
      <c r="S599" s="18" t="s">
        <v>2163</v>
      </c>
      <c r="T599" s="18" t="s">
        <v>2163</v>
      </c>
      <c r="U599" s="15" t="s">
        <v>54</v>
      </c>
      <c r="V599" s="15" t="s">
        <v>56</v>
      </c>
      <c r="W599" s="15"/>
    </row>
    <row r="600" spans="1:23" hidden="1" x14ac:dyDescent="0.3">
      <c r="A600" s="15">
        <v>595</v>
      </c>
      <c r="B600" s="15" t="s">
        <v>2105</v>
      </c>
      <c r="C600" s="19">
        <v>45854</v>
      </c>
      <c r="D600" s="19" t="s">
        <v>56</v>
      </c>
      <c r="E600" s="21" t="s">
        <v>1635</v>
      </c>
      <c r="F600" s="21">
        <v>9472230553</v>
      </c>
      <c r="G600" s="15" t="s">
        <v>6</v>
      </c>
      <c r="H600" s="15" t="s">
        <v>2183</v>
      </c>
      <c r="I600" s="15" t="s">
        <v>2184</v>
      </c>
      <c r="J600" s="15" t="s">
        <v>172</v>
      </c>
      <c r="K600" s="16">
        <v>33770</v>
      </c>
      <c r="L600" s="16">
        <v>46620</v>
      </c>
      <c r="M600" s="17">
        <f>Table1[[#This Row],[Billing Rate Charges]]-Table1[[#This Row],[ LORRY RATE ]]</f>
        <v>12850</v>
      </c>
      <c r="N600" s="17">
        <v>33770</v>
      </c>
      <c r="O600" s="17">
        <f>Table1[[#This Row],[ LORRY RATE ]]-Table1[[#This Row],[Adance Paid (INR)]]</f>
        <v>0</v>
      </c>
      <c r="P600" s="17" t="s">
        <v>147</v>
      </c>
      <c r="Q600" s="18" t="s">
        <v>667</v>
      </c>
      <c r="R600" s="17"/>
      <c r="S600" s="18" t="s">
        <v>2163</v>
      </c>
      <c r="T600" s="18" t="s">
        <v>2163</v>
      </c>
      <c r="U600" s="15" t="s">
        <v>54</v>
      </c>
      <c r="V600" s="15" t="s">
        <v>56</v>
      </c>
      <c r="W600" s="15"/>
    </row>
    <row r="601" spans="1:23" hidden="1" x14ac:dyDescent="0.3">
      <c r="A601" s="15">
        <v>596</v>
      </c>
      <c r="B601" s="15" t="s">
        <v>2105</v>
      </c>
      <c r="C601" s="19">
        <v>45854</v>
      </c>
      <c r="D601" s="19" t="s">
        <v>56</v>
      </c>
      <c r="E601" s="21" t="s">
        <v>1644</v>
      </c>
      <c r="F601" s="21">
        <v>9902798068</v>
      </c>
      <c r="G601" s="15" t="s">
        <v>1093</v>
      </c>
      <c r="H601" s="15" t="s">
        <v>2170</v>
      </c>
      <c r="I601" s="15" t="s">
        <v>2169</v>
      </c>
      <c r="J601" s="15" t="s">
        <v>172</v>
      </c>
      <c r="K601" s="16">
        <v>42180</v>
      </c>
      <c r="L601" s="16">
        <v>102690</v>
      </c>
      <c r="M601" s="17">
        <f>Table1[[#This Row],[Billing Rate Charges]]-Table1[[#This Row],[ LORRY RATE ]]</f>
        <v>60510</v>
      </c>
      <c r="N601" s="17">
        <v>42180</v>
      </c>
      <c r="O601" s="17">
        <f>Table1[[#This Row],[ LORRY RATE ]]-Table1[[#This Row],[Adance Paid (INR)]]</f>
        <v>0</v>
      </c>
      <c r="P601" s="17" t="s">
        <v>147</v>
      </c>
      <c r="Q601" s="18" t="s">
        <v>669</v>
      </c>
      <c r="R601" s="17"/>
      <c r="S601" s="18" t="s">
        <v>2163</v>
      </c>
      <c r="T601" s="18" t="s">
        <v>2163</v>
      </c>
      <c r="U601" s="15" t="s">
        <v>54</v>
      </c>
      <c r="V601" s="15" t="s">
        <v>56</v>
      </c>
      <c r="W601" s="15"/>
    </row>
    <row r="602" spans="1:23" hidden="1" x14ac:dyDescent="0.3">
      <c r="A602" s="15">
        <v>597</v>
      </c>
      <c r="B602" s="15" t="s">
        <v>2105</v>
      </c>
      <c r="C602" s="19">
        <v>45855</v>
      </c>
      <c r="D602" s="19" t="s">
        <v>56</v>
      </c>
      <c r="E602" s="21" t="s">
        <v>1641</v>
      </c>
      <c r="F602" s="21">
        <v>9281983602</v>
      </c>
      <c r="G602" s="15" t="s">
        <v>1093</v>
      </c>
      <c r="H602" s="15" t="s">
        <v>2174</v>
      </c>
      <c r="I602" s="15" t="s">
        <v>2173</v>
      </c>
      <c r="J602" s="15" t="s">
        <v>172</v>
      </c>
      <c r="K602" s="16">
        <v>42180</v>
      </c>
      <c r="L602" s="16">
        <v>102690</v>
      </c>
      <c r="M602" s="17">
        <f>Table1[[#This Row],[Billing Rate Charges]]-Table1[[#This Row],[ LORRY RATE ]]</f>
        <v>60510</v>
      </c>
      <c r="N602" s="17">
        <v>42180</v>
      </c>
      <c r="O602" s="17">
        <f>Table1[[#This Row],[ LORRY RATE ]]-Table1[[#This Row],[Adance Paid (INR)]]</f>
        <v>0</v>
      </c>
      <c r="P602" s="17" t="s">
        <v>147</v>
      </c>
      <c r="Q602" s="18" t="s">
        <v>670</v>
      </c>
      <c r="R602" s="17"/>
      <c r="S602" s="18" t="s">
        <v>2164</v>
      </c>
      <c r="T602" s="18" t="s">
        <v>2164</v>
      </c>
      <c r="U602" s="15" t="s">
        <v>54</v>
      </c>
      <c r="V602" s="15" t="s">
        <v>56</v>
      </c>
      <c r="W602" s="15"/>
    </row>
    <row r="603" spans="1:23" hidden="1" x14ac:dyDescent="0.3">
      <c r="A603" s="15">
        <v>598</v>
      </c>
      <c r="B603" s="15" t="s">
        <v>2105</v>
      </c>
      <c r="C603" s="19">
        <v>45856</v>
      </c>
      <c r="D603" s="19" t="s">
        <v>56</v>
      </c>
      <c r="E603" s="21" t="s">
        <v>1644</v>
      </c>
      <c r="F603" s="21">
        <v>9220186371</v>
      </c>
      <c r="G603" s="15" t="s">
        <v>6</v>
      </c>
      <c r="H603" s="15" t="s">
        <v>2185</v>
      </c>
      <c r="I603" s="15" t="s">
        <v>2186</v>
      </c>
      <c r="J603" s="15" t="s">
        <v>172</v>
      </c>
      <c r="K603" s="16">
        <v>33770</v>
      </c>
      <c r="L603" s="16">
        <v>46620</v>
      </c>
      <c r="M603" s="17">
        <f>Table1[[#This Row],[Billing Rate Charges]]-Table1[[#This Row],[ LORRY RATE ]]</f>
        <v>12850</v>
      </c>
      <c r="N603" s="17">
        <v>33770</v>
      </c>
      <c r="O603" s="17">
        <f>Table1[[#This Row],[ LORRY RATE ]]-Table1[[#This Row],[Adance Paid (INR)]]</f>
        <v>0</v>
      </c>
      <c r="P603" s="17" t="s">
        <v>147</v>
      </c>
      <c r="Q603" s="18" t="s">
        <v>674</v>
      </c>
      <c r="R603" s="17"/>
      <c r="S603" s="18" t="s">
        <v>2166</v>
      </c>
      <c r="T603" s="18" t="s">
        <v>2166</v>
      </c>
      <c r="U603" s="15" t="s">
        <v>54</v>
      </c>
      <c r="V603" s="15" t="s">
        <v>56</v>
      </c>
      <c r="W603" s="15"/>
    </row>
    <row r="604" spans="1:23" hidden="1" x14ac:dyDescent="0.3">
      <c r="A604" s="15">
        <v>599</v>
      </c>
      <c r="B604" s="15" t="s">
        <v>2105</v>
      </c>
      <c r="C604" s="19">
        <v>45857</v>
      </c>
      <c r="D604" s="19" t="s">
        <v>56</v>
      </c>
      <c r="E604" s="21" t="s">
        <v>1637</v>
      </c>
      <c r="F604" s="21">
        <v>9025368773</v>
      </c>
      <c r="G604" s="15" t="s">
        <v>105</v>
      </c>
      <c r="H604" s="15" t="s">
        <v>1874</v>
      </c>
      <c r="I604" s="15" t="s">
        <v>2177</v>
      </c>
      <c r="J604" s="15" t="s">
        <v>172</v>
      </c>
      <c r="K604" s="16">
        <v>41230</v>
      </c>
      <c r="L604" s="16">
        <v>96390</v>
      </c>
      <c r="M604" s="17">
        <f>Table1[[#This Row],[Billing Rate Charges]]-Table1[[#This Row],[ LORRY RATE ]]</f>
        <v>55160</v>
      </c>
      <c r="N604" s="17">
        <v>41230</v>
      </c>
      <c r="O604" s="17">
        <f>Table1[[#This Row],[ LORRY RATE ]]-Table1[[#This Row],[Adance Paid (INR)]]</f>
        <v>0</v>
      </c>
      <c r="P604" s="17" t="s">
        <v>147</v>
      </c>
      <c r="Q604" s="18" t="s">
        <v>676</v>
      </c>
      <c r="R604" s="17"/>
      <c r="S604" s="18" t="s">
        <v>2165</v>
      </c>
      <c r="T604" s="18" t="s">
        <v>2166</v>
      </c>
      <c r="U604" s="15" t="s">
        <v>54</v>
      </c>
      <c r="V604" s="15" t="s">
        <v>56</v>
      </c>
      <c r="W604" s="15"/>
    </row>
    <row r="605" spans="1:23" hidden="1" x14ac:dyDescent="0.3">
      <c r="A605" s="15">
        <v>600</v>
      </c>
      <c r="B605" s="15" t="s">
        <v>2105</v>
      </c>
      <c r="C605" s="19">
        <v>45857</v>
      </c>
      <c r="D605" s="19" t="s">
        <v>56</v>
      </c>
      <c r="E605" s="21" t="s">
        <v>38</v>
      </c>
      <c r="F605" s="21">
        <v>9515412075</v>
      </c>
      <c r="G605" s="15" t="s">
        <v>1093</v>
      </c>
      <c r="H605" s="15" t="s">
        <v>1874</v>
      </c>
      <c r="I605" s="15" t="s">
        <v>2178</v>
      </c>
      <c r="J605" s="15" t="s">
        <v>59</v>
      </c>
      <c r="K605" s="16">
        <v>40480</v>
      </c>
      <c r="L605" s="16">
        <v>91350</v>
      </c>
      <c r="M605" s="17">
        <f>Table1[[#This Row],[Billing Rate Charges]]-Table1[[#This Row],[ LORRY RATE ]]</f>
        <v>50870</v>
      </c>
      <c r="N605" s="17">
        <v>40480</v>
      </c>
      <c r="O605" s="17">
        <f>Table1[[#This Row],[ LORRY RATE ]]-Table1[[#This Row],[Adance Paid (INR)]]</f>
        <v>0</v>
      </c>
      <c r="P605" s="17" t="s">
        <v>147</v>
      </c>
      <c r="Q605" s="18" t="s">
        <v>678</v>
      </c>
      <c r="R605" s="17"/>
      <c r="S605" s="18" t="s">
        <v>2167</v>
      </c>
      <c r="T605" s="18" t="s">
        <v>2167</v>
      </c>
      <c r="U605" s="15" t="s">
        <v>54</v>
      </c>
      <c r="V605" s="15" t="s">
        <v>56</v>
      </c>
      <c r="W605" s="15"/>
    </row>
    <row r="606" spans="1:23" hidden="1" x14ac:dyDescent="0.3">
      <c r="A606" s="15">
        <v>601</v>
      </c>
      <c r="B606" s="15" t="s">
        <v>2105</v>
      </c>
      <c r="C606" s="19">
        <v>45859</v>
      </c>
      <c r="D606" s="19" t="s">
        <v>56</v>
      </c>
      <c r="E606" s="21" t="s">
        <v>1641</v>
      </c>
      <c r="F606" s="21">
        <v>9281983602</v>
      </c>
      <c r="G606" s="15" t="s">
        <v>6</v>
      </c>
      <c r="H606" s="15" t="s">
        <v>1874</v>
      </c>
      <c r="I606" s="15" t="s">
        <v>2187</v>
      </c>
      <c r="J606" s="15" t="s">
        <v>172</v>
      </c>
      <c r="K606" s="16">
        <v>32820</v>
      </c>
      <c r="L606" s="16">
        <v>40320</v>
      </c>
      <c r="M606" s="17">
        <f>Table1[[#This Row],[Billing Rate Charges]]-Table1[[#This Row],[ LORRY RATE ]]</f>
        <v>7500</v>
      </c>
      <c r="N606" s="17">
        <v>32820</v>
      </c>
      <c r="O606" s="17">
        <f>Table1[[#This Row],[ LORRY RATE ]]-Table1[[#This Row],[Adance Paid (INR)]]</f>
        <v>0</v>
      </c>
      <c r="P606" s="17" t="s">
        <v>147</v>
      </c>
      <c r="Q606" s="18" t="s">
        <v>679</v>
      </c>
      <c r="R606" s="17"/>
      <c r="S606" s="18" t="s">
        <v>2195</v>
      </c>
      <c r="T606" s="18" t="s">
        <v>2195</v>
      </c>
      <c r="U606" s="15" t="s">
        <v>54</v>
      </c>
      <c r="V606" s="15" t="s">
        <v>56</v>
      </c>
      <c r="W606" s="15"/>
    </row>
    <row r="607" spans="1:23" hidden="1" x14ac:dyDescent="0.3">
      <c r="A607" s="15">
        <v>602</v>
      </c>
      <c r="B607" s="15" t="s">
        <v>2105</v>
      </c>
      <c r="C607" s="19">
        <v>45859</v>
      </c>
      <c r="D607" s="19" t="s">
        <v>56</v>
      </c>
      <c r="E607" s="21" t="s">
        <v>1637</v>
      </c>
      <c r="F607" s="21">
        <v>9025368773</v>
      </c>
      <c r="G607" s="15" t="s">
        <v>6</v>
      </c>
      <c r="H607" s="15" t="s">
        <v>2188</v>
      </c>
      <c r="I607" s="15" t="s">
        <v>2189</v>
      </c>
      <c r="J607" s="15" t="s">
        <v>172</v>
      </c>
      <c r="K607" s="16">
        <v>33770</v>
      </c>
      <c r="L607" s="16">
        <v>46620</v>
      </c>
      <c r="M607" s="17">
        <f>Table1[[#This Row],[Billing Rate Charges]]-Table1[[#This Row],[ LORRY RATE ]]</f>
        <v>12850</v>
      </c>
      <c r="N607" s="17">
        <v>33770</v>
      </c>
      <c r="O607" s="17">
        <f>Table1[[#This Row],[ LORRY RATE ]]-Table1[[#This Row],[Adance Paid (INR)]]</f>
        <v>0</v>
      </c>
      <c r="P607" s="17" t="s">
        <v>147</v>
      </c>
      <c r="Q607" s="18" t="s">
        <v>680</v>
      </c>
      <c r="R607" s="17"/>
      <c r="S607" s="18" t="s">
        <v>2196</v>
      </c>
      <c r="T607" s="18" t="s">
        <v>2196</v>
      </c>
      <c r="U607" s="15" t="s">
        <v>54</v>
      </c>
      <c r="V607" s="15" t="s">
        <v>56</v>
      </c>
      <c r="W607" s="15"/>
    </row>
    <row r="608" spans="1:23" hidden="1" x14ac:dyDescent="0.3">
      <c r="A608" s="15">
        <v>603</v>
      </c>
      <c r="B608" s="15" t="s">
        <v>2105</v>
      </c>
      <c r="C608" s="19">
        <v>45860</v>
      </c>
      <c r="D608" s="19" t="s">
        <v>51</v>
      </c>
      <c r="E608" s="21" t="s">
        <v>696</v>
      </c>
      <c r="F608" s="21">
        <v>9103584346</v>
      </c>
      <c r="G608" s="15" t="s">
        <v>6</v>
      </c>
      <c r="H608" s="15" t="s">
        <v>2190</v>
      </c>
      <c r="I608" s="15" t="s">
        <v>2191</v>
      </c>
      <c r="J608" s="15" t="s">
        <v>172</v>
      </c>
      <c r="K608" s="16">
        <v>33230</v>
      </c>
      <c r="L608" s="16">
        <v>46620</v>
      </c>
      <c r="M608" s="17">
        <f>Table1[[#This Row],[Billing Rate Charges]]-Table1[[#This Row],[ LORRY RATE ]]</f>
        <v>13390</v>
      </c>
      <c r="N608" s="17">
        <v>33230</v>
      </c>
      <c r="O608" s="17">
        <f>Table1[[#This Row],[ LORRY RATE ]]-Table1[[#This Row],[Adance Paid (INR)]]</f>
        <v>0</v>
      </c>
      <c r="P608" s="17" t="s">
        <v>147</v>
      </c>
      <c r="Q608" s="18" t="s">
        <v>681</v>
      </c>
      <c r="R608" s="17"/>
      <c r="S608" s="18" t="s">
        <v>2197</v>
      </c>
      <c r="T608" s="18" t="s">
        <v>2197</v>
      </c>
      <c r="U608" s="15" t="s">
        <v>54</v>
      </c>
      <c r="V608" s="15" t="s">
        <v>439</v>
      </c>
      <c r="W608" s="15"/>
    </row>
    <row r="609" spans="1:23" hidden="1" x14ac:dyDescent="0.3">
      <c r="A609" s="15">
        <v>604</v>
      </c>
      <c r="B609" s="15" t="s">
        <v>2105</v>
      </c>
      <c r="C609" s="19">
        <v>45862</v>
      </c>
      <c r="D609" s="19" t="s">
        <v>56</v>
      </c>
      <c r="E609" s="21" t="s">
        <v>38</v>
      </c>
      <c r="F609" s="21">
        <v>9515412075</v>
      </c>
      <c r="G609" s="15" t="s">
        <v>6</v>
      </c>
      <c r="H609" s="15" t="s">
        <v>2192</v>
      </c>
      <c r="I609" s="15" t="s">
        <v>2193</v>
      </c>
      <c r="J609" s="15" t="s">
        <v>59</v>
      </c>
      <c r="K609" s="16">
        <v>35280</v>
      </c>
      <c r="L609" s="16">
        <v>56700</v>
      </c>
      <c r="M609" s="17">
        <f>Table1[[#This Row],[Billing Rate Charges]]-Table1[[#This Row],[ LORRY RATE ]]</f>
        <v>21420</v>
      </c>
      <c r="N609" s="17">
        <v>35280</v>
      </c>
      <c r="O609" s="17">
        <f>Table1[[#This Row],[ LORRY RATE ]]-Table1[[#This Row],[Adance Paid (INR)]]</f>
        <v>0</v>
      </c>
      <c r="P609" s="17" t="s">
        <v>147</v>
      </c>
      <c r="Q609" s="18" t="s">
        <v>673</v>
      </c>
      <c r="R609" s="17"/>
      <c r="S609" s="18" t="s">
        <v>2199</v>
      </c>
      <c r="T609" s="18" t="s">
        <v>2199</v>
      </c>
      <c r="U609" s="15" t="s">
        <v>54</v>
      </c>
      <c r="V609" s="15" t="s">
        <v>56</v>
      </c>
      <c r="W609" s="15"/>
    </row>
    <row r="610" spans="1:23" hidden="1" x14ac:dyDescent="0.3">
      <c r="A610" s="15">
        <v>605</v>
      </c>
      <c r="B610" s="15" t="s">
        <v>2105</v>
      </c>
      <c r="C610" s="19">
        <v>45862</v>
      </c>
      <c r="D610" s="19" t="s">
        <v>56</v>
      </c>
      <c r="E610" s="21" t="s">
        <v>1644</v>
      </c>
      <c r="F610" s="21">
        <v>9902798068</v>
      </c>
      <c r="G610" s="15" t="s">
        <v>1093</v>
      </c>
      <c r="H610" s="15" t="s">
        <v>2171</v>
      </c>
      <c r="I610" s="15" t="s">
        <v>2172</v>
      </c>
      <c r="J610" s="15" t="s">
        <v>172</v>
      </c>
      <c r="K610" s="16">
        <v>42180</v>
      </c>
      <c r="L610" s="16">
        <v>102690</v>
      </c>
      <c r="M610" s="17">
        <f>Table1[[#This Row],[Billing Rate Charges]]-Table1[[#This Row],[ LORRY RATE ]]</f>
        <v>60510</v>
      </c>
      <c r="N610" s="17">
        <v>42180</v>
      </c>
      <c r="O610" s="17">
        <f>Table1[[#This Row],[ LORRY RATE ]]-Table1[[#This Row],[Adance Paid (INR)]]</f>
        <v>0</v>
      </c>
      <c r="P610" s="17" t="s">
        <v>147</v>
      </c>
      <c r="Q610" s="18" t="s">
        <v>668</v>
      </c>
      <c r="R610" s="17"/>
      <c r="S610" s="18" t="s">
        <v>2198</v>
      </c>
      <c r="T610" s="18" t="s">
        <v>2198</v>
      </c>
      <c r="U610" s="15" t="s">
        <v>54</v>
      </c>
      <c r="V610" s="15" t="s">
        <v>56</v>
      </c>
      <c r="W610" s="15"/>
    </row>
    <row r="611" spans="1:23" hidden="1" x14ac:dyDescent="0.3">
      <c r="A611" s="15">
        <v>606</v>
      </c>
      <c r="B611" s="15" t="s">
        <v>2105</v>
      </c>
      <c r="C611" s="19">
        <v>45862</v>
      </c>
      <c r="D611" s="19" t="s">
        <v>56</v>
      </c>
      <c r="E611" s="21" t="s">
        <v>60</v>
      </c>
      <c r="F611" s="21">
        <v>9220186371</v>
      </c>
      <c r="G611" s="15" t="s">
        <v>2168</v>
      </c>
      <c r="H611" s="15" t="s">
        <v>2179</v>
      </c>
      <c r="I611" s="15" t="s">
        <v>6</v>
      </c>
      <c r="J611" s="15" t="s">
        <v>172</v>
      </c>
      <c r="K611" s="16">
        <v>40570</v>
      </c>
      <c r="L611" s="16">
        <v>91980</v>
      </c>
      <c r="M611" s="17">
        <f>Table1[[#This Row],[Billing Rate Charges]]-Table1[[#This Row],[ LORRY RATE ]]</f>
        <v>51410</v>
      </c>
      <c r="N611" s="17">
        <v>40570</v>
      </c>
      <c r="O611" s="17">
        <f>Table1[[#This Row],[ LORRY RATE ]]-Table1[[#This Row],[Adance Paid (INR)]]</f>
        <v>0</v>
      </c>
      <c r="P611" s="17" t="s">
        <v>147</v>
      </c>
      <c r="Q611" s="18" t="s">
        <v>682</v>
      </c>
      <c r="R611" s="17"/>
      <c r="S611" s="18" t="s">
        <v>2198</v>
      </c>
      <c r="T611" s="18" t="s">
        <v>2195</v>
      </c>
      <c r="U611" s="15" t="s">
        <v>54</v>
      </c>
      <c r="V611" s="15" t="s">
        <v>56</v>
      </c>
      <c r="W611" s="15"/>
    </row>
    <row r="612" spans="1:23" hidden="1" x14ac:dyDescent="0.3">
      <c r="A612" s="15">
        <v>607</v>
      </c>
      <c r="B612" s="15" t="s">
        <v>2105</v>
      </c>
      <c r="C612" s="19">
        <v>45864</v>
      </c>
      <c r="D612" s="19" t="s">
        <v>56</v>
      </c>
      <c r="E612" s="21" t="s">
        <v>1641</v>
      </c>
      <c r="F612" s="21">
        <v>9281983602</v>
      </c>
      <c r="G612" s="15" t="s">
        <v>1093</v>
      </c>
      <c r="H612" s="15" t="s">
        <v>2175</v>
      </c>
      <c r="I612" s="15" t="s">
        <v>2176</v>
      </c>
      <c r="J612" s="15" t="s">
        <v>172</v>
      </c>
      <c r="K612" s="16">
        <v>42180</v>
      </c>
      <c r="L612" s="16">
        <v>102690</v>
      </c>
      <c r="M612" s="17">
        <f>Table1[[#This Row],[Billing Rate Charges]]-Table1[[#This Row],[ LORRY RATE ]]</f>
        <v>60510</v>
      </c>
      <c r="N612" s="17">
        <v>42180</v>
      </c>
      <c r="O612" s="17">
        <f>Table1[[#This Row],[ LORRY RATE ]]-Table1[[#This Row],[Adance Paid (INR)]]</f>
        <v>0</v>
      </c>
      <c r="P612" s="17" t="s">
        <v>147</v>
      </c>
      <c r="Q612" s="18" t="s">
        <v>683</v>
      </c>
      <c r="R612" s="17"/>
      <c r="S612" s="18" t="s">
        <v>2195</v>
      </c>
      <c r="T612" s="18" t="s">
        <v>2195</v>
      </c>
      <c r="U612" s="15" t="s">
        <v>54</v>
      </c>
      <c r="V612" s="15" t="s">
        <v>56</v>
      </c>
      <c r="W612" s="15"/>
    </row>
    <row r="613" spans="1:23" hidden="1" x14ac:dyDescent="0.3">
      <c r="A613" s="15">
        <v>608</v>
      </c>
      <c r="B613" s="15" t="s">
        <v>2105</v>
      </c>
      <c r="C613" s="19">
        <v>45864</v>
      </c>
      <c r="D613" s="19" t="s">
        <v>51</v>
      </c>
      <c r="E613" s="21" t="s">
        <v>1448</v>
      </c>
      <c r="F613" s="21">
        <v>9108592771</v>
      </c>
      <c r="G613" s="15" t="s">
        <v>6</v>
      </c>
      <c r="H613" s="15" t="s">
        <v>1874</v>
      </c>
      <c r="I613" s="15" t="s">
        <v>2218</v>
      </c>
      <c r="J613" s="15" t="s">
        <v>172</v>
      </c>
      <c r="K613" s="16">
        <v>31750</v>
      </c>
      <c r="L613" s="16">
        <v>40320</v>
      </c>
      <c r="M613" s="17">
        <f>Table1[[#This Row],[Billing Rate Charges]]-Table1[[#This Row],[ LORRY RATE ]]</f>
        <v>8570</v>
      </c>
      <c r="N613" s="17">
        <v>31750</v>
      </c>
      <c r="O613" s="17">
        <f>Table1[[#This Row],[ LORRY RATE ]]-Table1[[#This Row],[Adance Paid (INR)]]</f>
        <v>0</v>
      </c>
      <c r="P613" s="17" t="s">
        <v>147</v>
      </c>
      <c r="Q613" s="18" t="s">
        <v>684</v>
      </c>
      <c r="R613" s="17"/>
      <c r="S613" s="18" t="s">
        <v>2199</v>
      </c>
      <c r="T613" s="18" t="s">
        <v>2199</v>
      </c>
      <c r="U613" s="15" t="s">
        <v>54</v>
      </c>
      <c r="V613" s="15" t="s">
        <v>529</v>
      </c>
      <c r="W613" s="15"/>
    </row>
    <row r="614" spans="1:23" hidden="1" x14ac:dyDescent="0.3">
      <c r="A614" s="15">
        <v>609</v>
      </c>
      <c r="B614" s="15" t="s">
        <v>2105</v>
      </c>
      <c r="C614" s="19">
        <v>45864</v>
      </c>
      <c r="D614" s="19" t="s">
        <v>56</v>
      </c>
      <c r="E614" s="21" t="s">
        <v>1635</v>
      </c>
      <c r="F614" s="21">
        <v>9472230553</v>
      </c>
      <c r="G614" s="15" t="s">
        <v>6</v>
      </c>
      <c r="H614" s="15" t="s">
        <v>2219</v>
      </c>
      <c r="I614" s="15" t="s">
        <v>2220</v>
      </c>
      <c r="J614" s="15" t="s">
        <v>172</v>
      </c>
      <c r="K614" s="16">
        <v>33770</v>
      </c>
      <c r="L614" s="16">
        <v>46620</v>
      </c>
      <c r="M614" s="17">
        <f>Table1[[#This Row],[Billing Rate Charges]]-Table1[[#This Row],[ LORRY RATE ]]</f>
        <v>12850</v>
      </c>
      <c r="N614" s="17">
        <v>33770</v>
      </c>
      <c r="O614" s="17">
        <f>Table1[[#This Row],[ LORRY RATE ]]-Table1[[#This Row],[Adance Paid (INR)]]</f>
        <v>0</v>
      </c>
      <c r="P614" s="17" t="s">
        <v>147</v>
      </c>
      <c r="Q614" s="18" t="s">
        <v>675</v>
      </c>
      <c r="R614" s="17"/>
      <c r="S614" s="18" t="s">
        <v>2199</v>
      </c>
      <c r="T614" s="18" t="s">
        <v>2199</v>
      </c>
      <c r="U614" s="15" t="s">
        <v>54</v>
      </c>
      <c r="V614" s="15" t="s">
        <v>56</v>
      </c>
      <c r="W614" s="15"/>
    </row>
    <row r="615" spans="1:23" hidden="1" x14ac:dyDescent="0.3">
      <c r="A615" s="15">
        <v>610</v>
      </c>
      <c r="B615" s="15" t="s">
        <v>2105</v>
      </c>
      <c r="C615" s="19">
        <v>45865</v>
      </c>
      <c r="D615" s="19" t="s">
        <v>56</v>
      </c>
      <c r="E615" s="21" t="s">
        <v>1637</v>
      </c>
      <c r="F615" s="21">
        <v>9025368773</v>
      </c>
      <c r="G615" s="15" t="s">
        <v>1093</v>
      </c>
      <c r="H615" s="15" t="s">
        <v>2249</v>
      </c>
      <c r="I615" s="15" t="s">
        <v>6</v>
      </c>
      <c r="J615" s="15" t="s">
        <v>172</v>
      </c>
      <c r="K615" s="16">
        <v>42180</v>
      </c>
      <c r="L615" s="16">
        <v>102690</v>
      </c>
      <c r="M615" s="17">
        <f>Table1[[#This Row],[Billing Rate Charges]]-Table1[[#This Row],[ LORRY RATE ]]</f>
        <v>60510</v>
      </c>
      <c r="N615" s="17">
        <v>42180</v>
      </c>
      <c r="O615" s="17">
        <f>Table1[[#This Row],[ LORRY RATE ]]-Table1[[#This Row],[Adance Paid (INR)]]</f>
        <v>0</v>
      </c>
      <c r="P615" s="17" t="s">
        <v>147</v>
      </c>
      <c r="Q615" s="18" t="s">
        <v>677</v>
      </c>
      <c r="R615" s="17"/>
      <c r="S615" s="18" t="s">
        <v>2199</v>
      </c>
      <c r="T615" s="18" t="s">
        <v>2199</v>
      </c>
      <c r="U615" s="15" t="s">
        <v>54</v>
      </c>
      <c r="V615" s="15" t="s">
        <v>56</v>
      </c>
      <c r="W615" s="15"/>
    </row>
    <row r="616" spans="1:23" hidden="1" x14ac:dyDescent="0.3">
      <c r="A616" s="15">
        <v>611</v>
      </c>
      <c r="B616" s="15" t="s">
        <v>2105</v>
      </c>
      <c r="C616" s="19">
        <v>45867</v>
      </c>
      <c r="D616" s="19" t="s">
        <v>56</v>
      </c>
      <c r="E616" s="21" t="s">
        <v>1644</v>
      </c>
      <c r="F616" s="21">
        <v>9220186371</v>
      </c>
      <c r="G616" s="15" t="s">
        <v>6</v>
      </c>
      <c r="H616" s="15" t="s">
        <v>2221</v>
      </c>
      <c r="I616" s="15" t="s">
        <v>2222</v>
      </c>
      <c r="J616" s="15" t="s">
        <v>172</v>
      </c>
      <c r="K616" s="16">
        <v>33770</v>
      </c>
      <c r="L616" s="16">
        <v>46620</v>
      </c>
      <c r="M616" s="17">
        <f>Table1[[#This Row],[Billing Rate Charges]]-Table1[[#This Row],[ LORRY RATE ]]</f>
        <v>12850</v>
      </c>
      <c r="N616" s="17">
        <v>33770</v>
      </c>
      <c r="O616" s="17">
        <f>Table1[[#This Row],[ LORRY RATE ]]-Table1[[#This Row],[Adance Paid (INR)]]</f>
        <v>0</v>
      </c>
      <c r="P616" s="17" t="s">
        <v>147</v>
      </c>
      <c r="Q616" s="18" t="s">
        <v>685</v>
      </c>
      <c r="R616" s="17"/>
      <c r="S616" s="18" t="s">
        <v>2202</v>
      </c>
      <c r="T616" s="18" t="s">
        <v>2202</v>
      </c>
      <c r="U616" s="15" t="s">
        <v>54</v>
      </c>
      <c r="V616" s="15" t="s">
        <v>56</v>
      </c>
      <c r="W616" s="15"/>
    </row>
    <row r="617" spans="1:23" hidden="1" x14ac:dyDescent="0.3">
      <c r="A617" s="15">
        <v>612</v>
      </c>
      <c r="B617" s="15" t="s">
        <v>2105</v>
      </c>
      <c r="C617" s="19">
        <v>45867</v>
      </c>
      <c r="D617" s="19" t="s">
        <v>56</v>
      </c>
      <c r="E617" s="21" t="s">
        <v>60</v>
      </c>
      <c r="F617" s="21">
        <v>9589264337</v>
      </c>
      <c r="G617" s="15" t="s">
        <v>6</v>
      </c>
      <c r="H617" s="15" t="s">
        <v>2223</v>
      </c>
      <c r="I617" s="15" t="s">
        <v>2224</v>
      </c>
      <c r="J617" s="15" t="s">
        <v>172</v>
      </c>
      <c r="K617" s="16">
        <v>33770</v>
      </c>
      <c r="L617" s="16">
        <v>46620</v>
      </c>
      <c r="M617" s="17">
        <f>Table1[[#This Row],[Billing Rate Charges]]-Table1[[#This Row],[ LORRY RATE ]]</f>
        <v>12850</v>
      </c>
      <c r="N617" s="17">
        <v>33770</v>
      </c>
      <c r="O617" s="17">
        <f>Table1[[#This Row],[ LORRY RATE ]]-Table1[[#This Row],[Adance Paid (INR)]]</f>
        <v>0</v>
      </c>
      <c r="P617" s="17" t="s">
        <v>147</v>
      </c>
      <c r="Q617" s="18" t="s">
        <v>686</v>
      </c>
      <c r="R617" s="17"/>
      <c r="S617" s="18" t="s">
        <v>2203</v>
      </c>
      <c r="T617" s="18" t="s">
        <v>2204</v>
      </c>
      <c r="U617" s="15" t="s">
        <v>54</v>
      </c>
      <c r="V617" s="15" t="s">
        <v>56</v>
      </c>
      <c r="W617" s="15"/>
    </row>
    <row r="618" spans="1:23" hidden="1" x14ac:dyDescent="0.3">
      <c r="A618" s="15">
        <v>613</v>
      </c>
      <c r="B618" s="15" t="s">
        <v>2105</v>
      </c>
      <c r="C618" s="19">
        <v>45868</v>
      </c>
      <c r="D618" s="19" t="s">
        <v>56</v>
      </c>
      <c r="E618" s="21" t="s">
        <v>1641</v>
      </c>
      <c r="F618" s="21">
        <v>9281983602</v>
      </c>
      <c r="G618" s="15" t="s">
        <v>6</v>
      </c>
      <c r="H618" s="15" t="s">
        <v>2225</v>
      </c>
      <c r="I618" s="15" t="s">
        <v>2226</v>
      </c>
      <c r="J618" s="15" t="s">
        <v>172</v>
      </c>
      <c r="K618" s="16">
        <v>34710</v>
      </c>
      <c r="L618" s="16">
        <v>52920</v>
      </c>
      <c r="M618" s="17">
        <f>Table1[[#This Row],[Billing Rate Charges]]-Table1[[#This Row],[ LORRY RATE ]]</f>
        <v>18210</v>
      </c>
      <c r="N618" s="17">
        <v>34710</v>
      </c>
      <c r="O618" s="17">
        <f>Table1[[#This Row],[ LORRY RATE ]]-Table1[[#This Row],[Adance Paid (INR)]]</f>
        <v>0</v>
      </c>
      <c r="P618" s="17" t="s">
        <v>147</v>
      </c>
      <c r="Q618" s="18" t="s">
        <v>687</v>
      </c>
      <c r="R618" s="17"/>
      <c r="S618" s="18" t="s">
        <v>2204</v>
      </c>
      <c r="T618" s="18" t="s">
        <v>2208</v>
      </c>
      <c r="U618" s="15" t="s">
        <v>54</v>
      </c>
      <c r="V618" s="15" t="s">
        <v>56</v>
      </c>
      <c r="W618" s="15"/>
    </row>
    <row r="619" spans="1:23" hidden="1" x14ac:dyDescent="0.3">
      <c r="A619" s="15">
        <v>614</v>
      </c>
      <c r="B619" s="15" t="s">
        <v>2105</v>
      </c>
      <c r="C619" s="19">
        <v>45868</v>
      </c>
      <c r="D619" s="19" t="s">
        <v>56</v>
      </c>
      <c r="E619" s="21" t="s">
        <v>38</v>
      </c>
      <c r="F619" s="21">
        <v>9515412075</v>
      </c>
      <c r="G619" s="15" t="s">
        <v>1093</v>
      </c>
      <c r="H619" s="15" t="s">
        <v>1874</v>
      </c>
      <c r="I619" s="15" t="s">
        <v>2250</v>
      </c>
      <c r="J619" s="15" t="s">
        <v>59</v>
      </c>
      <c r="K619" s="16">
        <v>40480</v>
      </c>
      <c r="L619" s="16">
        <v>91350</v>
      </c>
      <c r="M619" s="17">
        <f>Table1[[#This Row],[Billing Rate Charges]]-Table1[[#This Row],[ LORRY RATE ]]</f>
        <v>50870</v>
      </c>
      <c r="N619" s="17">
        <v>40480</v>
      </c>
      <c r="O619" s="17">
        <f>Table1[[#This Row],[ LORRY RATE ]]-Table1[[#This Row],[Adance Paid (INR)]]</f>
        <v>0</v>
      </c>
      <c r="P619" s="17" t="s">
        <v>147</v>
      </c>
      <c r="Q619" s="18" t="s">
        <v>672</v>
      </c>
      <c r="R619" s="17"/>
      <c r="S619" s="18" t="s">
        <v>2204</v>
      </c>
      <c r="T619" s="18" t="s">
        <v>2204</v>
      </c>
      <c r="U619" s="15" t="s">
        <v>54</v>
      </c>
      <c r="V619" s="15" t="s">
        <v>56</v>
      </c>
      <c r="W619" s="15"/>
    </row>
    <row r="620" spans="1:23" hidden="1" x14ac:dyDescent="0.3">
      <c r="A620" s="15">
        <v>615</v>
      </c>
      <c r="B620" s="15" t="s">
        <v>2105</v>
      </c>
      <c r="C620" s="19">
        <v>45869</v>
      </c>
      <c r="D620" s="19" t="s">
        <v>56</v>
      </c>
      <c r="E620" s="21" t="s">
        <v>1635</v>
      </c>
      <c r="F620" s="21">
        <v>9472230553</v>
      </c>
      <c r="G620" s="15" t="s">
        <v>1093</v>
      </c>
      <c r="H620" s="15" t="s">
        <v>2252</v>
      </c>
      <c r="I620" s="15" t="s">
        <v>6</v>
      </c>
      <c r="J620" s="15" t="s">
        <v>172</v>
      </c>
      <c r="K620" s="16">
        <v>42180</v>
      </c>
      <c r="L620" s="16">
        <v>102690</v>
      </c>
      <c r="M620" s="17">
        <f>Table1[[#This Row],[Billing Rate Charges]]-Table1[[#This Row],[ LORRY RATE ]]</f>
        <v>60510</v>
      </c>
      <c r="N620" s="17">
        <v>42180</v>
      </c>
      <c r="O620" s="17">
        <f>Table1[[#This Row],[ LORRY RATE ]]-Table1[[#This Row],[Adance Paid (INR)]]</f>
        <v>0</v>
      </c>
      <c r="P620" s="17" t="s">
        <v>147</v>
      </c>
      <c r="Q620" s="18" t="s">
        <v>666</v>
      </c>
      <c r="R620" s="17"/>
      <c r="S620" s="18" t="s">
        <v>2208</v>
      </c>
      <c r="T620" s="18" t="s">
        <v>2208</v>
      </c>
      <c r="U620" s="15" t="s">
        <v>54</v>
      </c>
      <c r="V620" s="15" t="s">
        <v>56</v>
      </c>
      <c r="W620" s="15"/>
    </row>
    <row r="621" spans="1:23" hidden="1" x14ac:dyDescent="0.3">
      <c r="A621" s="15">
        <v>616</v>
      </c>
      <c r="B621" s="15" t="s">
        <v>2105</v>
      </c>
      <c r="C621" s="19">
        <v>45869</v>
      </c>
      <c r="D621" s="19" t="s">
        <v>56</v>
      </c>
      <c r="E621" s="21" t="s">
        <v>1637</v>
      </c>
      <c r="F621" s="21">
        <v>9025368773</v>
      </c>
      <c r="G621" s="15" t="s">
        <v>6</v>
      </c>
      <c r="H621" s="15" t="s">
        <v>2227</v>
      </c>
      <c r="I621" s="15" t="s">
        <v>2228</v>
      </c>
      <c r="J621" s="15" t="s">
        <v>172</v>
      </c>
      <c r="K621" s="16">
        <v>33770</v>
      </c>
      <c r="L621" s="16">
        <v>46620</v>
      </c>
      <c r="M621" s="17">
        <f>Table1[[#This Row],[Billing Rate Charges]]-Table1[[#This Row],[ LORRY RATE ]]</f>
        <v>12850</v>
      </c>
      <c r="N621" s="17">
        <v>33770</v>
      </c>
      <c r="O621" s="17">
        <f>Table1[[#This Row],[ LORRY RATE ]]-Table1[[#This Row],[Adance Paid (INR)]]</f>
        <v>0</v>
      </c>
      <c r="P621" s="17" t="s">
        <v>147</v>
      </c>
      <c r="Q621" s="18" t="s">
        <v>688</v>
      </c>
      <c r="R621" s="17"/>
      <c r="S621" s="18" t="s">
        <v>2208</v>
      </c>
      <c r="T621" s="18" t="s">
        <v>2209</v>
      </c>
      <c r="U621" s="15" t="s">
        <v>54</v>
      </c>
      <c r="V621" s="15" t="s">
        <v>56</v>
      </c>
      <c r="W621" s="15"/>
    </row>
    <row r="622" spans="1:23" hidden="1" x14ac:dyDescent="0.3">
      <c r="A622" s="15">
        <v>617</v>
      </c>
      <c r="B622" s="15" t="s">
        <v>2200</v>
      </c>
      <c r="C622" s="19">
        <v>45870</v>
      </c>
      <c r="D622" s="19" t="s">
        <v>56</v>
      </c>
      <c r="E622" s="21" t="s">
        <v>1644</v>
      </c>
      <c r="F622" s="21">
        <v>9902798068</v>
      </c>
      <c r="G622" s="15" t="s">
        <v>1093</v>
      </c>
      <c r="H622" s="15" t="s">
        <v>2253</v>
      </c>
      <c r="I622" s="15" t="s">
        <v>6</v>
      </c>
      <c r="J622" s="15" t="s">
        <v>172</v>
      </c>
      <c r="K622" s="16">
        <v>41230</v>
      </c>
      <c r="L622" s="16">
        <v>96390</v>
      </c>
      <c r="M622" s="17">
        <f>Table1[[#This Row],[Billing Rate Charges]]-Table1[[#This Row],[ LORRY RATE ]]</f>
        <v>55160</v>
      </c>
      <c r="N622" s="17">
        <v>41230</v>
      </c>
      <c r="O622" s="17">
        <f>Table1[[#This Row],[ LORRY RATE ]]-Table1[[#This Row],[Adance Paid (INR)]]</f>
        <v>0</v>
      </c>
      <c r="P622" s="17" t="s">
        <v>147</v>
      </c>
      <c r="Q622" s="18" t="s">
        <v>671</v>
      </c>
      <c r="R622" s="17"/>
      <c r="S622" s="18" t="s">
        <v>2208</v>
      </c>
      <c r="T622" s="18" t="s">
        <v>2208</v>
      </c>
      <c r="U622" s="15" t="s">
        <v>54</v>
      </c>
      <c r="V622" s="15" t="s">
        <v>56</v>
      </c>
      <c r="W622" s="15"/>
    </row>
    <row r="623" spans="1:23" hidden="1" x14ac:dyDescent="0.3">
      <c r="A623" s="15">
        <v>618</v>
      </c>
      <c r="B623" s="15" t="s">
        <v>2200</v>
      </c>
      <c r="C623" s="19">
        <v>45871</v>
      </c>
      <c r="D623" s="19" t="s">
        <v>56</v>
      </c>
      <c r="E623" s="21" t="s">
        <v>38</v>
      </c>
      <c r="F623" s="21">
        <v>9515412075</v>
      </c>
      <c r="G623" s="15" t="s">
        <v>6</v>
      </c>
      <c r="H623" s="15" t="s">
        <v>2229</v>
      </c>
      <c r="I623" s="15" t="s">
        <v>2230</v>
      </c>
      <c r="J623" s="15" t="s">
        <v>59</v>
      </c>
      <c r="K623" s="16">
        <v>33530</v>
      </c>
      <c r="L623" s="16">
        <v>45040</v>
      </c>
      <c r="M623" s="17">
        <f>Table1[[#This Row],[Billing Rate Charges]]-Table1[[#This Row],[ LORRY RATE ]]</f>
        <v>11510</v>
      </c>
      <c r="N623" s="17">
        <v>33530</v>
      </c>
      <c r="O623" s="17">
        <f>Table1[[#This Row],[ LORRY RATE ]]-Table1[[#This Row],[Adance Paid (INR)]]</f>
        <v>0</v>
      </c>
      <c r="P623" s="17" t="s">
        <v>147</v>
      </c>
      <c r="Q623" s="18" t="s">
        <v>693</v>
      </c>
      <c r="R623" s="17"/>
      <c r="S623" s="18" t="s">
        <v>2210</v>
      </c>
      <c r="T623" s="18" t="s">
        <v>2211</v>
      </c>
      <c r="U623" s="15" t="s">
        <v>54</v>
      </c>
      <c r="V623" s="15" t="s">
        <v>56</v>
      </c>
      <c r="W623" s="15"/>
    </row>
    <row r="624" spans="1:23" hidden="1" x14ac:dyDescent="0.3">
      <c r="A624" s="15">
        <v>619</v>
      </c>
      <c r="B624" s="15" t="s">
        <v>2200</v>
      </c>
      <c r="C624" s="19">
        <v>45871</v>
      </c>
      <c r="D624" s="19" t="s">
        <v>51</v>
      </c>
      <c r="E624" s="21" t="s">
        <v>2205</v>
      </c>
      <c r="F624" s="21">
        <v>9915991042</v>
      </c>
      <c r="G624" s="15" t="s">
        <v>6</v>
      </c>
      <c r="H624" s="15" t="s">
        <v>1874</v>
      </c>
      <c r="I624" s="15" t="s">
        <v>2231</v>
      </c>
      <c r="J624" s="15" t="s">
        <v>172</v>
      </c>
      <c r="K624" s="16">
        <v>27470</v>
      </c>
      <c r="L624" s="16">
        <v>40320</v>
      </c>
      <c r="M624" s="17">
        <f>Table1[[#This Row],[Billing Rate Charges]]-Table1[[#This Row],[ LORRY RATE ]]</f>
        <v>12850</v>
      </c>
      <c r="N624" s="17">
        <v>27470</v>
      </c>
      <c r="O624" s="17">
        <f>Table1[[#This Row],[ LORRY RATE ]]-Table1[[#This Row],[Adance Paid (INR)]]</f>
        <v>0</v>
      </c>
      <c r="P624" s="17" t="s">
        <v>147</v>
      </c>
      <c r="Q624" s="18" t="s">
        <v>742</v>
      </c>
      <c r="R624" s="17"/>
      <c r="S624" s="18" t="s">
        <v>2210</v>
      </c>
      <c r="T624" s="18" t="s">
        <v>2210</v>
      </c>
      <c r="U624" s="15" t="s">
        <v>54</v>
      </c>
      <c r="V624" s="15" t="s">
        <v>529</v>
      </c>
      <c r="W624" s="15"/>
    </row>
    <row r="625" spans="1:23" hidden="1" x14ac:dyDescent="0.3">
      <c r="A625" s="15">
        <v>620</v>
      </c>
      <c r="B625" s="15" t="s">
        <v>2200</v>
      </c>
      <c r="C625" s="19">
        <v>45873</v>
      </c>
      <c r="D625" s="19" t="s">
        <v>56</v>
      </c>
      <c r="E625" s="21" t="s">
        <v>1635</v>
      </c>
      <c r="F625" s="21">
        <v>9472230553</v>
      </c>
      <c r="G625" s="15" t="s">
        <v>6</v>
      </c>
      <c r="H625" s="15" t="s">
        <v>2232</v>
      </c>
      <c r="I625" s="15" t="s">
        <v>2233</v>
      </c>
      <c r="J625" s="15" t="s">
        <v>172</v>
      </c>
      <c r="K625" s="16">
        <v>33770</v>
      </c>
      <c r="L625" s="16">
        <v>46620</v>
      </c>
      <c r="M625" s="17">
        <f>Table1[[#This Row],[Billing Rate Charges]]-Table1[[#This Row],[ LORRY RATE ]]</f>
        <v>12850</v>
      </c>
      <c r="N625" s="17">
        <v>33770</v>
      </c>
      <c r="O625" s="17">
        <f>Table1[[#This Row],[ LORRY RATE ]]-Table1[[#This Row],[Adance Paid (INR)]]</f>
        <v>0</v>
      </c>
      <c r="P625" s="17" t="s">
        <v>147</v>
      </c>
      <c r="Q625" s="18" t="s">
        <v>744</v>
      </c>
      <c r="R625" s="17"/>
      <c r="S625" s="18" t="s">
        <v>2212</v>
      </c>
      <c r="T625" s="18" t="s">
        <v>2212</v>
      </c>
      <c r="U625" s="15" t="s">
        <v>54</v>
      </c>
      <c r="V625" s="15" t="s">
        <v>56</v>
      </c>
      <c r="W625" s="15"/>
    </row>
    <row r="626" spans="1:23" hidden="1" x14ac:dyDescent="0.3">
      <c r="A626" s="15">
        <v>621</v>
      </c>
      <c r="B626" s="15" t="s">
        <v>2200</v>
      </c>
      <c r="C626" s="19">
        <v>45874</v>
      </c>
      <c r="D626" s="19" t="s">
        <v>56</v>
      </c>
      <c r="E626" s="21" t="s">
        <v>1644</v>
      </c>
      <c r="F626" s="21">
        <v>9220186371</v>
      </c>
      <c r="G626" s="15" t="s">
        <v>6</v>
      </c>
      <c r="H626" s="15" t="s">
        <v>2234</v>
      </c>
      <c r="I626" s="15" t="s">
        <v>2242</v>
      </c>
      <c r="J626" s="15" t="s">
        <v>172</v>
      </c>
      <c r="K626" s="16">
        <v>34710</v>
      </c>
      <c r="L626" s="16">
        <v>52920</v>
      </c>
      <c r="M626" s="17">
        <f>Table1[[#This Row],[Billing Rate Charges]]-Table1[[#This Row],[ LORRY RATE ]]</f>
        <v>18210</v>
      </c>
      <c r="N626" s="17">
        <v>34710</v>
      </c>
      <c r="O626" s="17">
        <f>Table1[[#This Row],[ LORRY RATE ]]-Table1[[#This Row],[Adance Paid (INR)]]</f>
        <v>0</v>
      </c>
      <c r="P626" s="17" t="s">
        <v>147</v>
      </c>
      <c r="Q626" s="18" t="s">
        <v>745</v>
      </c>
      <c r="R626" s="17"/>
      <c r="S626" s="18" t="s">
        <v>2213</v>
      </c>
      <c r="T626" s="18" t="s">
        <v>2213</v>
      </c>
      <c r="U626" s="15" t="s">
        <v>54</v>
      </c>
      <c r="V626" s="15" t="s">
        <v>56</v>
      </c>
      <c r="W626" s="15"/>
    </row>
    <row r="627" spans="1:23" hidden="1" x14ac:dyDescent="0.3">
      <c r="A627" s="15">
        <v>622</v>
      </c>
      <c r="B627" s="15" t="s">
        <v>2200</v>
      </c>
      <c r="C627" s="19">
        <v>45874</v>
      </c>
      <c r="D627" s="19" t="s">
        <v>56</v>
      </c>
      <c r="E627" s="21" t="s">
        <v>60</v>
      </c>
      <c r="F627" s="21">
        <v>9220186371</v>
      </c>
      <c r="G627" s="15" t="s">
        <v>1093</v>
      </c>
      <c r="H627" s="15" t="s">
        <v>2254</v>
      </c>
      <c r="I627" s="15" t="s">
        <v>6</v>
      </c>
      <c r="J627" s="15" t="s">
        <v>172</v>
      </c>
      <c r="K627" s="16">
        <v>41230</v>
      </c>
      <c r="L627" s="16">
        <v>96390</v>
      </c>
      <c r="M627" s="17">
        <f>Table1[[#This Row],[Billing Rate Charges]]-Table1[[#This Row],[ LORRY RATE ]]</f>
        <v>55160</v>
      </c>
      <c r="N627" s="17">
        <v>41230</v>
      </c>
      <c r="O627" s="17">
        <f>Table1[[#This Row],[ LORRY RATE ]]-Table1[[#This Row],[Adance Paid (INR)]]</f>
        <v>0</v>
      </c>
      <c r="P627" s="17" t="s">
        <v>147</v>
      </c>
      <c r="Q627" s="18" t="s">
        <v>746</v>
      </c>
      <c r="R627" s="17"/>
      <c r="S627" s="18" t="s">
        <v>2213</v>
      </c>
      <c r="T627" s="18" t="s">
        <v>2213</v>
      </c>
      <c r="U627" s="15" t="s">
        <v>54</v>
      </c>
      <c r="V627" s="15" t="s">
        <v>56</v>
      </c>
      <c r="W627" s="15"/>
    </row>
    <row r="628" spans="1:23" hidden="1" x14ac:dyDescent="0.3">
      <c r="A628" s="15">
        <v>623</v>
      </c>
      <c r="B628" s="15" t="s">
        <v>2200</v>
      </c>
      <c r="C628" s="19">
        <v>45875</v>
      </c>
      <c r="D628" s="19" t="s">
        <v>51</v>
      </c>
      <c r="E628" s="21" t="s">
        <v>2206</v>
      </c>
      <c r="F628" s="21">
        <v>9756273044</v>
      </c>
      <c r="G628" s="15" t="s">
        <v>6</v>
      </c>
      <c r="H628" s="15" t="s">
        <v>1874</v>
      </c>
      <c r="I628" s="15" t="s">
        <v>2239</v>
      </c>
      <c r="J628" s="15" t="s">
        <v>172</v>
      </c>
      <c r="K628" s="16">
        <v>31750</v>
      </c>
      <c r="L628" s="16">
        <v>40320</v>
      </c>
      <c r="M628" s="17">
        <f>Table1[[#This Row],[Billing Rate Charges]]-Table1[[#This Row],[ LORRY RATE ]]</f>
        <v>8570</v>
      </c>
      <c r="N628" s="17">
        <v>31750</v>
      </c>
      <c r="O628" s="17">
        <f>Table1[[#This Row],[ LORRY RATE ]]-Table1[[#This Row],[Adance Paid (INR)]]</f>
        <v>0</v>
      </c>
      <c r="P628" s="17" t="s">
        <v>147</v>
      </c>
      <c r="Q628" s="18" t="s">
        <v>747</v>
      </c>
      <c r="R628" s="17"/>
      <c r="S628" s="18" t="s">
        <v>2214</v>
      </c>
      <c r="T628" s="18" t="s">
        <v>2214</v>
      </c>
      <c r="U628" s="15" t="s">
        <v>54</v>
      </c>
      <c r="V628" s="15" t="s">
        <v>529</v>
      </c>
      <c r="W628" s="15"/>
    </row>
    <row r="629" spans="1:23" hidden="1" x14ac:dyDescent="0.3">
      <c r="A629" s="15">
        <v>624</v>
      </c>
      <c r="B629" s="15" t="s">
        <v>2200</v>
      </c>
      <c r="C629" s="19">
        <v>45875</v>
      </c>
      <c r="D629" s="19" t="s">
        <v>51</v>
      </c>
      <c r="E629" s="21" t="s">
        <v>2207</v>
      </c>
      <c r="F629" s="21">
        <v>9364639011</v>
      </c>
      <c r="G629" s="15" t="s">
        <v>6</v>
      </c>
      <c r="H629" s="15" t="s">
        <v>2236</v>
      </c>
      <c r="I629" s="15" t="s">
        <v>2237</v>
      </c>
      <c r="J629" s="15" t="s">
        <v>172</v>
      </c>
      <c r="K629" s="16">
        <v>32700</v>
      </c>
      <c r="L629" s="16">
        <v>46620</v>
      </c>
      <c r="M629" s="17">
        <f>Table1[[#This Row],[Billing Rate Charges]]-Table1[[#This Row],[ LORRY RATE ]]</f>
        <v>13920</v>
      </c>
      <c r="N629" s="17">
        <v>32700</v>
      </c>
      <c r="O629" s="17">
        <f>Table1[[#This Row],[ LORRY RATE ]]-Table1[[#This Row],[Adance Paid (INR)]]</f>
        <v>0</v>
      </c>
      <c r="P629" s="17" t="s">
        <v>147</v>
      </c>
      <c r="Q629" s="18" t="s">
        <v>748</v>
      </c>
      <c r="R629" s="17"/>
      <c r="S629" s="18" t="s">
        <v>2214</v>
      </c>
      <c r="T629" s="18" t="s">
        <v>2214</v>
      </c>
      <c r="U629" s="15" t="s">
        <v>54</v>
      </c>
      <c r="V629" s="15" t="s">
        <v>529</v>
      </c>
      <c r="W629" s="15"/>
    </row>
    <row r="630" spans="1:23" hidden="1" x14ac:dyDescent="0.3">
      <c r="A630" s="15">
        <v>625</v>
      </c>
      <c r="B630" s="15" t="s">
        <v>2200</v>
      </c>
      <c r="C630" s="19">
        <v>45876</v>
      </c>
      <c r="D630" s="19" t="s">
        <v>56</v>
      </c>
      <c r="E630" s="21" t="s">
        <v>1641</v>
      </c>
      <c r="F630" s="21">
        <v>9281983602</v>
      </c>
      <c r="G630" s="15" t="s">
        <v>1093</v>
      </c>
      <c r="H630" s="15" t="s">
        <v>2255</v>
      </c>
      <c r="I630" s="15" t="s">
        <v>6</v>
      </c>
      <c r="J630" s="15" t="s">
        <v>172</v>
      </c>
      <c r="K630" s="16">
        <v>42180</v>
      </c>
      <c r="L630" s="16">
        <v>102690</v>
      </c>
      <c r="M630" s="17">
        <f>Table1[[#This Row],[Billing Rate Charges]]-Table1[[#This Row],[ LORRY RATE ]]</f>
        <v>60510</v>
      </c>
      <c r="N630" s="17">
        <v>42180</v>
      </c>
      <c r="O630" s="17">
        <f>Table1[[#This Row],[ LORRY RATE ]]-Table1[[#This Row],[Adance Paid (INR)]]</f>
        <v>0</v>
      </c>
      <c r="P630" s="17" t="s">
        <v>147</v>
      </c>
      <c r="Q630" s="18" t="s">
        <v>750</v>
      </c>
      <c r="R630" s="17"/>
      <c r="S630" s="18" t="s">
        <v>2214</v>
      </c>
      <c r="T630" s="18" t="s">
        <v>2214</v>
      </c>
      <c r="U630" s="15" t="s">
        <v>54</v>
      </c>
      <c r="V630" s="15" t="s">
        <v>56</v>
      </c>
      <c r="W630" s="15"/>
    </row>
    <row r="631" spans="1:23" hidden="1" x14ac:dyDescent="0.3">
      <c r="A631" s="15">
        <v>626</v>
      </c>
      <c r="B631" s="15" t="s">
        <v>2200</v>
      </c>
      <c r="C631" s="19">
        <v>45877</v>
      </c>
      <c r="D631" s="19" t="s">
        <v>56</v>
      </c>
      <c r="E631" s="21" t="s">
        <v>60</v>
      </c>
      <c r="F631" s="21">
        <v>9589264337</v>
      </c>
      <c r="G631" s="15" t="s">
        <v>6</v>
      </c>
      <c r="H631" s="15" t="s">
        <v>2235</v>
      </c>
      <c r="I631" s="15" t="s">
        <v>2238</v>
      </c>
      <c r="J631" s="15" t="s">
        <v>172</v>
      </c>
      <c r="K631" s="16">
        <v>33770</v>
      </c>
      <c r="L631" s="16">
        <v>46620</v>
      </c>
      <c r="M631" s="17">
        <f>Table1[[#This Row],[Billing Rate Charges]]-Table1[[#This Row],[ LORRY RATE ]]</f>
        <v>12850</v>
      </c>
      <c r="N631" s="17">
        <v>33770</v>
      </c>
      <c r="O631" s="17">
        <f>Table1[[#This Row],[ LORRY RATE ]]-Table1[[#This Row],[Adance Paid (INR)]]</f>
        <v>0</v>
      </c>
      <c r="P631" s="17" t="s">
        <v>147</v>
      </c>
      <c r="Q631" s="18" t="s">
        <v>743</v>
      </c>
      <c r="R631" s="17"/>
      <c r="S631" s="18" t="s">
        <v>2215</v>
      </c>
      <c r="T631" s="18" t="s">
        <v>2215</v>
      </c>
      <c r="U631" s="15" t="s">
        <v>54</v>
      </c>
      <c r="V631" s="15" t="s">
        <v>56</v>
      </c>
      <c r="W631" s="15"/>
    </row>
    <row r="632" spans="1:23" hidden="1" x14ac:dyDescent="0.3">
      <c r="A632" s="15">
        <v>627</v>
      </c>
      <c r="B632" s="15" t="s">
        <v>2200</v>
      </c>
      <c r="C632" s="19">
        <v>45878</v>
      </c>
      <c r="D632" s="19" t="s">
        <v>56</v>
      </c>
      <c r="E632" s="21" t="s">
        <v>1641</v>
      </c>
      <c r="F632" s="21">
        <v>9281983602</v>
      </c>
      <c r="G632" s="15" t="s">
        <v>6</v>
      </c>
      <c r="H632" s="15" t="s">
        <v>2240</v>
      </c>
      <c r="I632" s="15" t="s">
        <v>2241</v>
      </c>
      <c r="J632" s="15" t="s">
        <v>172</v>
      </c>
      <c r="K632" s="16">
        <v>33770</v>
      </c>
      <c r="L632" s="16">
        <v>46620</v>
      </c>
      <c r="M632" s="17">
        <f>Table1[[#This Row],[Billing Rate Charges]]-Table1[[#This Row],[ LORRY RATE ]]</f>
        <v>12850</v>
      </c>
      <c r="N632" s="17">
        <v>33770</v>
      </c>
      <c r="O632" s="17">
        <f>Table1[[#This Row],[ LORRY RATE ]]-Table1[[#This Row],[Adance Paid (INR)]]</f>
        <v>0</v>
      </c>
      <c r="P632" s="17" t="s">
        <v>147</v>
      </c>
      <c r="Q632" s="18" t="s">
        <v>751</v>
      </c>
      <c r="R632" s="17"/>
      <c r="S632" s="18" t="s">
        <v>2215</v>
      </c>
      <c r="T632" s="18" t="s">
        <v>2216</v>
      </c>
      <c r="U632" s="15" t="s">
        <v>54</v>
      </c>
      <c r="V632" s="15" t="s">
        <v>56</v>
      </c>
      <c r="W632" s="15"/>
    </row>
    <row r="633" spans="1:23" hidden="1" x14ac:dyDescent="0.3">
      <c r="A633" s="15">
        <v>628</v>
      </c>
      <c r="B633" s="15" t="s">
        <v>2200</v>
      </c>
      <c r="C633" s="19">
        <v>45878</v>
      </c>
      <c r="D633" s="19" t="s">
        <v>56</v>
      </c>
      <c r="E633" s="21" t="s">
        <v>38</v>
      </c>
      <c r="F633" s="21">
        <v>9515412075</v>
      </c>
      <c r="G633" s="15" t="s">
        <v>1093</v>
      </c>
      <c r="H633" s="15" t="s">
        <v>2251</v>
      </c>
      <c r="I633" s="15" t="s">
        <v>6</v>
      </c>
      <c r="J633" s="15" t="s">
        <v>59</v>
      </c>
      <c r="K633" s="16">
        <v>40480</v>
      </c>
      <c r="L633" s="16">
        <v>91350</v>
      </c>
      <c r="M633" s="17">
        <f>Table1[[#This Row],[Billing Rate Charges]]-Table1[[#This Row],[ LORRY RATE ]]</f>
        <v>50870</v>
      </c>
      <c r="N633" s="17">
        <v>40480</v>
      </c>
      <c r="O633" s="17">
        <f>Table1[[#This Row],[ LORRY RATE ]]-Table1[[#This Row],[Adance Paid (INR)]]</f>
        <v>0</v>
      </c>
      <c r="P633" s="17" t="s">
        <v>147</v>
      </c>
      <c r="Q633" s="18" t="s">
        <v>752</v>
      </c>
      <c r="R633" s="17"/>
      <c r="S633" s="18" t="s">
        <v>2216</v>
      </c>
      <c r="T633" s="18" t="s">
        <v>2216</v>
      </c>
      <c r="U633" s="15" t="s">
        <v>54</v>
      </c>
      <c r="V633" s="15" t="s">
        <v>56</v>
      </c>
      <c r="W633" s="15"/>
    </row>
    <row r="634" spans="1:23" hidden="1" x14ac:dyDescent="0.3">
      <c r="A634" s="15">
        <v>629</v>
      </c>
      <c r="B634" s="15" t="s">
        <v>2200</v>
      </c>
      <c r="C634" s="19">
        <v>45881</v>
      </c>
      <c r="D634" s="19" t="s">
        <v>56</v>
      </c>
      <c r="E634" s="21" t="s">
        <v>38</v>
      </c>
      <c r="F634" s="21">
        <v>9515412075</v>
      </c>
      <c r="G634" s="15" t="s">
        <v>6</v>
      </c>
      <c r="H634" s="15" t="s">
        <v>2243</v>
      </c>
      <c r="I634" s="15" t="s">
        <v>2244</v>
      </c>
      <c r="J634" s="15" t="s">
        <v>59</v>
      </c>
      <c r="K634" s="16">
        <v>33530</v>
      </c>
      <c r="L634" s="16">
        <v>45040</v>
      </c>
      <c r="M634" s="17">
        <f>Table1[[#This Row],[Billing Rate Charges]]-Table1[[#This Row],[ LORRY RATE ]]</f>
        <v>11510</v>
      </c>
      <c r="N634" s="17">
        <v>33530</v>
      </c>
      <c r="O634" s="17">
        <f>Table1[[#This Row],[ LORRY RATE ]]-Table1[[#This Row],[Adance Paid (INR)]]</f>
        <v>0</v>
      </c>
      <c r="P634" s="17" t="s">
        <v>147</v>
      </c>
      <c r="Q634" s="18" t="s">
        <v>753</v>
      </c>
      <c r="R634" s="17"/>
      <c r="S634" s="18" t="s">
        <v>2216</v>
      </c>
      <c r="T634" s="18" t="s">
        <v>2257</v>
      </c>
      <c r="U634" s="15" t="s">
        <v>54</v>
      </c>
      <c r="V634" s="15" t="s">
        <v>56</v>
      </c>
      <c r="W634" s="15"/>
    </row>
    <row r="635" spans="1:23" hidden="1" x14ac:dyDescent="0.3">
      <c r="A635" s="15">
        <v>630</v>
      </c>
      <c r="B635" s="15" t="s">
        <v>2200</v>
      </c>
      <c r="C635" s="19">
        <v>45881</v>
      </c>
      <c r="D635" s="19" t="s">
        <v>56</v>
      </c>
      <c r="E635" s="21" t="s">
        <v>1637</v>
      </c>
      <c r="F635" s="21">
        <v>9025368773</v>
      </c>
      <c r="G635" s="15" t="s">
        <v>6</v>
      </c>
      <c r="H635" s="15" t="s">
        <v>2245</v>
      </c>
      <c r="I635" s="15" t="s">
        <v>2246</v>
      </c>
      <c r="J635" s="15" t="s">
        <v>172</v>
      </c>
      <c r="K635" s="16">
        <v>33770</v>
      </c>
      <c r="L635" s="16">
        <v>46620</v>
      </c>
      <c r="M635" s="17">
        <f>Table1[[#This Row],[Billing Rate Charges]]-Table1[[#This Row],[ LORRY RATE ]]</f>
        <v>12850</v>
      </c>
      <c r="N635" s="17">
        <v>33770</v>
      </c>
      <c r="O635" s="17">
        <f>Table1[[#This Row],[ LORRY RATE ]]-Table1[[#This Row],[Adance Paid (INR)]]</f>
        <v>0</v>
      </c>
      <c r="P635" s="17" t="s">
        <v>147</v>
      </c>
      <c r="Q635" s="18" t="s">
        <v>816</v>
      </c>
      <c r="R635" s="17"/>
      <c r="S635" s="18" t="s">
        <v>2216</v>
      </c>
      <c r="T635" s="18" t="s">
        <v>2257</v>
      </c>
      <c r="U635" s="15" t="s">
        <v>54</v>
      </c>
      <c r="V635" s="15" t="s">
        <v>56</v>
      </c>
      <c r="W635" s="15"/>
    </row>
    <row r="636" spans="1:23" hidden="1" x14ac:dyDescent="0.3">
      <c r="A636" s="15">
        <v>631</v>
      </c>
      <c r="B636" s="15" t="s">
        <v>2200</v>
      </c>
      <c r="C636" s="19">
        <v>45882</v>
      </c>
      <c r="D636" s="19" t="s">
        <v>51</v>
      </c>
      <c r="E636" s="21" t="s">
        <v>1108</v>
      </c>
      <c r="F636" s="21">
        <v>9299677001</v>
      </c>
      <c r="G636" s="15" t="s">
        <v>6</v>
      </c>
      <c r="H636" s="15" t="s">
        <v>1874</v>
      </c>
      <c r="I636" s="15" t="s">
        <v>2247</v>
      </c>
      <c r="J636" s="15" t="s">
        <v>172</v>
      </c>
      <c r="K636" s="16">
        <v>32290</v>
      </c>
      <c r="L636" s="16">
        <v>40320</v>
      </c>
      <c r="M636" s="17">
        <f>Table1[[#This Row],[Billing Rate Charges]]-Table1[[#This Row],[ LORRY RATE ]]</f>
        <v>8030</v>
      </c>
      <c r="N636" s="17">
        <v>32290</v>
      </c>
      <c r="O636" s="17">
        <f>Table1[[#This Row],[ LORRY RATE ]]-Table1[[#This Row],[Adance Paid (INR)]]</f>
        <v>0</v>
      </c>
      <c r="P636" s="17" t="s">
        <v>147</v>
      </c>
      <c r="Q636" s="18" t="s">
        <v>813</v>
      </c>
      <c r="R636" s="17"/>
      <c r="S636" s="18" t="s">
        <v>2258</v>
      </c>
      <c r="T636" s="18" t="s">
        <v>2259</v>
      </c>
      <c r="U636" s="15" t="s">
        <v>54</v>
      </c>
      <c r="V636" s="15" t="s">
        <v>529</v>
      </c>
      <c r="W636" s="15"/>
    </row>
    <row r="637" spans="1:23" hidden="1" x14ac:dyDescent="0.3">
      <c r="A637" s="15">
        <v>632</v>
      </c>
      <c r="B637" s="15" t="s">
        <v>2200</v>
      </c>
      <c r="C637" s="19">
        <v>45883</v>
      </c>
      <c r="D637" s="19" t="s">
        <v>51</v>
      </c>
      <c r="E637" s="21" t="s">
        <v>2217</v>
      </c>
      <c r="F637" s="21">
        <v>9569183341</v>
      </c>
      <c r="G637" s="15" t="s">
        <v>6</v>
      </c>
      <c r="H637" s="15" t="s">
        <v>1874</v>
      </c>
      <c r="I637" s="15" t="s">
        <v>2248</v>
      </c>
      <c r="J637" s="15" t="s">
        <v>623</v>
      </c>
      <c r="K637" s="16">
        <v>25690</v>
      </c>
      <c r="L637" s="16">
        <v>35600</v>
      </c>
      <c r="M637" s="17">
        <f>Table1[[#This Row],[Billing Rate Charges]]-Table1[[#This Row],[ LORRY RATE ]]</f>
        <v>9910</v>
      </c>
      <c r="N637" s="17">
        <v>25690</v>
      </c>
      <c r="O637" s="17">
        <f>Table1[[#This Row],[ LORRY RATE ]]-Table1[[#This Row],[Adance Paid (INR)]]</f>
        <v>0</v>
      </c>
      <c r="P637" s="17" t="s">
        <v>147</v>
      </c>
      <c r="Q637" s="18" t="s">
        <v>814</v>
      </c>
      <c r="R637" s="17"/>
      <c r="S637" s="18" t="s">
        <v>2259</v>
      </c>
      <c r="T637" s="18" t="s">
        <v>2259</v>
      </c>
      <c r="U637" s="15" t="s">
        <v>54</v>
      </c>
      <c r="V637" s="15" t="s">
        <v>439</v>
      </c>
      <c r="W637" s="15"/>
    </row>
    <row r="638" spans="1:23" hidden="1" x14ac:dyDescent="0.3">
      <c r="A638" s="15">
        <v>633</v>
      </c>
      <c r="B638" s="15" t="s">
        <v>2200</v>
      </c>
      <c r="C638" s="19">
        <v>45883</v>
      </c>
      <c r="D638" s="19" t="s">
        <v>56</v>
      </c>
      <c r="E638" s="21" t="s">
        <v>1644</v>
      </c>
      <c r="F638" s="21">
        <v>9902798068</v>
      </c>
      <c r="G638" s="15" t="s">
        <v>1093</v>
      </c>
      <c r="H638" s="15" t="s">
        <v>1874</v>
      </c>
      <c r="I638" s="15" t="s">
        <v>2291</v>
      </c>
      <c r="J638" s="15" t="s">
        <v>172</v>
      </c>
      <c r="K638" s="16">
        <v>41230</v>
      </c>
      <c r="L638" s="16">
        <v>96390</v>
      </c>
      <c r="M638" s="17">
        <f>Table1[[#This Row],[Billing Rate Charges]]-Table1[[#This Row],[ LORRY RATE ]]</f>
        <v>55160</v>
      </c>
      <c r="N638" s="17">
        <v>41230</v>
      </c>
      <c r="O638" s="17">
        <f>Table1[[#This Row],[ LORRY RATE ]]-Table1[[#This Row],[Adance Paid (INR)]]</f>
        <v>0</v>
      </c>
      <c r="P638" s="17" t="s">
        <v>147</v>
      </c>
      <c r="Q638" s="18" t="s">
        <v>818</v>
      </c>
      <c r="R638" s="17"/>
      <c r="S638" s="18" t="s">
        <v>2260</v>
      </c>
      <c r="T638" s="18" t="s">
        <v>2260</v>
      </c>
      <c r="U638" s="15" t="s">
        <v>54</v>
      </c>
      <c r="V638" s="15" t="s">
        <v>56</v>
      </c>
      <c r="W638" s="15"/>
    </row>
    <row r="639" spans="1:23" hidden="1" x14ac:dyDescent="0.3">
      <c r="A639" s="15">
        <v>634</v>
      </c>
      <c r="B639" s="15" t="s">
        <v>2200</v>
      </c>
      <c r="C639" s="19">
        <v>45885</v>
      </c>
      <c r="D639" s="19" t="s">
        <v>56</v>
      </c>
      <c r="E639" s="21" t="s">
        <v>1635</v>
      </c>
      <c r="F639" s="21">
        <v>9472230553</v>
      </c>
      <c r="G639" s="15" t="s">
        <v>1093</v>
      </c>
      <c r="H639" s="15" t="s">
        <v>2292</v>
      </c>
      <c r="I639" s="15" t="s">
        <v>2293</v>
      </c>
      <c r="J639" s="15" t="s">
        <v>172</v>
      </c>
      <c r="K639" s="16">
        <v>42180</v>
      </c>
      <c r="L639" s="16">
        <v>102690</v>
      </c>
      <c r="M639" s="17">
        <f>Table1[[#This Row],[Billing Rate Charges]]-Table1[[#This Row],[ LORRY RATE ]]</f>
        <v>60510</v>
      </c>
      <c r="N639" s="17">
        <v>42180</v>
      </c>
      <c r="O639" s="17">
        <f>Table1[[#This Row],[ LORRY RATE ]]-Table1[[#This Row],[Adance Paid (INR)]]</f>
        <v>0</v>
      </c>
      <c r="P639" s="17" t="s">
        <v>147</v>
      </c>
      <c r="Q639" s="18" t="s">
        <v>819</v>
      </c>
      <c r="R639" s="17"/>
      <c r="S639" s="18" t="s">
        <v>2261</v>
      </c>
      <c r="T639" s="18" t="s">
        <v>2261</v>
      </c>
      <c r="U639" s="15" t="s">
        <v>54</v>
      </c>
      <c r="V639" s="15" t="s">
        <v>56</v>
      </c>
      <c r="W639" s="15"/>
    </row>
    <row r="640" spans="1:23" hidden="1" x14ac:dyDescent="0.3">
      <c r="A640" s="15">
        <v>635</v>
      </c>
      <c r="B640" s="15" t="s">
        <v>2200</v>
      </c>
      <c r="C640" s="19">
        <v>45885</v>
      </c>
      <c r="D640" s="19" t="s">
        <v>51</v>
      </c>
      <c r="E640" s="21" t="s">
        <v>2256</v>
      </c>
      <c r="F640" s="21">
        <v>9371069421</v>
      </c>
      <c r="G640" s="15" t="s">
        <v>1542</v>
      </c>
      <c r="H640" s="15" t="s">
        <v>1874</v>
      </c>
      <c r="I640" s="15" t="s">
        <v>2294</v>
      </c>
      <c r="J640" s="15" t="s">
        <v>168</v>
      </c>
      <c r="K640" s="16">
        <v>13190</v>
      </c>
      <c r="L640" s="16">
        <v>16380</v>
      </c>
      <c r="M640" s="17">
        <f>Table1[[#This Row],[Billing Rate Charges]]-Table1[[#This Row],[ LORRY RATE ]]</f>
        <v>3190</v>
      </c>
      <c r="N640" s="17">
        <v>13190</v>
      </c>
      <c r="O640" s="17">
        <f>Table1[[#This Row],[ LORRY RATE ]]-Table1[[#This Row],[Adance Paid (INR)]]</f>
        <v>0</v>
      </c>
      <c r="P640" s="17" t="s">
        <v>147</v>
      </c>
      <c r="Q640" s="18" t="s">
        <v>820</v>
      </c>
      <c r="R640" s="17"/>
      <c r="S640" s="18" t="s">
        <v>2258</v>
      </c>
      <c r="T640" s="18" t="s">
        <v>2258</v>
      </c>
      <c r="U640" s="15" t="s">
        <v>54</v>
      </c>
      <c r="V640" s="15" t="s">
        <v>1546</v>
      </c>
      <c r="W640" s="15"/>
    </row>
    <row r="641" spans="1:23" hidden="1" x14ac:dyDescent="0.3">
      <c r="A641" s="15">
        <v>636</v>
      </c>
      <c r="B641" s="15" t="s">
        <v>2200</v>
      </c>
      <c r="C641" s="19">
        <v>45887</v>
      </c>
      <c r="D641" s="19" t="s">
        <v>56</v>
      </c>
      <c r="E641" s="21" t="s">
        <v>1644</v>
      </c>
      <c r="F641" s="21">
        <v>9220186371</v>
      </c>
      <c r="G641" s="15" t="s">
        <v>6</v>
      </c>
      <c r="H641" s="15" t="s">
        <v>2270</v>
      </c>
      <c r="I641" s="15" t="s">
        <v>2271</v>
      </c>
      <c r="J641" s="15" t="s">
        <v>172</v>
      </c>
      <c r="K641" s="16">
        <v>33770</v>
      </c>
      <c r="L641" s="16">
        <v>46620</v>
      </c>
      <c r="M641" s="17">
        <f>Table1[[#This Row],[Billing Rate Charges]]-Table1[[#This Row],[ LORRY RATE ]]</f>
        <v>12850</v>
      </c>
      <c r="N641" s="17">
        <v>33770</v>
      </c>
      <c r="O641" s="17">
        <f>Table1[[#This Row],[ LORRY RATE ]]-Table1[[#This Row],[Adance Paid (INR)]]</f>
        <v>0</v>
      </c>
      <c r="P641" s="17" t="s">
        <v>147</v>
      </c>
      <c r="Q641" s="18" t="s">
        <v>821</v>
      </c>
      <c r="R641" s="17"/>
      <c r="S641" s="18" t="s">
        <v>2262</v>
      </c>
      <c r="T641" s="18" t="s">
        <v>2262</v>
      </c>
      <c r="U641" s="15" t="s">
        <v>54</v>
      </c>
      <c r="V641" s="15" t="s">
        <v>56</v>
      </c>
      <c r="W641" s="15"/>
    </row>
    <row r="642" spans="1:23" hidden="1" x14ac:dyDescent="0.3">
      <c r="A642" s="15">
        <v>637</v>
      </c>
      <c r="B642" s="15" t="s">
        <v>2200</v>
      </c>
      <c r="C642" s="19">
        <v>45887</v>
      </c>
      <c r="D642" s="19" t="s">
        <v>51</v>
      </c>
      <c r="E642" s="21" t="s">
        <v>757</v>
      </c>
      <c r="F642" s="21">
        <v>9030586663</v>
      </c>
      <c r="G642" s="15" t="s">
        <v>6</v>
      </c>
      <c r="H642" s="15" t="s">
        <v>1874</v>
      </c>
      <c r="I642" s="15" t="s">
        <v>2272</v>
      </c>
      <c r="J642" s="15" t="s">
        <v>623</v>
      </c>
      <c r="K642" s="16">
        <v>25690</v>
      </c>
      <c r="L642" s="16">
        <v>35600</v>
      </c>
      <c r="M642" s="17">
        <f>Table1[[#This Row],[Billing Rate Charges]]-Table1[[#This Row],[ LORRY RATE ]]</f>
        <v>9910</v>
      </c>
      <c r="N642" s="17">
        <v>25690</v>
      </c>
      <c r="O642" s="17">
        <f>Table1[[#This Row],[ LORRY RATE ]]-Table1[[#This Row],[Adance Paid (INR)]]</f>
        <v>0</v>
      </c>
      <c r="P642" s="17" t="s">
        <v>147</v>
      </c>
      <c r="Q642" s="18" t="s">
        <v>822</v>
      </c>
      <c r="R642" s="17"/>
      <c r="S642" s="18" t="s">
        <v>2262</v>
      </c>
      <c r="T642" s="18" t="s">
        <v>2262</v>
      </c>
      <c r="U642" s="15" t="s">
        <v>54</v>
      </c>
      <c r="V642" s="15" t="s">
        <v>439</v>
      </c>
      <c r="W642" s="15"/>
    </row>
    <row r="643" spans="1:23" hidden="1" x14ac:dyDescent="0.3">
      <c r="A643" s="15">
        <v>638</v>
      </c>
      <c r="B643" s="15" t="s">
        <v>2200</v>
      </c>
      <c r="C643" s="19">
        <v>45888</v>
      </c>
      <c r="D643" s="19" t="s">
        <v>56</v>
      </c>
      <c r="E643" s="21" t="s">
        <v>1635</v>
      </c>
      <c r="F643" s="21">
        <v>9472230553</v>
      </c>
      <c r="G643" s="15" t="s">
        <v>6</v>
      </c>
      <c r="H643" s="15" t="s">
        <v>2273</v>
      </c>
      <c r="I643" s="15" t="s">
        <v>2274</v>
      </c>
      <c r="J643" s="15" t="s">
        <v>172</v>
      </c>
      <c r="K643" s="16">
        <v>33770</v>
      </c>
      <c r="L643" s="16">
        <v>46620</v>
      </c>
      <c r="M643" s="17">
        <f>Table1[[#This Row],[Billing Rate Charges]]-Table1[[#This Row],[ LORRY RATE ]]</f>
        <v>12850</v>
      </c>
      <c r="N643" s="17">
        <v>33770</v>
      </c>
      <c r="O643" s="17">
        <f>Table1[[#This Row],[ LORRY RATE ]]-Table1[[#This Row],[Adance Paid (INR)]]</f>
        <v>0</v>
      </c>
      <c r="P643" s="17" t="s">
        <v>147</v>
      </c>
      <c r="Q643" s="18" t="s">
        <v>823</v>
      </c>
      <c r="R643" s="17"/>
      <c r="S643" s="18" t="s">
        <v>2264</v>
      </c>
      <c r="T643" s="18" t="s">
        <v>2264</v>
      </c>
      <c r="U643" s="15" t="s">
        <v>54</v>
      </c>
      <c r="V643" s="15" t="s">
        <v>56</v>
      </c>
      <c r="W643" s="15"/>
    </row>
    <row r="644" spans="1:23" hidden="1" x14ac:dyDescent="0.3">
      <c r="A644" s="15">
        <v>639</v>
      </c>
      <c r="B644" s="15" t="s">
        <v>2200</v>
      </c>
      <c r="C644" s="19">
        <v>45890</v>
      </c>
      <c r="D644" s="19" t="s">
        <v>56</v>
      </c>
      <c r="E644" s="21" t="s">
        <v>60</v>
      </c>
      <c r="F644" s="21">
        <v>9589264337</v>
      </c>
      <c r="G644" s="15" t="s">
        <v>6</v>
      </c>
      <c r="H644" s="15" t="s">
        <v>2275</v>
      </c>
      <c r="I644" s="15" t="s">
        <v>2276</v>
      </c>
      <c r="J644" s="15" t="s">
        <v>172</v>
      </c>
      <c r="K644" s="16">
        <v>33770</v>
      </c>
      <c r="L644" s="16">
        <v>46620</v>
      </c>
      <c r="M644" s="17">
        <f>Table1[[#This Row],[Billing Rate Charges]]-Table1[[#This Row],[ LORRY RATE ]]</f>
        <v>12850</v>
      </c>
      <c r="N644" s="17">
        <v>33770</v>
      </c>
      <c r="O644" s="17">
        <f>Table1[[#This Row],[ LORRY RATE ]]-Table1[[#This Row],[Adance Paid (INR)]]</f>
        <v>0</v>
      </c>
      <c r="P644" s="17" t="s">
        <v>147</v>
      </c>
      <c r="Q644" s="18" t="s">
        <v>825</v>
      </c>
      <c r="R644" s="17"/>
      <c r="S644" s="18" t="s">
        <v>2267</v>
      </c>
      <c r="T644" s="18" t="s">
        <v>2268</v>
      </c>
      <c r="U644" s="15" t="s">
        <v>54</v>
      </c>
      <c r="V644" s="15" t="s">
        <v>56</v>
      </c>
      <c r="W644" s="15"/>
    </row>
    <row r="645" spans="1:23" hidden="1" x14ac:dyDescent="0.3">
      <c r="A645" s="15">
        <v>640</v>
      </c>
      <c r="B645" s="15" t="s">
        <v>2200</v>
      </c>
      <c r="C645" s="19">
        <v>45891</v>
      </c>
      <c r="D645" s="19" t="s">
        <v>56</v>
      </c>
      <c r="E645" s="21" t="s">
        <v>1641</v>
      </c>
      <c r="F645" s="21">
        <v>9281983602</v>
      </c>
      <c r="G645" s="15" t="s">
        <v>6</v>
      </c>
      <c r="H645" s="15" t="s">
        <v>2277</v>
      </c>
      <c r="I645" s="15" t="s">
        <v>2278</v>
      </c>
      <c r="J645" s="15" t="s">
        <v>172</v>
      </c>
      <c r="K645" s="16">
        <v>33770</v>
      </c>
      <c r="L645" s="16">
        <v>46620</v>
      </c>
      <c r="M645" s="17">
        <f>Table1[[#This Row],[Billing Rate Charges]]-Table1[[#This Row],[ LORRY RATE ]]</f>
        <v>12850</v>
      </c>
      <c r="N645" s="17">
        <v>33770</v>
      </c>
      <c r="O645" s="17">
        <f>Table1[[#This Row],[ LORRY RATE ]]-Table1[[#This Row],[Adance Paid (INR)]]</f>
        <v>0</v>
      </c>
      <c r="P645" s="17" t="s">
        <v>147</v>
      </c>
      <c r="Q645" s="18" t="s">
        <v>826</v>
      </c>
      <c r="R645" s="17"/>
      <c r="S645" s="18" t="s">
        <v>2267</v>
      </c>
      <c r="T645" s="18" t="s">
        <v>2268</v>
      </c>
      <c r="U645" s="15" t="s">
        <v>54</v>
      </c>
      <c r="V645" s="15" t="s">
        <v>56</v>
      </c>
      <c r="W645" s="15"/>
    </row>
    <row r="646" spans="1:23" hidden="1" x14ac:dyDescent="0.3">
      <c r="A646" s="15">
        <v>641</v>
      </c>
      <c r="B646" s="15" t="s">
        <v>2200</v>
      </c>
      <c r="C646" s="19">
        <v>45891</v>
      </c>
      <c r="D646" s="19" t="s">
        <v>51</v>
      </c>
      <c r="E646" s="21" t="s">
        <v>2263</v>
      </c>
      <c r="F646" s="21">
        <v>9112622468</v>
      </c>
      <c r="G646" s="15" t="s">
        <v>6</v>
      </c>
      <c r="H646" s="15" t="s">
        <v>2280</v>
      </c>
      <c r="I646" s="15" t="s">
        <v>2281</v>
      </c>
      <c r="J646" s="15" t="s">
        <v>623</v>
      </c>
      <c r="K646" s="16">
        <v>27700</v>
      </c>
      <c r="L646" s="16">
        <v>41900</v>
      </c>
      <c r="M646" s="17">
        <f>Table1[[#This Row],[Billing Rate Charges]]-Table1[[#This Row],[ LORRY RATE ]]</f>
        <v>14200</v>
      </c>
      <c r="N646" s="17">
        <v>27700</v>
      </c>
      <c r="O646" s="17">
        <f>Table1[[#This Row],[ LORRY RATE ]]-Table1[[#This Row],[Adance Paid (INR)]]</f>
        <v>0</v>
      </c>
      <c r="P646" s="17" t="s">
        <v>147</v>
      </c>
      <c r="Q646" s="18" t="s">
        <v>824</v>
      </c>
      <c r="R646" s="17"/>
      <c r="S646" s="18" t="s">
        <v>2299</v>
      </c>
      <c r="T646" s="18" t="s">
        <v>2299</v>
      </c>
      <c r="U646" s="15" t="s">
        <v>54</v>
      </c>
      <c r="V646" s="15" t="s">
        <v>529</v>
      </c>
      <c r="W646" s="15"/>
    </row>
    <row r="647" spans="1:23" hidden="1" x14ac:dyDescent="0.3">
      <c r="A647" s="15">
        <v>642</v>
      </c>
      <c r="B647" s="15" t="s">
        <v>2200</v>
      </c>
      <c r="C647" s="19">
        <v>45892</v>
      </c>
      <c r="D647" s="19" t="s">
        <v>56</v>
      </c>
      <c r="E647" s="21" t="s">
        <v>1637</v>
      </c>
      <c r="F647" s="21">
        <v>9025368773</v>
      </c>
      <c r="G647" s="15" t="s">
        <v>6</v>
      </c>
      <c r="H647" s="15" t="s">
        <v>2282</v>
      </c>
      <c r="I647" s="15" t="s">
        <v>2283</v>
      </c>
      <c r="J647" s="15" t="s">
        <v>172</v>
      </c>
      <c r="K647" s="16">
        <v>33770</v>
      </c>
      <c r="L647" s="16">
        <v>46620</v>
      </c>
      <c r="M647" s="17">
        <f>Table1[[#This Row],[Billing Rate Charges]]-Table1[[#This Row],[ LORRY RATE ]]</f>
        <v>12850</v>
      </c>
      <c r="N647" s="17">
        <v>33770</v>
      </c>
      <c r="O647" s="17">
        <f>Table1[[#This Row],[ LORRY RATE ]]-Table1[[#This Row],[Adance Paid (INR)]]</f>
        <v>0</v>
      </c>
      <c r="P647" s="17" t="s">
        <v>147</v>
      </c>
      <c r="Q647" s="18" t="s">
        <v>815</v>
      </c>
      <c r="R647" s="17"/>
      <c r="S647" s="18" t="s">
        <v>2269</v>
      </c>
      <c r="T647" s="18" t="s">
        <v>2269</v>
      </c>
      <c r="U647" s="15" t="s">
        <v>54</v>
      </c>
      <c r="V647" s="15" t="s">
        <v>56</v>
      </c>
      <c r="W647" s="15"/>
    </row>
    <row r="648" spans="1:23" hidden="1" x14ac:dyDescent="0.3">
      <c r="A648" s="15">
        <v>643</v>
      </c>
      <c r="B648" s="15" t="s">
        <v>2200</v>
      </c>
      <c r="C648" s="19">
        <v>45892</v>
      </c>
      <c r="D648" s="19" t="s">
        <v>51</v>
      </c>
      <c r="E648" s="21" t="s">
        <v>2265</v>
      </c>
      <c r="F648" s="21">
        <v>9988659797</v>
      </c>
      <c r="G648" s="15" t="s">
        <v>6</v>
      </c>
      <c r="H648" s="15" t="s">
        <v>1874</v>
      </c>
      <c r="I648" s="15" t="s">
        <v>2279</v>
      </c>
      <c r="J648" s="15" t="s">
        <v>172</v>
      </c>
      <c r="K648" s="16">
        <v>32290</v>
      </c>
      <c r="L648" s="16">
        <v>40320</v>
      </c>
      <c r="M648" s="17">
        <f>Table1[[#This Row],[Billing Rate Charges]]-Table1[[#This Row],[ LORRY RATE ]]</f>
        <v>8030</v>
      </c>
      <c r="N648" s="17">
        <v>32290</v>
      </c>
      <c r="O648" s="17">
        <f>Table1[[#This Row],[ LORRY RATE ]]-Table1[[#This Row],[Adance Paid (INR)]]</f>
        <v>0</v>
      </c>
      <c r="P648" s="17" t="s">
        <v>147</v>
      </c>
      <c r="Q648" s="18" t="s">
        <v>827</v>
      </c>
      <c r="R648" s="17"/>
      <c r="S648" s="18" t="s">
        <v>2298</v>
      </c>
      <c r="T648" s="18" t="s">
        <v>2297</v>
      </c>
      <c r="U648" s="15" t="s">
        <v>54</v>
      </c>
      <c r="V648" s="15" t="s">
        <v>213</v>
      </c>
      <c r="W648" s="15"/>
    </row>
    <row r="649" spans="1:23" hidden="1" x14ac:dyDescent="0.3">
      <c r="A649" s="15">
        <v>644</v>
      </c>
      <c r="B649" s="15" t="s">
        <v>2200</v>
      </c>
      <c r="C649" s="19">
        <v>45893</v>
      </c>
      <c r="D649" s="19" t="s">
        <v>56</v>
      </c>
      <c r="E649" s="21" t="s">
        <v>38</v>
      </c>
      <c r="F649" s="21">
        <v>9515412075</v>
      </c>
      <c r="G649" s="15" t="s">
        <v>1093</v>
      </c>
      <c r="H649" s="15" t="s">
        <v>2295</v>
      </c>
      <c r="I649" s="15" t="s">
        <v>6</v>
      </c>
      <c r="J649" s="15" t="s">
        <v>59</v>
      </c>
      <c r="K649" s="16">
        <v>42370</v>
      </c>
      <c r="L649" s="16">
        <v>103950</v>
      </c>
      <c r="M649" s="17">
        <f>Table1[[#This Row],[Billing Rate Charges]]-Table1[[#This Row],[ LORRY RATE ]]</f>
        <v>61580</v>
      </c>
      <c r="N649" s="17">
        <v>42370</v>
      </c>
      <c r="O649" s="17">
        <f>Table1[[#This Row],[ LORRY RATE ]]-Table1[[#This Row],[Adance Paid (INR)]]</f>
        <v>0</v>
      </c>
      <c r="P649" s="17" t="s">
        <v>147</v>
      </c>
      <c r="Q649" s="18" t="s">
        <v>832</v>
      </c>
      <c r="R649" s="17"/>
      <c r="S649" s="18" t="s">
        <v>2269</v>
      </c>
      <c r="T649" s="18" t="s">
        <v>2269</v>
      </c>
      <c r="U649" s="15" t="s">
        <v>54</v>
      </c>
      <c r="V649" s="15" t="s">
        <v>56</v>
      </c>
      <c r="W649" s="15"/>
    </row>
    <row r="650" spans="1:23" hidden="1" x14ac:dyDescent="0.3">
      <c r="A650" s="15">
        <v>645</v>
      </c>
      <c r="B650" s="15" t="s">
        <v>2200</v>
      </c>
      <c r="C650" s="19">
        <v>45894</v>
      </c>
      <c r="D650" s="19" t="s">
        <v>51</v>
      </c>
      <c r="E650" s="21" t="s">
        <v>2266</v>
      </c>
      <c r="F650" s="21">
        <v>9671832523</v>
      </c>
      <c r="G650" s="15" t="s">
        <v>6</v>
      </c>
      <c r="H650" s="15" t="s">
        <v>2284</v>
      </c>
      <c r="I650" s="15" t="s">
        <v>2285</v>
      </c>
      <c r="J650" s="15" t="s">
        <v>172</v>
      </c>
      <c r="K650" s="16">
        <v>33770</v>
      </c>
      <c r="L650" s="16">
        <v>46620</v>
      </c>
      <c r="M650" s="17">
        <f>Table1[[#This Row],[Billing Rate Charges]]-Table1[[#This Row],[ LORRY RATE ]]</f>
        <v>12850</v>
      </c>
      <c r="N650" s="17">
        <v>33770</v>
      </c>
      <c r="O650" s="17">
        <f>Table1[[#This Row],[ LORRY RATE ]]-Table1[[#This Row],[Adance Paid (INR)]]</f>
        <v>0</v>
      </c>
      <c r="P650" s="17" t="s">
        <v>147</v>
      </c>
      <c r="Q650" s="18" t="s">
        <v>833</v>
      </c>
      <c r="R650" s="17"/>
      <c r="S650" s="18" t="s">
        <v>2297</v>
      </c>
      <c r="T650" s="18" t="s">
        <v>2299</v>
      </c>
      <c r="U650" s="15" t="s">
        <v>54</v>
      </c>
      <c r="V650" s="15" t="s">
        <v>529</v>
      </c>
      <c r="W650" s="15"/>
    </row>
    <row r="651" spans="1:23" hidden="1" x14ac:dyDescent="0.3">
      <c r="A651" s="15">
        <v>646</v>
      </c>
      <c r="B651" s="15" t="s">
        <v>2200</v>
      </c>
      <c r="C651" s="19">
        <v>45895</v>
      </c>
      <c r="D651" s="19" t="s">
        <v>56</v>
      </c>
      <c r="E651" s="21" t="s">
        <v>2286</v>
      </c>
      <c r="F651" s="21">
        <v>9220186371</v>
      </c>
      <c r="G651" s="15" t="s">
        <v>6</v>
      </c>
      <c r="H651" s="15" t="s">
        <v>2287</v>
      </c>
      <c r="I651" s="15" t="s">
        <v>2288</v>
      </c>
      <c r="J651" s="15" t="s">
        <v>172</v>
      </c>
      <c r="K651" s="16">
        <v>33770</v>
      </c>
      <c r="L651" s="16">
        <v>46620</v>
      </c>
      <c r="M651" s="17">
        <f>Table1[[#This Row],[Billing Rate Charges]]-Table1[[#This Row],[ LORRY RATE ]]</f>
        <v>12850</v>
      </c>
      <c r="N651" s="17">
        <v>33770</v>
      </c>
      <c r="O651" s="17">
        <f>Table1[[#This Row],[ LORRY RATE ]]-Table1[[#This Row],[Adance Paid (INR)]]</f>
        <v>0</v>
      </c>
      <c r="P651" s="17" t="s">
        <v>147</v>
      </c>
      <c r="Q651" s="18" t="s">
        <v>834</v>
      </c>
      <c r="R651" s="17"/>
      <c r="S651" s="18" t="s">
        <v>2303</v>
      </c>
      <c r="T651" s="18" t="s">
        <v>2303</v>
      </c>
      <c r="U651" s="15" t="s">
        <v>54</v>
      </c>
      <c r="V651" s="15" t="s">
        <v>56</v>
      </c>
      <c r="W651" s="15"/>
    </row>
    <row r="652" spans="1:23" hidden="1" x14ac:dyDescent="0.3">
      <c r="A652" s="15">
        <v>647</v>
      </c>
      <c r="B652" s="15" t="s">
        <v>2200</v>
      </c>
      <c r="C652" s="19">
        <v>45896</v>
      </c>
      <c r="D652" s="19" t="s">
        <v>56</v>
      </c>
      <c r="E652" s="21" t="s">
        <v>1641</v>
      </c>
      <c r="F652" s="21">
        <v>9281983602</v>
      </c>
      <c r="G652" s="15" t="s">
        <v>1093</v>
      </c>
      <c r="H652" s="15" t="s">
        <v>2296</v>
      </c>
      <c r="I652" s="15" t="s">
        <v>6</v>
      </c>
      <c r="J652" s="15" t="s">
        <v>172</v>
      </c>
      <c r="K652" s="16">
        <v>41230</v>
      </c>
      <c r="L652" s="16">
        <v>96390</v>
      </c>
      <c r="M652" s="17">
        <f>Table1[[#This Row],[Billing Rate Charges]]-Table1[[#This Row],[ LORRY RATE ]]</f>
        <v>55160</v>
      </c>
      <c r="N652" s="17">
        <v>41230</v>
      </c>
      <c r="O652" s="17">
        <f>Table1[[#This Row],[ LORRY RATE ]]-Table1[[#This Row],[Adance Paid (INR)]]</f>
        <v>0</v>
      </c>
      <c r="P652" s="17" t="s">
        <v>147</v>
      </c>
      <c r="Q652" s="18" t="s">
        <v>828</v>
      </c>
      <c r="R652" s="17"/>
      <c r="S652" s="18" t="s">
        <v>2299</v>
      </c>
      <c r="T652" s="18" t="s">
        <v>2299</v>
      </c>
      <c r="U652" s="15" t="s">
        <v>54</v>
      </c>
      <c r="V652" s="15" t="s">
        <v>56</v>
      </c>
      <c r="W652" s="15"/>
    </row>
    <row r="653" spans="1:23" hidden="1" x14ac:dyDescent="0.3">
      <c r="A653" s="15">
        <v>648</v>
      </c>
      <c r="B653" s="15" t="s">
        <v>2200</v>
      </c>
      <c r="C653" s="19">
        <v>45896</v>
      </c>
      <c r="D653" s="19" t="s">
        <v>56</v>
      </c>
      <c r="E653" s="21" t="s">
        <v>1635</v>
      </c>
      <c r="F653" s="21">
        <v>9472230553</v>
      </c>
      <c r="G653" s="15" t="s">
        <v>6</v>
      </c>
      <c r="H653" s="15" t="s">
        <v>2289</v>
      </c>
      <c r="I653" s="15" t="s">
        <v>2290</v>
      </c>
      <c r="J653" s="15" t="s">
        <v>172</v>
      </c>
      <c r="K653" s="16">
        <v>33770</v>
      </c>
      <c r="L653" s="16">
        <v>46620</v>
      </c>
      <c r="M653" s="17">
        <f>Table1[[#This Row],[Billing Rate Charges]]-Table1[[#This Row],[ LORRY RATE ]]</f>
        <v>12850</v>
      </c>
      <c r="N653" s="17">
        <v>33770</v>
      </c>
      <c r="O653" s="17">
        <f>Table1[[#This Row],[ LORRY RATE ]]-Table1[[#This Row],[Adance Paid (INR)]]</f>
        <v>0</v>
      </c>
      <c r="P653" s="17" t="s">
        <v>147</v>
      </c>
      <c r="Q653" s="18" t="s">
        <v>829</v>
      </c>
      <c r="R653" s="17"/>
      <c r="S653" s="18" t="s">
        <v>2303</v>
      </c>
      <c r="T653" s="18" t="s">
        <v>2303</v>
      </c>
      <c r="U653" s="15" t="s">
        <v>54</v>
      </c>
      <c r="V653" s="15" t="s">
        <v>56</v>
      </c>
      <c r="W653" s="15"/>
    </row>
    <row r="654" spans="1:23" hidden="1" x14ac:dyDescent="0.3">
      <c r="A654" s="15">
        <v>649</v>
      </c>
      <c r="B654" s="15" t="s">
        <v>2200</v>
      </c>
      <c r="C654" s="19">
        <v>45897</v>
      </c>
      <c r="D654" s="19" t="s">
        <v>56</v>
      </c>
      <c r="E654" s="21" t="s">
        <v>60</v>
      </c>
      <c r="F654" s="21">
        <v>9589264337</v>
      </c>
      <c r="G654" s="15" t="s">
        <v>1093</v>
      </c>
      <c r="H654" s="15" t="s">
        <v>2310</v>
      </c>
      <c r="I654" s="15" t="s">
        <v>6</v>
      </c>
      <c r="J654" s="15" t="s">
        <v>172</v>
      </c>
      <c r="K654" s="16">
        <v>42180</v>
      </c>
      <c r="L654" s="16">
        <v>102690</v>
      </c>
      <c r="M654" s="17">
        <f>Table1[[#This Row],[Billing Rate Charges]]-Table1[[#This Row],[ LORRY RATE ]]</f>
        <v>60510</v>
      </c>
      <c r="N654" s="17">
        <v>42180</v>
      </c>
      <c r="O654" s="17">
        <f>Table1[[#This Row],[ LORRY RATE ]]-Table1[[#This Row],[Adance Paid (INR)]]</f>
        <v>0</v>
      </c>
      <c r="P654" s="17" t="s">
        <v>147</v>
      </c>
      <c r="Q654" s="18" t="s">
        <v>830</v>
      </c>
      <c r="R654" s="17"/>
      <c r="S654" s="18" t="s">
        <v>2304</v>
      </c>
      <c r="T654" s="18" t="s">
        <v>2304</v>
      </c>
      <c r="U654" s="15" t="s">
        <v>54</v>
      </c>
      <c r="V654" s="15" t="s">
        <v>56</v>
      </c>
      <c r="W654" s="15"/>
    </row>
    <row r="655" spans="1:23" hidden="1" x14ac:dyDescent="0.3">
      <c r="A655" s="15">
        <v>650</v>
      </c>
      <c r="B655" s="15" t="s">
        <v>2200</v>
      </c>
      <c r="C655" s="19">
        <v>45897</v>
      </c>
      <c r="D655" s="19" t="s">
        <v>56</v>
      </c>
      <c r="E655" s="21" t="s">
        <v>38</v>
      </c>
      <c r="F655" s="21">
        <v>9025368773</v>
      </c>
      <c r="G655" s="15" t="s">
        <v>6</v>
      </c>
      <c r="H655" s="15" t="s">
        <v>2323</v>
      </c>
      <c r="I655" s="15" t="s">
        <v>2324</v>
      </c>
      <c r="J655" s="15" t="s">
        <v>59</v>
      </c>
      <c r="K655" s="16">
        <v>33530</v>
      </c>
      <c r="L655" s="16">
        <v>45040</v>
      </c>
      <c r="M655" s="17">
        <f>Table1[[#This Row],[Billing Rate Charges]]-Table1[[#This Row],[ LORRY RATE ]]</f>
        <v>11510</v>
      </c>
      <c r="N655" s="17">
        <v>33530</v>
      </c>
      <c r="O655" s="17">
        <f>Table1[[#This Row],[ LORRY RATE ]]-Table1[[#This Row],[Adance Paid (INR)]]</f>
        <v>0</v>
      </c>
      <c r="P655" s="17" t="s">
        <v>147</v>
      </c>
      <c r="Q655" s="18" t="s">
        <v>831</v>
      </c>
      <c r="R655" s="17"/>
      <c r="S655" s="18" t="s">
        <v>2304</v>
      </c>
      <c r="T655" s="18" t="s">
        <v>2304</v>
      </c>
      <c r="U655" s="15" t="s">
        <v>54</v>
      </c>
      <c r="V655" s="15" t="s">
        <v>56</v>
      </c>
      <c r="W655" s="15"/>
    </row>
    <row r="656" spans="1:23" hidden="1" x14ac:dyDescent="0.3">
      <c r="A656" s="15">
        <v>651</v>
      </c>
      <c r="B656" s="15" t="s">
        <v>2200</v>
      </c>
      <c r="C656" s="19">
        <v>45898</v>
      </c>
      <c r="D656" s="19" t="s">
        <v>56</v>
      </c>
      <c r="E656" s="15" t="s">
        <v>1641</v>
      </c>
      <c r="F656" s="15">
        <v>9281983602</v>
      </c>
      <c r="G656" s="15" t="s">
        <v>6</v>
      </c>
      <c r="H656" s="15" t="s">
        <v>2315</v>
      </c>
      <c r="I656" s="15" t="s">
        <v>2316</v>
      </c>
      <c r="J656" s="15" t="s">
        <v>172</v>
      </c>
      <c r="K656" s="16">
        <v>33770</v>
      </c>
      <c r="L656" s="16">
        <v>46620</v>
      </c>
      <c r="M656" s="17">
        <f>Table1[[#This Row],[Billing Rate Charges]]-Table1[[#This Row],[ LORRY RATE ]]</f>
        <v>12850</v>
      </c>
      <c r="N656" s="17">
        <v>33770</v>
      </c>
      <c r="O656" s="17">
        <f>Table1[[#This Row],[ LORRY RATE ]]-Table1[[#This Row],[Adance Paid (INR)]]</f>
        <v>0</v>
      </c>
      <c r="P656" s="17" t="s">
        <v>147</v>
      </c>
      <c r="Q656" s="18" t="s">
        <v>844</v>
      </c>
      <c r="R656" s="17"/>
      <c r="S656" s="18" t="s">
        <v>2306</v>
      </c>
      <c r="T656" s="18" t="s">
        <v>2308</v>
      </c>
      <c r="U656" s="15" t="s">
        <v>54</v>
      </c>
      <c r="V656" s="15" t="s">
        <v>56</v>
      </c>
      <c r="W656" s="15"/>
    </row>
    <row r="657" spans="1:23" hidden="1" x14ac:dyDescent="0.3">
      <c r="A657" s="15">
        <v>652</v>
      </c>
      <c r="B657" s="15" t="s">
        <v>2200</v>
      </c>
      <c r="C657" s="19">
        <v>45899</v>
      </c>
      <c r="D657" s="19" t="s">
        <v>56</v>
      </c>
      <c r="E657" s="21" t="s">
        <v>1637</v>
      </c>
      <c r="F657" s="21">
        <v>9842431449</v>
      </c>
      <c r="G657" s="15" t="s">
        <v>1093</v>
      </c>
      <c r="H657" s="15" t="s">
        <v>2311</v>
      </c>
      <c r="I657" s="15" t="s">
        <v>6</v>
      </c>
      <c r="J657" s="15" t="s">
        <v>172</v>
      </c>
      <c r="K657" s="16">
        <v>42180</v>
      </c>
      <c r="L657" s="16">
        <v>102690</v>
      </c>
      <c r="M657" s="17">
        <f>Table1[[#This Row],[Billing Rate Charges]]-Table1[[#This Row],[ LORRY RATE ]]</f>
        <v>60510</v>
      </c>
      <c r="N657" s="17">
        <v>42180</v>
      </c>
      <c r="O657" s="17">
        <f>Table1[[#This Row],[ LORRY RATE ]]-Table1[[#This Row],[Adance Paid (INR)]]</f>
        <v>0</v>
      </c>
      <c r="P657" s="17" t="s">
        <v>147</v>
      </c>
      <c r="Q657" s="18" t="s">
        <v>845</v>
      </c>
      <c r="R657" s="17"/>
      <c r="S657" s="18" t="s">
        <v>2305</v>
      </c>
      <c r="T657" s="18" t="s">
        <v>2306</v>
      </c>
      <c r="U657" s="15" t="s">
        <v>54</v>
      </c>
      <c r="V657" s="15" t="s">
        <v>56</v>
      </c>
      <c r="W657" s="15"/>
    </row>
    <row r="658" spans="1:23" hidden="1" x14ac:dyDescent="0.3">
      <c r="A658" s="15">
        <v>653</v>
      </c>
      <c r="B658" s="15" t="s">
        <v>2200</v>
      </c>
      <c r="C658" s="19">
        <v>45900</v>
      </c>
      <c r="D658" s="19" t="s">
        <v>56</v>
      </c>
      <c r="E658" s="21" t="s">
        <v>60</v>
      </c>
      <c r="F658" s="21">
        <v>9589264337</v>
      </c>
      <c r="G658" s="15" t="s">
        <v>6</v>
      </c>
      <c r="H658" s="15" t="s">
        <v>2317</v>
      </c>
      <c r="I658" s="15" t="s">
        <v>2318</v>
      </c>
      <c r="J658" s="15" t="s">
        <v>172</v>
      </c>
      <c r="K658" s="16">
        <v>33770</v>
      </c>
      <c r="L658" s="16">
        <v>46620</v>
      </c>
      <c r="M658" s="17">
        <f>Table1[[#This Row],[Billing Rate Charges]]-Table1[[#This Row],[ LORRY RATE ]]</f>
        <v>12850</v>
      </c>
      <c r="N658" s="17">
        <v>33770</v>
      </c>
      <c r="O658" s="17">
        <f>Table1[[#This Row],[ LORRY RATE ]]-Table1[[#This Row],[Adance Paid (INR)]]</f>
        <v>0</v>
      </c>
      <c r="P658" s="17" t="s">
        <v>147</v>
      </c>
      <c r="Q658" s="18" t="s">
        <v>846</v>
      </c>
      <c r="R658" s="17"/>
      <c r="S658" s="18" t="s">
        <v>2308</v>
      </c>
      <c r="T658" s="18" t="s">
        <v>2308</v>
      </c>
      <c r="U658" s="15" t="s">
        <v>54</v>
      </c>
      <c r="V658" s="15" t="s">
        <v>56</v>
      </c>
      <c r="W658" s="15"/>
    </row>
    <row r="659" spans="1:23" hidden="1" x14ac:dyDescent="0.3">
      <c r="A659" s="15">
        <v>654</v>
      </c>
      <c r="B659" s="15" t="s">
        <v>2300</v>
      </c>
      <c r="C659" s="19">
        <v>45901</v>
      </c>
      <c r="D659" s="19" t="s">
        <v>51</v>
      </c>
      <c r="E659" s="21" t="s">
        <v>2301</v>
      </c>
      <c r="F659" s="21">
        <v>9701859674</v>
      </c>
      <c r="G659" s="15" t="s">
        <v>6</v>
      </c>
      <c r="H659" s="15" t="s">
        <v>2319</v>
      </c>
      <c r="I659" s="15" t="s">
        <v>2320</v>
      </c>
      <c r="J659" s="15" t="s">
        <v>2302</v>
      </c>
      <c r="K659" s="16">
        <v>30850</v>
      </c>
      <c r="L659" s="16">
        <v>45040</v>
      </c>
      <c r="M659" s="17">
        <f>Table1[[#This Row],[Billing Rate Charges]]-Table1[[#This Row],[ LORRY RATE ]]</f>
        <v>14190</v>
      </c>
      <c r="N659" s="17">
        <v>30850</v>
      </c>
      <c r="O659" s="17">
        <f>Table1[[#This Row],[ LORRY RATE ]]-Table1[[#This Row],[Adance Paid (INR)]]</f>
        <v>0</v>
      </c>
      <c r="P659" s="17" t="s">
        <v>147</v>
      </c>
      <c r="Q659" s="18" t="s">
        <v>847</v>
      </c>
      <c r="R659" s="17"/>
      <c r="S659" s="18" t="s">
        <v>2325</v>
      </c>
      <c r="T659" s="18" t="s">
        <v>2325</v>
      </c>
      <c r="U659" s="15" t="s">
        <v>54</v>
      </c>
      <c r="V659" s="15" t="s">
        <v>529</v>
      </c>
      <c r="W659" s="15"/>
    </row>
    <row r="660" spans="1:23" hidden="1" x14ac:dyDescent="0.3">
      <c r="A660" s="15">
        <v>655</v>
      </c>
      <c r="B660" s="15" t="s">
        <v>2300</v>
      </c>
      <c r="C660" s="19">
        <v>45902</v>
      </c>
      <c r="D660" s="19" t="s">
        <v>56</v>
      </c>
      <c r="E660" s="21" t="s">
        <v>1635</v>
      </c>
      <c r="F660" s="21">
        <v>9472230553</v>
      </c>
      <c r="G660" s="15" t="s">
        <v>1093</v>
      </c>
      <c r="H660" s="15" t="s">
        <v>2314</v>
      </c>
      <c r="I660" s="15" t="s">
        <v>6</v>
      </c>
      <c r="J660" s="15" t="s">
        <v>172</v>
      </c>
      <c r="K660" s="16">
        <v>42180</v>
      </c>
      <c r="L660" s="16">
        <v>102690</v>
      </c>
      <c r="M660" s="17">
        <f>Table1[[#This Row],[Billing Rate Charges]]-Table1[[#This Row],[ LORRY RATE ]]</f>
        <v>60510</v>
      </c>
      <c r="N660" s="17">
        <v>42180</v>
      </c>
      <c r="O660" s="17">
        <f>Table1[[#This Row],[ LORRY RATE ]]-Table1[[#This Row],[Adance Paid (INR)]]</f>
        <v>0</v>
      </c>
      <c r="P660" s="17" t="s">
        <v>147</v>
      </c>
      <c r="Q660" s="18" t="s">
        <v>848</v>
      </c>
      <c r="R660" s="17"/>
      <c r="S660" s="18" t="s">
        <v>2309</v>
      </c>
      <c r="T660" s="18" t="s">
        <v>2309</v>
      </c>
      <c r="U660" s="15" t="s">
        <v>54</v>
      </c>
      <c r="V660" s="15" t="s">
        <v>56</v>
      </c>
      <c r="W660" s="15"/>
    </row>
    <row r="661" spans="1:23" hidden="1" x14ac:dyDescent="0.3">
      <c r="A661" s="15">
        <v>656</v>
      </c>
      <c r="B661" s="15" t="s">
        <v>2300</v>
      </c>
      <c r="C661" s="19">
        <v>45902</v>
      </c>
      <c r="D661" s="19" t="s">
        <v>56</v>
      </c>
      <c r="E661" s="21" t="s">
        <v>1637</v>
      </c>
      <c r="F661" s="21">
        <v>9515412075</v>
      </c>
      <c r="G661" s="15" t="s">
        <v>6</v>
      </c>
      <c r="H661" s="15" t="s">
        <v>2321</v>
      </c>
      <c r="I661" s="15" t="s">
        <v>2322</v>
      </c>
      <c r="J661" s="15" t="s">
        <v>172</v>
      </c>
      <c r="K661" s="16">
        <v>33770</v>
      </c>
      <c r="L661" s="16">
        <v>46620</v>
      </c>
      <c r="M661" s="17">
        <f>Table1[[#This Row],[Billing Rate Charges]]-Table1[[#This Row],[ LORRY RATE ]]</f>
        <v>12850</v>
      </c>
      <c r="N661" s="17">
        <v>33770</v>
      </c>
      <c r="O661" s="17">
        <f>Table1[[#This Row],[ LORRY RATE ]]-Table1[[#This Row],[Adance Paid (INR)]]</f>
        <v>0</v>
      </c>
      <c r="P661" s="17" t="s">
        <v>147</v>
      </c>
      <c r="Q661" s="18" t="s">
        <v>946</v>
      </c>
      <c r="R661" s="17"/>
      <c r="S661" s="18" t="s">
        <v>2309</v>
      </c>
      <c r="T661" s="18" t="s">
        <v>2309</v>
      </c>
      <c r="U661" s="15" t="s">
        <v>54</v>
      </c>
      <c r="V661" s="15" t="s">
        <v>56</v>
      </c>
      <c r="W661" s="15"/>
    </row>
    <row r="662" spans="1:23" hidden="1" x14ac:dyDescent="0.3">
      <c r="A662" s="15">
        <v>657</v>
      </c>
      <c r="B662" s="15" t="s">
        <v>2300</v>
      </c>
      <c r="C662" s="19">
        <v>45902</v>
      </c>
      <c r="D662" s="19" t="s">
        <v>56</v>
      </c>
      <c r="E662" s="21" t="s">
        <v>1644</v>
      </c>
      <c r="F662" s="21">
        <v>9902798068</v>
      </c>
      <c r="G662" s="15" t="s">
        <v>1093</v>
      </c>
      <c r="H662" s="15" t="s">
        <v>1874</v>
      </c>
      <c r="I662" s="15" t="s">
        <v>2312</v>
      </c>
      <c r="J662" s="15" t="s">
        <v>172</v>
      </c>
      <c r="K662" s="16">
        <v>41230</v>
      </c>
      <c r="L662" s="16">
        <v>96390</v>
      </c>
      <c r="M662" s="17">
        <f>Table1[[#This Row],[Billing Rate Charges]]-Table1[[#This Row],[ LORRY RATE ]]</f>
        <v>55160</v>
      </c>
      <c r="N662" s="17">
        <v>41230</v>
      </c>
      <c r="O662" s="17">
        <f>Table1[[#This Row],[ LORRY RATE ]]-Table1[[#This Row],[Adance Paid (INR)]]</f>
        <v>0</v>
      </c>
      <c r="P662" s="17" t="s">
        <v>147</v>
      </c>
      <c r="Q662" s="18" t="s">
        <v>947</v>
      </c>
      <c r="R662" s="17"/>
      <c r="S662" s="18" t="s">
        <v>2326</v>
      </c>
      <c r="T662" s="18" t="s">
        <v>2326</v>
      </c>
      <c r="U662" s="15" t="s">
        <v>54</v>
      </c>
      <c r="V662" s="15" t="s">
        <v>56</v>
      </c>
      <c r="W662" s="15"/>
    </row>
    <row r="663" spans="1:23" hidden="1" x14ac:dyDescent="0.3">
      <c r="A663" s="15">
        <v>658</v>
      </c>
      <c r="B663" s="15" t="s">
        <v>2300</v>
      </c>
      <c r="C663" s="19">
        <v>45904</v>
      </c>
      <c r="D663" s="19" t="s">
        <v>56</v>
      </c>
      <c r="E663" s="21" t="s">
        <v>38</v>
      </c>
      <c r="F663" s="21">
        <v>9842431449</v>
      </c>
      <c r="G663" s="15" t="s">
        <v>1093</v>
      </c>
      <c r="H663" s="15" t="s">
        <v>1874</v>
      </c>
      <c r="I663" s="15" t="s">
        <v>2313</v>
      </c>
      <c r="J663" s="15" t="s">
        <v>59</v>
      </c>
      <c r="K663" s="16">
        <v>40480</v>
      </c>
      <c r="L663" s="16">
        <v>91350</v>
      </c>
      <c r="M663" s="17">
        <f>Table1[[#This Row],[Billing Rate Charges]]-Table1[[#This Row],[ LORRY RATE ]]</f>
        <v>50870</v>
      </c>
      <c r="N663" s="17">
        <v>40480</v>
      </c>
      <c r="O663" s="17">
        <f>Table1[[#This Row],[ LORRY RATE ]]-Table1[[#This Row],[Adance Paid (INR)]]</f>
        <v>0</v>
      </c>
      <c r="P663" s="17" t="s">
        <v>147</v>
      </c>
      <c r="Q663" s="18" t="s">
        <v>948</v>
      </c>
      <c r="R663" s="17"/>
      <c r="S663" s="18" t="s">
        <v>2328</v>
      </c>
      <c r="T663" s="18" t="s">
        <v>2328</v>
      </c>
      <c r="U663" s="15" t="s">
        <v>54</v>
      </c>
      <c r="V663" s="15" t="s">
        <v>56</v>
      </c>
      <c r="W663" s="15"/>
    </row>
    <row r="664" spans="1:23" hidden="1" x14ac:dyDescent="0.3">
      <c r="A664" s="15">
        <v>659</v>
      </c>
      <c r="B664" s="15" t="s">
        <v>2300</v>
      </c>
      <c r="C664" s="19">
        <v>45905</v>
      </c>
      <c r="D664" s="19" t="s">
        <v>56</v>
      </c>
      <c r="E664" s="21" t="s">
        <v>1635</v>
      </c>
      <c r="F664" s="21">
        <v>9472230553</v>
      </c>
      <c r="G664" s="15" t="s">
        <v>6</v>
      </c>
      <c r="H664" s="15" t="s">
        <v>440</v>
      </c>
      <c r="I664" s="15" t="s">
        <v>41</v>
      </c>
      <c r="J664" s="15" t="s">
        <v>172</v>
      </c>
      <c r="K664" s="16">
        <v>33770</v>
      </c>
      <c r="L664" s="16">
        <v>46620</v>
      </c>
      <c r="M664" s="17">
        <f>Table1[[#This Row],[Billing Rate Charges]]-Table1[[#This Row],[ LORRY RATE ]]</f>
        <v>12850</v>
      </c>
      <c r="N664" s="17">
        <v>33770</v>
      </c>
      <c r="O664" s="17">
        <f>Table1[[#This Row],[ LORRY RATE ]]-Table1[[#This Row],[Adance Paid (INR)]]</f>
        <v>0</v>
      </c>
      <c r="P664" s="17" t="s">
        <v>147</v>
      </c>
      <c r="Q664" s="18" t="s">
        <v>949</v>
      </c>
      <c r="R664" s="17"/>
      <c r="S664" s="18" t="s">
        <v>2329</v>
      </c>
      <c r="T664" s="18" t="s">
        <v>2329</v>
      </c>
      <c r="U664" s="15" t="s">
        <v>54</v>
      </c>
      <c r="V664" s="15" t="s">
        <v>56</v>
      </c>
      <c r="W664" s="15"/>
    </row>
    <row r="665" spans="1:23" hidden="1" x14ac:dyDescent="0.3">
      <c r="A665" s="15">
        <v>660</v>
      </c>
      <c r="B665" s="15" t="s">
        <v>2300</v>
      </c>
      <c r="C665" s="19">
        <v>45905</v>
      </c>
      <c r="D665" s="19" t="s">
        <v>56</v>
      </c>
      <c r="E665" s="21" t="s">
        <v>60</v>
      </c>
      <c r="F665" s="21">
        <v>9589264337</v>
      </c>
      <c r="G665" s="15" t="s">
        <v>1093</v>
      </c>
      <c r="H665" s="15" t="s">
        <v>2332</v>
      </c>
      <c r="I665" s="15" t="s">
        <v>6</v>
      </c>
      <c r="J665" s="15" t="s">
        <v>172</v>
      </c>
      <c r="K665" s="16">
        <v>43120</v>
      </c>
      <c r="L665" s="16">
        <v>108990</v>
      </c>
      <c r="M665" s="17">
        <f>Table1[[#This Row],[Billing Rate Charges]]-Table1[[#This Row],[ LORRY RATE ]]</f>
        <v>65870</v>
      </c>
      <c r="N665" s="17">
        <v>43120</v>
      </c>
      <c r="O665" s="17">
        <f>Table1[[#This Row],[ LORRY RATE ]]-Table1[[#This Row],[Adance Paid (INR)]]</f>
        <v>0</v>
      </c>
      <c r="P665" s="17" t="s">
        <v>147</v>
      </c>
      <c r="Q665" s="18" t="s">
        <v>950</v>
      </c>
      <c r="R665" s="17"/>
      <c r="S665" s="18" t="s">
        <v>2329</v>
      </c>
      <c r="T665" s="18" t="s">
        <v>2329</v>
      </c>
      <c r="U665" s="15" t="s">
        <v>54</v>
      </c>
      <c r="V665" s="15" t="s">
        <v>56</v>
      </c>
      <c r="W665" s="15"/>
    </row>
    <row r="666" spans="1:23" hidden="1" x14ac:dyDescent="0.3">
      <c r="A666" s="15">
        <v>661</v>
      </c>
      <c r="B666" s="15" t="s">
        <v>2300</v>
      </c>
      <c r="C666" s="19">
        <v>45906</v>
      </c>
      <c r="D666" s="19" t="s">
        <v>56</v>
      </c>
      <c r="E666" s="21" t="s">
        <v>1644</v>
      </c>
      <c r="F666" s="21">
        <v>9220186371</v>
      </c>
      <c r="G666" s="15" t="s">
        <v>6</v>
      </c>
      <c r="H666" s="15" t="s">
        <v>440</v>
      </c>
      <c r="I666" s="15" t="s">
        <v>41</v>
      </c>
      <c r="J666" s="15" t="s">
        <v>172</v>
      </c>
      <c r="K666" s="16">
        <v>33770</v>
      </c>
      <c r="L666" s="16">
        <v>46620</v>
      </c>
      <c r="M666" s="17">
        <f>Table1[[#This Row],[Billing Rate Charges]]-Table1[[#This Row],[ LORRY RATE ]]</f>
        <v>12850</v>
      </c>
      <c r="N666" s="17">
        <v>33770</v>
      </c>
      <c r="O666" s="17">
        <f>Table1[[#This Row],[ LORRY RATE ]]-Table1[[#This Row],[Adance Paid (INR)]]</f>
        <v>0</v>
      </c>
      <c r="P666" s="17" t="s">
        <v>147</v>
      </c>
      <c r="Q666" s="18" t="s">
        <v>951</v>
      </c>
      <c r="R666" s="17"/>
      <c r="S666" s="18" t="s">
        <v>2330</v>
      </c>
      <c r="T666" s="18" t="s">
        <v>2330</v>
      </c>
      <c r="U666" s="15" t="s">
        <v>54</v>
      </c>
      <c r="V666" s="15" t="s">
        <v>56</v>
      </c>
      <c r="W666" s="15"/>
    </row>
    <row r="667" spans="1:23" hidden="1" x14ac:dyDescent="0.3">
      <c r="A667" s="15">
        <v>662</v>
      </c>
      <c r="B667" s="15" t="s">
        <v>2300</v>
      </c>
      <c r="C667" s="19">
        <v>45907</v>
      </c>
      <c r="D667" s="19" t="s">
        <v>56</v>
      </c>
      <c r="E667" s="21" t="s">
        <v>1637</v>
      </c>
      <c r="F667" s="21">
        <v>9842431449</v>
      </c>
      <c r="G667" s="15" t="s">
        <v>1093</v>
      </c>
      <c r="H667" s="15" t="s">
        <v>2327</v>
      </c>
      <c r="I667" s="15" t="s">
        <v>2331</v>
      </c>
      <c r="J667" s="15" t="s">
        <v>172</v>
      </c>
      <c r="K667" s="16">
        <v>41230</v>
      </c>
      <c r="L667" s="16">
        <v>96390</v>
      </c>
      <c r="M667" s="17">
        <f>Table1[[#This Row],[Billing Rate Charges]]-Table1[[#This Row],[ LORRY RATE ]]</f>
        <v>55160</v>
      </c>
      <c r="N667" s="17">
        <v>41230</v>
      </c>
      <c r="O667" s="17">
        <f>Table1[[#This Row],[ LORRY RATE ]]-Table1[[#This Row],[Adance Paid (INR)]]</f>
        <v>0</v>
      </c>
      <c r="P667" s="17" t="s">
        <v>147</v>
      </c>
      <c r="Q667" s="18" t="s">
        <v>960</v>
      </c>
      <c r="R667" s="17"/>
      <c r="S667" s="18" t="s">
        <v>2330</v>
      </c>
      <c r="T667" s="18" t="s">
        <v>2330</v>
      </c>
      <c r="U667" s="15" t="s">
        <v>54</v>
      </c>
      <c r="V667" s="15" t="s">
        <v>56</v>
      </c>
      <c r="W667" s="15"/>
    </row>
    <row r="668" spans="1:23" hidden="1" x14ac:dyDescent="0.3">
      <c r="A668" s="15">
        <v>663</v>
      </c>
      <c r="B668" s="15" t="s">
        <v>2300</v>
      </c>
      <c r="C668" s="19">
        <v>45908</v>
      </c>
      <c r="D668" s="19" t="s">
        <v>56</v>
      </c>
      <c r="E668" s="15" t="s">
        <v>60</v>
      </c>
      <c r="F668" s="15">
        <v>9589264337</v>
      </c>
      <c r="G668" s="15" t="s">
        <v>6</v>
      </c>
      <c r="H668" s="15" t="s">
        <v>440</v>
      </c>
      <c r="I668" s="15" t="s">
        <v>41</v>
      </c>
      <c r="J668" s="15" t="s">
        <v>172</v>
      </c>
      <c r="K668" s="16">
        <v>33770</v>
      </c>
      <c r="L668" s="16">
        <v>46620</v>
      </c>
      <c r="M668" s="17">
        <f>Table1[[#This Row],[Billing Rate Charges]]-Table1[[#This Row],[ LORRY RATE ]]</f>
        <v>12850</v>
      </c>
      <c r="N668" s="17">
        <v>33770</v>
      </c>
      <c r="O668" s="17">
        <f>Table1[[#This Row],[ LORRY RATE ]]-Table1[[#This Row],[Adance Paid (INR)]]</f>
        <v>0</v>
      </c>
      <c r="P668" s="17" t="s">
        <v>147</v>
      </c>
      <c r="Q668" s="18" t="s">
        <v>964</v>
      </c>
      <c r="R668" s="17"/>
      <c r="S668" s="18" t="s">
        <v>2338</v>
      </c>
      <c r="T668" s="18" t="s">
        <v>2338</v>
      </c>
      <c r="U668" s="15" t="s">
        <v>54</v>
      </c>
      <c r="V668" s="15" t="s">
        <v>56</v>
      </c>
      <c r="W668" s="15"/>
    </row>
    <row r="669" spans="1:23" hidden="1" x14ac:dyDescent="0.3">
      <c r="A669" s="15">
        <v>664</v>
      </c>
      <c r="B669" s="15" t="s">
        <v>2300</v>
      </c>
      <c r="C669" s="19">
        <v>45908</v>
      </c>
      <c r="D669" s="19" t="s">
        <v>51</v>
      </c>
      <c r="E669" s="21" t="s">
        <v>696</v>
      </c>
      <c r="F669" s="21">
        <v>9103584346</v>
      </c>
      <c r="G669" s="15" t="s">
        <v>6</v>
      </c>
      <c r="H669" s="15" t="s">
        <v>1874</v>
      </c>
      <c r="I669" s="15" t="s">
        <v>2379</v>
      </c>
      <c r="J669" s="15" t="s">
        <v>172</v>
      </c>
      <c r="K669" s="16">
        <v>31750</v>
      </c>
      <c r="L669" s="16">
        <v>40320</v>
      </c>
      <c r="M669" s="17">
        <f>Table1[[#This Row],[Billing Rate Charges]]-Table1[[#This Row],[ LORRY RATE ]]</f>
        <v>8570</v>
      </c>
      <c r="N669" s="17">
        <v>31750</v>
      </c>
      <c r="O669" s="17">
        <f>Table1[[#This Row],[ LORRY RATE ]]-Table1[[#This Row],[Adance Paid (INR)]]</f>
        <v>0</v>
      </c>
      <c r="P669" s="17" t="s">
        <v>147</v>
      </c>
      <c r="Q669" s="18" t="s">
        <v>954</v>
      </c>
      <c r="R669" s="17"/>
      <c r="S669" s="18" t="s">
        <v>2338</v>
      </c>
      <c r="T669" s="18" t="s">
        <v>2338</v>
      </c>
      <c r="U669" s="15" t="s">
        <v>54</v>
      </c>
      <c r="V669" s="15" t="s">
        <v>439</v>
      </c>
      <c r="W669" s="15"/>
    </row>
    <row r="670" spans="1:23" hidden="1" x14ac:dyDescent="0.3">
      <c r="A670" s="15">
        <v>665</v>
      </c>
      <c r="B670" s="15" t="s">
        <v>2300</v>
      </c>
      <c r="C670" s="19">
        <v>45909</v>
      </c>
      <c r="D670" s="19" t="s">
        <v>56</v>
      </c>
      <c r="E670" s="15" t="s">
        <v>38</v>
      </c>
      <c r="F670" s="15">
        <v>9515412075</v>
      </c>
      <c r="G670" s="15" t="s">
        <v>6</v>
      </c>
      <c r="H670" s="15" t="s">
        <v>440</v>
      </c>
      <c r="I670" s="15" t="s">
        <v>2381</v>
      </c>
      <c r="J670" s="15" t="s">
        <v>59</v>
      </c>
      <c r="K670" s="16">
        <v>33530</v>
      </c>
      <c r="L670" s="16">
        <v>45040</v>
      </c>
      <c r="M670" s="17">
        <f>Table1[[#This Row],[Billing Rate Charges]]-Table1[[#This Row],[ LORRY RATE ]]</f>
        <v>11510</v>
      </c>
      <c r="N670" s="17">
        <v>33530</v>
      </c>
      <c r="O670" s="17">
        <f>Table1[[#This Row],[ LORRY RATE ]]-Table1[[#This Row],[Adance Paid (INR)]]</f>
        <v>0</v>
      </c>
      <c r="P670" s="17" t="s">
        <v>147</v>
      </c>
      <c r="Q670" s="18" t="s">
        <v>956</v>
      </c>
      <c r="R670" s="17"/>
      <c r="S670" s="18" t="s">
        <v>2338</v>
      </c>
      <c r="T670" s="18" t="s">
        <v>2338</v>
      </c>
      <c r="U670" s="15" t="s">
        <v>54</v>
      </c>
      <c r="V670" s="15" t="s">
        <v>56</v>
      </c>
      <c r="W670" s="15"/>
    </row>
    <row r="671" spans="1:23" hidden="1" x14ac:dyDescent="0.3">
      <c r="A671" s="15">
        <v>666</v>
      </c>
      <c r="B671" s="15" t="s">
        <v>2300</v>
      </c>
      <c r="C671" s="19">
        <v>45910</v>
      </c>
      <c r="D671" s="19" t="s">
        <v>56</v>
      </c>
      <c r="E671" s="15" t="s">
        <v>1635</v>
      </c>
      <c r="F671" s="15">
        <v>9472230553</v>
      </c>
      <c r="G671" s="15" t="s">
        <v>1093</v>
      </c>
      <c r="H671" s="15" t="s">
        <v>1874</v>
      </c>
      <c r="I671" s="15" t="s">
        <v>2333</v>
      </c>
      <c r="J671" s="15" t="s">
        <v>172</v>
      </c>
      <c r="K671" s="16">
        <v>41230</v>
      </c>
      <c r="L671" s="16">
        <v>96390</v>
      </c>
      <c r="M671" s="17">
        <f>Table1[[#This Row],[Billing Rate Charges]]-Table1[[#This Row],[ LORRY RATE ]]</f>
        <v>55160</v>
      </c>
      <c r="N671" s="17">
        <v>41230</v>
      </c>
      <c r="O671" s="17">
        <f>Table1[[#This Row],[ LORRY RATE ]]-Table1[[#This Row],[Adance Paid (INR)]]</f>
        <v>0</v>
      </c>
      <c r="P671" s="17" t="s">
        <v>147</v>
      </c>
      <c r="Q671" s="18" t="s">
        <v>965</v>
      </c>
      <c r="R671" s="17"/>
      <c r="S671" s="18" t="s">
        <v>2338</v>
      </c>
      <c r="T671" s="18" t="s">
        <v>2338</v>
      </c>
      <c r="U671" s="15" t="s">
        <v>54</v>
      </c>
      <c r="V671" s="15" t="s">
        <v>56</v>
      </c>
      <c r="W671" s="15"/>
    </row>
    <row r="672" spans="1:23" hidden="1" x14ac:dyDescent="0.3">
      <c r="A672" s="15">
        <v>667</v>
      </c>
      <c r="B672" s="15" t="s">
        <v>2300</v>
      </c>
      <c r="C672" s="19">
        <v>45910</v>
      </c>
      <c r="D672" s="19" t="s">
        <v>56</v>
      </c>
      <c r="E672" s="15" t="s">
        <v>1637</v>
      </c>
      <c r="F672" s="15">
        <v>9842431449</v>
      </c>
      <c r="G672" s="15" t="s">
        <v>6</v>
      </c>
      <c r="H672" s="15" t="s">
        <v>440</v>
      </c>
      <c r="I672" s="15" t="s">
        <v>2380</v>
      </c>
      <c r="J672" s="15" t="s">
        <v>172</v>
      </c>
      <c r="K672" s="16">
        <v>33770</v>
      </c>
      <c r="L672" s="16">
        <v>46620</v>
      </c>
      <c r="M672" s="17">
        <f>Table1[[#This Row],[Billing Rate Charges]]-Table1[[#This Row],[ LORRY RATE ]]</f>
        <v>12850</v>
      </c>
      <c r="N672" s="17">
        <v>33770</v>
      </c>
      <c r="O672" s="17">
        <f>Table1[[#This Row],[ LORRY RATE ]]-Table1[[#This Row],[Adance Paid (INR)]]</f>
        <v>0</v>
      </c>
      <c r="P672" s="17" t="s">
        <v>147</v>
      </c>
      <c r="Q672" s="18" t="s">
        <v>955</v>
      </c>
      <c r="R672" s="17"/>
      <c r="S672" s="18" t="s">
        <v>2338</v>
      </c>
      <c r="T672" s="18" t="s">
        <v>2338</v>
      </c>
      <c r="U672" s="15" t="s">
        <v>54</v>
      </c>
      <c r="V672" s="15" t="s">
        <v>56</v>
      </c>
      <c r="W672" s="15"/>
    </row>
    <row r="673" spans="1:23" hidden="1" x14ac:dyDescent="0.3">
      <c r="A673" s="15">
        <v>668</v>
      </c>
      <c r="B673" s="15" t="s">
        <v>2300</v>
      </c>
      <c r="C673" s="19">
        <v>45911</v>
      </c>
      <c r="D673" s="19" t="s">
        <v>51</v>
      </c>
      <c r="E673" s="15" t="s">
        <v>2334</v>
      </c>
      <c r="F673" s="15" t="s">
        <v>1874</v>
      </c>
      <c r="G673" s="15" t="s">
        <v>6</v>
      </c>
      <c r="H673" s="15" t="s">
        <v>1874</v>
      </c>
      <c r="I673" s="15" t="s">
        <v>2359</v>
      </c>
      <c r="J673" s="15" t="s">
        <v>381</v>
      </c>
      <c r="K673" s="16">
        <v>60920</v>
      </c>
      <c r="L673" s="16">
        <v>80500</v>
      </c>
      <c r="M673" s="17">
        <f>Table1[[#This Row],[Billing Rate Charges]]-Table1[[#This Row],[ LORRY RATE ]]</f>
        <v>19580</v>
      </c>
      <c r="N673" s="17">
        <v>60920</v>
      </c>
      <c r="O673" s="17">
        <f>Table1[[#This Row],[ LORRY RATE ]]-Table1[[#This Row],[Adance Paid (INR)]]</f>
        <v>0</v>
      </c>
      <c r="P673" s="17" t="s">
        <v>147</v>
      </c>
      <c r="Q673" s="18" t="s">
        <v>1071</v>
      </c>
      <c r="R673" s="17"/>
      <c r="S673" s="18" t="s">
        <v>2338</v>
      </c>
      <c r="T673" s="18" t="s">
        <v>2338</v>
      </c>
      <c r="U673" s="15" t="s">
        <v>54</v>
      </c>
      <c r="V673" s="15" t="s">
        <v>380</v>
      </c>
      <c r="W673" s="15" t="s">
        <v>2335</v>
      </c>
    </row>
    <row r="674" spans="1:23" hidden="1" x14ac:dyDescent="0.3">
      <c r="A674" s="15">
        <v>669</v>
      </c>
      <c r="B674" s="15" t="s">
        <v>2300</v>
      </c>
      <c r="C674" s="19">
        <v>45912</v>
      </c>
      <c r="D674" s="19" t="s">
        <v>51</v>
      </c>
      <c r="E674" s="15" t="s">
        <v>2336</v>
      </c>
      <c r="F674" s="29">
        <v>9220186371</v>
      </c>
      <c r="G674" s="15" t="s">
        <v>6</v>
      </c>
      <c r="H674" s="15" t="s">
        <v>2355</v>
      </c>
      <c r="I674" s="15" t="s">
        <v>2356</v>
      </c>
      <c r="J674" s="15" t="s">
        <v>172</v>
      </c>
      <c r="K674" s="16">
        <v>40570</v>
      </c>
      <c r="L674" s="16">
        <v>46620</v>
      </c>
      <c r="M674" s="17">
        <f>Table1[[#This Row],[Billing Rate Charges]]-Table1[[#This Row],[ LORRY RATE ]]</f>
        <v>6050</v>
      </c>
      <c r="N674" s="17">
        <v>40570</v>
      </c>
      <c r="O674" s="17">
        <f>Table1[[#This Row],[ LORRY RATE ]]-Table1[[#This Row],[Adance Paid (INR)]]</f>
        <v>0</v>
      </c>
      <c r="P674" s="17" t="s">
        <v>147</v>
      </c>
      <c r="Q674" s="18" t="s">
        <v>1072</v>
      </c>
      <c r="R674" s="17"/>
      <c r="S674" s="18" t="s">
        <v>2342</v>
      </c>
      <c r="T674" s="18" t="s">
        <v>2342</v>
      </c>
      <c r="U674" s="15" t="s">
        <v>54</v>
      </c>
      <c r="V674" s="15" t="s">
        <v>2337</v>
      </c>
      <c r="W674" s="15"/>
    </row>
    <row r="675" spans="1:23" hidden="1" x14ac:dyDescent="0.3">
      <c r="A675" s="15">
        <v>670</v>
      </c>
      <c r="B675" s="15" t="s">
        <v>2300</v>
      </c>
      <c r="C675" s="19">
        <v>45913</v>
      </c>
      <c r="D675" s="19" t="s">
        <v>56</v>
      </c>
      <c r="E675" s="15" t="s">
        <v>1641</v>
      </c>
      <c r="F675" s="49">
        <v>9220186371</v>
      </c>
      <c r="G675" s="15" t="s">
        <v>6</v>
      </c>
      <c r="H675" s="15" t="s">
        <v>2353</v>
      </c>
      <c r="I675" s="15" t="s">
        <v>2354</v>
      </c>
      <c r="J675" s="15" t="s">
        <v>172</v>
      </c>
      <c r="K675" s="16">
        <v>33770</v>
      </c>
      <c r="L675" s="16">
        <v>46620</v>
      </c>
      <c r="M675" s="17">
        <f>Table1[[#This Row],[Billing Rate Charges]]-Table1[[#This Row],[ LORRY RATE ]]</f>
        <v>12850</v>
      </c>
      <c r="N675" s="17">
        <v>33770</v>
      </c>
      <c r="O675" s="17">
        <f>Table1[[#This Row],[ LORRY RATE ]]-Table1[[#This Row],[Adance Paid (INR)]]</f>
        <v>0</v>
      </c>
      <c r="P675" s="17" t="s">
        <v>147</v>
      </c>
      <c r="Q675" s="18" t="s">
        <v>1056</v>
      </c>
      <c r="R675" s="17"/>
      <c r="S675" s="18" t="s">
        <v>2340</v>
      </c>
      <c r="T675" s="18" t="s">
        <v>2340</v>
      </c>
      <c r="U675" s="15" t="s">
        <v>54</v>
      </c>
      <c r="V675" s="15" t="s">
        <v>56</v>
      </c>
      <c r="W675" s="15"/>
    </row>
    <row r="676" spans="1:23" hidden="1" x14ac:dyDescent="0.3">
      <c r="A676" s="15">
        <v>671</v>
      </c>
      <c r="B676" s="15" t="s">
        <v>2300</v>
      </c>
      <c r="C676" s="19">
        <v>45914</v>
      </c>
      <c r="D676" s="19" t="s">
        <v>51</v>
      </c>
      <c r="E676" s="21" t="s">
        <v>2339</v>
      </c>
      <c r="F676" s="21">
        <v>9421848031</v>
      </c>
      <c r="G676" s="21" t="s">
        <v>6</v>
      </c>
      <c r="H676" s="21" t="s">
        <v>2360</v>
      </c>
      <c r="I676" s="21" t="s">
        <v>1874</v>
      </c>
      <c r="J676" s="15" t="s">
        <v>168</v>
      </c>
      <c r="K676" s="16">
        <v>25690</v>
      </c>
      <c r="L676" s="16">
        <v>35600</v>
      </c>
      <c r="M676" s="17">
        <f>Table1[[#This Row],[Billing Rate Charges]]-Table1[[#This Row],[ LORRY RATE ]]</f>
        <v>9910</v>
      </c>
      <c r="N676" s="17">
        <v>25690</v>
      </c>
      <c r="O676" s="17">
        <f>Table1[[#This Row],[ LORRY RATE ]]-Table1[[#This Row],[Adance Paid (INR)]]</f>
        <v>0</v>
      </c>
      <c r="P676" s="17" t="s">
        <v>147</v>
      </c>
      <c r="Q676" s="18" t="s">
        <v>1076</v>
      </c>
      <c r="R676" s="17"/>
      <c r="S676" s="18" t="s">
        <v>2342</v>
      </c>
      <c r="T676" s="18" t="s">
        <v>2342</v>
      </c>
      <c r="U676" s="15" t="s">
        <v>54</v>
      </c>
      <c r="V676" s="15" t="s">
        <v>439</v>
      </c>
      <c r="W676" s="15"/>
    </row>
    <row r="677" spans="1:23" hidden="1" x14ac:dyDescent="0.3">
      <c r="A677" s="15">
        <v>672</v>
      </c>
      <c r="B677" s="15" t="s">
        <v>2300</v>
      </c>
      <c r="C677" s="19">
        <v>45914</v>
      </c>
      <c r="D677" s="19" t="s">
        <v>56</v>
      </c>
      <c r="E677" s="21" t="s">
        <v>38</v>
      </c>
      <c r="F677" s="21">
        <v>9842431449</v>
      </c>
      <c r="G677" s="15" t="s">
        <v>105</v>
      </c>
      <c r="H677" s="15" t="s">
        <v>2370</v>
      </c>
      <c r="I677" s="15" t="s">
        <v>6</v>
      </c>
      <c r="J677" s="15" t="s">
        <v>59</v>
      </c>
      <c r="K677" s="16">
        <v>40480</v>
      </c>
      <c r="L677" s="16">
        <v>91350</v>
      </c>
      <c r="M677" s="17">
        <f>Table1[[#This Row],[Billing Rate Charges]]-Table1[[#This Row],[ LORRY RATE ]]</f>
        <v>50870</v>
      </c>
      <c r="N677" s="17">
        <v>40480</v>
      </c>
      <c r="O677" s="17">
        <f>Table1[[#This Row],[ LORRY RATE ]]-Table1[[#This Row],[Adance Paid (INR)]]</f>
        <v>0</v>
      </c>
      <c r="P677" s="17" t="s">
        <v>147</v>
      </c>
      <c r="Q677" s="18" t="s">
        <v>1073</v>
      </c>
      <c r="R677" s="17"/>
      <c r="S677" s="18" t="s">
        <v>2340</v>
      </c>
      <c r="T677" s="18" t="s">
        <v>2341</v>
      </c>
      <c r="U677" s="15" t="s">
        <v>54</v>
      </c>
      <c r="V677" s="15" t="s">
        <v>56</v>
      </c>
      <c r="W677" s="15"/>
    </row>
    <row r="678" spans="1:23" hidden="1" x14ac:dyDescent="0.3">
      <c r="A678" s="15">
        <v>673</v>
      </c>
      <c r="B678" s="15" t="s">
        <v>2300</v>
      </c>
      <c r="C678" s="19">
        <v>45916</v>
      </c>
      <c r="D678" s="19" t="s">
        <v>56</v>
      </c>
      <c r="E678" s="15" t="s">
        <v>1635</v>
      </c>
      <c r="F678" s="15">
        <v>9472230553</v>
      </c>
      <c r="G678" s="15" t="s">
        <v>6</v>
      </c>
      <c r="H678" s="15" t="s">
        <v>1874</v>
      </c>
      <c r="I678" s="15" t="s">
        <v>2352</v>
      </c>
      <c r="J678" s="15" t="s">
        <v>172</v>
      </c>
      <c r="K678" s="16">
        <v>32820</v>
      </c>
      <c r="L678" s="16">
        <v>40320</v>
      </c>
      <c r="M678" s="17">
        <f>Table1[[#This Row],[Billing Rate Charges]]-Table1[[#This Row],[ LORRY RATE ]]</f>
        <v>7500</v>
      </c>
      <c r="N678" s="17">
        <v>32820</v>
      </c>
      <c r="O678" s="17">
        <f>Table1[[#This Row],[ LORRY RATE ]]-Table1[[#This Row],[Adance Paid (INR)]]</f>
        <v>0</v>
      </c>
      <c r="P678" s="17" t="s">
        <v>147</v>
      </c>
      <c r="Q678" s="18" t="s">
        <v>1061</v>
      </c>
      <c r="R678" s="17"/>
      <c r="S678" s="18" t="s">
        <v>2345</v>
      </c>
      <c r="T678" s="18" t="s">
        <v>2345</v>
      </c>
      <c r="U678" s="15" t="s">
        <v>54</v>
      </c>
      <c r="V678" s="15" t="s">
        <v>56</v>
      </c>
      <c r="W678" s="15"/>
    </row>
    <row r="679" spans="1:23" hidden="1" x14ac:dyDescent="0.3">
      <c r="A679" s="15">
        <v>674</v>
      </c>
      <c r="B679" s="15" t="s">
        <v>2300</v>
      </c>
      <c r="C679" s="19">
        <v>45916</v>
      </c>
      <c r="D679" s="19" t="s">
        <v>56</v>
      </c>
      <c r="E679" s="15" t="s">
        <v>60</v>
      </c>
      <c r="F679" s="15">
        <v>9589264337</v>
      </c>
      <c r="G679" s="15" t="s">
        <v>1093</v>
      </c>
      <c r="H679" s="15" t="s">
        <v>2357</v>
      </c>
      <c r="I679" s="15" t="s">
        <v>6</v>
      </c>
      <c r="J679" s="15" t="s">
        <v>172</v>
      </c>
      <c r="K679" s="16">
        <v>41230</v>
      </c>
      <c r="L679" s="16">
        <v>96390</v>
      </c>
      <c r="M679" s="17">
        <f>Table1[[#This Row],[Billing Rate Charges]]-Table1[[#This Row],[ LORRY RATE ]]</f>
        <v>55160</v>
      </c>
      <c r="N679" s="17">
        <v>41230</v>
      </c>
      <c r="O679" s="17">
        <f>Table1[[#This Row],[ LORRY RATE ]]-Table1[[#This Row],[Adance Paid (INR)]]</f>
        <v>0</v>
      </c>
      <c r="P679" s="17" t="s">
        <v>147</v>
      </c>
      <c r="Q679" s="18" t="s">
        <v>1078</v>
      </c>
      <c r="R679" s="17"/>
      <c r="S679" s="18" t="s">
        <v>2346</v>
      </c>
      <c r="T679" s="18" t="s">
        <v>2346</v>
      </c>
      <c r="U679" s="15" t="s">
        <v>54</v>
      </c>
      <c r="V679" s="15" t="s">
        <v>56</v>
      </c>
      <c r="W679" s="15"/>
    </row>
    <row r="680" spans="1:23" hidden="1" x14ac:dyDescent="0.3">
      <c r="A680" s="15">
        <v>675</v>
      </c>
      <c r="B680" s="15" t="s">
        <v>2300</v>
      </c>
      <c r="C680" s="19">
        <v>45917</v>
      </c>
      <c r="D680" s="19" t="s">
        <v>56</v>
      </c>
      <c r="E680" s="15" t="s">
        <v>38</v>
      </c>
      <c r="F680" s="15">
        <v>9515412075</v>
      </c>
      <c r="G680" s="15" t="s">
        <v>6</v>
      </c>
      <c r="H680" s="15" t="s">
        <v>1874</v>
      </c>
      <c r="I680" s="15" t="s">
        <v>2361</v>
      </c>
      <c r="J680" s="15" t="s">
        <v>59</v>
      </c>
      <c r="K680" s="16">
        <v>32590</v>
      </c>
      <c r="L680" s="16">
        <v>38740</v>
      </c>
      <c r="M680" s="17">
        <f>Table1[[#This Row],[Billing Rate Charges]]-Table1[[#This Row],[ LORRY RATE ]]</f>
        <v>6150</v>
      </c>
      <c r="N680" s="17">
        <v>32590</v>
      </c>
      <c r="O680" s="17">
        <f>Table1[[#This Row],[ LORRY RATE ]]-Table1[[#This Row],[Adance Paid (INR)]]</f>
        <v>0</v>
      </c>
      <c r="P680" s="17" t="s">
        <v>147</v>
      </c>
      <c r="Q680" s="18" t="s">
        <v>1081</v>
      </c>
      <c r="R680" s="17"/>
      <c r="S680" s="18" t="s">
        <v>2347</v>
      </c>
      <c r="T680" s="18" t="s">
        <v>2347</v>
      </c>
      <c r="U680" s="15" t="s">
        <v>54</v>
      </c>
      <c r="V680" s="15" t="s">
        <v>56</v>
      </c>
      <c r="W680" s="15"/>
    </row>
    <row r="681" spans="1:23" hidden="1" x14ac:dyDescent="0.3">
      <c r="A681" s="15">
        <v>676</v>
      </c>
      <c r="B681" s="15" t="s">
        <v>2300</v>
      </c>
      <c r="C681" s="19">
        <v>45917</v>
      </c>
      <c r="D681" s="19" t="s">
        <v>56</v>
      </c>
      <c r="E681" s="15" t="s">
        <v>1644</v>
      </c>
      <c r="F681" s="21">
        <v>9062508646</v>
      </c>
      <c r="G681" s="15" t="s">
        <v>6</v>
      </c>
      <c r="H681" s="15" t="s">
        <v>1874</v>
      </c>
      <c r="I681" s="15" t="s">
        <v>2358</v>
      </c>
      <c r="J681" s="15" t="s">
        <v>172</v>
      </c>
      <c r="K681" s="16">
        <v>32820</v>
      </c>
      <c r="L681" s="16">
        <v>40320</v>
      </c>
      <c r="M681" s="17">
        <f>Table1[[#This Row],[Billing Rate Charges]]-Table1[[#This Row],[ LORRY RATE ]]</f>
        <v>7500</v>
      </c>
      <c r="N681" s="17">
        <v>32820</v>
      </c>
      <c r="O681" s="17">
        <f>Table1[[#This Row],[ LORRY RATE ]]-Table1[[#This Row],[Adance Paid (INR)]]</f>
        <v>0</v>
      </c>
      <c r="P681" s="17" t="s">
        <v>147</v>
      </c>
      <c r="Q681" s="18" t="s">
        <v>1083</v>
      </c>
      <c r="R681" s="17"/>
      <c r="S681" s="18" t="s">
        <v>2347</v>
      </c>
      <c r="T681" s="18" t="s">
        <v>2347</v>
      </c>
      <c r="U681" s="15" t="s">
        <v>54</v>
      </c>
      <c r="V681" s="15" t="s">
        <v>56</v>
      </c>
      <c r="W681" s="15"/>
    </row>
    <row r="682" spans="1:23" hidden="1" x14ac:dyDescent="0.3">
      <c r="A682" s="15">
        <v>677</v>
      </c>
      <c r="B682" s="15" t="s">
        <v>2300</v>
      </c>
      <c r="C682" s="19">
        <v>45920</v>
      </c>
      <c r="D682" s="19" t="s">
        <v>56</v>
      </c>
      <c r="E682" s="21" t="s">
        <v>2343</v>
      </c>
      <c r="F682" s="21">
        <v>9543444535</v>
      </c>
      <c r="G682" s="21" t="s">
        <v>6</v>
      </c>
      <c r="H682" s="15" t="s">
        <v>440</v>
      </c>
      <c r="I682" s="15" t="s">
        <v>2382</v>
      </c>
      <c r="J682" s="15" t="s">
        <v>172</v>
      </c>
      <c r="K682" s="16">
        <v>33230</v>
      </c>
      <c r="L682" s="16">
        <v>46620</v>
      </c>
      <c r="M682" s="17">
        <f>Table1[[#This Row],[Billing Rate Charges]]-Table1[[#This Row],[ LORRY RATE ]]</f>
        <v>13390</v>
      </c>
      <c r="N682" s="17">
        <v>33230</v>
      </c>
      <c r="O682" s="17">
        <f>Table1[[#This Row],[ LORRY RATE ]]-Table1[[#This Row],[Adance Paid (INR)]]</f>
        <v>0</v>
      </c>
      <c r="P682" s="17" t="s">
        <v>147</v>
      </c>
      <c r="Q682" s="18" t="s">
        <v>1082</v>
      </c>
      <c r="R682" s="17"/>
      <c r="S682" s="18" t="s">
        <v>2362</v>
      </c>
      <c r="T682" s="18" t="s">
        <v>2362</v>
      </c>
      <c r="U682" s="15" t="s">
        <v>54</v>
      </c>
      <c r="V682" s="15" t="s">
        <v>529</v>
      </c>
      <c r="W682" s="15"/>
    </row>
    <row r="683" spans="1:23" hidden="1" x14ac:dyDescent="0.3">
      <c r="A683" s="15">
        <v>678</v>
      </c>
      <c r="B683" s="15" t="s">
        <v>2300</v>
      </c>
      <c r="C683" s="19">
        <v>45920</v>
      </c>
      <c r="D683" s="19" t="s">
        <v>51</v>
      </c>
      <c r="E683" s="21" t="s">
        <v>1448</v>
      </c>
      <c r="F683" s="21">
        <v>9947982595</v>
      </c>
      <c r="G683" s="21" t="s">
        <v>6</v>
      </c>
      <c r="H683" s="15" t="s">
        <v>440</v>
      </c>
      <c r="I683" s="15" t="s">
        <v>2383</v>
      </c>
      <c r="J683" s="15" t="s">
        <v>172</v>
      </c>
      <c r="K683" s="16">
        <v>35940</v>
      </c>
      <c r="L683" s="16">
        <v>50400</v>
      </c>
      <c r="M683" s="17">
        <f>Table1[[#This Row],[Billing Rate Charges]]-Table1[[#This Row],[ LORRY RATE ]]</f>
        <v>14460</v>
      </c>
      <c r="N683" s="17">
        <v>35940</v>
      </c>
      <c r="O683" s="17">
        <f>Table1[[#This Row],[ LORRY RATE ]]-Table1[[#This Row],[Adance Paid (INR)]]</f>
        <v>0</v>
      </c>
      <c r="P683" s="17" t="s">
        <v>147</v>
      </c>
      <c r="Q683" s="18" t="s">
        <v>1085</v>
      </c>
      <c r="R683" s="17"/>
      <c r="S683" s="18" t="s">
        <v>2362</v>
      </c>
      <c r="T683" s="18" t="s">
        <v>2362</v>
      </c>
      <c r="U683" s="15" t="s">
        <v>54</v>
      </c>
      <c r="V683" s="15" t="s">
        <v>529</v>
      </c>
      <c r="W683" s="15" t="s">
        <v>2344</v>
      </c>
    </row>
    <row r="684" spans="1:23" hidden="1" x14ac:dyDescent="0.3">
      <c r="A684" s="15">
        <v>679</v>
      </c>
      <c r="B684" s="15" t="s">
        <v>2300</v>
      </c>
      <c r="C684" s="19">
        <v>45920</v>
      </c>
      <c r="D684" s="19" t="s">
        <v>56</v>
      </c>
      <c r="E684" s="15" t="s">
        <v>1635</v>
      </c>
      <c r="F684" s="15">
        <v>9472230553</v>
      </c>
      <c r="G684" s="15" t="s">
        <v>105</v>
      </c>
      <c r="H684" s="15" t="s">
        <v>2372</v>
      </c>
      <c r="I684" s="15" t="s">
        <v>6</v>
      </c>
      <c r="J684" s="15" t="s">
        <v>172</v>
      </c>
      <c r="K684" s="16">
        <v>41230</v>
      </c>
      <c r="L684" s="16">
        <v>96390</v>
      </c>
      <c r="M684" s="17">
        <f>Table1[[#This Row],[Billing Rate Charges]]-Table1[[#This Row],[ LORRY RATE ]]</f>
        <v>55160</v>
      </c>
      <c r="N684" s="17">
        <v>41230</v>
      </c>
      <c r="O684" s="17">
        <f>Table1[[#This Row],[ LORRY RATE ]]-Table1[[#This Row],[Adance Paid (INR)]]</f>
        <v>0</v>
      </c>
      <c r="P684" s="17" t="s">
        <v>147</v>
      </c>
      <c r="Q684" s="18" t="s">
        <v>1074</v>
      </c>
      <c r="R684" s="17"/>
      <c r="S684" s="18" t="s">
        <v>2347</v>
      </c>
      <c r="T684" s="18" t="s">
        <v>2347</v>
      </c>
      <c r="U684" s="15" t="s">
        <v>54</v>
      </c>
      <c r="V684" s="15" t="s">
        <v>56</v>
      </c>
      <c r="W684" s="15"/>
    </row>
    <row r="685" spans="1:23" hidden="1" x14ac:dyDescent="0.3">
      <c r="A685" s="15">
        <v>680</v>
      </c>
      <c r="B685" s="15" t="s">
        <v>2300</v>
      </c>
      <c r="C685" s="19">
        <v>45922</v>
      </c>
      <c r="D685" s="19" t="s">
        <v>56</v>
      </c>
      <c r="E685" s="15" t="s">
        <v>1637</v>
      </c>
      <c r="F685" s="15">
        <v>9842431449</v>
      </c>
      <c r="G685" s="15" t="s">
        <v>6</v>
      </c>
      <c r="H685" s="15" t="s">
        <v>440</v>
      </c>
      <c r="I685" s="15" t="s">
        <v>2384</v>
      </c>
      <c r="J685" s="15" t="s">
        <v>172</v>
      </c>
      <c r="K685" s="16">
        <v>33770</v>
      </c>
      <c r="L685" s="16">
        <v>46620</v>
      </c>
      <c r="M685" s="17">
        <f>Table1[[#This Row],[Billing Rate Charges]]-Table1[[#This Row],[ LORRY RATE ]]</f>
        <v>12850</v>
      </c>
      <c r="N685" s="17">
        <v>33770</v>
      </c>
      <c r="O685" s="17">
        <f>Table1[[#This Row],[ LORRY RATE ]]-Table1[[#This Row],[Adance Paid (INR)]]</f>
        <v>0</v>
      </c>
      <c r="P685" s="17" t="s">
        <v>147</v>
      </c>
      <c r="Q685" s="18" t="s">
        <v>1086</v>
      </c>
      <c r="R685" s="17"/>
      <c r="S685" s="18" t="s">
        <v>2363</v>
      </c>
      <c r="T685" s="18" t="s">
        <v>2363</v>
      </c>
      <c r="U685" s="15" t="s">
        <v>54</v>
      </c>
      <c r="V685" s="15" t="s">
        <v>56</v>
      </c>
      <c r="W685" s="15"/>
    </row>
    <row r="686" spans="1:23" hidden="1" x14ac:dyDescent="0.3">
      <c r="A686" s="15">
        <v>681</v>
      </c>
      <c r="B686" s="15" t="s">
        <v>2300</v>
      </c>
      <c r="C686" s="19">
        <v>45923</v>
      </c>
      <c r="D686" s="19" t="s">
        <v>56</v>
      </c>
      <c r="E686" s="15" t="s">
        <v>60</v>
      </c>
      <c r="F686" s="15">
        <v>9589264337</v>
      </c>
      <c r="G686" s="15" t="s">
        <v>6</v>
      </c>
      <c r="H686" s="15" t="s">
        <v>440</v>
      </c>
      <c r="I686" s="15" t="s">
        <v>2385</v>
      </c>
      <c r="J686" s="15" t="s">
        <v>172</v>
      </c>
      <c r="K686" s="16">
        <v>33770</v>
      </c>
      <c r="L686" s="16">
        <v>46620</v>
      </c>
      <c r="M686" s="17">
        <f>Table1[[#This Row],[Billing Rate Charges]]-Table1[[#This Row],[ LORRY RATE ]]</f>
        <v>12850</v>
      </c>
      <c r="N686" s="17">
        <v>33770</v>
      </c>
      <c r="O686" s="17">
        <f>Table1[[#This Row],[ LORRY RATE ]]-Table1[[#This Row],[Adance Paid (INR)]]</f>
        <v>0</v>
      </c>
      <c r="P686" s="17" t="s">
        <v>147</v>
      </c>
      <c r="Q686" s="18" t="s">
        <v>1087</v>
      </c>
      <c r="R686" s="17"/>
      <c r="S686" s="18" t="s">
        <v>2364</v>
      </c>
      <c r="T686" s="18" t="s">
        <v>2364</v>
      </c>
      <c r="U686" s="15" t="s">
        <v>54</v>
      </c>
      <c r="V686" s="15" t="s">
        <v>56</v>
      </c>
      <c r="W686" s="15"/>
    </row>
    <row r="687" spans="1:23" hidden="1" x14ac:dyDescent="0.3">
      <c r="A687" s="15">
        <v>682</v>
      </c>
      <c r="B687" s="15" t="s">
        <v>2300</v>
      </c>
      <c r="C687" s="19">
        <v>45923</v>
      </c>
      <c r="D687" s="19" t="s">
        <v>56</v>
      </c>
      <c r="E687" s="15" t="s">
        <v>1644</v>
      </c>
      <c r="F687" s="15">
        <v>9062508646</v>
      </c>
      <c r="G687" s="15" t="s">
        <v>1093</v>
      </c>
      <c r="H687" s="15" t="s">
        <v>2371</v>
      </c>
      <c r="I687" s="15" t="s">
        <v>6</v>
      </c>
      <c r="J687" s="15" t="s">
        <v>172</v>
      </c>
      <c r="K687" s="16">
        <v>41230</v>
      </c>
      <c r="L687" s="16">
        <v>96390</v>
      </c>
      <c r="M687" s="17">
        <f>Table1[[#This Row],[Billing Rate Charges]]-Table1[[#This Row],[ LORRY RATE ]]</f>
        <v>55160</v>
      </c>
      <c r="N687" s="17">
        <v>41230</v>
      </c>
      <c r="O687" s="17">
        <f>Table1[[#This Row],[ LORRY RATE ]]-Table1[[#This Row],[Adance Paid (INR)]]</f>
        <v>0</v>
      </c>
      <c r="P687" s="17" t="s">
        <v>147</v>
      </c>
      <c r="Q687" s="18" t="s">
        <v>1077</v>
      </c>
      <c r="R687" s="17"/>
      <c r="S687" s="18" t="s">
        <v>2364</v>
      </c>
      <c r="T687" s="18" t="s">
        <v>2364</v>
      </c>
      <c r="U687" s="15" t="s">
        <v>54</v>
      </c>
      <c r="V687" s="15" t="s">
        <v>56</v>
      </c>
      <c r="W687" s="15"/>
    </row>
    <row r="688" spans="1:23" hidden="1" x14ac:dyDescent="0.3">
      <c r="A688" s="15">
        <v>683</v>
      </c>
      <c r="B688" s="15" t="s">
        <v>2300</v>
      </c>
      <c r="C688" s="19">
        <v>45924</v>
      </c>
      <c r="D688" s="19" t="s">
        <v>56</v>
      </c>
      <c r="E688" s="15" t="s">
        <v>1635</v>
      </c>
      <c r="F688" s="15">
        <v>9472230553</v>
      </c>
      <c r="G688" s="15" t="s">
        <v>6</v>
      </c>
      <c r="H688" s="15" t="s">
        <v>2348</v>
      </c>
      <c r="I688" s="15" t="s">
        <v>2386</v>
      </c>
      <c r="J688" s="15" t="s">
        <v>172</v>
      </c>
      <c r="K688" s="16">
        <v>34710</v>
      </c>
      <c r="L688" s="16">
        <v>52920</v>
      </c>
      <c r="M688" s="17">
        <f>Table1[[#This Row],[Billing Rate Charges]]-Table1[[#This Row],[ LORRY RATE ]]</f>
        <v>18210</v>
      </c>
      <c r="N688" s="17">
        <v>34710</v>
      </c>
      <c r="O688" s="17">
        <f>Table1[[#This Row],[ LORRY RATE ]]-Table1[[#This Row],[Adance Paid (INR)]]</f>
        <v>0</v>
      </c>
      <c r="P688" s="17" t="s">
        <v>147</v>
      </c>
      <c r="Q688" s="18" t="s">
        <v>1088</v>
      </c>
      <c r="R688" s="17"/>
      <c r="S688" s="18" t="s">
        <v>2367</v>
      </c>
      <c r="T688" s="18" t="s">
        <v>2367</v>
      </c>
      <c r="U688" s="15" t="s">
        <v>54</v>
      </c>
      <c r="V688" s="15" t="s">
        <v>56</v>
      </c>
      <c r="W688" s="15" t="s">
        <v>2368</v>
      </c>
    </row>
    <row r="689" spans="1:23" hidden="1" x14ac:dyDescent="0.3">
      <c r="A689" s="15">
        <v>684</v>
      </c>
      <c r="B689" s="15" t="s">
        <v>2300</v>
      </c>
      <c r="C689" s="19">
        <v>45924</v>
      </c>
      <c r="D689" s="19" t="s">
        <v>51</v>
      </c>
      <c r="E689" s="21" t="s">
        <v>2349</v>
      </c>
      <c r="F689" s="21">
        <v>9142370650</v>
      </c>
      <c r="G689" s="15" t="s">
        <v>1093</v>
      </c>
      <c r="H689" s="15" t="s">
        <v>2374</v>
      </c>
      <c r="I689" s="15" t="s">
        <v>6</v>
      </c>
      <c r="J689" s="15" t="s">
        <v>623</v>
      </c>
      <c r="K689" s="16">
        <v>49680</v>
      </c>
      <c r="L689" s="16">
        <v>59850</v>
      </c>
      <c r="M689" s="17">
        <f>Table1[[#This Row],[Billing Rate Charges]]-Table1[[#This Row],[ LORRY RATE ]]</f>
        <v>10170</v>
      </c>
      <c r="N689" s="17">
        <v>48370</v>
      </c>
      <c r="O689" s="17">
        <f>Table1[[#This Row],[ LORRY RATE ]]-Table1[[#This Row],[Adance Paid (INR)]]</f>
        <v>1310</v>
      </c>
      <c r="P689" s="17" t="s">
        <v>147</v>
      </c>
      <c r="Q689" s="18" t="s">
        <v>1080</v>
      </c>
      <c r="R689" s="17"/>
      <c r="S689" s="18" t="s">
        <v>2367</v>
      </c>
      <c r="T689" s="18" t="s">
        <v>2367</v>
      </c>
      <c r="U689" s="15" t="s">
        <v>54</v>
      </c>
      <c r="V689" s="15" t="s">
        <v>2350</v>
      </c>
      <c r="W689" s="15"/>
    </row>
    <row r="690" spans="1:23" hidden="1" x14ac:dyDescent="0.3">
      <c r="A690" s="15">
        <v>685</v>
      </c>
      <c r="B690" s="15" t="s">
        <v>2300</v>
      </c>
      <c r="C690" s="19">
        <v>45924</v>
      </c>
      <c r="D690" s="19" t="s">
        <v>56</v>
      </c>
      <c r="E690" s="15" t="s">
        <v>2351</v>
      </c>
      <c r="F690" s="15">
        <v>9793531306</v>
      </c>
      <c r="G690" s="15" t="s">
        <v>105</v>
      </c>
      <c r="H690" s="15" t="s">
        <v>2369</v>
      </c>
      <c r="I690" s="15" t="s">
        <v>6</v>
      </c>
      <c r="J690" s="15" t="s">
        <v>59</v>
      </c>
      <c r="K690" s="16">
        <v>41420</v>
      </c>
      <c r="L690" s="16">
        <v>97650</v>
      </c>
      <c r="M690" s="17">
        <f>Table1[[#This Row],[Billing Rate Charges]]-Table1[[#This Row],[ LORRY RATE ]]</f>
        <v>56230</v>
      </c>
      <c r="N690" s="17">
        <v>41420</v>
      </c>
      <c r="O690" s="17">
        <f>Table1[[#This Row],[ LORRY RATE ]]-Table1[[#This Row],[Adance Paid (INR)]]</f>
        <v>0</v>
      </c>
      <c r="P690" s="17" t="s">
        <v>147</v>
      </c>
      <c r="Q690" s="18" t="s">
        <v>1079</v>
      </c>
      <c r="R690" s="17"/>
      <c r="S690" s="18" t="s">
        <v>2367</v>
      </c>
      <c r="T690" s="18" t="s">
        <v>2367</v>
      </c>
      <c r="U690" s="15" t="s">
        <v>54</v>
      </c>
      <c r="V690" s="15" t="s">
        <v>56</v>
      </c>
      <c r="W690" s="15"/>
    </row>
    <row r="691" spans="1:23" hidden="1" x14ac:dyDescent="0.3">
      <c r="A691" s="15">
        <v>686</v>
      </c>
      <c r="B691" s="15" t="s">
        <v>2300</v>
      </c>
      <c r="C691" s="19">
        <v>45925</v>
      </c>
      <c r="D691" s="19" t="s">
        <v>56</v>
      </c>
      <c r="E691" s="15" t="s">
        <v>1641</v>
      </c>
      <c r="F691" s="15">
        <v>9281983602</v>
      </c>
      <c r="G691" s="15" t="s">
        <v>6</v>
      </c>
      <c r="H691" s="15" t="s">
        <v>440</v>
      </c>
      <c r="I691" s="15" t="s">
        <v>2387</v>
      </c>
      <c r="J691" s="15" t="s">
        <v>172</v>
      </c>
      <c r="K691" s="16">
        <v>33770</v>
      </c>
      <c r="L691" s="16">
        <v>46620</v>
      </c>
      <c r="M691" s="17">
        <f>Table1[[#This Row],[Billing Rate Charges]]-Table1[[#This Row],[ LORRY RATE ]]</f>
        <v>12850</v>
      </c>
      <c r="N691" s="17">
        <v>33770</v>
      </c>
      <c r="O691" s="17">
        <f>Table1[[#This Row],[ LORRY RATE ]]-Table1[[#This Row],[Adance Paid (INR)]]</f>
        <v>0</v>
      </c>
      <c r="P691" s="17" t="s">
        <v>147</v>
      </c>
      <c r="Q691" s="18" t="s">
        <v>1089</v>
      </c>
      <c r="R691" s="17"/>
      <c r="S691" s="18" t="s">
        <v>2390</v>
      </c>
      <c r="T691" s="18" t="s">
        <v>2391</v>
      </c>
      <c r="U691" s="15" t="s">
        <v>54</v>
      </c>
      <c r="V691" s="15" t="s">
        <v>56</v>
      </c>
      <c r="W691" s="15"/>
    </row>
    <row r="692" spans="1:23" hidden="1" x14ac:dyDescent="0.3">
      <c r="A692" s="15">
        <v>687</v>
      </c>
      <c r="B692" s="15" t="s">
        <v>2300</v>
      </c>
      <c r="C692" s="19">
        <v>45926</v>
      </c>
      <c r="D692" s="19" t="s">
        <v>51</v>
      </c>
      <c r="E692" s="15" t="s">
        <v>2336</v>
      </c>
      <c r="F692" s="15">
        <v>9220186371</v>
      </c>
      <c r="G692" s="15" t="s">
        <v>2365</v>
      </c>
      <c r="H692" s="15" t="s">
        <v>1874</v>
      </c>
      <c r="I692" s="15" t="s">
        <v>2375</v>
      </c>
      <c r="J692" s="15" t="s">
        <v>172</v>
      </c>
      <c r="K692" s="16">
        <v>8550</v>
      </c>
      <c r="L692" s="16">
        <v>15750</v>
      </c>
      <c r="M692" s="17">
        <f>Table1[[#This Row],[Billing Rate Charges]]-Table1[[#This Row],[ LORRY RATE ]]</f>
        <v>7200</v>
      </c>
      <c r="N692" s="17">
        <v>8550</v>
      </c>
      <c r="O692" s="17">
        <f>Table1[[#This Row],[ LORRY RATE ]]-Table1[[#This Row],[Adance Paid (INR)]]</f>
        <v>0</v>
      </c>
      <c r="P692" s="17" t="s">
        <v>147</v>
      </c>
      <c r="Q692" s="18" t="s">
        <v>1057</v>
      </c>
      <c r="R692" s="17"/>
      <c r="S692" s="18" t="s">
        <v>2367</v>
      </c>
      <c r="T692" s="18" t="s">
        <v>2367</v>
      </c>
      <c r="U692" s="15" t="s">
        <v>54</v>
      </c>
      <c r="V692" s="15" t="s">
        <v>2337</v>
      </c>
      <c r="W692" s="15"/>
    </row>
    <row r="693" spans="1:23" hidden="1" x14ac:dyDescent="0.3">
      <c r="A693" s="15">
        <v>688</v>
      </c>
      <c r="B693" s="15" t="s">
        <v>2300</v>
      </c>
      <c r="C693" s="19">
        <v>45926</v>
      </c>
      <c r="D693" s="19" t="s">
        <v>51</v>
      </c>
      <c r="E693" s="15" t="s">
        <v>2366</v>
      </c>
      <c r="F693" s="15">
        <v>9249035301</v>
      </c>
      <c r="G693" s="15" t="s">
        <v>45</v>
      </c>
      <c r="H693" s="15" t="s">
        <v>1874</v>
      </c>
      <c r="I693" s="15" t="s">
        <v>2376</v>
      </c>
      <c r="J693" s="15" t="s">
        <v>168</v>
      </c>
      <c r="K693" s="16">
        <v>43630</v>
      </c>
      <c r="L693" s="16">
        <v>51660</v>
      </c>
      <c r="M693" s="17">
        <f>Table1[[#This Row],[Billing Rate Charges]]-Table1[[#This Row],[ LORRY RATE ]]</f>
        <v>8030</v>
      </c>
      <c r="N693" s="17">
        <v>43630</v>
      </c>
      <c r="O693" s="17">
        <f>Table1[[#This Row],[ LORRY RATE ]]-Table1[[#This Row],[Adance Paid (INR)]]</f>
        <v>0</v>
      </c>
      <c r="P693" s="17" t="s">
        <v>147</v>
      </c>
      <c r="Q693" s="18" t="s">
        <v>1063</v>
      </c>
      <c r="R693" s="17"/>
      <c r="S693" s="18" t="s">
        <v>2391</v>
      </c>
      <c r="T693" s="18" t="s">
        <v>2392</v>
      </c>
      <c r="U693" s="15" t="s">
        <v>54</v>
      </c>
      <c r="V693" s="15" t="s">
        <v>529</v>
      </c>
      <c r="W693" s="15"/>
    </row>
    <row r="694" spans="1:23" hidden="1" x14ac:dyDescent="0.3">
      <c r="A694" s="15">
        <v>689</v>
      </c>
      <c r="B694" s="15" t="s">
        <v>2300</v>
      </c>
      <c r="C694" s="19">
        <v>45927</v>
      </c>
      <c r="D694" s="19" t="s">
        <v>56</v>
      </c>
      <c r="E694" s="21" t="s">
        <v>1637</v>
      </c>
      <c r="F694" s="21">
        <v>9842431449</v>
      </c>
      <c r="G694" s="15" t="s">
        <v>1093</v>
      </c>
      <c r="H694" s="15" t="s">
        <v>1874</v>
      </c>
      <c r="I694" s="15" t="s">
        <v>2377</v>
      </c>
      <c r="J694" s="15" t="s">
        <v>172</v>
      </c>
      <c r="K694" s="16">
        <v>41230</v>
      </c>
      <c r="L694" s="16">
        <v>96390</v>
      </c>
      <c r="M694" s="17">
        <f>Table1[[#This Row],[Billing Rate Charges]]-Table1[[#This Row],[ LORRY RATE ]]</f>
        <v>55160</v>
      </c>
      <c r="N694" s="17">
        <v>41230</v>
      </c>
      <c r="O694" s="17">
        <f>Table1[[#This Row],[ LORRY RATE ]]-Table1[[#This Row],[Adance Paid (INR)]]</f>
        <v>0</v>
      </c>
      <c r="P694" s="17" t="s">
        <v>147</v>
      </c>
      <c r="Q694" s="18" t="s">
        <v>1075</v>
      </c>
      <c r="R694" s="17"/>
      <c r="S694" s="18" t="s">
        <v>2391</v>
      </c>
      <c r="T694" s="18" t="s">
        <v>2391</v>
      </c>
      <c r="U694" s="15" t="s">
        <v>54</v>
      </c>
      <c r="V694" s="15" t="s">
        <v>56</v>
      </c>
      <c r="W694" s="15"/>
    </row>
    <row r="695" spans="1:23" hidden="1" x14ac:dyDescent="0.3">
      <c r="A695" s="15">
        <v>690</v>
      </c>
      <c r="B695" s="15" t="s">
        <v>2300</v>
      </c>
      <c r="C695" s="19">
        <v>45927</v>
      </c>
      <c r="D695" s="19" t="s">
        <v>56</v>
      </c>
      <c r="E695" s="15" t="s">
        <v>1644</v>
      </c>
      <c r="F695" s="15">
        <v>9062508646</v>
      </c>
      <c r="G695" s="15" t="s">
        <v>6</v>
      </c>
      <c r="H695" s="15" t="s">
        <v>440</v>
      </c>
      <c r="I695" s="15" t="s">
        <v>2388</v>
      </c>
      <c r="J695" s="15" t="s">
        <v>172</v>
      </c>
      <c r="K695" s="16">
        <v>33770</v>
      </c>
      <c r="L695" s="16">
        <v>46620</v>
      </c>
      <c r="M695" s="17">
        <f>Table1[[#This Row],[Billing Rate Charges]]-Table1[[#This Row],[ LORRY RATE ]]</f>
        <v>12850</v>
      </c>
      <c r="N695" s="17">
        <v>33770</v>
      </c>
      <c r="O695" s="17">
        <f>Table1[[#This Row],[ LORRY RATE ]]-Table1[[#This Row],[Adance Paid (INR)]]</f>
        <v>0</v>
      </c>
      <c r="P695" s="17" t="s">
        <v>147</v>
      </c>
      <c r="Q695" s="18" t="s">
        <v>1062</v>
      </c>
      <c r="R695" s="17"/>
      <c r="S695" s="18" t="s">
        <v>2392</v>
      </c>
      <c r="T695" s="18" t="s">
        <v>2392</v>
      </c>
      <c r="U695" s="15" t="s">
        <v>54</v>
      </c>
      <c r="V695" s="15" t="s">
        <v>56</v>
      </c>
      <c r="W695" s="15"/>
    </row>
    <row r="696" spans="1:23" hidden="1" x14ac:dyDescent="0.3">
      <c r="A696" s="15">
        <v>691</v>
      </c>
      <c r="B696" s="15" t="s">
        <v>2300</v>
      </c>
      <c r="C696" s="19">
        <v>45927</v>
      </c>
      <c r="D696" s="19" t="s">
        <v>56</v>
      </c>
      <c r="E696" s="15" t="s">
        <v>38</v>
      </c>
      <c r="F696" s="15">
        <v>9793531306</v>
      </c>
      <c r="G696" s="15" t="s">
        <v>6</v>
      </c>
      <c r="H696" s="15" t="s">
        <v>440</v>
      </c>
      <c r="I696" s="15" t="s">
        <v>2389</v>
      </c>
      <c r="J696" s="15" t="s">
        <v>59</v>
      </c>
      <c r="K696" s="16">
        <v>33480</v>
      </c>
      <c r="L696" s="16">
        <v>44730</v>
      </c>
      <c r="M696" s="17">
        <f>Table1[[#This Row],[Billing Rate Charges]]-Table1[[#This Row],[ LORRY RATE ]]</f>
        <v>11250</v>
      </c>
      <c r="N696" s="17">
        <v>33480</v>
      </c>
      <c r="O696" s="17">
        <f>Table1[[#This Row],[ LORRY RATE ]]-Table1[[#This Row],[Adance Paid (INR)]]</f>
        <v>0</v>
      </c>
      <c r="P696" s="17" t="s">
        <v>147</v>
      </c>
      <c r="Q696" s="18" t="s">
        <v>1169</v>
      </c>
      <c r="R696" s="17"/>
      <c r="S696" s="18" t="s">
        <v>2392</v>
      </c>
      <c r="T696" s="18" t="s">
        <v>2392</v>
      </c>
      <c r="U696" s="15" t="s">
        <v>54</v>
      </c>
      <c r="V696" s="15" t="s">
        <v>56</v>
      </c>
      <c r="W696" s="15"/>
    </row>
    <row r="697" spans="1:23" hidden="1" x14ac:dyDescent="0.3">
      <c r="A697" s="15">
        <v>692</v>
      </c>
      <c r="B697" s="15" t="s">
        <v>2300</v>
      </c>
      <c r="C697" s="19">
        <v>45927</v>
      </c>
      <c r="D697" s="19" t="s">
        <v>56</v>
      </c>
      <c r="E697" s="15" t="s">
        <v>60</v>
      </c>
      <c r="F697" s="15">
        <v>9589264337</v>
      </c>
      <c r="G697" s="15" t="s">
        <v>1093</v>
      </c>
      <c r="H697" s="15" t="s">
        <v>2373</v>
      </c>
      <c r="I697" s="15" t="s">
        <v>6</v>
      </c>
      <c r="J697" s="15" t="s">
        <v>172</v>
      </c>
      <c r="K697" s="16">
        <v>42180</v>
      </c>
      <c r="L697" s="16">
        <v>102690</v>
      </c>
      <c r="M697" s="17">
        <f>Table1[[#This Row],[Billing Rate Charges]]-Table1[[#This Row],[ LORRY RATE ]]</f>
        <v>60510</v>
      </c>
      <c r="N697" s="17">
        <v>42180</v>
      </c>
      <c r="O697" s="17">
        <f>Table1[[#This Row],[ LORRY RATE ]]-Table1[[#This Row],[Adance Paid (INR)]]</f>
        <v>0</v>
      </c>
      <c r="P697" s="17" t="s">
        <v>147</v>
      </c>
      <c r="Q697" s="18" t="s">
        <v>1171</v>
      </c>
      <c r="R697" s="17"/>
      <c r="S697" s="18" t="s">
        <v>2392</v>
      </c>
      <c r="T697" s="18" t="s">
        <v>2393</v>
      </c>
      <c r="U697" s="15" t="s">
        <v>54</v>
      </c>
      <c r="V697" s="15" t="s">
        <v>56</v>
      </c>
      <c r="W697" s="15"/>
    </row>
    <row r="698" spans="1:23" hidden="1" x14ac:dyDescent="0.3">
      <c r="A698" s="15">
        <v>693</v>
      </c>
      <c r="B698" s="15" t="s">
        <v>2300</v>
      </c>
      <c r="C698" s="19">
        <v>45929</v>
      </c>
      <c r="D698" s="19" t="s">
        <v>56</v>
      </c>
      <c r="E698" s="15" t="s">
        <v>1637</v>
      </c>
      <c r="F698" s="15">
        <v>9515412075</v>
      </c>
      <c r="G698" s="15" t="s">
        <v>6</v>
      </c>
      <c r="H698" s="15" t="s">
        <v>2430</v>
      </c>
      <c r="I698" s="15" t="s">
        <v>2431</v>
      </c>
      <c r="J698" s="15" t="s">
        <v>172</v>
      </c>
      <c r="K698" s="16">
        <v>33770</v>
      </c>
      <c r="L698" s="16">
        <v>46620</v>
      </c>
      <c r="M698" s="17">
        <f>Table1[[#This Row],[Billing Rate Charges]]-Table1[[#This Row],[ LORRY RATE ]]</f>
        <v>12850</v>
      </c>
      <c r="N698" s="17">
        <v>33770</v>
      </c>
      <c r="O698" s="17">
        <f>Table1[[#This Row],[ LORRY RATE ]]-Table1[[#This Row],[Adance Paid (INR)]]</f>
        <v>0</v>
      </c>
      <c r="P698" s="17" t="s">
        <v>147</v>
      </c>
      <c r="Q698" s="18" t="s">
        <v>1174</v>
      </c>
      <c r="R698" s="17"/>
      <c r="S698" s="18" t="s">
        <v>2393</v>
      </c>
      <c r="T698" s="18" t="s">
        <v>2393</v>
      </c>
      <c r="U698" s="15" t="s">
        <v>54</v>
      </c>
      <c r="V698" s="15" t="s">
        <v>56</v>
      </c>
      <c r="W698" s="15"/>
    </row>
    <row r="699" spans="1:23" hidden="1" x14ac:dyDescent="0.3">
      <c r="A699" s="15">
        <v>694</v>
      </c>
      <c r="B699" s="15" t="s">
        <v>2300</v>
      </c>
      <c r="C699" s="19">
        <v>45929</v>
      </c>
      <c r="D699" s="19" t="s">
        <v>56</v>
      </c>
      <c r="E699" s="15" t="s">
        <v>1635</v>
      </c>
      <c r="F699" s="15">
        <v>9472230553</v>
      </c>
      <c r="G699" s="15" t="s">
        <v>1093</v>
      </c>
      <c r="H699" s="15" t="s">
        <v>2432</v>
      </c>
      <c r="I699" s="15" t="s">
        <v>6</v>
      </c>
      <c r="J699" s="15" t="s">
        <v>172</v>
      </c>
      <c r="K699" s="16">
        <v>42180</v>
      </c>
      <c r="L699" s="16">
        <v>102690</v>
      </c>
      <c r="M699" s="17">
        <f>Table1[[#This Row],[Billing Rate Charges]]-Table1[[#This Row],[ LORRY RATE ]]</f>
        <v>60510</v>
      </c>
      <c r="N699" s="17">
        <v>42180</v>
      </c>
      <c r="O699" s="17">
        <f>Table1[[#This Row],[ LORRY RATE ]]-Table1[[#This Row],[Adance Paid (INR)]]</f>
        <v>0</v>
      </c>
      <c r="P699" s="17" t="s">
        <v>147</v>
      </c>
      <c r="Q699" s="18" t="s">
        <v>1180</v>
      </c>
      <c r="R699" s="17"/>
      <c r="S699" s="18" t="s">
        <v>2394</v>
      </c>
      <c r="T699" s="18" t="s">
        <v>2394</v>
      </c>
      <c r="U699" s="15" t="s">
        <v>54</v>
      </c>
      <c r="V699" s="15" t="s">
        <v>56</v>
      </c>
      <c r="W699" s="15"/>
    </row>
    <row r="700" spans="1:23" hidden="1" x14ac:dyDescent="0.3">
      <c r="A700" s="15">
        <v>695</v>
      </c>
      <c r="B700" s="15" t="s">
        <v>2300</v>
      </c>
      <c r="C700" s="19">
        <v>45930</v>
      </c>
      <c r="D700" s="19" t="s">
        <v>56</v>
      </c>
      <c r="E700" s="15" t="s">
        <v>1641</v>
      </c>
      <c r="F700" s="15">
        <v>9281983602</v>
      </c>
      <c r="G700" s="15" t="s">
        <v>1093</v>
      </c>
      <c r="H700" s="15" t="s">
        <v>2434</v>
      </c>
      <c r="I700" s="15" t="s">
        <v>6</v>
      </c>
      <c r="J700" s="15" t="s">
        <v>172</v>
      </c>
      <c r="K700" s="16">
        <v>41230</v>
      </c>
      <c r="L700" s="16">
        <v>96390</v>
      </c>
      <c r="M700" s="17">
        <f>Table1[[#This Row],[Billing Rate Charges]]-Table1[[#This Row],[ LORRY RATE ]]</f>
        <v>55160</v>
      </c>
      <c r="N700" s="17">
        <v>41230</v>
      </c>
      <c r="O700" s="17">
        <f>Table1[[#This Row],[ LORRY RATE ]]-Table1[[#This Row],[Adance Paid (INR)]]</f>
        <v>0</v>
      </c>
      <c r="P700" s="17" t="s">
        <v>147</v>
      </c>
      <c r="Q700" s="18" t="s">
        <v>1184</v>
      </c>
      <c r="R700" s="17"/>
      <c r="S700" s="18" t="s">
        <v>2393</v>
      </c>
      <c r="T700" s="18" t="s">
        <v>2394</v>
      </c>
      <c r="U700" s="15" t="s">
        <v>54</v>
      </c>
      <c r="V700" s="15" t="s">
        <v>56</v>
      </c>
      <c r="W700" s="15"/>
    </row>
    <row r="701" spans="1:23" hidden="1" x14ac:dyDescent="0.3">
      <c r="A701" s="15">
        <v>696</v>
      </c>
      <c r="B701" s="15" t="s">
        <v>2300</v>
      </c>
      <c r="C701" s="19">
        <v>45930</v>
      </c>
      <c r="D701" s="19" t="s">
        <v>51</v>
      </c>
      <c r="E701" s="21" t="s">
        <v>2378</v>
      </c>
      <c r="F701" s="21">
        <v>9797226233</v>
      </c>
      <c r="G701" s="15" t="s">
        <v>6</v>
      </c>
      <c r="H701" s="15" t="s">
        <v>2409</v>
      </c>
      <c r="I701" s="15" t="s">
        <v>2410</v>
      </c>
      <c r="J701" s="15" t="s">
        <v>172</v>
      </c>
      <c r="K701" s="16">
        <v>33770</v>
      </c>
      <c r="L701" s="16">
        <v>46620</v>
      </c>
      <c r="M701" s="17">
        <f>Table1[[#This Row],[Billing Rate Charges]]-Table1[[#This Row],[ LORRY RATE ]]</f>
        <v>12850</v>
      </c>
      <c r="N701" s="17">
        <v>33770</v>
      </c>
      <c r="O701" s="17">
        <f>Table1[[#This Row],[ LORRY RATE ]]-Table1[[#This Row],[Adance Paid (INR)]]</f>
        <v>0</v>
      </c>
      <c r="P701" s="17" t="s">
        <v>147</v>
      </c>
      <c r="Q701" s="18" t="s">
        <v>1177</v>
      </c>
      <c r="R701" s="17"/>
      <c r="S701" s="18" t="s">
        <v>2393</v>
      </c>
      <c r="T701" s="18" t="s">
        <v>2394</v>
      </c>
      <c r="U701" s="15" t="s">
        <v>54</v>
      </c>
      <c r="V701" s="15" t="s">
        <v>529</v>
      </c>
      <c r="W701" s="15"/>
    </row>
    <row r="702" spans="1:23" hidden="1" x14ac:dyDescent="0.3">
      <c r="A702" s="15">
        <v>697</v>
      </c>
      <c r="B702" s="15" t="s">
        <v>2300</v>
      </c>
      <c r="C702" s="19">
        <v>45930</v>
      </c>
      <c r="D702" s="19" t="s">
        <v>51</v>
      </c>
      <c r="E702" s="21" t="s">
        <v>1643</v>
      </c>
      <c r="F702" s="21">
        <v>9915991042</v>
      </c>
      <c r="G702" s="15" t="s">
        <v>6</v>
      </c>
      <c r="H702" s="15" t="s">
        <v>1874</v>
      </c>
      <c r="I702" s="15" t="s">
        <v>2411</v>
      </c>
      <c r="J702" s="15" t="s">
        <v>623</v>
      </c>
      <c r="K702" s="16">
        <v>25690</v>
      </c>
      <c r="L702" s="16">
        <v>35600</v>
      </c>
      <c r="M702" s="17">
        <f>Table1[[#This Row],[Billing Rate Charges]]-Table1[[#This Row],[ LORRY RATE ]]</f>
        <v>9910</v>
      </c>
      <c r="N702" s="17">
        <v>25690</v>
      </c>
      <c r="O702" s="17">
        <f>Table1[[#This Row],[ LORRY RATE ]]-Table1[[#This Row],[Adance Paid (INR)]]</f>
        <v>0</v>
      </c>
      <c r="P702" s="17" t="s">
        <v>147</v>
      </c>
      <c r="Q702" s="18" t="s">
        <v>1178</v>
      </c>
      <c r="R702" s="17"/>
      <c r="S702" s="18" t="s">
        <v>2393</v>
      </c>
      <c r="T702" s="18" t="s">
        <v>2393</v>
      </c>
      <c r="U702" s="15" t="s">
        <v>54</v>
      </c>
      <c r="V702" s="15" t="s">
        <v>529</v>
      </c>
      <c r="W702" s="15"/>
    </row>
    <row r="703" spans="1:23" hidden="1" x14ac:dyDescent="0.3">
      <c r="A703" s="15">
        <v>698</v>
      </c>
      <c r="B703" s="15" t="s">
        <v>2395</v>
      </c>
      <c r="C703" s="19">
        <v>45934</v>
      </c>
      <c r="D703" s="19" t="s">
        <v>56</v>
      </c>
      <c r="E703" s="15" t="s">
        <v>60</v>
      </c>
      <c r="F703" s="15">
        <v>9589264337</v>
      </c>
      <c r="G703" s="15" t="s">
        <v>6</v>
      </c>
      <c r="H703" s="15" t="s">
        <v>2412</v>
      </c>
      <c r="I703" s="15" t="s">
        <v>2413</v>
      </c>
      <c r="J703" s="15" t="s">
        <v>172</v>
      </c>
      <c r="K703" s="16">
        <v>33770</v>
      </c>
      <c r="L703" s="16">
        <v>46620</v>
      </c>
      <c r="M703" s="17">
        <f>Table1[[#This Row],[Billing Rate Charges]]-Table1[[#This Row],[ LORRY RATE ]]</f>
        <v>12850</v>
      </c>
      <c r="N703" s="17">
        <v>33770</v>
      </c>
      <c r="O703" s="17">
        <f>Table1[[#This Row],[ LORRY RATE ]]-Table1[[#This Row],[Adance Paid (INR)]]</f>
        <v>0</v>
      </c>
      <c r="P703" s="17" t="s">
        <v>147</v>
      </c>
      <c r="Q703" s="18" t="s">
        <v>1190</v>
      </c>
      <c r="R703" s="17"/>
      <c r="S703" s="18" t="s">
        <v>2398</v>
      </c>
      <c r="T703" s="18" t="s">
        <v>2398</v>
      </c>
      <c r="U703" s="15" t="s">
        <v>54</v>
      </c>
      <c r="V703" s="15" t="s">
        <v>56</v>
      </c>
      <c r="W703" s="15"/>
    </row>
    <row r="704" spans="1:23" hidden="1" x14ac:dyDescent="0.3">
      <c r="A704" s="15">
        <v>699</v>
      </c>
      <c r="B704" s="15" t="s">
        <v>2395</v>
      </c>
      <c r="C704" s="19">
        <v>45935</v>
      </c>
      <c r="D704" s="19" t="s">
        <v>56</v>
      </c>
      <c r="E704" s="15" t="s">
        <v>1644</v>
      </c>
      <c r="F704" s="15">
        <v>9062508646</v>
      </c>
      <c r="G704" s="15" t="s">
        <v>1093</v>
      </c>
      <c r="H704" s="15" t="s">
        <v>2436</v>
      </c>
      <c r="I704" s="15" t="s">
        <v>6</v>
      </c>
      <c r="J704" s="15" t="s">
        <v>172</v>
      </c>
      <c r="K704" s="16">
        <v>42180</v>
      </c>
      <c r="L704" s="16">
        <v>102690</v>
      </c>
      <c r="M704" s="17">
        <f>Table1[[#This Row],[Billing Rate Charges]]-Table1[[#This Row],[ LORRY RATE ]]</f>
        <v>60510</v>
      </c>
      <c r="N704" s="17">
        <v>42180</v>
      </c>
      <c r="O704" s="17">
        <f>Table1[[#This Row],[ LORRY RATE ]]-Table1[[#This Row],[Adance Paid (INR)]]</f>
        <v>0</v>
      </c>
      <c r="P704" s="17" t="s">
        <v>147</v>
      </c>
      <c r="Q704" s="18" t="s">
        <v>1185</v>
      </c>
      <c r="R704" s="17"/>
      <c r="S704" s="18" t="s">
        <v>2399</v>
      </c>
      <c r="T704" s="18" t="s">
        <v>2399</v>
      </c>
      <c r="U704" s="15" t="s">
        <v>54</v>
      </c>
      <c r="V704" s="15" t="s">
        <v>56</v>
      </c>
      <c r="W704" s="15"/>
    </row>
    <row r="705" spans="1:23" hidden="1" x14ac:dyDescent="0.3">
      <c r="A705" s="15">
        <v>700</v>
      </c>
      <c r="B705" s="15" t="s">
        <v>2395</v>
      </c>
      <c r="C705" s="19">
        <v>45935</v>
      </c>
      <c r="D705" s="19" t="s">
        <v>56</v>
      </c>
      <c r="E705" s="15" t="s">
        <v>1637</v>
      </c>
      <c r="F705" s="15">
        <v>9515412075</v>
      </c>
      <c r="G705" s="15" t="s">
        <v>105</v>
      </c>
      <c r="H705" s="15" t="s">
        <v>2438</v>
      </c>
      <c r="I705" s="15" t="s">
        <v>6</v>
      </c>
      <c r="J705" s="15" t="s">
        <v>172</v>
      </c>
      <c r="K705" s="16">
        <v>41230</v>
      </c>
      <c r="L705" s="16">
        <v>96390</v>
      </c>
      <c r="M705" s="17">
        <f>Table1[[#This Row],[Billing Rate Charges]]-Table1[[#This Row],[ LORRY RATE ]]</f>
        <v>55160</v>
      </c>
      <c r="N705" s="17">
        <v>41230</v>
      </c>
      <c r="O705" s="17">
        <f>Table1[[#This Row],[ LORRY RATE ]]-Table1[[#This Row],[Adance Paid (INR)]]</f>
        <v>0</v>
      </c>
      <c r="P705" s="17" t="s">
        <v>147</v>
      </c>
      <c r="Q705" s="18" t="s">
        <v>1191</v>
      </c>
      <c r="R705" s="17"/>
      <c r="S705" s="18" t="s">
        <v>2399</v>
      </c>
      <c r="T705" s="18" t="s">
        <v>2399</v>
      </c>
      <c r="U705" s="15" t="s">
        <v>54</v>
      </c>
      <c r="V705" s="15" t="s">
        <v>56</v>
      </c>
      <c r="W705" s="15"/>
    </row>
    <row r="706" spans="1:23" hidden="1" x14ac:dyDescent="0.3">
      <c r="A706" s="15">
        <v>701</v>
      </c>
      <c r="B706" s="15" t="s">
        <v>2395</v>
      </c>
      <c r="C706" s="19">
        <v>45936</v>
      </c>
      <c r="D706" s="19" t="s">
        <v>56</v>
      </c>
      <c r="E706" s="21" t="s">
        <v>38</v>
      </c>
      <c r="F706" s="21">
        <v>9793531306</v>
      </c>
      <c r="G706" s="15" t="s">
        <v>1093</v>
      </c>
      <c r="H706" s="15" t="s">
        <v>2441</v>
      </c>
      <c r="I706" s="15" t="s">
        <v>6</v>
      </c>
      <c r="J706" s="15" t="s">
        <v>59</v>
      </c>
      <c r="K706" s="16">
        <v>40480</v>
      </c>
      <c r="L706" s="16">
        <v>91350</v>
      </c>
      <c r="M706" s="17">
        <f>Table1[[#This Row],[Billing Rate Charges]]-Table1[[#This Row],[ LORRY RATE ]]</f>
        <v>50870</v>
      </c>
      <c r="N706" s="17">
        <v>40480</v>
      </c>
      <c r="O706" s="17">
        <f>Table1[[#This Row],[ LORRY RATE ]]-Table1[[#This Row],[Adance Paid (INR)]]</f>
        <v>0</v>
      </c>
      <c r="P706" s="17" t="s">
        <v>147</v>
      </c>
      <c r="Q706" s="18" t="s">
        <v>1172</v>
      </c>
      <c r="R706" s="17"/>
      <c r="S706" s="18" t="s">
        <v>2397</v>
      </c>
      <c r="T706" s="18" t="s">
        <v>2397</v>
      </c>
      <c r="U706" s="15" t="s">
        <v>54</v>
      </c>
      <c r="V706" s="15" t="s">
        <v>56</v>
      </c>
      <c r="W706" s="15"/>
    </row>
    <row r="707" spans="1:23" hidden="1" x14ac:dyDescent="0.3">
      <c r="A707" s="15">
        <v>702</v>
      </c>
      <c r="B707" s="15" t="s">
        <v>2395</v>
      </c>
      <c r="C707" s="19">
        <v>45936</v>
      </c>
      <c r="D707" s="19" t="s">
        <v>56</v>
      </c>
      <c r="E707" s="21" t="s">
        <v>1635</v>
      </c>
      <c r="F707" s="21">
        <v>9220186371</v>
      </c>
      <c r="G707" s="15" t="s">
        <v>6</v>
      </c>
      <c r="H707" s="15" t="s">
        <v>1874</v>
      </c>
      <c r="I707" s="15" t="s">
        <v>2414</v>
      </c>
      <c r="J707" s="15" t="s">
        <v>172</v>
      </c>
      <c r="K707" s="16">
        <v>32820</v>
      </c>
      <c r="L707" s="16">
        <v>40320</v>
      </c>
      <c r="M707" s="17">
        <f>Table1[[#This Row],[Billing Rate Charges]]-Table1[[#This Row],[ LORRY RATE ]]</f>
        <v>7500</v>
      </c>
      <c r="N707" s="17">
        <v>32820</v>
      </c>
      <c r="O707" s="17">
        <f>Table1[[#This Row],[ LORRY RATE ]]-Table1[[#This Row],[Adance Paid (INR)]]</f>
        <v>0</v>
      </c>
      <c r="P707" s="17" t="s">
        <v>147</v>
      </c>
      <c r="Q707" s="18" t="s">
        <v>1179</v>
      </c>
      <c r="R707" s="17"/>
      <c r="S707" s="18" t="s">
        <v>2397</v>
      </c>
      <c r="T707" s="18" t="s">
        <v>2397</v>
      </c>
      <c r="U707" s="15" t="s">
        <v>54</v>
      </c>
      <c r="V707" s="15" t="s">
        <v>56</v>
      </c>
      <c r="W707" s="15"/>
    </row>
    <row r="708" spans="1:23" hidden="1" x14ac:dyDescent="0.3">
      <c r="A708" s="15">
        <v>703</v>
      </c>
      <c r="B708" s="15" t="s">
        <v>2395</v>
      </c>
      <c r="C708" s="19">
        <v>45936</v>
      </c>
      <c r="D708" s="19" t="s">
        <v>56</v>
      </c>
      <c r="E708" s="21" t="s">
        <v>1641</v>
      </c>
      <c r="F708" s="21">
        <v>9281983602</v>
      </c>
      <c r="G708" s="15" t="s">
        <v>6</v>
      </c>
      <c r="H708" s="15" t="s">
        <v>2415</v>
      </c>
      <c r="I708" s="15" t="s">
        <v>2416</v>
      </c>
      <c r="J708" s="15" t="s">
        <v>172</v>
      </c>
      <c r="K708" s="16">
        <v>33770</v>
      </c>
      <c r="L708" s="16">
        <v>46620</v>
      </c>
      <c r="M708" s="17">
        <f>Table1[[#This Row],[Billing Rate Charges]]-Table1[[#This Row],[ LORRY RATE ]]</f>
        <v>12850</v>
      </c>
      <c r="N708" s="17">
        <v>33770</v>
      </c>
      <c r="O708" s="17">
        <f>Table1[[#This Row],[ LORRY RATE ]]-Table1[[#This Row],[Adance Paid (INR)]]</f>
        <v>0</v>
      </c>
      <c r="P708" s="17" t="s">
        <v>147</v>
      </c>
      <c r="Q708" s="18" t="s">
        <v>1176</v>
      </c>
      <c r="R708" s="17"/>
      <c r="S708" s="18" t="s">
        <v>2397</v>
      </c>
      <c r="T708" s="18" t="s">
        <v>2397</v>
      </c>
      <c r="U708" s="15" t="s">
        <v>54</v>
      </c>
      <c r="V708" s="15" t="s">
        <v>56</v>
      </c>
      <c r="W708" s="15"/>
    </row>
    <row r="709" spans="1:23" hidden="1" x14ac:dyDescent="0.3">
      <c r="A709" s="15">
        <v>704</v>
      </c>
      <c r="B709" s="15" t="s">
        <v>2395</v>
      </c>
      <c r="C709" s="19">
        <v>45938</v>
      </c>
      <c r="D709" s="19" t="s">
        <v>56</v>
      </c>
      <c r="E709" s="21" t="s">
        <v>1644</v>
      </c>
      <c r="F709" s="21">
        <v>9902798068</v>
      </c>
      <c r="G709" s="15" t="s">
        <v>6</v>
      </c>
      <c r="H709" s="15" t="s">
        <v>2417</v>
      </c>
      <c r="I709" s="15" t="s">
        <v>2418</v>
      </c>
      <c r="J709" s="15" t="s">
        <v>172</v>
      </c>
      <c r="K709" s="16">
        <v>33770</v>
      </c>
      <c r="L709" s="16">
        <v>46620</v>
      </c>
      <c r="M709" s="17">
        <f>Table1[[#This Row],[Billing Rate Charges]]-Table1[[#This Row],[ LORRY RATE ]]</f>
        <v>12850</v>
      </c>
      <c r="N709" s="17">
        <v>33770</v>
      </c>
      <c r="O709" s="17">
        <f>Table1[[#This Row],[ LORRY RATE ]]-Table1[[#This Row],[Adance Paid (INR)]]</f>
        <v>0</v>
      </c>
      <c r="P709" s="17" t="s">
        <v>147</v>
      </c>
      <c r="Q709" s="18" t="s">
        <v>1195</v>
      </c>
      <c r="R709" s="17"/>
      <c r="S709" s="18" t="s">
        <v>2400</v>
      </c>
      <c r="T709" s="18" t="s">
        <v>2401</v>
      </c>
      <c r="U709" s="15" t="s">
        <v>54</v>
      </c>
      <c r="V709" s="15" t="s">
        <v>56</v>
      </c>
      <c r="W709" s="15"/>
    </row>
    <row r="710" spans="1:23" hidden="1" x14ac:dyDescent="0.3">
      <c r="A710" s="15">
        <v>705</v>
      </c>
      <c r="B710" s="15" t="s">
        <v>2395</v>
      </c>
      <c r="C710" s="19">
        <v>45938</v>
      </c>
      <c r="D710" s="19" t="s">
        <v>56</v>
      </c>
      <c r="E710" s="15" t="s">
        <v>1637</v>
      </c>
      <c r="F710" s="15">
        <v>9515412075</v>
      </c>
      <c r="G710" s="15" t="s">
        <v>6</v>
      </c>
      <c r="H710" s="15" t="s">
        <v>2419</v>
      </c>
      <c r="I710" s="15" t="s">
        <v>2420</v>
      </c>
      <c r="J710" s="15" t="s">
        <v>172</v>
      </c>
      <c r="K710" s="16">
        <v>33770</v>
      </c>
      <c r="L710" s="16">
        <v>46620</v>
      </c>
      <c r="M710" s="17">
        <f>Table1[[#This Row],[Billing Rate Charges]]-Table1[[#This Row],[ LORRY RATE ]]</f>
        <v>12850</v>
      </c>
      <c r="N710" s="17">
        <v>33770</v>
      </c>
      <c r="O710" s="17">
        <f>Table1[[#This Row],[ LORRY RATE ]]-Table1[[#This Row],[Adance Paid (INR)]]</f>
        <v>0</v>
      </c>
      <c r="P710" s="17" t="s">
        <v>147</v>
      </c>
      <c r="Q710" s="18" t="s">
        <v>1195</v>
      </c>
      <c r="R710" s="17"/>
      <c r="S710" s="18" t="s">
        <v>2400</v>
      </c>
      <c r="T710" s="18" t="s">
        <v>2401</v>
      </c>
      <c r="U710" s="15" t="s">
        <v>54</v>
      </c>
      <c r="V710" s="15" t="s">
        <v>56</v>
      </c>
      <c r="W710" s="15"/>
    </row>
    <row r="711" spans="1:23" hidden="1" x14ac:dyDescent="0.3">
      <c r="A711" s="15">
        <v>706</v>
      </c>
      <c r="B711" s="15" t="s">
        <v>2395</v>
      </c>
      <c r="C711" s="19">
        <v>45940</v>
      </c>
      <c r="D711" s="19" t="s">
        <v>56</v>
      </c>
      <c r="E711" s="15" t="s">
        <v>38</v>
      </c>
      <c r="F711" s="15">
        <v>9589264337</v>
      </c>
      <c r="G711" s="15" t="s">
        <v>6</v>
      </c>
      <c r="H711" s="15" t="s">
        <v>2421</v>
      </c>
      <c r="I711" s="15" t="s">
        <v>2422</v>
      </c>
      <c r="J711" s="15" t="s">
        <v>59</v>
      </c>
      <c r="K711" s="16">
        <v>33530</v>
      </c>
      <c r="L711" s="16">
        <v>45040</v>
      </c>
      <c r="M711" s="17">
        <f>Table1[[#This Row],[Billing Rate Charges]]-Table1[[#This Row],[ LORRY RATE ]]</f>
        <v>11510</v>
      </c>
      <c r="N711" s="17">
        <v>33530</v>
      </c>
      <c r="O711" s="17">
        <f>Table1[[#This Row],[ LORRY RATE ]]-Table1[[#This Row],[Adance Paid (INR)]]</f>
        <v>0</v>
      </c>
      <c r="P711" s="17" t="s">
        <v>147</v>
      </c>
      <c r="Q711" s="18" t="s">
        <v>1181</v>
      </c>
      <c r="R711" s="17"/>
      <c r="S711" s="18" t="s">
        <v>2403</v>
      </c>
      <c r="T711" s="18" t="s">
        <v>2403</v>
      </c>
      <c r="U711" s="15" t="s">
        <v>54</v>
      </c>
      <c r="V711" s="15" t="s">
        <v>56</v>
      </c>
      <c r="W711" s="15"/>
    </row>
    <row r="712" spans="1:23" hidden="1" x14ac:dyDescent="0.3">
      <c r="A712" s="15">
        <v>707</v>
      </c>
      <c r="B712" s="15" t="s">
        <v>2395</v>
      </c>
      <c r="C712" s="19">
        <v>45940</v>
      </c>
      <c r="D712" s="19" t="s">
        <v>51</v>
      </c>
      <c r="E712" s="21" t="s">
        <v>2402</v>
      </c>
      <c r="F712" s="21">
        <v>9914761444</v>
      </c>
      <c r="G712" s="15" t="s">
        <v>6</v>
      </c>
      <c r="H712" s="15" t="s">
        <v>440</v>
      </c>
      <c r="I712" s="15" t="s">
        <v>2423</v>
      </c>
      <c r="J712" s="15" t="s">
        <v>59</v>
      </c>
      <c r="K712" s="16">
        <v>30850</v>
      </c>
      <c r="L712" s="16">
        <v>45040</v>
      </c>
      <c r="M712" s="17">
        <f>Table1[[#This Row],[Billing Rate Charges]]-Table1[[#This Row],[ LORRY RATE ]]</f>
        <v>14190</v>
      </c>
      <c r="N712" s="17">
        <v>30850</v>
      </c>
      <c r="O712" s="17">
        <f>Table1[[#This Row],[ LORRY RATE ]]-Table1[[#This Row],[Adance Paid (INR)]]</f>
        <v>0</v>
      </c>
      <c r="P712" s="17" t="s">
        <v>147</v>
      </c>
      <c r="Q712" s="18" t="s">
        <v>1196</v>
      </c>
      <c r="R712" s="17"/>
      <c r="S712" s="18" t="s">
        <v>2403</v>
      </c>
      <c r="T712" s="18" t="s">
        <v>2403</v>
      </c>
      <c r="U712" s="15" t="s">
        <v>54</v>
      </c>
      <c r="V712" s="15" t="s">
        <v>529</v>
      </c>
      <c r="W712" s="15"/>
    </row>
    <row r="713" spans="1:23" hidden="1" x14ac:dyDescent="0.3">
      <c r="A713" s="15">
        <v>708</v>
      </c>
      <c r="B713" s="15" t="s">
        <v>2395</v>
      </c>
      <c r="C713" s="19">
        <v>45940</v>
      </c>
      <c r="D713" s="19" t="s">
        <v>56</v>
      </c>
      <c r="E713" s="21" t="s">
        <v>60</v>
      </c>
      <c r="F713" s="21">
        <v>9793531306</v>
      </c>
      <c r="G713" s="15" t="s">
        <v>1093</v>
      </c>
      <c r="H713" s="15" t="s">
        <v>2440</v>
      </c>
      <c r="I713" s="15" t="s">
        <v>6</v>
      </c>
      <c r="J713" s="15" t="s">
        <v>172</v>
      </c>
      <c r="K713" s="16">
        <v>42180</v>
      </c>
      <c r="L713" s="16">
        <v>102690</v>
      </c>
      <c r="M713" s="17">
        <f>Table1[[#This Row],[Billing Rate Charges]]-Table1[[#This Row],[ LORRY RATE ]]</f>
        <v>60510</v>
      </c>
      <c r="N713" s="17">
        <v>42180</v>
      </c>
      <c r="O713" s="17">
        <f>Table1[[#This Row],[ LORRY RATE ]]-Table1[[#This Row],[Adance Paid (INR)]]</f>
        <v>0</v>
      </c>
      <c r="P713" s="17" t="s">
        <v>147</v>
      </c>
      <c r="Q713" s="18" t="s">
        <v>1193</v>
      </c>
      <c r="R713" s="17"/>
      <c r="S713" s="18" t="s">
        <v>2404</v>
      </c>
      <c r="T713" s="18" t="s">
        <v>2405</v>
      </c>
      <c r="U713" s="15" t="s">
        <v>54</v>
      </c>
      <c r="V713" s="15" t="s">
        <v>56</v>
      </c>
      <c r="W713" s="15"/>
    </row>
    <row r="714" spans="1:23" hidden="1" x14ac:dyDescent="0.3">
      <c r="A714" s="15">
        <v>709</v>
      </c>
      <c r="B714" s="15" t="s">
        <v>2395</v>
      </c>
      <c r="C714" s="19">
        <v>45940</v>
      </c>
      <c r="D714" s="19" t="s">
        <v>56</v>
      </c>
      <c r="E714" s="21" t="s">
        <v>1635</v>
      </c>
      <c r="F714" s="21">
        <v>9220186371</v>
      </c>
      <c r="G714" s="15" t="s">
        <v>105</v>
      </c>
      <c r="H714" s="15" t="s">
        <v>2433</v>
      </c>
      <c r="I714" s="15" t="s">
        <v>6</v>
      </c>
      <c r="J714" s="15" t="s">
        <v>172</v>
      </c>
      <c r="K714" s="16">
        <v>41230</v>
      </c>
      <c r="L714" s="16">
        <v>96390</v>
      </c>
      <c r="M714" s="17">
        <f>Table1[[#This Row],[Billing Rate Charges]]-Table1[[#This Row],[ LORRY RATE ]]</f>
        <v>55160</v>
      </c>
      <c r="N714" s="17">
        <v>41230</v>
      </c>
      <c r="O714" s="17">
        <f>Table1[[#This Row],[ LORRY RATE ]]-Table1[[#This Row],[Adance Paid (INR)]]</f>
        <v>0</v>
      </c>
      <c r="P714" s="17" t="s">
        <v>147</v>
      </c>
      <c r="Q714" s="18" t="s">
        <v>1182</v>
      </c>
      <c r="R714" s="17"/>
      <c r="S714" s="18" t="s">
        <v>2405</v>
      </c>
      <c r="T714" s="18" t="s">
        <v>2403</v>
      </c>
      <c r="U714" s="15" t="s">
        <v>54</v>
      </c>
      <c r="V714" s="15" t="s">
        <v>56</v>
      </c>
      <c r="W714" s="15"/>
    </row>
    <row r="715" spans="1:23" hidden="1" x14ac:dyDescent="0.3">
      <c r="A715" s="15">
        <v>710</v>
      </c>
      <c r="B715" s="15" t="s">
        <v>2395</v>
      </c>
      <c r="C715" s="19">
        <v>45940</v>
      </c>
      <c r="D715" s="19" t="s">
        <v>56</v>
      </c>
      <c r="E715" s="21" t="s">
        <v>1641</v>
      </c>
      <c r="F715" s="21">
        <v>9281983602</v>
      </c>
      <c r="G715" s="15" t="s">
        <v>1093</v>
      </c>
      <c r="H715" s="15" t="s">
        <v>2435</v>
      </c>
      <c r="I715" s="15" t="s">
        <v>6</v>
      </c>
      <c r="J715" s="15" t="s">
        <v>172</v>
      </c>
      <c r="K715" s="16">
        <v>41230</v>
      </c>
      <c r="L715" s="16">
        <v>96390</v>
      </c>
      <c r="M715" s="17">
        <f>Table1[[#This Row],[Billing Rate Charges]]-Table1[[#This Row],[ LORRY RATE ]]</f>
        <v>55160</v>
      </c>
      <c r="N715" s="17">
        <v>41230</v>
      </c>
      <c r="O715" s="17">
        <f>Table1[[#This Row],[ LORRY RATE ]]-Table1[[#This Row],[Adance Paid (INR)]]</f>
        <v>0</v>
      </c>
      <c r="P715" s="17" t="s">
        <v>147</v>
      </c>
      <c r="Q715" s="18" t="s">
        <v>1183</v>
      </c>
      <c r="R715" s="17"/>
      <c r="S715" s="18" t="s">
        <v>2405</v>
      </c>
      <c r="T715" s="18" t="s">
        <v>2403</v>
      </c>
      <c r="U715" s="15" t="s">
        <v>54</v>
      </c>
      <c r="V715" s="15" t="s">
        <v>56</v>
      </c>
      <c r="W715" s="15"/>
    </row>
    <row r="716" spans="1:23" hidden="1" x14ac:dyDescent="0.3">
      <c r="A716" s="15" t="s">
        <v>2457</v>
      </c>
      <c r="B716" s="15" t="s">
        <v>2395</v>
      </c>
      <c r="C716" s="19">
        <v>45941</v>
      </c>
      <c r="D716" s="19" t="s">
        <v>51</v>
      </c>
      <c r="E716" s="21" t="s">
        <v>2407</v>
      </c>
      <c r="F716" s="21">
        <v>9902172063</v>
      </c>
      <c r="G716" s="15" t="s">
        <v>6</v>
      </c>
      <c r="H716" s="15" t="s">
        <v>2424</v>
      </c>
      <c r="I716" s="15" t="s">
        <v>2425</v>
      </c>
      <c r="J716" s="15" t="s">
        <v>623</v>
      </c>
      <c r="K716" s="16">
        <v>27700</v>
      </c>
      <c r="L716" s="16">
        <v>41900</v>
      </c>
      <c r="M716" s="17">
        <f>Table1[[#This Row],[Billing Rate Charges]]-Table1[[#This Row],[ LORRY RATE ]]</f>
        <v>14200</v>
      </c>
      <c r="N716" s="17">
        <v>27700</v>
      </c>
      <c r="O716" s="17">
        <f>Table1[[#This Row],[ LORRY RATE ]]-Table1[[#This Row],[Adance Paid (INR)]]</f>
        <v>0</v>
      </c>
      <c r="P716" s="17" t="s">
        <v>147</v>
      </c>
      <c r="Q716" s="18" t="s">
        <v>1170</v>
      </c>
      <c r="R716" s="17"/>
      <c r="S716" s="18" t="s">
        <v>2406</v>
      </c>
      <c r="T716" s="18" t="s">
        <v>2408</v>
      </c>
      <c r="U716" s="15" t="s">
        <v>54</v>
      </c>
      <c r="V716" s="15" t="s">
        <v>529</v>
      </c>
      <c r="W716" s="15"/>
    </row>
    <row r="717" spans="1:23" hidden="1" x14ac:dyDescent="0.3">
      <c r="A717" s="15">
        <v>712</v>
      </c>
      <c r="B717" s="15" t="s">
        <v>2395</v>
      </c>
      <c r="C717" s="19">
        <v>45942</v>
      </c>
      <c r="D717" s="19" t="s">
        <v>56</v>
      </c>
      <c r="E717" s="21" t="s">
        <v>1637</v>
      </c>
      <c r="F717" s="21">
        <v>9842431449</v>
      </c>
      <c r="G717" s="15" t="s">
        <v>1093</v>
      </c>
      <c r="H717" s="15" t="s">
        <v>2439</v>
      </c>
      <c r="I717" s="15" t="s">
        <v>6</v>
      </c>
      <c r="J717" s="15" t="s">
        <v>172</v>
      </c>
      <c r="K717" s="16">
        <v>41230</v>
      </c>
      <c r="L717" s="16">
        <v>96390</v>
      </c>
      <c r="M717" s="17">
        <f>Table1[[#This Row],[Billing Rate Charges]]-Table1[[#This Row],[ LORRY RATE ]]</f>
        <v>55160</v>
      </c>
      <c r="N717" s="17">
        <v>41230</v>
      </c>
      <c r="O717" s="17">
        <f>Table1[[#This Row],[ LORRY RATE ]]-Table1[[#This Row],[Adance Paid (INR)]]</f>
        <v>0</v>
      </c>
      <c r="P717" s="17" t="s">
        <v>147</v>
      </c>
      <c r="Q717" s="18" t="s">
        <v>1186</v>
      </c>
      <c r="R717" s="17"/>
      <c r="S717" s="18" t="s">
        <v>2406</v>
      </c>
      <c r="T717" s="18" t="s">
        <v>2406</v>
      </c>
      <c r="U717" s="15" t="s">
        <v>54</v>
      </c>
      <c r="V717" s="15" t="s">
        <v>56</v>
      </c>
      <c r="W717" s="15"/>
    </row>
    <row r="718" spans="1:23" hidden="1" x14ac:dyDescent="0.3">
      <c r="A718" s="15">
        <v>713</v>
      </c>
      <c r="B718" s="15" t="s">
        <v>2395</v>
      </c>
      <c r="C718" s="19">
        <v>45943</v>
      </c>
      <c r="D718" s="19" t="s">
        <v>56</v>
      </c>
      <c r="E718" s="21" t="s">
        <v>60</v>
      </c>
      <c r="F718" s="21">
        <v>9589264337</v>
      </c>
      <c r="G718" s="15" t="s">
        <v>6</v>
      </c>
      <c r="H718" s="15" t="s">
        <v>2426</v>
      </c>
      <c r="I718" s="15" t="s">
        <v>2427</v>
      </c>
      <c r="J718" s="15" t="s">
        <v>172</v>
      </c>
      <c r="K718" s="16">
        <v>33770</v>
      </c>
      <c r="L718" s="16">
        <v>46620</v>
      </c>
      <c r="M718" s="17">
        <f>Table1[[#This Row],[Billing Rate Charges]]-Table1[[#This Row],[ LORRY RATE ]]</f>
        <v>12850</v>
      </c>
      <c r="N718" s="17">
        <v>33770</v>
      </c>
      <c r="O718" s="17">
        <f>Table1[[#This Row],[ LORRY RATE ]]-Table1[[#This Row],[Adance Paid (INR)]]</f>
        <v>0</v>
      </c>
      <c r="P718" s="17" t="s">
        <v>147</v>
      </c>
      <c r="Q718" s="18" t="s">
        <v>1198</v>
      </c>
      <c r="R718" s="17"/>
      <c r="S718" s="18" t="s">
        <v>2408</v>
      </c>
      <c r="T718" s="18" t="s">
        <v>2443</v>
      </c>
      <c r="U718" s="15" t="s">
        <v>54</v>
      </c>
      <c r="V718" s="15" t="s">
        <v>56</v>
      </c>
      <c r="W718" s="15"/>
    </row>
    <row r="719" spans="1:23" hidden="1" x14ac:dyDescent="0.3">
      <c r="A719" s="15">
        <v>714</v>
      </c>
      <c r="B719" s="15" t="s">
        <v>2395</v>
      </c>
      <c r="C719" s="19">
        <v>45944</v>
      </c>
      <c r="D719" s="19" t="s">
        <v>56</v>
      </c>
      <c r="E719" s="21" t="s">
        <v>1644</v>
      </c>
      <c r="F719" s="21">
        <v>9902798068</v>
      </c>
      <c r="G719" s="15" t="s">
        <v>1093</v>
      </c>
      <c r="H719" s="15" t="s">
        <v>2437</v>
      </c>
      <c r="I719" s="15" t="s">
        <v>6</v>
      </c>
      <c r="J719" s="15" t="s">
        <v>172</v>
      </c>
      <c r="K719" s="16">
        <v>42180</v>
      </c>
      <c r="L719" s="16">
        <v>102690</v>
      </c>
      <c r="M719" s="17">
        <f>Table1[[#This Row],[Billing Rate Charges]]-Table1[[#This Row],[ LORRY RATE ]]</f>
        <v>60510</v>
      </c>
      <c r="N719" s="17">
        <v>42180</v>
      </c>
      <c r="O719" s="17">
        <f>Table1[[#This Row],[ LORRY RATE ]]-Table1[[#This Row],[Adance Paid (INR)]]</f>
        <v>0</v>
      </c>
      <c r="P719" s="17" t="s">
        <v>147</v>
      </c>
      <c r="Q719" s="18" t="s">
        <v>1194</v>
      </c>
      <c r="R719" s="17"/>
      <c r="S719" s="18" t="s">
        <v>2408</v>
      </c>
      <c r="T719" s="18" t="s">
        <v>2443</v>
      </c>
      <c r="U719" s="15" t="s">
        <v>54</v>
      </c>
      <c r="V719" s="15" t="s">
        <v>56</v>
      </c>
      <c r="W719" s="15"/>
    </row>
    <row r="720" spans="1:23" hidden="1" x14ac:dyDescent="0.3">
      <c r="A720" s="15">
        <v>715</v>
      </c>
      <c r="B720" s="15" t="s">
        <v>2395</v>
      </c>
      <c r="C720" s="19">
        <v>45944</v>
      </c>
      <c r="D720" s="19" t="s">
        <v>56</v>
      </c>
      <c r="E720" s="21" t="s">
        <v>1641</v>
      </c>
      <c r="F720" s="21">
        <v>9281983602</v>
      </c>
      <c r="G720" s="15" t="s">
        <v>6</v>
      </c>
      <c r="H720" s="15" t="s">
        <v>2428</v>
      </c>
      <c r="I720" s="15" t="s">
        <v>2429</v>
      </c>
      <c r="J720" s="15" t="s">
        <v>172</v>
      </c>
      <c r="K720" s="16">
        <v>33770</v>
      </c>
      <c r="L720" s="16">
        <v>46620</v>
      </c>
      <c r="M720" s="17">
        <f>Table1[[#This Row],[Billing Rate Charges]]-Table1[[#This Row],[ LORRY RATE ]]</f>
        <v>12850</v>
      </c>
      <c r="N720" s="17">
        <v>33770</v>
      </c>
      <c r="O720" s="17">
        <f>Table1[[#This Row],[ LORRY RATE ]]-Table1[[#This Row],[Adance Paid (INR)]]</f>
        <v>0</v>
      </c>
      <c r="P720" s="17" t="s">
        <v>147</v>
      </c>
      <c r="Q720" s="18" t="s">
        <v>1175</v>
      </c>
      <c r="R720" s="17"/>
      <c r="S720" s="18" t="s">
        <v>2443</v>
      </c>
      <c r="T720" s="18" t="s">
        <v>2443</v>
      </c>
      <c r="U720" s="15" t="s">
        <v>54</v>
      </c>
      <c r="V720" s="15" t="s">
        <v>56</v>
      </c>
      <c r="W720" s="15"/>
    </row>
    <row r="721" spans="1:23" hidden="1" x14ac:dyDescent="0.3">
      <c r="A721" s="15">
        <v>716</v>
      </c>
      <c r="B721" s="15" t="s">
        <v>2395</v>
      </c>
      <c r="C721" s="19">
        <v>45945</v>
      </c>
      <c r="D721" s="19" t="s">
        <v>56</v>
      </c>
      <c r="E721" s="21" t="s">
        <v>1635</v>
      </c>
      <c r="F721" s="21">
        <v>9220186371</v>
      </c>
      <c r="G721" s="15" t="s">
        <v>6</v>
      </c>
      <c r="H721" s="15" t="s">
        <v>2353</v>
      </c>
      <c r="I721" s="15" t="s">
        <v>2354</v>
      </c>
      <c r="J721" s="15" t="s">
        <v>172</v>
      </c>
      <c r="K721" s="16">
        <v>33770</v>
      </c>
      <c r="L721" s="16">
        <v>46620</v>
      </c>
      <c r="M721" s="17">
        <f>Table1[[#This Row],[Billing Rate Charges]]-Table1[[#This Row],[ LORRY RATE ]]</f>
        <v>12850</v>
      </c>
      <c r="N721" s="17">
        <v>33770</v>
      </c>
      <c r="O721" s="17">
        <f>Table1[[#This Row],[ LORRY RATE ]]-Table1[[#This Row],[Adance Paid (INR)]]</f>
        <v>0</v>
      </c>
      <c r="P721" s="17" t="s">
        <v>147</v>
      </c>
      <c r="Q721" s="18" t="s">
        <v>1192</v>
      </c>
      <c r="R721" s="17"/>
      <c r="S721" s="18" t="s">
        <v>2444</v>
      </c>
      <c r="T721" s="18" t="s">
        <v>2444</v>
      </c>
      <c r="U721" s="15" t="s">
        <v>54</v>
      </c>
      <c r="V721" s="15" t="s">
        <v>56</v>
      </c>
      <c r="W721" s="15"/>
    </row>
    <row r="722" spans="1:23" hidden="1" x14ac:dyDescent="0.3">
      <c r="A722" s="15">
        <v>717</v>
      </c>
      <c r="B722" s="15" t="s">
        <v>2395</v>
      </c>
      <c r="C722" s="19">
        <v>45946</v>
      </c>
      <c r="D722" s="19" t="s">
        <v>56</v>
      </c>
      <c r="E722" s="21" t="s">
        <v>1637</v>
      </c>
      <c r="F722" s="21">
        <v>9515412075</v>
      </c>
      <c r="G722" s="15" t="s">
        <v>6</v>
      </c>
      <c r="H722" s="15" t="s">
        <v>1874</v>
      </c>
      <c r="I722" s="15" t="s">
        <v>2469</v>
      </c>
      <c r="J722" s="15" t="s">
        <v>172</v>
      </c>
      <c r="K722" s="16">
        <v>32820</v>
      </c>
      <c r="L722" s="16">
        <v>40320</v>
      </c>
      <c r="M722" s="17">
        <f>Table1[[#This Row],[Billing Rate Charges]]-Table1[[#This Row],[ LORRY RATE ]]</f>
        <v>7500</v>
      </c>
      <c r="N722" s="17">
        <v>32820</v>
      </c>
      <c r="O722" s="17">
        <f>Table1[[#This Row],[ LORRY RATE ]]-Table1[[#This Row],[Adance Paid (INR)]]</f>
        <v>0</v>
      </c>
      <c r="P722" s="17" t="s">
        <v>147</v>
      </c>
      <c r="Q722" s="18" t="s">
        <v>1199</v>
      </c>
      <c r="R722" s="17"/>
      <c r="S722" s="18" t="s">
        <v>2445</v>
      </c>
      <c r="T722" s="18" t="s">
        <v>2445</v>
      </c>
      <c r="U722" s="15" t="s">
        <v>54</v>
      </c>
      <c r="V722" s="15" t="s">
        <v>56</v>
      </c>
      <c r="W722" s="15"/>
    </row>
    <row r="723" spans="1:23" hidden="1" x14ac:dyDescent="0.3">
      <c r="A723" s="15">
        <v>718</v>
      </c>
      <c r="B723" s="15" t="s">
        <v>2395</v>
      </c>
      <c r="C723" s="19">
        <v>45947</v>
      </c>
      <c r="D723" s="19" t="s">
        <v>56</v>
      </c>
      <c r="E723" s="21" t="s">
        <v>38</v>
      </c>
      <c r="F723" s="21">
        <v>9793531306</v>
      </c>
      <c r="G723" s="15" t="s">
        <v>1093</v>
      </c>
      <c r="H723" s="15" t="s">
        <v>2504</v>
      </c>
      <c r="I723" s="15" t="s">
        <v>6</v>
      </c>
      <c r="J723" s="15" t="s">
        <v>59</v>
      </c>
      <c r="K723" s="16">
        <v>40480</v>
      </c>
      <c r="L723" s="16">
        <v>91350</v>
      </c>
      <c r="M723" s="17">
        <f>Table1[[#This Row],[Billing Rate Charges]]-Table1[[#This Row],[ LORRY RATE ]]</f>
        <v>50870</v>
      </c>
      <c r="N723" s="17">
        <v>40480</v>
      </c>
      <c r="O723" s="17">
        <f>Table1[[#This Row],[ LORRY RATE ]]-Table1[[#This Row],[Adance Paid (INR)]]</f>
        <v>0</v>
      </c>
      <c r="P723" s="17" t="s">
        <v>147</v>
      </c>
      <c r="Q723" s="18" t="s">
        <v>1201</v>
      </c>
      <c r="R723" s="17"/>
      <c r="S723" s="18" t="s">
        <v>2446</v>
      </c>
      <c r="T723" s="18" t="s">
        <v>2447</v>
      </c>
      <c r="U723" s="15" t="s">
        <v>54</v>
      </c>
      <c r="V723" s="15" t="s">
        <v>56</v>
      </c>
      <c r="W723" s="15"/>
    </row>
    <row r="724" spans="1:23" hidden="1" x14ac:dyDescent="0.3">
      <c r="A724" s="15">
        <v>719</v>
      </c>
      <c r="B724" s="15" t="s">
        <v>2395</v>
      </c>
      <c r="C724" s="19">
        <v>45948</v>
      </c>
      <c r="D724" s="19" t="s">
        <v>56</v>
      </c>
      <c r="E724" s="21" t="s">
        <v>60</v>
      </c>
      <c r="F724" s="21">
        <v>9793531306</v>
      </c>
      <c r="G724" s="15" t="s">
        <v>1093</v>
      </c>
      <c r="H724" s="15" t="s">
        <v>2498</v>
      </c>
      <c r="I724" s="15" t="s">
        <v>6</v>
      </c>
      <c r="J724" s="15" t="s">
        <v>172</v>
      </c>
      <c r="K724" s="16">
        <v>41230</v>
      </c>
      <c r="L724" s="16">
        <v>96390</v>
      </c>
      <c r="M724" s="17">
        <f>Table1[[#This Row],[Billing Rate Charges]]-Table1[[#This Row],[ LORRY RATE ]]</f>
        <v>55160</v>
      </c>
      <c r="N724" s="17">
        <v>41230</v>
      </c>
      <c r="O724" s="17">
        <f>Table1[[#This Row],[ LORRY RATE ]]-Table1[[#This Row],[Adance Paid (INR)]]</f>
        <v>0</v>
      </c>
      <c r="P724" s="17" t="s">
        <v>147</v>
      </c>
      <c r="Q724" s="18" t="s">
        <v>1202</v>
      </c>
      <c r="R724" s="17"/>
      <c r="S724" s="18" t="s">
        <v>2447</v>
      </c>
      <c r="T724" s="18" t="s">
        <v>2447</v>
      </c>
      <c r="U724" s="15" t="s">
        <v>54</v>
      </c>
      <c r="V724" s="15" t="s">
        <v>56</v>
      </c>
      <c r="W724" s="15"/>
    </row>
    <row r="725" spans="1:23" hidden="1" x14ac:dyDescent="0.3">
      <c r="A725" s="15">
        <v>720</v>
      </c>
      <c r="B725" s="15" t="s">
        <v>2395</v>
      </c>
      <c r="C725" s="19">
        <v>45948</v>
      </c>
      <c r="D725" s="19" t="s">
        <v>56</v>
      </c>
      <c r="E725" s="21" t="s">
        <v>1641</v>
      </c>
      <c r="F725" s="21">
        <v>9281983602</v>
      </c>
      <c r="G725" s="15" t="s">
        <v>1093</v>
      </c>
      <c r="H725" s="15" t="s">
        <v>2500</v>
      </c>
      <c r="I725" s="15" t="s">
        <v>6</v>
      </c>
      <c r="J725" s="15" t="s">
        <v>172</v>
      </c>
      <c r="K725" s="16">
        <v>41230</v>
      </c>
      <c r="L725" s="16">
        <v>96390</v>
      </c>
      <c r="M725" s="17">
        <f>Table1[[#This Row],[Billing Rate Charges]]-Table1[[#This Row],[ LORRY RATE ]]</f>
        <v>55160</v>
      </c>
      <c r="N725" s="17">
        <v>41230</v>
      </c>
      <c r="O725" s="17">
        <f>Table1[[#This Row],[ LORRY RATE ]]-Table1[[#This Row],[Adance Paid (INR)]]</f>
        <v>0</v>
      </c>
      <c r="P725" s="17" t="s">
        <v>147</v>
      </c>
      <c r="Q725" s="18" t="s">
        <v>1208</v>
      </c>
      <c r="R725" s="17"/>
      <c r="S725" s="18" t="s">
        <v>2447</v>
      </c>
      <c r="T725" s="18" t="s">
        <v>2447</v>
      </c>
      <c r="U725" s="15" t="s">
        <v>54</v>
      </c>
      <c r="V725" s="15" t="s">
        <v>56</v>
      </c>
      <c r="W725" s="15"/>
    </row>
    <row r="726" spans="1:23" hidden="1" x14ac:dyDescent="0.3">
      <c r="A726" s="15">
        <v>721</v>
      </c>
      <c r="B726" s="15" t="s">
        <v>2395</v>
      </c>
      <c r="C726" s="19">
        <v>45948</v>
      </c>
      <c r="D726" s="19" t="s">
        <v>56</v>
      </c>
      <c r="E726" s="21" t="s">
        <v>1644</v>
      </c>
      <c r="F726" s="21">
        <v>9902798068</v>
      </c>
      <c r="G726" s="15" t="s">
        <v>6</v>
      </c>
      <c r="H726" s="15" t="s">
        <v>2470</v>
      </c>
      <c r="I726" s="15" t="s">
        <v>2471</v>
      </c>
      <c r="J726" s="15" t="s">
        <v>172</v>
      </c>
      <c r="K726" s="16">
        <v>33770</v>
      </c>
      <c r="L726" s="16">
        <v>46620</v>
      </c>
      <c r="M726" s="17">
        <f>Table1[[#This Row],[Billing Rate Charges]]-Table1[[#This Row],[ LORRY RATE ]]</f>
        <v>12850</v>
      </c>
      <c r="N726" s="17">
        <v>33770</v>
      </c>
      <c r="O726" s="17">
        <f>Table1[[#This Row],[ LORRY RATE ]]-Table1[[#This Row],[Adance Paid (INR)]]</f>
        <v>0</v>
      </c>
      <c r="P726" s="17" t="s">
        <v>147</v>
      </c>
      <c r="Q726" s="18" t="s">
        <v>1209</v>
      </c>
      <c r="R726" s="17"/>
      <c r="S726" s="18" t="s">
        <v>2447</v>
      </c>
      <c r="T726" s="18" t="s">
        <v>2447</v>
      </c>
      <c r="U726" s="15" t="s">
        <v>54</v>
      </c>
      <c r="V726" s="15" t="s">
        <v>56</v>
      </c>
      <c r="W726" s="15"/>
    </row>
    <row r="727" spans="1:23" hidden="1" x14ac:dyDescent="0.3">
      <c r="A727" s="15">
        <v>722</v>
      </c>
      <c r="B727" s="15" t="s">
        <v>2395</v>
      </c>
      <c r="C727" s="19">
        <v>45948</v>
      </c>
      <c r="D727" s="19" t="s">
        <v>51</v>
      </c>
      <c r="E727" s="21" t="s">
        <v>2442</v>
      </c>
      <c r="F727" s="21">
        <v>9431270294</v>
      </c>
      <c r="G727" s="15" t="s">
        <v>6</v>
      </c>
      <c r="H727" s="15" t="s">
        <v>2472</v>
      </c>
      <c r="I727" s="15" t="s">
        <v>2473</v>
      </c>
      <c r="J727" s="15" t="s">
        <v>172</v>
      </c>
      <c r="K727" s="16">
        <v>33770</v>
      </c>
      <c r="L727" s="16">
        <v>46620</v>
      </c>
      <c r="M727" s="17">
        <f>Table1[[#This Row],[Billing Rate Charges]]-Table1[[#This Row],[ LORRY RATE ]]</f>
        <v>12850</v>
      </c>
      <c r="N727" s="17">
        <v>33770</v>
      </c>
      <c r="O727" s="17">
        <f>Table1[[#This Row],[ LORRY RATE ]]-Table1[[#This Row],[Adance Paid (INR)]]</f>
        <v>0</v>
      </c>
      <c r="P727" s="17" t="s">
        <v>147</v>
      </c>
      <c r="Q727" s="18" t="s">
        <v>1210</v>
      </c>
      <c r="R727" s="17"/>
      <c r="S727" s="18" t="s">
        <v>2448</v>
      </c>
      <c r="T727" s="18" t="s">
        <v>2449</v>
      </c>
      <c r="U727" s="15" t="s">
        <v>54</v>
      </c>
      <c r="V727" s="15" t="s">
        <v>213</v>
      </c>
      <c r="W727" s="15"/>
    </row>
    <row r="728" spans="1:23" hidden="1" x14ac:dyDescent="0.3">
      <c r="A728" s="15">
        <v>723</v>
      </c>
      <c r="B728" s="15" t="s">
        <v>2395</v>
      </c>
      <c r="C728" s="19">
        <v>45953</v>
      </c>
      <c r="D728" s="21" t="s">
        <v>56</v>
      </c>
      <c r="E728" s="21" t="s">
        <v>38</v>
      </c>
      <c r="F728" s="21">
        <v>9515412075</v>
      </c>
      <c r="G728" s="15" t="s">
        <v>6</v>
      </c>
      <c r="H728" s="15" t="s">
        <v>2474</v>
      </c>
      <c r="I728" s="15" t="s">
        <v>2475</v>
      </c>
      <c r="J728" s="15" t="s">
        <v>59</v>
      </c>
      <c r="K728" s="16">
        <v>33530</v>
      </c>
      <c r="L728" s="16">
        <v>45040</v>
      </c>
      <c r="M728" s="17">
        <f>Table1[[#This Row],[Billing Rate Charges]]-Table1[[#This Row],[ LORRY RATE ]]</f>
        <v>11510</v>
      </c>
      <c r="N728" s="17">
        <v>33530</v>
      </c>
      <c r="O728" s="17">
        <f>Table1[[#This Row],[ LORRY RATE ]]-Table1[[#This Row],[Adance Paid (INR)]]</f>
        <v>0</v>
      </c>
      <c r="P728" s="17" t="s">
        <v>147</v>
      </c>
      <c r="Q728" s="18" t="s">
        <v>1211</v>
      </c>
      <c r="R728" s="17"/>
      <c r="S728" s="18" t="s">
        <v>2453</v>
      </c>
      <c r="T728" s="18" t="s">
        <v>2454</v>
      </c>
      <c r="U728" s="15" t="s">
        <v>54</v>
      </c>
      <c r="V728" s="15" t="s">
        <v>56</v>
      </c>
      <c r="W728" s="15"/>
    </row>
    <row r="729" spans="1:23" hidden="1" x14ac:dyDescent="0.3">
      <c r="A729" s="15">
        <v>724</v>
      </c>
      <c r="B729" s="15" t="s">
        <v>2395</v>
      </c>
      <c r="C729" s="19">
        <v>45954</v>
      </c>
      <c r="D729" s="19" t="s">
        <v>56</v>
      </c>
      <c r="E729" s="21" t="s">
        <v>1641</v>
      </c>
      <c r="F729" s="21">
        <v>9281983602</v>
      </c>
      <c r="G729" s="15" t="s">
        <v>6</v>
      </c>
      <c r="H729" s="15" t="s">
        <v>2476</v>
      </c>
      <c r="I729" s="15" t="s">
        <v>2477</v>
      </c>
      <c r="J729" s="15" t="s">
        <v>172</v>
      </c>
      <c r="K729" s="16">
        <v>33770</v>
      </c>
      <c r="L729" s="16">
        <v>46620</v>
      </c>
      <c r="M729" s="17">
        <f>Table1[[#This Row],[Billing Rate Charges]]-Table1[[#This Row],[ LORRY RATE ]]</f>
        <v>12850</v>
      </c>
      <c r="N729" s="17">
        <v>33770</v>
      </c>
      <c r="O729" s="17">
        <f>Table1[[#This Row],[ LORRY RATE ]]-Table1[[#This Row],[Adance Paid (INR)]]</f>
        <v>0</v>
      </c>
      <c r="P729" s="17" t="s">
        <v>147</v>
      </c>
      <c r="Q729" s="18" t="s">
        <v>1212</v>
      </c>
      <c r="R729" s="17"/>
      <c r="S729" s="18" t="s">
        <v>2453</v>
      </c>
      <c r="T729" s="18" t="s">
        <v>2454</v>
      </c>
      <c r="U729" s="15" t="s">
        <v>54</v>
      </c>
      <c r="V729" s="15" t="s">
        <v>56</v>
      </c>
      <c r="W729" s="15"/>
    </row>
    <row r="730" spans="1:23" hidden="1" x14ac:dyDescent="0.3">
      <c r="A730" s="15">
        <v>725</v>
      </c>
      <c r="B730" s="15" t="s">
        <v>2395</v>
      </c>
      <c r="C730" s="19">
        <v>45955</v>
      </c>
      <c r="D730" s="19" t="s">
        <v>56</v>
      </c>
      <c r="E730" s="21" t="s">
        <v>60</v>
      </c>
      <c r="F730" s="21">
        <v>9793531306</v>
      </c>
      <c r="G730" s="15" t="s">
        <v>6</v>
      </c>
      <c r="H730" s="15" t="s">
        <v>2479</v>
      </c>
      <c r="I730" s="15" t="s">
        <v>2480</v>
      </c>
      <c r="J730" s="15" t="s">
        <v>172</v>
      </c>
      <c r="K730" s="16">
        <v>33770</v>
      </c>
      <c r="L730" s="16">
        <v>46620</v>
      </c>
      <c r="M730" s="17">
        <f>Table1[[#This Row],[Billing Rate Charges]]-Table1[[#This Row],[ LORRY RATE ]]</f>
        <v>12850</v>
      </c>
      <c r="N730" s="17">
        <v>33770</v>
      </c>
      <c r="O730" s="17">
        <f>Table1[[#This Row],[ LORRY RATE ]]-Table1[[#This Row],[Adance Paid (INR)]]</f>
        <v>0</v>
      </c>
      <c r="P730" s="17" t="s">
        <v>147</v>
      </c>
      <c r="Q730" s="18" t="s">
        <v>1244</v>
      </c>
      <c r="R730" s="17"/>
      <c r="S730" s="18" t="s">
        <v>2452</v>
      </c>
      <c r="T730" s="18" t="s">
        <v>2454</v>
      </c>
      <c r="U730" s="15" t="s">
        <v>54</v>
      </c>
      <c r="V730" s="15" t="s">
        <v>56</v>
      </c>
      <c r="W730" s="15"/>
    </row>
    <row r="731" spans="1:23" hidden="1" x14ac:dyDescent="0.3">
      <c r="A731" s="15">
        <v>726</v>
      </c>
      <c r="B731" s="15" t="s">
        <v>2395</v>
      </c>
      <c r="C731" s="19">
        <v>45955</v>
      </c>
      <c r="D731" s="19" t="s">
        <v>51</v>
      </c>
      <c r="E731" s="21" t="s">
        <v>1643</v>
      </c>
      <c r="F731" s="21">
        <v>9915991042</v>
      </c>
      <c r="G731" s="15" t="s">
        <v>6</v>
      </c>
      <c r="H731" s="15" t="s">
        <v>1874</v>
      </c>
      <c r="I731" s="15" t="s">
        <v>2478</v>
      </c>
      <c r="J731" s="15" t="s">
        <v>168</v>
      </c>
      <c r="K731" s="16">
        <v>25690</v>
      </c>
      <c r="L731" s="16">
        <v>35600</v>
      </c>
      <c r="M731" s="17">
        <f>Table1[[#This Row],[Billing Rate Charges]]-Table1[[#This Row],[ LORRY RATE ]]</f>
        <v>9910</v>
      </c>
      <c r="N731" s="17">
        <v>25690</v>
      </c>
      <c r="O731" s="17">
        <f>Table1[[#This Row],[ LORRY RATE ]]-Table1[[#This Row],[Adance Paid (INR)]]</f>
        <v>0</v>
      </c>
      <c r="P731" s="17" t="s">
        <v>147</v>
      </c>
      <c r="Q731" s="18" t="s">
        <v>1245</v>
      </c>
      <c r="R731" s="17"/>
      <c r="S731" s="18" t="s">
        <v>2450</v>
      </c>
      <c r="T731" s="18" t="s">
        <v>2450</v>
      </c>
      <c r="U731" s="15" t="s">
        <v>54</v>
      </c>
      <c r="V731" s="15" t="s">
        <v>529</v>
      </c>
      <c r="W731" s="15"/>
    </row>
    <row r="732" spans="1:23" hidden="1" x14ac:dyDescent="0.3">
      <c r="A732" s="15">
        <v>727</v>
      </c>
      <c r="B732" s="15" t="s">
        <v>2395</v>
      </c>
      <c r="C732" s="19">
        <v>45955</v>
      </c>
      <c r="D732" s="19" t="s">
        <v>56</v>
      </c>
      <c r="E732" s="21" t="s">
        <v>1635</v>
      </c>
      <c r="F732" s="21">
        <v>9220186371</v>
      </c>
      <c r="G732" s="15" t="s">
        <v>1093</v>
      </c>
      <c r="H732" s="15" t="s">
        <v>2502</v>
      </c>
      <c r="I732" s="15" t="s">
        <v>6</v>
      </c>
      <c r="J732" s="15" t="s">
        <v>172</v>
      </c>
      <c r="K732" s="16">
        <v>42180</v>
      </c>
      <c r="L732" s="16">
        <v>102690</v>
      </c>
      <c r="M732" s="17">
        <f>Table1[[#This Row],[Billing Rate Charges]]-Table1[[#This Row],[ LORRY RATE ]]</f>
        <v>60510</v>
      </c>
      <c r="N732" s="17">
        <v>42180</v>
      </c>
      <c r="O732" s="17">
        <f>Table1[[#This Row],[ LORRY RATE ]]-Table1[[#This Row],[Adance Paid (INR)]]</f>
        <v>0</v>
      </c>
      <c r="P732" s="17" t="s">
        <v>147</v>
      </c>
      <c r="Q732" s="18" t="s">
        <v>1246</v>
      </c>
      <c r="R732" s="17"/>
      <c r="S732" s="18" t="s">
        <v>2450</v>
      </c>
      <c r="T732" s="18" t="s">
        <v>2450</v>
      </c>
      <c r="U732" s="15" t="s">
        <v>54</v>
      </c>
      <c r="V732" s="15" t="s">
        <v>56</v>
      </c>
      <c r="W732" s="15"/>
    </row>
    <row r="733" spans="1:23" hidden="1" x14ac:dyDescent="0.3">
      <c r="A733" s="15">
        <v>728</v>
      </c>
      <c r="B733" s="15" t="s">
        <v>2395</v>
      </c>
      <c r="C733" s="19">
        <v>45958</v>
      </c>
      <c r="D733" s="19" t="s">
        <v>56</v>
      </c>
      <c r="E733" s="21" t="s">
        <v>1637</v>
      </c>
      <c r="F733" s="21">
        <v>9842431449</v>
      </c>
      <c r="G733" s="15" t="s">
        <v>2451</v>
      </c>
      <c r="H733" s="15" t="s">
        <v>1874</v>
      </c>
      <c r="I733" s="15" t="s">
        <v>2503</v>
      </c>
      <c r="J733" s="15" t="s">
        <v>172</v>
      </c>
      <c r="K733" s="16">
        <v>3430</v>
      </c>
      <c r="L733" s="16">
        <v>5040</v>
      </c>
      <c r="M733" s="17">
        <f>Table1[[#This Row],[Billing Rate Charges]]-Table1[[#This Row],[ LORRY RATE ]]</f>
        <v>1610</v>
      </c>
      <c r="N733" s="17">
        <v>3430</v>
      </c>
      <c r="O733" s="17">
        <f>Table1[[#This Row],[ LORRY RATE ]]-Table1[[#This Row],[Adance Paid (INR)]]</f>
        <v>0</v>
      </c>
      <c r="P733" s="17" t="s">
        <v>147</v>
      </c>
      <c r="Q733" s="18" t="s">
        <v>1248</v>
      </c>
      <c r="R733" s="17"/>
      <c r="S733" s="18" t="s">
        <v>2450</v>
      </c>
      <c r="T733" s="18" t="s">
        <v>2452</v>
      </c>
      <c r="U733" s="15" t="s">
        <v>54</v>
      </c>
      <c r="V733" s="15" t="s">
        <v>56</v>
      </c>
      <c r="W733" s="15"/>
    </row>
    <row r="734" spans="1:23" hidden="1" x14ac:dyDescent="0.3">
      <c r="A734" s="15">
        <v>729</v>
      </c>
      <c r="B734" s="15" t="s">
        <v>2395</v>
      </c>
      <c r="C734" s="19">
        <v>45959</v>
      </c>
      <c r="D734" s="19" t="s">
        <v>56</v>
      </c>
      <c r="E734" s="21" t="s">
        <v>1637</v>
      </c>
      <c r="F734" s="21">
        <v>9842431449</v>
      </c>
      <c r="G734" s="15" t="s">
        <v>6</v>
      </c>
      <c r="H734" s="15" t="s">
        <v>2481</v>
      </c>
      <c r="I734" s="15" t="s">
        <v>2482</v>
      </c>
      <c r="J734" s="15" t="s">
        <v>172</v>
      </c>
      <c r="K734" s="16">
        <v>33770</v>
      </c>
      <c r="L734" s="16">
        <v>46620</v>
      </c>
      <c r="M734" s="17">
        <f>Table1[[#This Row],[Billing Rate Charges]]-Table1[[#This Row],[ LORRY RATE ]]</f>
        <v>12850</v>
      </c>
      <c r="N734" s="17">
        <v>33770</v>
      </c>
      <c r="O734" s="17">
        <f>Table1[[#This Row],[ LORRY RATE ]]-Table1[[#This Row],[Adance Paid (INR)]]</f>
        <v>0</v>
      </c>
      <c r="P734" s="17" t="s">
        <v>147</v>
      </c>
      <c r="Q734" s="18" t="s">
        <v>1249</v>
      </c>
      <c r="R734" s="17"/>
      <c r="S734" s="18" t="s">
        <v>2460</v>
      </c>
      <c r="T734" s="18" t="s">
        <v>2461</v>
      </c>
      <c r="U734" s="15" t="s">
        <v>54</v>
      </c>
      <c r="V734" s="15" t="s">
        <v>56</v>
      </c>
      <c r="W734" s="15"/>
    </row>
    <row r="735" spans="1:23" hidden="1" x14ac:dyDescent="0.3">
      <c r="A735" s="15">
        <v>730</v>
      </c>
      <c r="B735" s="15" t="s">
        <v>2395</v>
      </c>
      <c r="C735" s="19">
        <v>45960</v>
      </c>
      <c r="D735" s="19" t="s">
        <v>56</v>
      </c>
      <c r="E735" s="21" t="s">
        <v>1635</v>
      </c>
      <c r="F735" s="21">
        <v>9472230553</v>
      </c>
      <c r="G735" s="15" t="s">
        <v>6</v>
      </c>
      <c r="H735" s="15" t="s">
        <v>1874</v>
      </c>
      <c r="I735" s="15" t="s">
        <v>2483</v>
      </c>
      <c r="J735" s="15" t="s">
        <v>172</v>
      </c>
      <c r="K735" s="16">
        <v>32820</v>
      </c>
      <c r="L735" s="16">
        <v>40320</v>
      </c>
      <c r="M735" s="17">
        <f>Table1[[#This Row],[Billing Rate Charges]]-Table1[[#This Row],[ LORRY RATE ]]</f>
        <v>7500</v>
      </c>
      <c r="N735" s="17">
        <v>32820</v>
      </c>
      <c r="O735" s="17">
        <f>Table1[[#This Row],[ LORRY RATE ]]-Table1[[#This Row],[Adance Paid (INR)]]</f>
        <v>0</v>
      </c>
      <c r="P735" s="17" t="s">
        <v>147</v>
      </c>
      <c r="Q735" s="18" t="s">
        <v>1250</v>
      </c>
      <c r="R735" s="17"/>
      <c r="S735" s="18" t="s">
        <v>2460</v>
      </c>
      <c r="T735" s="18" t="s">
        <v>2460</v>
      </c>
      <c r="U735" s="15" t="s">
        <v>54</v>
      </c>
      <c r="V735" s="15" t="s">
        <v>56</v>
      </c>
      <c r="W735" s="15"/>
    </row>
    <row r="736" spans="1:23" hidden="1" x14ac:dyDescent="0.3">
      <c r="A736" s="15">
        <v>731</v>
      </c>
      <c r="B736" s="15" t="s">
        <v>2395</v>
      </c>
      <c r="C736" s="19">
        <v>45960</v>
      </c>
      <c r="D736" s="19" t="s">
        <v>56</v>
      </c>
      <c r="E736" s="21" t="s">
        <v>1641</v>
      </c>
      <c r="F736" s="21">
        <v>9281983602</v>
      </c>
      <c r="G736" s="15" t="s">
        <v>1093</v>
      </c>
      <c r="H736" s="15" t="s">
        <v>2501</v>
      </c>
      <c r="I736" s="15" t="s">
        <v>6</v>
      </c>
      <c r="J736" s="15" t="s">
        <v>172</v>
      </c>
      <c r="K736" s="16">
        <v>42180</v>
      </c>
      <c r="L736" s="16">
        <v>102690</v>
      </c>
      <c r="M736" s="17">
        <f>Table1[[#This Row],[Billing Rate Charges]]-Table1[[#This Row],[ LORRY RATE ]]</f>
        <v>60510</v>
      </c>
      <c r="N736" s="17">
        <v>42180</v>
      </c>
      <c r="O736" s="17">
        <f>Table1[[#This Row],[ LORRY RATE ]]-Table1[[#This Row],[Adance Paid (INR)]]</f>
        <v>0</v>
      </c>
      <c r="P736" s="17" t="s">
        <v>147</v>
      </c>
      <c r="Q736" s="18" t="s">
        <v>1251</v>
      </c>
      <c r="R736" s="17"/>
      <c r="S736" s="18" t="s">
        <v>2460</v>
      </c>
      <c r="T736" s="18" t="s">
        <v>2460</v>
      </c>
      <c r="U736" s="15" t="s">
        <v>54</v>
      </c>
      <c r="V736" s="15" t="s">
        <v>56</v>
      </c>
      <c r="W736" s="15"/>
    </row>
    <row r="737" spans="1:23" hidden="1" x14ac:dyDescent="0.3">
      <c r="A737" s="15">
        <v>732</v>
      </c>
      <c r="B737" s="15" t="s">
        <v>2455</v>
      </c>
      <c r="C737" s="19">
        <v>45962</v>
      </c>
      <c r="D737" s="19" t="s">
        <v>56</v>
      </c>
      <c r="E737" s="15" t="s">
        <v>1644</v>
      </c>
      <c r="F737" s="15">
        <v>9902798068</v>
      </c>
      <c r="G737" s="15" t="s">
        <v>6</v>
      </c>
      <c r="H737" s="15" t="s">
        <v>2484</v>
      </c>
      <c r="I737" s="15" t="s">
        <v>2485</v>
      </c>
      <c r="J737" s="15" t="s">
        <v>172</v>
      </c>
      <c r="K737" s="16">
        <v>33770</v>
      </c>
      <c r="L737" s="16">
        <v>46620</v>
      </c>
      <c r="M737" s="17">
        <f>Table1[[#This Row],[Billing Rate Charges]]-Table1[[#This Row],[ LORRY RATE ]]</f>
        <v>12850</v>
      </c>
      <c r="N737" s="17">
        <v>33770</v>
      </c>
      <c r="O737" s="17">
        <f>Table1[[#This Row],[ LORRY RATE ]]-Table1[[#This Row],[Adance Paid (INR)]]</f>
        <v>0</v>
      </c>
      <c r="P737" s="17" t="s">
        <v>147</v>
      </c>
      <c r="Q737" s="18" t="s">
        <v>1252</v>
      </c>
      <c r="R737" s="17"/>
      <c r="S737" s="18" t="s">
        <v>2462</v>
      </c>
      <c r="T737" s="18" t="s">
        <v>2468</v>
      </c>
      <c r="U737" s="15" t="s">
        <v>54</v>
      </c>
      <c r="V737" s="15" t="s">
        <v>56</v>
      </c>
      <c r="W737" s="15"/>
    </row>
    <row r="738" spans="1:23" hidden="1" x14ac:dyDescent="0.3">
      <c r="A738" s="15">
        <v>733</v>
      </c>
      <c r="B738" s="15" t="s">
        <v>2455</v>
      </c>
      <c r="C738" s="19">
        <v>45962</v>
      </c>
      <c r="D738" s="19" t="s">
        <v>56</v>
      </c>
      <c r="E738" s="21" t="s">
        <v>60</v>
      </c>
      <c r="F738" s="21">
        <v>9793531306</v>
      </c>
      <c r="G738" s="15" t="s">
        <v>1093</v>
      </c>
      <c r="H738" s="15" t="s">
        <v>2499</v>
      </c>
      <c r="I738" s="15" t="s">
        <v>6</v>
      </c>
      <c r="J738" s="15" t="s">
        <v>172</v>
      </c>
      <c r="K738" s="16">
        <v>41230</v>
      </c>
      <c r="L738" s="16">
        <v>96390</v>
      </c>
      <c r="M738" s="17">
        <f>Table1[[#This Row],[Billing Rate Charges]]-Table1[[#This Row],[ LORRY RATE ]]</f>
        <v>55160</v>
      </c>
      <c r="N738" s="17">
        <v>41230</v>
      </c>
      <c r="O738" s="17">
        <f>Table1[[#This Row],[ LORRY RATE ]]-Table1[[#This Row],[Adance Paid (INR)]]</f>
        <v>0</v>
      </c>
      <c r="P738" s="17" t="s">
        <v>147</v>
      </c>
      <c r="Q738" s="18" t="s">
        <v>1253</v>
      </c>
      <c r="R738" s="17"/>
      <c r="S738" s="18" t="s">
        <v>2462</v>
      </c>
      <c r="T738" s="18" t="s">
        <v>2462</v>
      </c>
      <c r="U738" s="15" t="s">
        <v>54</v>
      </c>
      <c r="V738" s="15" t="s">
        <v>56</v>
      </c>
      <c r="W738" s="15"/>
    </row>
    <row r="739" spans="1:23" hidden="1" x14ac:dyDescent="0.3">
      <c r="A739" s="15">
        <v>734</v>
      </c>
      <c r="B739" s="15" t="s">
        <v>2455</v>
      </c>
      <c r="C739" s="19">
        <v>45962</v>
      </c>
      <c r="D739" s="19" t="s">
        <v>56</v>
      </c>
      <c r="E739" s="21" t="s">
        <v>38</v>
      </c>
      <c r="F739" s="21">
        <v>9793531306</v>
      </c>
      <c r="G739" s="15" t="s">
        <v>105</v>
      </c>
      <c r="H739" s="15" t="s">
        <v>2505</v>
      </c>
      <c r="I739" s="15" t="s">
        <v>6</v>
      </c>
      <c r="J739" s="15" t="s">
        <v>59</v>
      </c>
      <c r="K739" s="16">
        <v>42370</v>
      </c>
      <c r="L739" s="16">
        <v>103950</v>
      </c>
      <c r="M739" s="17">
        <f>Table1[[#This Row],[Billing Rate Charges]]-Table1[[#This Row],[ LORRY RATE ]]</f>
        <v>61580</v>
      </c>
      <c r="N739" s="17">
        <v>42370</v>
      </c>
      <c r="O739" s="17">
        <f>Table1[[#This Row],[ LORRY RATE ]]-Table1[[#This Row],[Adance Paid (INR)]]</f>
        <v>0</v>
      </c>
      <c r="P739" s="17" t="s">
        <v>147</v>
      </c>
      <c r="Q739" s="18" t="s">
        <v>1254</v>
      </c>
      <c r="R739" s="17"/>
      <c r="S739" s="18" t="s">
        <v>2462</v>
      </c>
      <c r="T739" s="18" t="s">
        <v>2462</v>
      </c>
      <c r="U739" s="15" t="s">
        <v>54</v>
      </c>
      <c r="V739" s="15" t="s">
        <v>56</v>
      </c>
      <c r="W739" s="15"/>
    </row>
    <row r="740" spans="1:23" hidden="1" x14ac:dyDescent="0.3">
      <c r="A740" s="15">
        <v>735</v>
      </c>
      <c r="B740" s="15" t="s">
        <v>2455</v>
      </c>
      <c r="C740" s="19">
        <v>45962</v>
      </c>
      <c r="D740" s="19" t="s">
        <v>51</v>
      </c>
      <c r="E740" s="31" t="s">
        <v>2458</v>
      </c>
      <c r="F740" s="31">
        <v>9124547485</v>
      </c>
      <c r="G740" s="15" t="s">
        <v>6</v>
      </c>
      <c r="H740" s="15" t="s">
        <v>1874</v>
      </c>
      <c r="I740" s="15" t="s">
        <v>2486</v>
      </c>
      <c r="J740" s="15" t="s">
        <v>168</v>
      </c>
      <c r="K740" s="16">
        <v>25690</v>
      </c>
      <c r="L740" s="16">
        <v>35600</v>
      </c>
      <c r="M740" s="17">
        <f>Table1[[#This Row],[Billing Rate Charges]]-Table1[[#This Row],[ LORRY RATE ]]</f>
        <v>9910</v>
      </c>
      <c r="N740" s="17">
        <v>25690</v>
      </c>
      <c r="O740" s="17">
        <f>Table1[[#This Row],[ LORRY RATE ]]-Table1[[#This Row],[Adance Paid (INR)]]</f>
        <v>0</v>
      </c>
      <c r="P740" s="17" t="s">
        <v>147</v>
      </c>
      <c r="Q740" s="18" t="s">
        <v>1255</v>
      </c>
      <c r="R740" s="17"/>
      <c r="S740" s="18" t="s">
        <v>2466</v>
      </c>
      <c r="T740" s="18" t="s">
        <v>2465</v>
      </c>
      <c r="U740" s="15" t="s">
        <v>54</v>
      </c>
      <c r="V740" s="15" t="s">
        <v>529</v>
      </c>
      <c r="W740" s="15" t="s">
        <v>2467</v>
      </c>
    </row>
    <row r="741" spans="1:23" hidden="1" x14ac:dyDescent="0.3">
      <c r="A741" s="15">
        <v>736</v>
      </c>
      <c r="B741" s="15" t="s">
        <v>2455</v>
      </c>
      <c r="C741" s="19">
        <v>45963</v>
      </c>
      <c r="D741" s="19" t="s">
        <v>51</v>
      </c>
      <c r="E741" s="21" t="s">
        <v>2459</v>
      </c>
      <c r="F741" s="21">
        <v>9370036731</v>
      </c>
      <c r="G741" s="15" t="s">
        <v>6</v>
      </c>
      <c r="H741" s="15" t="s">
        <v>2487</v>
      </c>
      <c r="I741" s="15" t="s">
        <v>2488</v>
      </c>
      <c r="J741" s="15" t="s">
        <v>172</v>
      </c>
      <c r="K741" s="16">
        <v>33770</v>
      </c>
      <c r="L741" s="16">
        <v>46620</v>
      </c>
      <c r="M741" s="17">
        <f>Table1[[#This Row],[Billing Rate Charges]]-Table1[[#This Row],[ LORRY RATE ]]</f>
        <v>12850</v>
      </c>
      <c r="N741" s="17">
        <v>33770</v>
      </c>
      <c r="O741" s="17">
        <f>Table1[[#This Row],[ LORRY RATE ]]-Table1[[#This Row],[Adance Paid (INR)]]</f>
        <v>0</v>
      </c>
      <c r="P741" s="17" t="s">
        <v>147</v>
      </c>
      <c r="Q741" s="18" t="s">
        <v>1295</v>
      </c>
      <c r="R741" s="17"/>
      <c r="S741" s="18" t="s">
        <v>2466</v>
      </c>
      <c r="T741" s="18" t="s">
        <v>2465</v>
      </c>
      <c r="U741" s="15" t="s">
        <v>54</v>
      </c>
      <c r="V741" s="15" t="s">
        <v>529</v>
      </c>
      <c r="W741" s="15"/>
    </row>
    <row r="742" spans="1:23" hidden="1" x14ac:dyDescent="0.3">
      <c r="A742" s="15">
        <v>737</v>
      </c>
      <c r="B742" s="15" t="s">
        <v>2455</v>
      </c>
      <c r="C742" s="19">
        <v>45964</v>
      </c>
      <c r="D742" s="19" t="s">
        <v>56</v>
      </c>
      <c r="E742" s="21" t="s">
        <v>1641</v>
      </c>
      <c r="F742" s="21">
        <v>9281983602</v>
      </c>
      <c r="G742" s="15" t="s">
        <v>6</v>
      </c>
      <c r="H742" s="15" t="s">
        <v>1874</v>
      </c>
      <c r="I742" s="15" t="s">
        <v>2489</v>
      </c>
      <c r="J742" s="15" t="s">
        <v>172</v>
      </c>
      <c r="K742" s="16">
        <v>32820</v>
      </c>
      <c r="L742" s="16">
        <v>40320</v>
      </c>
      <c r="M742" s="17">
        <f>Table1[[#This Row],[Billing Rate Charges]]-Table1[[#This Row],[ LORRY RATE ]]</f>
        <v>7500</v>
      </c>
      <c r="N742" s="17">
        <v>32820</v>
      </c>
      <c r="O742" s="17">
        <f>Table1[[#This Row],[ LORRY RATE ]]-Table1[[#This Row],[Adance Paid (INR)]]</f>
        <v>0</v>
      </c>
      <c r="P742" s="17" t="s">
        <v>147</v>
      </c>
      <c r="Q742" s="18" t="s">
        <v>1296</v>
      </c>
      <c r="R742" s="17"/>
      <c r="S742" s="18" t="s">
        <v>2466</v>
      </c>
      <c r="T742" s="18" t="s">
        <v>2465</v>
      </c>
      <c r="U742" s="15" t="s">
        <v>54</v>
      </c>
      <c r="V742" s="15" t="s">
        <v>56</v>
      </c>
      <c r="W742" s="15"/>
    </row>
    <row r="743" spans="1:23" hidden="1" x14ac:dyDescent="0.3">
      <c r="A743" s="15">
        <v>738</v>
      </c>
      <c r="B743" s="15" t="s">
        <v>2455</v>
      </c>
      <c r="C743" s="19">
        <v>45965</v>
      </c>
      <c r="D743" s="19" t="s">
        <v>56</v>
      </c>
      <c r="E743" s="21" t="s">
        <v>38</v>
      </c>
      <c r="F743" s="21">
        <v>9515412075</v>
      </c>
      <c r="G743" s="15" t="s">
        <v>6</v>
      </c>
      <c r="H743" s="15" t="s">
        <v>2490</v>
      </c>
      <c r="I743" s="15" t="s">
        <v>2491</v>
      </c>
      <c r="J743" s="15" t="s">
        <v>59</v>
      </c>
      <c r="K743" s="16">
        <v>33530</v>
      </c>
      <c r="L743" s="16">
        <v>45040</v>
      </c>
      <c r="M743" s="17">
        <f>Table1[[#This Row],[Billing Rate Charges]]-Table1[[#This Row],[ LORRY RATE ]]</f>
        <v>11510</v>
      </c>
      <c r="N743" s="17">
        <v>33530</v>
      </c>
      <c r="O743" s="17">
        <f>Table1[[#This Row],[ LORRY RATE ]]-Table1[[#This Row],[Adance Paid (INR)]]</f>
        <v>0</v>
      </c>
      <c r="P743" s="17" t="s">
        <v>147</v>
      </c>
      <c r="Q743" s="18" t="s">
        <v>1297</v>
      </c>
      <c r="R743" s="17"/>
      <c r="S743" s="18" t="s">
        <v>2465</v>
      </c>
      <c r="T743" s="18" t="s">
        <v>2465</v>
      </c>
      <c r="U743" s="15" t="s">
        <v>54</v>
      </c>
      <c r="V743" s="15" t="s">
        <v>56</v>
      </c>
      <c r="W743" s="15"/>
    </row>
    <row r="744" spans="1:23" hidden="1" x14ac:dyDescent="0.3">
      <c r="A744" s="15">
        <v>739</v>
      </c>
      <c r="B744" s="15" t="s">
        <v>2455</v>
      </c>
      <c r="C744" s="19">
        <v>45966</v>
      </c>
      <c r="D744" s="19" t="s">
        <v>56</v>
      </c>
      <c r="E744" s="21" t="s">
        <v>60</v>
      </c>
      <c r="F744" s="21">
        <v>9589264337</v>
      </c>
      <c r="G744" s="15" t="s">
        <v>6</v>
      </c>
      <c r="H744" s="15" t="s">
        <v>1874</v>
      </c>
      <c r="I744" s="15" t="s">
        <v>2492</v>
      </c>
      <c r="J744" s="15" t="s">
        <v>172</v>
      </c>
      <c r="K744" s="16">
        <v>32820</v>
      </c>
      <c r="L744" s="16">
        <v>40320</v>
      </c>
      <c r="M744" s="17">
        <f>Table1[[#This Row],[Billing Rate Charges]]-Table1[[#This Row],[ LORRY RATE ]]</f>
        <v>7500</v>
      </c>
      <c r="N744" s="17">
        <v>32820</v>
      </c>
      <c r="O744" s="17">
        <f>Table1[[#This Row],[ LORRY RATE ]]-Table1[[#This Row],[Adance Paid (INR)]]</f>
        <v>0</v>
      </c>
      <c r="P744" s="17" t="s">
        <v>147</v>
      </c>
      <c r="Q744" s="18" t="s">
        <v>1298</v>
      </c>
      <c r="R744" s="17"/>
      <c r="S744" s="18" t="s">
        <v>2465</v>
      </c>
      <c r="T744" s="18" t="s">
        <v>2493</v>
      </c>
      <c r="U744" s="15" t="s">
        <v>54</v>
      </c>
      <c r="V744" s="15" t="s">
        <v>56</v>
      </c>
      <c r="W744" s="15"/>
    </row>
    <row r="745" spans="1:23" hidden="1" x14ac:dyDescent="0.3">
      <c r="A745" s="15">
        <v>740</v>
      </c>
      <c r="B745" s="15" t="s">
        <v>2455</v>
      </c>
      <c r="C745" s="19">
        <v>45967</v>
      </c>
      <c r="D745" s="19" t="s">
        <v>51</v>
      </c>
      <c r="E745" s="21" t="s">
        <v>2334</v>
      </c>
      <c r="F745" s="21" t="s">
        <v>1874</v>
      </c>
      <c r="G745" s="15" t="s">
        <v>6</v>
      </c>
      <c r="H745" s="15" t="s">
        <v>1874</v>
      </c>
      <c r="I745" s="15" t="s">
        <v>2495</v>
      </c>
      <c r="J745" s="15" t="s">
        <v>381</v>
      </c>
      <c r="K745" s="16">
        <v>69550</v>
      </c>
      <c r="L745" s="16">
        <v>79620</v>
      </c>
      <c r="M745" s="17">
        <f>Table1[[#This Row],[Billing Rate Charges]]-Table1[[#This Row],[ LORRY RATE ]]</f>
        <v>10070</v>
      </c>
      <c r="N745" s="17">
        <v>69550</v>
      </c>
      <c r="O745" s="17">
        <f>Table1[[#This Row],[ LORRY RATE ]]-Table1[[#This Row],[Adance Paid (INR)]]</f>
        <v>0</v>
      </c>
      <c r="P745" s="17" t="s">
        <v>147</v>
      </c>
      <c r="Q745" s="18" t="s">
        <v>1299</v>
      </c>
      <c r="R745" s="17"/>
      <c r="S745" s="18" t="s">
        <v>2465</v>
      </c>
      <c r="T745" s="18" t="s">
        <v>2465</v>
      </c>
      <c r="U745" s="15" t="s">
        <v>54</v>
      </c>
      <c r="V745" s="15" t="s">
        <v>380</v>
      </c>
      <c r="W745" s="15" t="s">
        <v>2494</v>
      </c>
    </row>
    <row r="746" spans="1:23" hidden="1" x14ac:dyDescent="0.3">
      <c r="A746" s="15">
        <v>741</v>
      </c>
      <c r="B746" s="15" t="s">
        <v>2455</v>
      </c>
      <c r="C746" s="19">
        <v>45967</v>
      </c>
      <c r="D746" s="19" t="s">
        <v>51</v>
      </c>
      <c r="E746" s="21" t="s">
        <v>2463</v>
      </c>
      <c r="F746" s="21">
        <v>9680828733</v>
      </c>
      <c r="G746" s="15" t="s">
        <v>6</v>
      </c>
      <c r="H746" s="15" t="s">
        <v>1874</v>
      </c>
      <c r="I746" s="15" t="s">
        <v>2496</v>
      </c>
      <c r="J746" s="15" t="s">
        <v>623</v>
      </c>
      <c r="K746" s="16">
        <v>25690</v>
      </c>
      <c r="L746" s="16">
        <v>35600</v>
      </c>
      <c r="M746" s="17">
        <f>Table1[[#This Row],[Billing Rate Charges]]-Table1[[#This Row],[ LORRY RATE ]]</f>
        <v>9910</v>
      </c>
      <c r="N746" s="17">
        <v>25690</v>
      </c>
      <c r="O746" s="17">
        <f>Table1[[#This Row],[ LORRY RATE ]]-Table1[[#This Row],[Adance Paid (INR)]]</f>
        <v>0</v>
      </c>
      <c r="P746" s="17" t="s">
        <v>147</v>
      </c>
      <c r="Q746" s="18" t="s">
        <v>1300</v>
      </c>
      <c r="R746" s="17"/>
      <c r="S746" s="18" t="s">
        <v>2507</v>
      </c>
      <c r="T746" s="18" t="s">
        <v>2507</v>
      </c>
      <c r="U746" s="15" t="s">
        <v>54</v>
      </c>
      <c r="V746" s="15" t="s">
        <v>439</v>
      </c>
      <c r="W746" s="15"/>
    </row>
    <row r="747" spans="1:23" hidden="1" x14ac:dyDescent="0.3">
      <c r="A747" s="15">
        <v>742</v>
      </c>
      <c r="B747" s="15" t="s">
        <v>2455</v>
      </c>
      <c r="C747" s="19">
        <v>45967</v>
      </c>
      <c r="D747" s="19" t="s">
        <v>51</v>
      </c>
      <c r="E747" s="21" t="s">
        <v>2464</v>
      </c>
      <c r="F747" s="21">
        <v>9812853439</v>
      </c>
      <c r="G747" s="15" t="s">
        <v>6</v>
      </c>
      <c r="H747" s="15" t="s">
        <v>1874</v>
      </c>
      <c r="I747" s="15" t="s">
        <v>2497</v>
      </c>
      <c r="J747" s="15" t="s">
        <v>172</v>
      </c>
      <c r="K747" s="16">
        <v>31750</v>
      </c>
      <c r="L747" s="16">
        <v>40320</v>
      </c>
      <c r="M747" s="17">
        <f>Table1[[#This Row],[Billing Rate Charges]]-Table1[[#This Row],[ LORRY RATE ]]</f>
        <v>8570</v>
      </c>
      <c r="N747" s="17">
        <v>31750</v>
      </c>
      <c r="O747" s="17">
        <f>Table1[[#This Row],[ LORRY RATE ]]-Table1[[#This Row],[Adance Paid (INR)]]</f>
        <v>0</v>
      </c>
      <c r="P747" s="17" t="s">
        <v>147</v>
      </c>
      <c r="Q747" s="18" t="s">
        <v>1301</v>
      </c>
      <c r="R747" s="17"/>
      <c r="S747" s="18" t="s">
        <v>2507</v>
      </c>
      <c r="T747" s="18" t="s">
        <v>2508</v>
      </c>
      <c r="U747" s="15" t="s">
        <v>54</v>
      </c>
      <c r="V747" s="15" t="s">
        <v>439</v>
      </c>
      <c r="W747" s="15"/>
    </row>
    <row r="748" spans="1:23" hidden="1" x14ac:dyDescent="0.3">
      <c r="A748" s="15">
        <v>743</v>
      </c>
      <c r="B748" s="15" t="s">
        <v>2455</v>
      </c>
      <c r="C748" s="19">
        <v>45968</v>
      </c>
      <c r="D748" s="19" t="s">
        <v>56</v>
      </c>
      <c r="E748" s="15" t="s">
        <v>1635</v>
      </c>
      <c r="F748" s="15">
        <v>9472230553</v>
      </c>
      <c r="G748" s="15" t="s">
        <v>6</v>
      </c>
      <c r="H748" s="15" t="s">
        <v>2528</v>
      </c>
      <c r="I748" s="15" t="s">
        <v>2529</v>
      </c>
      <c r="J748" s="15" t="s">
        <v>172</v>
      </c>
      <c r="K748" s="16">
        <v>33770</v>
      </c>
      <c r="L748" s="16">
        <v>46620</v>
      </c>
      <c r="M748" s="17">
        <f>Table1[[#This Row],[Billing Rate Charges]]-Table1[[#This Row],[ LORRY RATE ]]</f>
        <v>12850</v>
      </c>
      <c r="N748" s="17">
        <v>33770</v>
      </c>
      <c r="O748" s="17">
        <f>Table1[[#This Row],[ LORRY RATE ]]-Table1[[#This Row],[Adance Paid (INR)]]</f>
        <v>0</v>
      </c>
      <c r="P748" s="17" t="s">
        <v>147</v>
      </c>
      <c r="Q748" s="18" t="s">
        <v>1304</v>
      </c>
      <c r="R748" s="17"/>
      <c r="S748" s="18" t="s">
        <v>2507</v>
      </c>
      <c r="T748" s="18" t="s">
        <v>2507</v>
      </c>
      <c r="U748" s="15" t="s">
        <v>54</v>
      </c>
      <c r="V748" s="15" t="s">
        <v>56</v>
      </c>
      <c r="W748" s="15"/>
    </row>
    <row r="749" spans="1:23" hidden="1" x14ac:dyDescent="0.3">
      <c r="A749" s="15">
        <v>744</v>
      </c>
      <c r="B749" s="15" t="s">
        <v>2455</v>
      </c>
      <c r="C749" s="19">
        <v>45969</v>
      </c>
      <c r="D749" s="19" t="s">
        <v>56</v>
      </c>
      <c r="E749" s="15" t="s">
        <v>1637</v>
      </c>
      <c r="F749" s="15">
        <v>9025368773</v>
      </c>
      <c r="G749" s="15" t="s">
        <v>6</v>
      </c>
      <c r="H749" s="15" t="s">
        <v>2530</v>
      </c>
      <c r="I749" s="15" t="s">
        <v>2531</v>
      </c>
      <c r="J749" s="15" t="s">
        <v>172</v>
      </c>
      <c r="K749" s="16">
        <v>35750</v>
      </c>
      <c r="L749" s="16">
        <v>59850</v>
      </c>
      <c r="M749" s="17">
        <f>Table1[[#This Row],[Billing Rate Charges]]-Table1[[#This Row],[ LORRY RATE ]]</f>
        <v>24100</v>
      </c>
      <c r="N749" s="17">
        <v>35750</v>
      </c>
      <c r="O749" s="17">
        <f>Table1[[#This Row],[ LORRY RATE ]]-Table1[[#This Row],[Adance Paid (INR)]]</f>
        <v>0</v>
      </c>
      <c r="P749" s="17" t="s">
        <v>147</v>
      </c>
      <c r="Q749" s="18" t="s">
        <v>1305</v>
      </c>
      <c r="R749" s="17"/>
      <c r="S749" s="18" t="s">
        <v>2509</v>
      </c>
      <c r="T749" s="18" t="s">
        <v>2509</v>
      </c>
      <c r="U749" s="15" t="s">
        <v>54</v>
      </c>
      <c r="V749" s="15" t="s">
        <v>56</v>
      </c>
      <c r="W749" s="15"/>
    </row>
    <row r="750" spans="1:23" hidden="1" x14ac:dyDescent="0.3">
      <c r="A750" s="15">
        <v>745</v>
      </c>
      <c r="B750" s="15" t="s">
        <v>2455</v>
      </c>
      <c r="C750" s="19">
        <v>45969</v>
      </c>
      <c r="D750" s="19" t="s">
        <v>51</v>
      </c>
      <c r="E750" s="21" t="s">
        <v>2506</v>
      </c>
      <c r="F750" s="21">
        <v>9501906989</v>
      </c>
      <c r="G750" s="15" t="s">
        <v>6</v>
      </c>
      <c r="H750" s="15" t="s">
        <v>1874</v>
      </c>
      <c r="I750" s="15" t="s">
        <v>2532</v>
      </c>
      <c r="J750" s="15" t="s">
        <v>168</v>
      </c>
      <c r="K750" s="16">
        <v>25690</v>
      </c>
      <c r="L750" s="16">
        <v>35600</v>
      </c>
      <c r="M750" s="17">
        <f>Table1[[#This Row],[Billing Rate Charges]]-Table1[[#This Row],[ LORRY RATE ]]</f>
        <v>9910</v>
      </c>
      <c r="N750" s="17">
        <v>25690</v>
      </c>
      <c r="O750" s="17">
        <f>Table1[[#This Row],[ LORRY RATE ]]-Table1[[#This Row],[Adance Paid (INR)]]</f>
        <v>0</v>
      </c>
      <c r="P750" s="17" t="s">
        <v>147</v>
      </c>
      <c r="Q750" s="18" t="s">
        <v>1306</v>
      </c>
      <c r="R750" s="17"/>
      <c r="S750" s="18" t="s">
        <v>2511</v>
      </c>
      <c r="T750" s="18" t="s">
        <v>2511</v>
      </c>
      <c r="U750" s="15" t="s">
        <v>54</v>
      </c>
      <c r="V750" s="15" t="s">
        <v>439</v>
      </c>
      <c r="W750" s="15"/>
    </row>
    <row r="751" spans="1:23" hidden="1" x14ac:dyDescent="0.3">
      <c r="A751" s="15">
        <v>746</v>
      </c>
      <c r="B751" s="15" t="s">
        <v>2455</v>
      </c>
      <c r="C751" s="19">
        <v>45969</v>
      </c>
      <c r="D751" s="19" t="s">
        <v>56</v>
      </c>
      <c r="E751" s="21" t="s">
        <v>38</v>
      </c>
      <c r="F751" s="21">
        <v>9793531306</v>
      </c>
      <c r="G751" s="15" t="s">
        <v>1093</v>
      </c>
      <c r="H751" s="15" t="s">
        <v>2557</v>
      </c>
      <c r="I751" s="15" t="s">
        <v>6</v>
      </c>
      <c r="J751" s="15" t="s">
        <v>59</v>
      </c>
      <c r="K751" s="16">
        <v>40480</v>
      </c>
      <c r="L751" s="16">
        <v>91350</v>
      </c>
      <c r="M751" s="17">
        <f>Table1[[#This Row],[Billing Rate Charges]]-Table1[[#This Row],[ LORRY RATE ]]</f>
        <v>50870</v>
      </c>
      <c r="N751" s="17">
        <v>40480</v>
      </c>
      <c r="O751" s="17">
        <f>Table1[[#This Row],[ LORRY RATE ]]-Table1[[#This Row],[Adance Paid (INR)]]</f>
        <v>0</v>
      </c>
      <c r="P751" s="17" t="s">
        <v>147</v>
      </c>
      <c r="Q751" s="18" t="s">
        <v>1367</v>
      </c>
      <c r="R751" s="17"/>
      <c r="S751" s="18" t="s">
        <v>2509</v>
      </c>
      <c r="T751" s="18" t="s">
        <v>2510</v>
      </c>
      <c r="U751" s="15" t="s">
        <v>54</v>
      </c>
      <c r="V751" s="15" t="s">
        <v>56</v>
      </c>
      <c r="W751" s="15"/>
    </row>
    <row r="752" spans="1:23" hidden="1" x14ac:dyDescent="0.3">
      <c r="A752" s="15">
        <v>747</v>
      </c>
      <c r="B752" s="15" t="s">
        <v>2455</v>
      </c>
      <c r="C752" s="19">
        <v>45970</v>
      </c>
      <c r="D752" s="19" t="s">
        <v>56</v>
      </c>
      <c r="E752" s="21" t="s">
        <v>60</v>
      </c>
      <c r="F752" s="21">
        <v>9589264337</v>
      </c>
      <c r="G752" s="15" t="s">
        <v>1093</v>
      </c>
      <c r="H752" s="15" t="s">
        <v>2562</v>
      </c>
      <c r="I752" s="15" t="s">
        <v>6</v>
      </c>
      <c r="J752" s="15" t="s">
        <v>172</v>
      </c>
      <c r="K752" s="16">
        <v>41230</v>
      </c>
      <c r="L752" s="16">
        <v>96390</v>
      </c>
      <c r="M752" s="17">
        <f>Table1[[#This Row],[Billing Rate Charges]]-Table1[[#This Row],[ LORRY RATE ]]</f>
        <v>55160</v>
      </c>
      <c r="N752" s="17">
        <v>41230</v>
      </c>
      <c r="O752" s="17">
        <f>Table1[[#This Row],[ LORRY RATE ]]-Table1[[#This Row],[Adance Paid (INR)]]</f>
        <v>0</v>
      </c>
      <c r="P752" s="17" t="s">
        <v>147</v>
      </c>
      <c r="Q752" s="18" t="s">
        <v>1368</v>
      </c>
      <c r="R752" s="17"/>
      <c r="S752" s="18" t="s">
        <v>2510</v>
      </c>
      <c r="T752" s="18" t="s">
        <v>2510</v>
      </c>
      <c r="U752" s="15" t="s">
        <v>54</v>
      </c>
      <c r="V752" s="15" t="s">
        <v>56</v>
      </c>
      <c r="W752" s="15"/>
    </row>
    <row r="753" spans="1:23" hidden="1" x14ac:dyDescent="0.3">
      <c r="A753" s="15">
        <v>748</v>
      </c>
      <c r="B753" s="15" t="s">
        <v>2455</v>
      </c>
      <c r="C753" s="19">
        <v>45972</v>
      </c>
      <c r="D753" s="19" t="s">
        <v>56</v>
      </c>
      <c r="E753" s="15" t="s">
        <v>1644</v>
      </c>
      <c r="F753" s="15">
        <v>9793531306</v>
      </c>
      <c r="G753" s="15" t="s">
        <v>6</v>
      </c>
      <c r="H753" s="15" t="s">
        <v>1874</v>
      </c>
      <c r="I753" s="15" t="s">
        <v>2533</v>
      </c>
      <c r="J753" s="15" t="s">
        <v>172</v>
      </c>
      <c r="K753" s="16">
        <v>32820</v>
      </c>
      <c r="L753" s="16">
        <v>40320</v>
      </c>
      <c r="M753" s="17">
        <f>Table1[[#This Row],[Billing Rate Charges]]-Table1[[#This Row],[ LORRY RATE ]]</f>
        <v>7500</v>
      </c>
      <c r="N753" s="17">
        <v>32820</v>
      </c>
      <c r="O753" s="17">
        <f>Table1[[#This Row],[ LORRY RATE ]]-Table1[[#This Row],[Adance Paid (INR)]]</f>
        <v>0</v>
      </c>
      <c r="P753" s="17" t="s">
        <v>147</v>
      </c>
      <c r="Q753" s="18" t="s">
        <v>1369</v>
      </c>
      <c r="R753" s="17"/>
      <c r="S753" s="18" t="s">
        <v>2511</v>
      </c>
      <c r="T753" s="18" t="s">
        <v>2511</v>
      </c>
      <c r="U753" s="15" t="s">
        <v>54</v>
      </c>
      <c r="V753" s="15" t="s">
        <v>56</v>
      </c>
      <c r="W753" s="15"/>
    </row>
    <row r="754" spans="1:23" hidden="1" x14ac:dyDescent="0.3">
      <c r="A754" s="15">
        <v>749</v>
      </c>
      <c r="B754" s="15" t="s">
        <v>2455</v>
      </c>
      <c r="C754" s="19">
        <v>45972</v>
      </c>
      <c r="D754" s="19" t="s">
        <v>56</v>
      </c>
      <c r="E754" s="15" t="s">
        <v>1641</v>
      </c>
      <c r="F754" s="15">
        <v>9281983602</v>
      </c>
      <c r="G754" s="15" t="s">
        <v>6</v>
      </c>
      <c r="H754" s="15" t="s">
        <v>2534</v>
      </c>
      <c r="I754" s="15" t="s">
        <v>2535</v>
      </c>
      <c r="J754" s="15" t="s">
        <v>172</v>
      </c>
      <c r="K754" s="16">
        <v>33770</v>
      </c>
      <c r="L754" s="16">
        <v>46620</v>
      </c>
      <c r="M754" s="17">
        <f>Table1[[#This Row],[Billing Rate Charges]]-Table1[[#This Row],[ LORRY RATE ]]</f>
        <v>12850</v>
      </c>
      <c r="N754" s="17">
        <v>33770</v>
      </c>
      <c r="O754" s="17">
        <f>Table1[[#This Row],[ LORRY RATE ]]-Table1[[#This Row],[Adance Paid (INR)]]</f>
        <v>0</v>
      </c>
      <c r="P754" s="17" t="s">
        <v>147</v>
      </c>
      <c r="Q754" s="18" t="s">
        <v>1372</v>
      </c>
      <c r="R754" s="17"/>
      <c r="S754" s="18" t="s">
        <v>2513</v>
      </c>
      <c r="T754" s="18" t="s">
        <v>2513</v>
      </c>
      <c r="U754" s="15" t="s">
        <v>54</v>
      </c>
      <c r="V754" s="15" t="s">
        <v>56</v>
      </c>
      <c r="W754" s="15"/>
    </row>
    <row r="755" spans="1:23" hidden="1" x14ac:dyDescent="0.3">
      <c r="A755" s="15">
        <v>750</v>
      </c>
      <c r="B755" s="15" t="s">
        <v>2455</v>
      </c>
      <c r="C755" s="19">
        <v>45974</v>
      </c>
      <c r="D755" s="19" t="s">
        <v>56</v>
      </c>
      <c r="E755" s="15" t="s">
        <v>38</v>
      </c>
      <c r="F755" s="15">
        <v>9515412075</v>
      </c>
      <c r="G755" s="15" t="s">
        <v>6</v>
      </c>
      <c r="H755" s="15" t="s">
        <v>2536</v>
      </c>
      <c r="I755" s="15" t="s">
        <v>2537</v>
      </c>
      <c r="J755" s="15" t="s">
        <v>59</v>
      </c>
      <c r="K755" s="16">
        <v>33530</v>
      </c>
      <c r="L755" s="16">
        <v>45040</v>
      </c>
      <c r="M755" s="17">
        <f>Table1[[#This Row],[Billing Rate Charges]]-Table1[[#This Row],[ LORRY RATE ]]</f>
        <v>11510</v>
      </c>
      <c r="N755" s="17">
        <v>33530</v>
      </c>
      <c r="O755" s="17">
        <f>Table1[[#This Row],[ LORRY RATE ]]-Table1[[#This Row],[Adance Paid (INR)]]</f>
        <v>0</v>
      </c>
      <c r="P755" s="17" t="s">
        <v>147</v>
      </c>
      <c r="Q755" s="18" t="s">
        <v>1373</v>
      </c>
      <c r="R755" s="17"/>
      <c r="S755" s="18" t="s">
        <v>2514</v>
      </c>
      <c r="T755" s="18" t="s">
        <v>2515</v>
      </c>
      <c r="U755" s="15" t="s">
        <v>54</v>
      </c>
      <c r="V755" s="15" t="s">
        <v>56</v>
      </c>
      <c r="W755" s="15"/>
    </row>
    <row r="756" spans="1:23" hidden="1" x14ac:dyDescent="0.3">
      <c r="A756" s="15">
        <v>751</v>
      </c>
      <c r="B756" s="15" t="s">
        <v>2455</v>
      </c>
      <c r="C756" s="19">
        <v>45974</v>
      </c>
      <c r="D756" s="19" t="s">
        <v>56</v>
      </c>
      <c r="E756" s="15" t="s">
        <v>60</v>
      </c>
      <c r="F756" s="15">
        <v>9589264337</v>
      </c>
      <c r="G756" s="15" t="s">
        <v>6</v>
      </c>
      <c r="H756" s="15" t="s">
        <v>2538</v>
      </c>
      <c r="I756" s="15" t="s">
        <v>2539</v>
      </c>
      <c r="J756" s="15" t="s">
        <v>172</v>
      </c>
      <c r="K756" s="16">
        <v>33770</v>
      </c>
      <c r="L756" s="16">
        <v>46620</v>
      </c>
      <c r="M756" s="17">
        <f>Table1[[#This Row],[Billing Rate Charges]]-Table1[[#This Row],[ LORRY RATE ]]</f>
        <v>12850</v>
      </c>
      <c r="N756" s="17">
        <v>33770</v>
      </c>
      <c r="O756" s="17">
        <f>Table1[[#This Row],[ LORRY RATE ]]-Table1[[#This Row],[Adance Paid (INR)]]</f>
        <v>0</v>
      </c>
      <c r="P756" s="17" t="s">
        <v>147</v>
      </c>
      <c r="Q756" s="18" t="s">
        <v>1375</v>
      </c>
      <c r="R756" s="17"/>
      <c r="S756" s="18" t="s">
        <v>2514</v>
      </c>
      <c r="T756" s="18" t="s">
        <v>2515</v>
      </c>
      <c r="U756" s="15" t="s">
        <v>54</v>
      </c>
      <c r="V756" s="15" t="s">
        <v>56</v>
      </c>
      <c r="W756" s="15"/>
    </row>
    <row r="757" spans="1:23" hidden="1" x14ac:dyDescent="0.3">
      <c r="A757" s="15">
        <v>752</v>
      </c>
      <c r="B757" s="15" t="s">
        <v>2455</v>
      </c>
      <c r="C757" s="19">
        <v>45975</v>
      </c>
      <c r="D757" s="19" t="s">
        <v>51</v>
      </c>
      <c r="E757" s="21" t="s">
        <v>2512</v>
      </c>
      <c r="F757" s="21">
        <v>9922196714</v>
      </c>
      <c r="G757" s="15" t="s">
        <v>6</v>
      </c>
      <c r="H757" s="15" t="s">
        <v>1874</v>
      </c>
      <c r="I757" s="15" t="s">
        <v>2540</v>
      </c>
      <c r="J757" s="15" t="s">
        <v>59</v>
      </c>
      <c r="K757" s="16">
        <v>29910</v>
      </c>
      <c r="L757" s="16">
        <v>38740</v>
      </c>
      <c r="M757" s="17">
        <f>Table1[[#This Row],[Billing Rate Charges]]-Table1[[#This Row],[ LORRY RATE ]]</f>
        <v>8830</v>
      </c>
      <c r="N757" s="17">
        <v>29910</v>
      </c>
      <c r="O757" s="17">
        <f>Table1[[#This Row],[ LORRY RATE ]]-Table1[[#This Row],[Adance Paid (INR)]]</f>
        <v>0</v>
      </c>
      <c r="P757" s="17" t="s">
        <v>147</v>
      </c>
      <c r="Q757" s="18" t="s">
        <v>1374</v>
      </c>
      <c r="R757" s="17"/>
      <c r="S757" s="18" t="s">
        <v>2516</v>
      </c>
      <c r="T757" s="18" t="s">
        <v>2516</v>
      </c>
      <c r="U757" s="15" t="s">
        <v>54</v>
      </c>
      <c r="V757" s="15" t="s">
        <v>529</v>
      </c>
      <c r="W757" s="15" t="s">
        <v>2577</v>
      </c>
    </row>
    <row r="758" spans="1:23" hidden="1" x14ac:dyDescent="0.3">
      <c r="A758" s="15">
        <v>753</v>
      </c>
      <c r="B758" s="15" t="s">
        <v>2455</v>
      </c>
      <c r="C758" s="19">
        <v>45976</v>
      </c>
      <c r="D758" s="19" t="s">
        <v>51</v>
      </c>
      <c r="E758" s="21" t="s">
        <v>1643</v>
      </c>
      <c r="F758" s="21">
        <v>9915991042</v>
      </c>
      <c r="G758" s="15" t="s">
        <v>6</v>
      </c>
      <c r="H758" s="15" t="s">
        <v>2542</v>
      </c>
      <c r="I758" s="15" t="s">
        <v>2543</v>
      </c>
      <c r="J758" s="15" t="s">
        <v>168</v>
      </c>
      <c r="K758" s="16">
        <v>27170</v>
      </c>
      <c r="L758" s="16">
        <v>41900</v>
      </c>
      <c r="M758" s="17">
        <f>Table1[[#This Row],[Billing Rate Charges]]-Table1[[#This Row],[ LORRY RATE ]]</f>
        <v>14730</v>
      </c>
      <c r="N758" s="17">
        <v>27170</v>
      </c>
      <c r="O758" s="17">
        <f>Table1[[#This Row],[ LORRY RATE ]]-Table1[[#This Row],[Adance Paid (INR)]]</f>
        <v>0</v>
      </c>
      <c r="P758" s="17" t="s">
        <v>147</v>
      </c>
      <c r="Q758" s="18" t="s">
        <v>1370</v>
      </c>
      <c r="R758" s="17"/>
      <c r="S758" s="18" t="s">
        <v>2516</v>
      </c>
      <c r="T758" s="18" t="s">
        <v>2516</v>
      </c>
      <c r="U758" s="15" t="s">
        <v>54</v>
      </c>
      <c r="V758" s="15" t="s">
        <v>2517</v>
      </c>
      <c r="W758" s="15"/>
    </row>
    <row r="759" spans="1:23" hidden="1" x14ac:dyDescent="0.3">
      <c r="A759" s="15">
        <v>754</v>
      </c>
      <c r="B759" s="15" t="s">
        <v>2455</v>
      </c>
      <c r="C759" s="19">
        <v>45976</v>
      </c>
      <c r="D759" s="19" t="s">
        <v>51</v>
      </c>
      <c r="E759" s="21" t="s">
        <v>980</v>
      </c>
      <c r="F759" s="21">
        <v>9235279810</v>
      </c>
      <c r="G759" s="15" t="s">
        <v>6</v>
      </c>
      <c r="H759" s="15" t="s">
        <v>1874</v>
      </c>
      <c r="I759" s="15" t="s">
        <v>2541</v>
      </c>
      <c r="J759" s="15" t="s">
        <v>172</v>
      </c>
      <c r="K759" s="16">
        <v>31750</v>
      </c>
      <c r="L759" s="16">
        <v>40320</v>
      </c>
      <c r="M759" s="17">
        <f>Table1[[#This Row],[Billing Rate Charges]]-Table1[[#This Row],[ LORRY RATE ]]</f>
        <v>8570</v>
      </c>
      <c r="N759" s="17">
        <v>31750</v>
      </c>
      <c r="O759" s="17">
        <f>Table1[[#This Row],[ LORRY RATE ]]-Table1[[#This Row],[Adance Paid (INR)]]</f>
        <v>0</v>
      </c>
      <c r="P759" s="17" t="s">
        <v>147</v>
      </c>
      <c r="Q759" s="18" t="s">
        <v>1376</v>
      </c>
      <c r="R759" s="17"/>
      <c r="S759" s="18" t="s">
        <v>2518</v>
      </c>
      <c r="T759" s="18" t="s">
        <v>2518</v>
      </c>
      <c r="U759" s="15" t="s">
        <v>54</v>
      </c>
      <c r="V759" s="15" t="s">
        <v>439</v>
      </c>
      <c r="W759" s="15"/>
    </row>
    <row r="760" spans="1:23" hidden="1" x14ac:dyDescent="0.3">
      <c r="A760" s="15">
        <v>755</v>
      </c>
      <c r="B760" s="15" t="s">
        <v>2455</v>
      </c>
      <c r="C760" s="19">
        <v>45977</v>
      </c>
      <c r="D760" s="19" t="s">
        <v>56</v>
      </c>
      <c r="E760" s="21" t="s">
        <v>1637</v>
      </c>
      <c r="F760" s="21">
        <v>9842431449</v>
      </c>
      <c r="G760" s="15" t="s">
        <v>1093</v>
      </c>
      <c r="H760" s="15" t="s">
        <v>2559</v>
      </c>
      <c r="I760" s="15" t="s">
        <v>6</v>
      </c>
      <c r="J760" s="15" t="s">
        <v>172</v>
      </c>
      <c r="K760" s="16">
        <v>42180</v>
      </c>
      <c r="L760" s="16">
        <v>102690</v>
      </c>
      <c r="M760" s="17">
        <f>Table1[[#This Row],[Billing Rate Charges]]-Table1[[#This Row],[ LORRY RATE ]]</f>
        <v>60510</v>
      </c>
      <c r="N760" s="17">
        <v>42180</v>
      </c>
      <c r="O760" s="17">
        <f>Table1[[#This Row],[ LORRY RATE ]]-Table1[[#This Row],[Adance Paid (INR)]]</f>
        <v>0</v>
      </c>
      <c r="P760" s="17" t="s">
        <v>147</v>
      </c>
      <c r="Q760" s="18" t="s">
        <v>1380</v>
      </c>
      <c r="R760" s="17"/>
      <c r="S760" s="18" t="s">
        <v>2516</v>
      </c>
      <c r="T760" s="18" t="s">
        <v>2516</v>
      </c>
      <c r="U760" s="15" t="s">
        <v>54</v>
      </c>
      <c r="V760" s="15" t="s">
        <v>56</v>
      </c>
      <c r="W760" s="15"/>
    </row>
    <row r="761" spans="1:23" hidden="1" x14ac:dyDescent="0.3">
      <c r="A761" s="15">
        <v>756</v>
      </c>
      <c r="B761" s="15" t="s">
        <v>2455</v>
      </c>
      <c r="C761" s="19">
        <v>45979</v>
      </c>
      <c r="D761" s="19" t="s">
        <v>56</v>
      </c>
      <c r="E761" s="15" t="s">
        <v>1635</v>
      </c>
      <c r="F761" s="15">
        <v>9472230553</v>
      </c>
      <c r="G761" s="15" t="s">
        <v>6</v>
      </c>
      <c r="H761" s="15" t="s">
        <v>2544</v>
      </c>
      <c r="I761" s="15" t="s">
        <v>2545</v>
      </c>
      <c r="J761" s="15" t="s">
        <v>172</v>
      </c>
      <c r="K761" s="16">
        <v>33770</v>
      </c>
      <c r="L761" s="16">
        <v>46620</v>
      </c>
      <c r="M761" s="17">
        <f>Table1[[#This Row],[Billing Rate Charges]]-Table1[[#This Row],[ LORRY RATE ]]</f>
        <v>12850</v>
      </c>
      <c r="N761" s="17">
        <v>33770</v>
      </c>
      <c r="O761" s="17">
        <f>Table1[[#This Row],[ LORRY RATE ]]-Table1[[#This Row],[Adance Paid (INR)]]</f>
        <v>0</v>
      </c>
      <c r="P761" s="17" t="s">
        <v>147</v>
      </c>
      <c r="Q761" s="18" t="s">
        <v>1381</v>
      </c>
      <c r="R761" s="17"/>
      <c r="S761" s="18" t="s">
        <v>2519</v>
      </c>
      <c r="T761" s="18" t="s">
        <v>2519</v>
      </c>
      <c r="U761" s="15" t="s">
        <v>54</v>
      </c>
      <c r="V761" s="15" t="s">
        <v>56</v>
      </c>
      <c r="W761" s="15"/>
    </row>
    <row r="762" spans="1:23" hidden="1" x14ac:dyDescent="0.3">
      <c r="A762" s="15">
        <v>757</v>
      </c>
      <c r="B762" s="15" t="s">
        <v>2455</v>
      </c>
      <c r="C762" s="19">
        <v>45980</v>
      </c>
      <c r="D762" s="19" t="s">
        <v>56</v>
      </c>
      <c r="E762" s="15" t="s">
        <v>1637</v>
      </c>
      <c r="F762" s="15">
        <v>9842431449</v>
      </c>
      <c r="G762" s="15" t="s">
        <v>6</v>
      </c>
      <c r="H762" s="15" t="s">
        <v>2546</v>
      </c>
      <c r="I762" s="15" t="s">
        <v>2547</v>
      </c>
      <c r="J762" s="15" t="s">
        <v>172</v>
      </c>
      <c r="K762" s="16">
        <v>33770</v>
      </c>
      <c r="L762" s="16">
        <v>46620</v>
      </c>
      <c r="M762" s="17">
        <f>Table1[[#This Row],[Billing Rate Charges]]-Table1[[#This Row],[ LORRY RATE ]]</f>
        <v>12850</v>
      </c>
      <c r="N762" s="17">
        <v>33770</v>
      </c>
      <c r="O762" s="17">
        <f>Table1[[#This Row],[ LORRY RATE ]]-Table1[[#This Row],[Adance Paid (INR)]]</f>
        <v>0</v>
      </c>
      <c r="P762" s="17" t="s">
        <v>147</v>
      </c>
      <c r="Q762" s="18" t="s">
        <v>1382</v>
      </c>
      <c r="R762" s="17"/>
      <c r="S762" s="18" t="s">
        <v>2519</v>
      </c>
      <c r="T762" s="18" t="s">
        <v>2521</v>
      </c>
      <c r="U762" s="15" t="s">
        <v>54</v>
      </c>
      <c r="V762" s="15" t="s">
        <v>56</v>
      </c>
      <c r="W762" s="15"/>
    </row>
    <row r="763" spans="1:23" hidden="1" x14ac:dyDescent="0.3">
      <c r="A763" s="15">
        <v>758</v>
      </c>
      <c r="B763" s="15" t="s">
        <v>2455</v>
      </c>
      <c r="C763" s="19">
        <v>45982</v>
      </c>
      <c r="D763" s="19" t="s">
        <v>56</v>
      </c>
      <c r="E763" s="15" t="s">
        <v>38</v>
      </c>
      <c r="F763" s="15">
        <v>9793531306</v>
      </c>
      <c r="G763" s="15" t="s">
        <v>1093</v>
      </c>
      <c r="H763" s="15" t="s">
        <v>2558</v>
      </c>
      <c r="I763" s="15" t="s">
        <v>6</v>
      </c>
      <c r="J763" s="15" t="s">
        <v>172</v>
      </c>
      <c r="K763" s="16">
        <v>40480</v>
      </c>
      <c r="L763" s="16">
        <v>91350</v>
      </c>
      <c r="M763" s="17">
        <f>Table1[[#This Row],[Billing Rate Charges]]-Table1[[#This Row],[ LORRY RATE ]]</f>
        <v>50870</v>
      </c>
      <c r="N763" s="17">
        <v>40480</v>
      </c>
      <c r="O763" s="17">
        <f>Table1[[#This Row],[ LORRY RATE ]]-Table1[[#This Row],[Adance Paid (INR)]]</f>
        <v>0</v>
      </c>
      <c r="P763" s="17" t="s">
        <v>147</v>
      </c>
      <c r="Q763" s="18" t="s">
        <v>1383</v>
      </c>
      <c r="R763" s="17"/>
      <c r="S763" s="18" t="s">
        <v>2522</v>
      </c>
      <c r="T763" s="18" t="s">
        <v>2522</v>
      </c>
      <c r="U763" s="15" t="s">
        <v>54</v>
      </c>
      <c r="V763" s="15" t="s">
        <v>56</v>
      </c>
      <c r="W763" s="15"/>
    </row>
    <row r="764" spans="1:23" hidden="1" x14ac:dyDescent="0.3">
      <c r="A764" s="15">
        <v>759</v>
      </c>
      <c r="B764" s="15" t="s">
        <v>2455</v>
      </c>
      <c r="C764" s="19">
        <v>45982</v>
      </c>
      <c r="D764" s="19" t="s">
        <v>56</v>
      </c>
      <c r="E764" s="15" t="s">
        <v>1641</v>
      </c>
      <c r="F764" s="15">
        <v>9281983602</v>
      </c>
      <c r="G764" s="15" t="s">
        <v>6</v>
      </c>
      <c r="H764" s="15" t="s">
        <v>1874</v>
      </c>
      <c r="I764" s="15" t="s">
        <v>2548</v>
      </c>
      <c r="J764" s="15" t="s">
        <v>172</v>
      </c>
      <c r="K764" s="16">
        <v>32820</v>
      </c>
      <c r="L764" s="16">
        <v>40320</v>
      </c>
      <c r="M764" s="17">
        <f>Table1[[#This Row],[Billing Rate Charges]]-Table1[[#This Row],[ LORRY RATE ]]</f>
        <v>7500</v>
      </c>
      <c r="N764" s="17">
        <v>32820</v>
      </c>
      <c r="O764" s="17">
        <f>Table1[[#This Row],[ LORRY RATE ]]-Table1[[#This Row],[Adance Paid (INR)]]</f>
        <v>0</v>
      </c>
      <c r="P764" s="17" t="s">
        <v>147</v>
      </c>
      <c r="Q764" s="18" t="s">
        <v>1378</v>
      </c>
      <c r="R764" s="17"/>
      <c r="S764" s="18" t="s">
        <v>2521</v>
      </c>
      <c r="T764" s="18" t="s">
        <v>2521</v>
      </c>
      <c r="U764" s="15" t="s">
        <v>54</v>
      </c>
      <c r="V764" s="15" t="s">
        <v>56</v>
      </c>
      <c r="W764" s="15"/>
    </row>
    <row r="765" spans="1:23" hidden="1" x14ac:dyDescent="0.3">
      <c r="A765" s="15">
        <v>760</v>
      </c>
      <c r="B765" s="15" t="s">
        <v>2455</v>
      </c>
      <c r="C765" s="19">
        <v>45982</v>
      </c>
      <c r="D765" s="19" t="s">
        <v>56</v>
      </c>
      <c r="E765" s="15" t="s">
        <v>60</v>
      </c>
      <c r="F765" s="15">
        <v>9589264337</v>
      </c>
      <c r="G765" s="15" t="s">
        <v>6</v>
      </c>
      <c r="H765" s="15" t="s">
        <v>2549</v>
      </c>
      <c r="I765" s="15" t="s">
        <v>2550</v>
      </c>
      <c r="J765" s="15" t="s">
        <v>172</v>
      </c>
      <c r="K765" s="16">
        <v>33770</v>
      </c>
      <c r="L765" s="16">
        <v>46620</v>
      </c>
      <c r="M765" s="17">
        <f>Table1[[#This Row],[Billing Rate Charges]]-Table1[[#This Row],[ LORRY RATE ]]</f>
        <v>12850</v>
      </c>
      <c r="N765" s="17">
        <v>33770</v>
      </c>
      <c r="O765" s="17">
        <f>Table1[[#This Row],[ LORRY RATE ]]-Table1[[#This Row],[Adance Paid (INR)]]</f>
        <v>0</v>
      </c>
      <c r="P765" s="17" t="s">
        <v>147</v>
      </c>
      <c r="Q765" s="18" t="s">
        <v>1385</v>
      </c>
      <c r="R765" s="17"/>
      <c r="S765" s="18" t="s">
        <v>2521</v>
      </c>
      <c r="T765" s="18" t="s">
        <v>2521</v>
      </c>
      <c r="U765" s="15" t="s">
        <v>54</v>
      </c>
      <c r="V765" s="15" t="s">
        <v>56</v>
      </c>
      <c r="W765" s="15"/>
    </row>
    <row r="766" spans="1:23" hidden="1" x14ac:dyDescent="0.3">
      <c r="A766" s="15">
        <v>761</v>
      </c>
      <c r="B766" s="15" t="s">
        <v>2455</v>
      </c>
      <c r="C766" s="19">
        <v>45983</v>
      </c>
      <c r="D766" s="19" t="s">
        <v>56</v>
      </c>
      <c r="E766" s="15" t="s">
        <v>1644</v>
      </c>
      <c r="F766" s="15">
        <v>9793531306</v>
      </c>
      <c r="G766" s="15" t="s">
        <v>6</v>
      </c>
      <c r="H766" s="15" t="s">
        <v>2551</v>
      </c>
      <c r="I766" s="15" t="s">
        <v>2552</v>
      </c>
      <c r="J766" s="15" t="s">
        <v>172</v>
      </c>
      <c r="K766" s="16">
        <v>33770</v>
      </c>
      <c r="L766" s="16">
        <v>46620</v>
      </c>
      <c r="M766" s="17">
        <f>Table1[[#This Row],[Billing Rate Charges]]-Table1[[#This Row],[ LORRY RATE ]]</f>
        <v>12850</v>
      </c>
      <c r="N766" s="17">
        <v>33770</v>
      </c>
      <c r="O766" s="17">
        <f>Table1[[#This Row],[ LORRY RATE ]]-Table1[[#This Row],[Adance Paid (INR)]]</f>
        <v>0</v>
      </c>
      <c r="P766" s="17" t="s">
        <v>147</v>
      </c>
      <c r="Q766" s="18" t="s">
        <v>1388</v>
      </c>
      <c r="R766" s="17"/>
      <c r="S766" s="18" t="s">
        <v>2524</v>
      </c>
      <c r="T766" s="18" t="s">
        <v>2524</v>
      </c>
      <c r="U766" s="15" t="s">
        <v>54</v>
      </c>
      <c r="V766" s="15" t="s">
        <v>56</v>
      </c>
      <c r="W766" s="15"/>
    </row>
    <row r="767" spans="1:23" hidden="1" x14ac:dyDescent="0.3">
      <c r="A767" s="15">
        <v>762</v>
      </c>
      <c r="B767" s="15" t="s">
        <v>2455</v>
      </c>
      <c r="C767" s="19">
        <v>45983</v>
      </c>
      <c r="D767" s="19" t="s">
        <v>56</v>
      </c>
      <c r="E767" s="21" t="s">
        <v>1635</v>
      </c>
      <c r="F767" s="21">
        <v>9220186371</v>
      </c>
      <c r="G767" s="15" t="s">
        <v>1093</v>
      </c>
      <c r="H767" s="15" t="s">
        <v>2561</v>
      </c>
      <c r="I767" s="15" t="s">
        <v>6</v>
      </c>
      <c r="J767" s="15" t="s">
        <v>172</v>
      </c>
      <c r="K767" s="16">
        <v>41230</v>
      </c>
      <c r="L767" s="16">
        <v>96390</v>
      </c>
      <c r="M767" s="17">
        <f>Table1[[#This Row],[Billing Rate Charges]]-Table1[[#This Row],[ LORRY RATE ]]</f>
        <v>55160</v>
      </c>
      <c r="N767" s="17">
        <v>41230</v>
      </c>
      <c r="O767" s="17">
        <f>Table1[[#This Row],[ LORRY RATE ]]-Table1[[#This Row],[Adance Paid (INR)]]</f>
        <v>0</v>
      </c>
      <c r="P767" s="17" t="s">
        <v>147</v>
      </c>
      <c r="Q767" s="18" t="s">
        <v>1389</v>
      </c>
      <c r="R767" s="17"/>
      <c r="S767" s="18" t="s">
        <v>2524</v>
      </c>
      <c r="T767" s="18" t="s">
        <v>2524</v>
      </c>
      <c r="U767" s="15" t="s">
        <v>54</v>
      </c>
      <c r="V767" s="15" t="s">
        <v>56</v>
      </c>
      <c r="W767" s="15"/>
    </row>
    <row r="768" spans="1:23" hidden="1" x14ac:dyDescent="0.3">
      <c r="A768" s="15">
        <v>763</v>
      </c>
      <c r="B768" s="15" t="s">
        <v>2455</v>
      </c>
      <c r="C768" s="19">
        <v>45983</v>
      </c>
      <c r="D768" s="19" t="s">
        <v>51</v>
      </c>
      <c r="E768" s="21" t="s">
        <v>2520</v>
      </c>
      <c r="F768" s="21">
        <v>9277489142</v>
      </c>
      <c r="G768" s="15" t="s">
        <v>105</v>
      </c>
      <c r="H768" s="15" t="s">
        <v>2556</v>
      </c>
      <c r="I768" s="15" t="s">
        <v>6</v>
      </c>
      <c r="J768" s="15" t="s">
        <v>168</v>
      </c>
      <c r="K768" s="16">
        <v>49680</v>
      </c>
      <c r="L768" s="16">
        <v>59850</v>
      </c>
      <c r="M768" s="17">
        <f>Table1[[#This Row],[Billing Rate Charges]]-Table1[[#This Row],[ LORRY RATE ]]</f>
        <v>10170</v>
      </c>
      <c r="N768" s="17">
        <v>49680</v>
      </c>
      <c r="O768" s="17">
        <f>Table1[[#This Row],[ LORRY RATE ]]-Table1[[#This Row],[Adance Paid (INR)]]</f>
        <v>0</v>
      </c>
      <c r="P768" s="17" t="s">
        <v>147</v>
      </c>
      <c r="Q768" s="18" t="s">
        <v>1387</v>
      </c>
      <c r="R768" s="17"/>
      <c r="S768" s="18" t="s">
        <v>2526</v>
      </c>
      <c r="T768" s="18" t="s">
        <v>2526</v>
      </c>
      <c r="U768" s="15" t="s">
        <v>54</v>
      </c>
      <c r="V768" s="15" t="s">
        <v>439</v>
      </c>
      <c r="W768" s="15"/>
    </row>
    <row r="769" spans="1:23" hidden="1" x14ac:dyDescent="0.3">
      <c r="A769" s="15">
        <v>764</v>
      </c>
      <c r="B769" s="15" t="s">
        <v>2455</v>
      </c>
      <c r="C769" s="19">
        <v>45984</v>
      </c>
      <c r="D769" s="19" t="s">
        <v>56</v>
      </c>
      <c r="E769" s="21" t="s">
        <v>38</v>
      </c>
      <c r="F769" s="21">
        <v>9515412075</v>
      </c>
      <c r="G769" s="15" t="s">
        <v>6</v>
      </c>
      <c r="H769" s="15" t="s">
        <v>1874</v>
      </c>
      <c r="I769" s="15" t="s">
        <v>2564</v>
      </c>
      <c r="J769" s="15" t="s">
        <v>59</v>
      </c>
      <c r="K769" s="16">
        <v>32590</v>
      </c>
      <c r="L769" s="16">
        <v>38740</v>
      </c>
      <c r="M769" s="17">
        <f>Table1[[#This Row],[Billing Rate Charges]]-Table1[[#This Row],[ LORRY RATE ]]</f>
        <v>6150</v>
      </c>
      <c r="N769" s="17">
        <v>32590</v>
      </c>
      <c r="O769" s="17">
        <f>Table1[[#This Row],[ LORRY RATE ]]-Table1[[#This Row],[Adance Paid (INR)]]</f>
        <v>0</v>
      </c>
      <c r="P769" s="17" t="s">
        <v>147</v>
      </c>
      <c r="Q769" s="18" t="s">
        <v>1371</v>
      </c>
      <c r="R769" s="17"/>
      <c r="S769" s="18" t="s">
        <v>2524</v>
      </c>
      <c r="T769" s="18" t="s">
        <v>2524</v>
      </c>
      <c r="U769" s="15" t="s">
        <v>54</v>
      </c>
      <c r="V769" s="15" t="s">
        <v>56</v>
      </c>
      <c r="W769" s="15"/>
    </row>
    <row r="770" spans="1:23" hidden="1" x14ac:dyDescent="0.3">
      <c r="A770" s="15">
        <v>765</v>
      </c>
      <c r="B770" s="15" t="s">
        <v>2455</v>
      </c>
      <c r="C770" s="19">
        <v>45985</v>
      </c>
      <c r="D770" s="19" t="s">
        <v>51</v>
      </c>
      <c r="E770" s="21" t="s">
        <v>2523</v>
      </c>
      <c r="F770" s="21">
        <v>9384667498</v>
      </c>
      <c r="G770" s="15" t="s">
        <v>1093</v>
      </c>
      <c r="H770" s="15" t="s">
        <v>2565</v>
      </c>
      <c r="I770" s="15" t="s">
        <v>6</v>
      </c>
      <c r="J770" s="15" t="s">
        <v>107</v>
      </c>
      <c r="K770" s="16">
        <v>85620</v>
      </c>
      <c r="L770" s="16">
        <v>110250</v>
      </c>
      <c r="M770" s="17">
        <f>Table1[[#This Row],[Billing Rate Charges]]-Table1[[#This Row],[ LORRY RATE ]]</f>
        <v>24630</v>
      </c>
      <c r="N770" s="17">
        <v>78980</v>
      </c>
      <c r="O770" s="17">
        <f>Table1[[#This Row],[ LORRY RATE ]]-Table1[[#This Row],[Adance Paid (INR)]]</f>
        <v>6640</v>
      </c>
      <c r="P770" s="17" t="s">
        <v>147</v>
      </c>
      <c r="Q770" s="18" t="s">
        <v>1379</v>
      </c>
      <c r="R770" s="17"/>
      <c r="S770" s="18" t="s">
        <v>2566</v>
      </c>
      <c r="T770" s="18" t="s">
        <v>2568</v>
      </c>
      <c r="U770" s="15" t="s">
        <v>54</v>
      </c>
      <c r="V770" s="15" t="s">
        <v>2593</v>
      </c>
      <c r="W770" s="15"/>
    </row>
    <row r="771" spans="1:23" hidden="1" x14ac:dyDescent="0.3">
      <c r="A771" s="15">
        <v>766</v>
      </c>
      <c r="B771" s="15" t="s">
        <v>2455</v>
      </c>
      <c r="C771" s="19">
        <v>45986</v>
      </c>
      <c r="D771" s="19" t="s">
        <v>56</v>
      </c>
      <c r="E771" s="21" t="s">
        <v>1637</v>
      </c>
      <c r="F771" s="21">
        <v>9842431449</v>
      </c>
      <c r="G771" s="15" t="s">
        <v>1093</v>
      </c>
      <c r="H771" s="15" t="s">
        <v>2560</v>
      </c>
      <c r="I771" s="15" t="s">
        <v>6</v>
      </c>
      <c r="J771" s="15" t="s">
        <v>172</v>
      </c>
      <c r="K771" s="16">
        <v>41230</v>
      </c>
      <c r="L771" s="16">
        <v>96390</v>
      </c>
      <c r="M771" s="17">
        <f>Table1[[#This Row],[Billing Rate Charges]]-Table1[[#This Row],[ LORRY RATE ]]</f>
        <v>55160</v>
      </c>
      <c r="N771" s="17">
        <v>41230</v>
      </c>
      <c r="O771" s="17">
        <f>Table1[[#This Row],[ LORRY RATE ]]-Table1[[#This Row],[Adance Paid (INR)]]</f>
        <v>0</v>
      </c>
      <c r="P771" s="17" t="s">
        <v>147</v>
      </c>
      <c r="Q771" s="18" t="s">
        <v>1390</v>
      </c>
      <c r="R771" s="17"/>
      <c r="S771" s="18" t="s">
        <v>2527</v>
      </c>
      <c r="T771" s="18" t="s">
        <v>2527</v>
      </c>
      <c r="U771" s="15" t="s">
        <v>54</v>
      </c>
      <c r="V771" s="15" t="s">
        <v>56</v>
      </c>
      <c r="W771" s="15"/>
    </row>
    <row r="772" spans="1:23" hidden="1" x14ac:dyDescent="0.3">
      <c r="A772" s="15">
        <v>767</v>
      </c>
      <c r="B772" s="15" t="s">
        <v>2455</v>
      </c>
      <c r="C772" s="19">
        <v>45986</v>
      </c>
      <c r="D772" s="19" t="s">
        <v>51</v>
      </c>
      <c r="E772" s="21" t="s">
        <v>2525</v>
      </c>
      <c r="F772" s="21">
        <v>9311247901</v>
      </c>
      <c r="G772" s="15" t="s">
        <v>6</v>
      </c>
      <c r="H772" s="15" t="s">
        <v>1874</v>
      </c>
      <c r="I772" s="15" t="s">
        <v>2555</v>
      </c>
      <c r="J772" s="15" t="s">
        <v>172</v>
      </c>
      <c r="K772" s="16">
        <v>31750</v>
      </c>
      <c r="L772" s="16">
        <v>40320</v>
      </c>
      <c r="M772" s="17">
        <f>Table1[[#This Row],[Billing Rate Charges]]-Table1[[#This Row],[ LORRY RATE ]]</f>
        <v>8570</v>
      </c>
      <c r="N772" s="17">
        <v>31750</v>
      </c>
      <c r="O772" s="17">
        <f>Table1[[#This Row],[ LORRY RATE ]]-Table1[[#This Row],[Adance Paid (INR)]]</f>
        <v>0</v>
      </c>
      <c r="P772" s="17" t="s">
        <v>147</v>
      </c>
      <c r="Q772" s="18" t="s">
        <v>1377</v>
      </c>
      <c r="R772" s="17"/>
      <c r="S772" s="18" t="s">
        <v>2566</v>
      </c>
      <c r="T772" s="18" t="s">
        <v>2566</v>
      </c>
      <c r="U772" s="15" t="s">
        <v>54</v>
      </c>
      <c r="V772" s="15" t="s">
        <v>439</v>
      </c>
      <c r="W772" s="15"/>
    </row>
    <row r="773" spans="1:23" hidden="1" x14ac:dyDescent="0.3">
      <c r="A773" s="15">
        <v>768</v>
      </c>
      <c r="B773" s="15" t="s">
        <v>2455</v>
      </c>
      <c r="C773" s="19">
        <v>45986</v>
      </c>
      <c r="D773" s="19" t="s">
        <v>56</v>
      </c>
      <c r="E773" s="21" t="s">
        <v>1635</v>
      </c>
      <c r="F773" s="21">
        <v>9472230553</v>
      </c>
      <c r="G773" s="15" t="s">
        <v>6</v>
      </c>
      <c r="H773" s="15" t="s">
        <v>2553</v>
      </c>
      <c r="I773" s="15" t="s">
        <v>2554</v>
      </c>
      <c r="J773" s="15" t="s">
        <v>172</v>
      </c>
      <c r="K773" s="16">
        <v>33770</v>
      </c>
      <c r="L773" s="16">
        <v>46620</v>
      </c>
      <c r="M773" s="17">
        <f>Table1[[#This Row],[Billing Rate Charges]]-Table1[[#This Row],[ LORRY RATE ]]</f>
        <v>12850</v>
      </c>
      <c r="N773" s="17">
        <v>33770</v>
      </c>
      <c r="O773" s="17">
        <f>Table1[[#This Row],[ LORRY RATE ]]-Table1[[#This Row],[Adance Paid (INR)]]</f>
        <v>0</v>
      </c>
      <c r="P773" s="17" t="s">
        <v>147</v>
      </c>
      <c r="Q773" s="18" t="s">
        <v>1386</v>
      </c>
      <c r="R773" s="17"/>
      <c r="S773" s="18" t="s">
        <v>2566</v>
      </c>
      <c r="T773" s="18" t="s">
        <v>2567</v>
      </c>
      <c r="U773" s="15" t="s">
        <v>54</v>
      </c>
      <c r="V773" s="15" t="s">
        <v>56</v>
      </c>
      <c r="W773" s="15"/>
    </row>
    <row r="774" spans="1:23" hidden="1" x14ac:dyDescent="0.3">
      <c r="A774" s="15">
        <v>769</v>
      </c>
      <c r="B774" s="15" t="s">
        <v>2455</v>
      </c>
      <c r="C774" s="19">
        <v>45988</v>
      </c>
      <c r="D774" s="19" t="s">
        <v>56</v>
      </c>
      <c r="E774" s="15" t="s">
        <v>60</v>
      </c>
      <c r="F774" s="15">
        <v>9589264337</v>
      </c>
      <c r="G774" s="15" t="s">
        <v>1093</v>
      </c>
      <c r="H774" s="15" t="s">
        <v>2563</v>
      </c>
      <c r="I774" s="15" t="s">
        <v>6</v>
      </c>
      <c r="J774" s="15" t="s">
        <v>172</v>
      </c>
      <c r="K774" s="16">
        <v>41230</v>
      </c>
      <c r="L774" s="16">
        <v>96390</v>
      </c>
      <c r="M774" s="17">
        <f>Table1[[#This Row],[Billing Rate Charges]]-Table1[[#This Row],[ LORRY RATE ]]</f>
        <v>55160</v>
      </c>
      <c r="N774" s="17">
        <v>41230</v>
      </c>
      <c r="O774" s="17">
        <f>Table1[[#This Row],[ LORRY RATE ]]-Table1[[#This Row],[Adance Paid (INR)]]</f>
        <v>0</v>
      </c>
      <c r="P774" s="17" t="s">
        <v>147</v>
      </c>
      <c r="Q774" s="18" t="s">
        <v>1391</v>
      </c>
      <c r="R774" s="17"/>
      <c r="S774" s="18" t="s">
        <v>2568</v>
      </c>
      <c r="T774" s="18" t="s">
        <v>2569</v>
      </c>
      <c r="U774" s="15" t="s">
        <v>54</v>
      </c>
      <c r="V774" s="15" t="s">
        <v>56</v>
      </c>
      <c r="W774" s="15"/>
    </row>
    <row r="775" spans="1:23" hidden="1" x14ac:dyDescent="0.3">
      <c r="A775" s="15">
        <v>770</v>
      </c>
      <c r="B775" s="15" t="s">
        <v>2455</v>
      </c>
      <c r="C775" s="19">
        <v>45988</v>
      </c>
      <c r="D775" s="19" t="s">
        <v>56</v>
      </c>
      <c r="E775" s="15" t="s">
        <v>1637</v>
      </c>
      <c r="F775" s="15">
        <v>9842431449</v>
      </c>
      <c r="G775" s="15" t="s">
        <v>6</v>
      </c>
      <c r="H775" s="15" t="s">
        <v>2578</v>
      </c>
      <c r="I775" s="15" t="s">
        <v>2579</v>
      </c>
      <c r="J775" s="15" t="s">
        <v>172</v>
      </c>
      <c r="K775" s="16">
        <v>33770</v>
      </c>
      <c r="L775" s="16">
        <v>46620</v>
      </c>
      <c r="M775" s="17">
        <f>Table1[[#This Row],[Billing Rate Charges]]-Table1[[#This Row],[ LORRY RATE ]]</f>
        <v>12850</v>
      </c>
      <c r="N775" s="17">
        <v>33770</v>
      </c>
      <c r="O775" s="17">
        <f>Table1[[#This Row],[ LORRY RATE ]]-Table1[[#This Row],[Adance Paid (INR)]]</f>
        <v>0</v>
      </c>
      <c r="P775" s="17" t="s">
        <v>147</v>
      </c>
      <c r="Q775" s="18" t="s">
        <v>1392</v>
      </c>
      <c r="R775" s="17"/>
      <c r="S775" s="18" t="s">
        <v>2570</v>
      </c>
      <c r="T775" s="18" t="s">
        <v>2569</v>
      </c>
      <c r="U775" s="15" t="s">
        <v>54</v>
      </c>
      <c r="V775" s="15" t="s">
        <v>56</v>
      </c>
      <c r="W775" s="15"/>
    </row>
    <row r="776" spans="1:23" hidden="1" x14ac:dyDescent="0.3">
      <c r="A776" s="15">
        <v>771</v>
      </c>
      <c r="B776" s="15" t="s">
        <v>2455</v>
      </c>
      <c r="C776" s="19">
        <v>45988</v>
      </c>
      <c r="D776" s="19" t="s">
        <v>51</v>
      </c>
      <c r="E776" s="21" t="s">
        <v>2520</v>
      </c>
      <c r="F776" s="21">
        <v>9277489142</v>
      </c>
      <c r="G776" s="15" t="s">
        <v>6</v>
      </c>
      <c r="H776" s="15" t="s">
        <v>1874</v>
      </c>
      <c r="I776" s="15" t="s">
        <v>2580</v>
      </c>
      <c r="J776" s="15" t="s">
        <v>168</v>
      </c>
      <c r="K776" s="16">
        <v>25690</v>
      </c>
      <c r="L776" s="16">
        <v>35600</v>
      </c>
      <c r="M776" s="17">
        <f>Table1[[#This Row],[Billing Rate Charges]]-Table1[[#This Row],[ LORRY RATE ]]</f>
        <v>9910</v>
      </c>
      <c r="N776" s="17">
        <v>25690</v>
      </c>
      <c r="O776" s="17">
        <f>Table1[[#This Row],[ LORRY RATE ]]-Table1[[#This Row],[Adance Paid (INR)]]</f>
        <v>0</v>
      </c>
      <c r="P776" s="17" t="s">
        <v>147</v>
      </c>
      <c r="Q776" s="18" t="s">
        <v>1396</v>
      </c>
      <c r="R776" s="17"/>
      <c r="S776" s="18" t="s">
        <v>2569</v>
      </c>
      <c r="T776" s="18" t="s">
        <v>2569</v>
      </c>
      <c r="U776" s="15" t="s">
        <v>54</v>
      </c>
      <c r="V776" s="15" t="s">
        <v>439</v>
      </c>
      <c r="W776" s="15"/>
    </row>
    <row r="777" spans="1:23" hidden="1" x14ac:dyDescent="0.3">
      <c r="A777" s="15">
        <v>772</v>
      </c>
      <c r="B777" s="15" t="s">
        <v>2455</v>
      </c>
      <c r="C777" s="19">
        <v>45989</v>
      </c>
      <c r="D777" s="19" t="s">
        <v>56</v>
      </c>
      <c r="E777" s="21" t="s">
        <v>38</v>
      </c>
      <c r="F777" s="21">
        <v>9515412075</v>
      </c>
      <c r="G777" s="15" t="s">
        <v>1093</v>
      </c>
      <c r="H777" s="15" t="s">
        <v>2583</v>
      </c>
      <c r="I777" s="15" t="s">
        <v>6</v>
      </c>
      <c r="J777" s="15" t="s">
        <v>59</v>
      </c>
      <c r="K777" s="16">
        <v>42370</v>
      </c>
      <c r="L777" s="16">
        <v>103950</v>
      </c>
      <c r="M777" s="17">
        <f>Table1[[#This Row],[Billing Rate Charges]]-Table1[[#This Row],[ LORRY RATE ]]</f>
        <v>61580</v>
      </c>
      <c r="N777" s="17">
        <v>42370</v>
      </c>
      <c r="O777" s="17">
        <f>Table1[[#This Row],[ LORRY RATE ]]-Table1[[#This Row],[Adance Paid (INR)]]</f>
        <v>0</v>
      </c>
      <c r="P777" s="17" t="s">
        <v>147</v>
      </c>
      <c r="Q777" s="18" t="s">
        <v>1384</v>
      </c>
      <c r="R777" s="17"/>
      <c r="S777" s="18" t="s">
        <v>2570</v>
      </c>
      <c r="T777" s="18" t="s">
        <v>2569</v>
      </c>
      <c r="U777" s="15" t="s">
        <v>54</v>
      </c>
      <c r="V777" s="15" t="s">
        <v>56</v>
      </c>
      <c r="W777" s="15"/>
    </row>
    <row r="778" spans="1:23" hidden="1" x14ac:dyDescent="0.3">
      <c r="A778" s="15">
        <v>773</v>
      </c>
      <c r="B778" s="15" t="s">
        <v>2455</v>
      </c>
      <c r="C778" s="19">
        <v>45990</v>
      </c>
      <c r="D778" s="19" t="s">
        <v>51</v>
      </c>
      <c r="E778" s="21" t="s">
        <v>976</v>
      </c>
      <c r="F778" s="21">
        <v>9389071211</v>
      </c>
      <c r="G778" s="15" t="s">
        <v>6</v>
      </c>
      <c r="H778" s="15" t="s">
        <v>2581</v>
      </c>
      <c r="I778" s="15" t="s">
        <v>2582</v>
      </c>
      <c r="J778" s="15" t="s">
        <v>623</v>
      </c>
      <c r="K778" s="16">
        <v>27700</v>
      </c>
      <c r="L778" s="16">
        <v>41900</v>
      </c>
      <c r="M778" s="17">
        <f>Table1[[#This Row],[Billing Rate Charges]]-Table1[[#This Row],[ LORRY RATE ]]</f>
        <v>14200</v>
      </c>
      <c r="N778" s="17">
        <v>27700</v>
      </c>
      <c r="O778" s="17">
        <f>Table1[[#This Row],[ LORRY RATE ]]-Table1[[#This Row],[Adance Paid (INR)]]</f>
        <v>0</v>
      </c>
      <c r="P778" s="17" t="s">
        <v>147</v>
      </c>
      <c r="Q778" s="18" t="s">
        <v>1397</v>
      </c>
      <c r="R778" s="17"/>
      <c r="S778" s="18" t="s">
        <v>2573</v>
      </c>
      <c r="T778" s="18" t="s">
        <v>2573</v>
      </c>
      <c r="U778" s="15" t="s">
        <v>54</v>
      </c>
      <c r="V778" s="15" t="s">
        <v>439</v>
      </c>
      <c r="W778" s="15"/>
    </row>
    <row r="779" spans="1:23" hidden="1" x14ac:dyDescent="0.3">
      <c r="A779" s="15">
        <v>774</v>
      </c>
      <c r="B779" s="15" t="s">
        <v>2571</v>
      </c>
      <c r="C779" s="47" t="s">
        <v>2569</v>
      </c>
      <c r="D779" s="19" t="s">
        <v>56</v>
      </c>
      <c r="E779" s="15" t="s">
        <v>38</v>
      </c>
      <c r="F779" s="15">
        <v>9515412075</v>
      </c>
      <c r="G779" s="15" t="s">
        <v>6</v>
      </c>
      <c r="H779" s="15" t="s">
        <v>2605</v>
      </c>
      <c r="I779" s="15" t="s">
        <v>2606</v>
      </c>
      <c r="J779" s="15" t="s">
        <v>59</v>
      </c>
      <c r="K779" s="16">
        <v>33530</v>
      </c>
      <c r="L779" s="16">
        <v>45040</v>
      </c>
      <c r="M779" s="17">
        <f>Table1[[#This Row],[Billing Rate Charges]]-Table1[[#This Row],[ LORRY RATE ]]</f>
        <v>11510</v>
      </c>
      <c r="N779" s="17">
        <v>33530</v>
      </c>
      <c r="O779" s="17">
        <f>Table1[[#This Row],[ LORRY RATE ]]-Table1[[#This Row],[Adance Paid (INR)]]</f>
        <v>0</v>
      </c>
      <c r="P779" s="17" t="s">
        <v>147</v>
      </c>
      <c r="Q779" s="18" t="s">
        <v>1435</v>
      </c>
      <c r="R779" s="17"/>
      <c r="S779" s="18" t="s">
        <v>2574</v>
      </c>
      <c r="T779" s="18" t="s">
        <v>2574</v>
      </c>
      <c r="U779" s="15" t="s">
        <v>54</v>
      </c>
      <c r="V779" s="15" t="s">
        <v>56</v>
      </c>
      <c r="W779" s="15"/>
    </row>
    <row r="780" spans="1:23" hidden="1" x14ac:dyDescent="0.3">
      <c r="A780" s="15">
        <v>775</v>
      </c>
      <c r="B780" s="15" t="s">
        <v>2571</v>
      </c>
      <c r="C780" s="19">
        <v>45993</v>
      </c>
      <c r="D780" s="19" t="s">
        <v>56</v>
      </c>
      <c r="E780" s="15" t="s">
        <v>60</v>
      </c>
      <c r="F780" s="15">
        <v>9589264337</v>
      </c>
      <c r="G780" s="15" t="s">
        <v>6</v>
      </c>
      <c r="H780" s="15" t="s">
        <v>2602</v>
      </c>
      <c r="I780" s="15" t="s">
        <v>2603</v>
      </c>
      <c r="J780" s="15" t="s">
        <v>172</v>
      </c>
      <c r="K780" s="16">
        <v>33770</v>
      </c>
      <c r="L780" s="16">
        <v>46620</v>
      </c>
      <c r="M780" s="17">
        <f>Table1[[#This Row],[Billing Rate Charges]]-Table1[[#This Row],[ LORRY RATE ]]</f>
        <v>12850</v>
      </c>
      <c r="N780" s="17">
        <v>33770</v>
      </c>
      <c r="O780" s="17">
        <f>Table1[[#This Row],[ LORRY RATE ]]-Table1[[#This Row],[Adance Paid (INR)]]</f>
        <v>0</v>
      </c>
      <c r="P780" s="17" t="s">
        <v>147</v>
      </c>
      <c r="Q780" s="18" t="s">
        <v>1436</v>
      </c>
      <c r="R780" s="17"/>
      <c r="S780" s="18" t="s">
        <v>998</v>
      </c>
      <c r="T780" s="18" t="s">
        <v>998</v>
      </c>
      <c r="U780" s="15" t="s">
        <v>54</v>
      </c>
      <c r="V780" s="15" t="s">
        <v>56</v>
      </c>
      <c r="W780" s="15"/>
    </row>
    <row r="781" spans="1:23" hidden="1" x14ac:dyDescent="0.3">
      <c r="A781" s="15">
        <v>776</v>
      </c>
      <c r="B781" s="15" t="s">
        <v>2571</v>
      </c>
      <c r="C781" s="19">
        <v>45993</v>
      </c>
      <c r="D781" s="19" t="s">
        <v>51</v>
      </c>
      <c r="E781" s="15" t="s">
        <v>2464</v>
      </c>
      <c r="F781" s="21">
        <v>9812853439</v>
      </c>
      <c r="G781" s="15" t="s">
        <v>6</v>
      </c>
      <c r="H781" s="15" t="s">
        <v>1874</v>
      </c>
      <c r="I781" s="15" t="s">
        <v>2604</v>
      </c>
      <c r="J781" s="15" t="s">
        <v>172</v>
      </c>
      <c r="K781" s="16">
        <v>31750</v>
      </c>
      <c r="L781" s="16">
        <v>40320</v>
      </c>
      <c r="M781" s="17">
        <f>Table1[[#This Row],[Billing Rate Charges]]-Table1[[#This Row],[ LORRY RATE ]]</f>
        <v>8570</v>
      </c>
      <c r="N781" s="17">
        <v>31750</v>
      </c>
      <c r="O781" s="17">
        <f>Table1[[#This Row],[ LORRY RATE ]]-Table1[[#This Row],[Adance Paid (INR)]]</f>
        <v>0</v>
      </c>
      <c r="P781" s="17" t="s">
        <v>147</v>
      </c>
      <c r="Q781" s="18" t="s">
        <v>2615</v>
      </c>
      <c r="R781" s="17"/>
      <c r="S781" s="18" t="s">
        <v>998</v>
      </c>
      <c r="T781" s="18" t="s">
        <v>998</v>
      </c>
      <c r="U781" s="15" t="s">
        <v>54</v>
      </c>
      <c r="V781" s="15" t="s">
        <v>439</v>
      </c>
      <c r="W781" s="15"/>
    </row>
    <row r="782" spans="1:23" hidden="1" x14ac:dyDescent="0.3">
      <c r="A782" s="15">
        <v>777</v>
      </c>
      <c r="B782" s="15" t="s">
        <v>2571</v>
      </c>
      <c r="C782" s="19">
        <v>45994</v>
      </c>
      <c r="D782" s="19" t="s">
        <v>56</v>
      </c>
      <c r="E782" s="15" t="s">
        <v>1637</v>
      </c>
      <c r="F782" s="15">
        <v>9842431449</v>
      </c>
      <c r="G782" s="15" t="s">
        <v>1093</v>
      </c>
      <c r="H782" s="15" t="s">
        <v>2623</v>
      </c>
      <c r="I782" s="15" t="s">
        <v>6</v>
      </c>
      <c r="J782" s="15" t="s">
        <v>172</v>
      </c>
      <c r="K782" s="16">
        <v>43120</v>
      </c>
      <c r="L782" s="16">
        <v>108990</v>
      </c>
      <c r="M782" s="17">
        <f>Table1[[#This Row],[Billing Rate Charges]]-Table1[[#This Row],[ LORRY RATE ]]</f>
        <v>65870</v>
      </c>
      <c r="N782" s="17">
        <v>43120</v>
      </c>
      <c r="O782" s="17">
        <f>Table1[[#This Row],[ LORRY RATE ]]-Table1[[#This Row],[Adance Paid (INR)]]</f>
        <v>0</v>
      </c>
      <c r="P782" s="17" t="s">
        <v>147</v>
      </c>
      <c r="Q782" s="18" t="s">
        <v>1516</v>
      </c>
      <c r="R782" s="17"/>
      <c r="S782" s="18" t="s">
        <v>998</v>
      </c>
      <c r="T782" s="18" t="s">
        <v>998</v>
      </c>
      <c r="U782" s="15" t="s">
        <v>54</v>
      </c>
      <c r="V782" s="15" t="s">
        <v>56</v>
      </c>
      <c r="W782" s="15"/>
    </row>
    <row r="783" spans="1:23" hidden="1" x14ac:dyDescent="0.3">
      <c r="A783" s="15">
        <v>778</v>
      </c>
      <c r="B783" s="15" t="s">
        <v>2571</v>
      </c>
      <c r="C783" s="19">
        <v>45994</v>
      </c>
      <c r="D783" s="19" t="s">
        <v>56</v>
      </c>
      <c r="E783" s="15" t="s">
        <v>1644</v>
      </c>
      <c r="F783" s="15">
        <v>9793531306</v>
      </c>
      <c r="G783" s="15" t="s">
        <v>6</v>
      </c>
      <c r="H783" s="15" t="s">
        <v>2610</v>
      </c>
      <c r="I783" s="15" t="s">
        <v>2611</v>
      </c>
      <c r="J783" s="15" t="s">
        <v>172</v>
      </c>
      <c r="K783" s="16">
        <v>33770</v>
      </c>
      <c r="L783" s="16">
        <v>46620</v>
      </c>
      <c r="M783" s="17">
        <f>Table1[[#This Row],[Billing Rate Charges]]-Table1[[#This Row],[ LORRY RATE ]]</f>
        <v>12850</v>
      </c>
      <c r="N783" s="17">
        <v>33770</v>
      </c>
      <c r="O783" s="17">
        <f>Table1[[#This Row],[ LORRY RATE ]]-Table1[[#This Row],[Adance Paid (INR)]]</f>
        <v>0</v>
      </c>
      <c r="P783" s="17" t="s">
        <v>147</v>
      </c>
      <c r="Q783" s="18" t="s">
        <v>1508</v>
      </c>
      <c r="R783" s="17"/>
      <c r="S783" s="18" t="s">
        <v>2575</v>
      </c>
      <c r="T783" s="18" t="s">
        <v>2576</v>
      </c>
      <c r="U783" s="15" t="s">
        <v>54</v>
      </c>
      <c r="V783" s="15" t="s">
        <v>56</v>
      </c>
      <c r="W783" s="15"/>
    </row>
    <row r="784" spans="1:23" hidden="1" x14ac:dyDescent="0.3">
      <c r="A784" s="15">
        <v>779</v>
      </c>
      <c r="B784" s="15" t="s">
        <v>2571</v>
      </c>
      <c r="C784" s="19">
        <v>45996</v>
      </c>
      <c r="D784" s="19" t="s">
        <v>56</v>
      </c>
      <c r="E784" s="15" t="s">
        <v>38</v>
      </c>
      <c r="F784" s="15">
        <v>9515412075</v>
      </c>
      <c r="G784" s="15" t="s">
        <v>105</v>
      </c>
      <c r="H784" s="15" t="s">
        <v>2629</v>
      </c>
      <c r="I784" s="15" t="s">
        <v>6</v>
      </c>
      <c r="J784" s="15" t="s">
        <v>59</v>
      </c>
      <c r="K784" s="16">
        <v>41420</v>
      </c>
      <c r="L784" s="16">
        <v>97650</v>
      </c>
      <c r="M784" s="17">
        <f>Table1[[#This Row],[Billing Rate Charges]]-Table1[[#This Row],[ LORRY RATE ]]</f>
        <v>56230</v>
      </c>
      <c r="N784" s="17">
        <v>41420</v>
      </c>
      <c r="O784" s="17">
        <f>Table1[[#This Row],[ LORRY RATE ]]-Table1[[#This Row],[Adance Paid (INR)]]</f>
        <v>0</v>
      </c>
      <c r="P784" s="17" t="s">
        <v>147</v>
      </c>
      <c r="Q784" s="18" t="s">
        <v>1527</v>
      </c>
      <c r="R784" s="17"/>
      <c r="S784" s="18" t="s">
        <v>2576</v>
      </c>
      <c r="T784" s="18" t="s">
        <v>2576</v>
      </c>
      <c r="U784" s="15" t="s">
        <v>54</v>
      </c>
      <c r="V784" s="15" t="s">
        <v>56</v>
      </c>
      <c r="W784" s="15"/>
    </row>
    <row r="785" spans="1:23" hidden="1" x14ac:dyDescent="0.3">
      <c r="A785" s="15">
        <v>780</v>
      </c>
      <c r="B785" s="15" t="s">
        <v>2571</v>
      </c>
      <c r="C785" s="19">
        <v>45996</v>
      </c>
      <c r="D785" s="19" t="s">
        <v>56</v>
      </c>
      <c r="E785" s="15" t="s">
        <v>1635</v>
      </c>
      <c r="F785" s="15">
        <v>9472230553</v>
      </c>
      <c r="G785" s="15" t="s">
        <v>6</v>
      </c>
      <c r="H785" s="15" t="s">
        <v>1874</v>
      </c>
      <c r="I785" s="15" t="s">
        <v>2632</v>
      </c>
      <c r="J785" s="15" t="s">
        <v>172</v>
      </c>
      <c r="K785" s="16">
        <v>32820</v>
      </c>
      <c r="L785" s="16">
        <v>40320</v>
      </c>
      <c r="M785" s="17">
        <f>Table1[[#This Row],[Billing Rate Charges]]-Table1[[#This Row],[ LORRY RATE ]]</f>
        <v>7500</v>
      </c>
      <c r="N785" s="17">
        <v>32820</v>
      </c>
      <c r="O785" s="17">
        <f>Table1[[#This Row],[ LORRY RATE ]]-Table1[[#This Row],[Adance Paid (INR)]]</f>
        <v>0</v>
      </c>
      <c r="P785" s="17" t="s">
        <v>147</v>
      </c>
      <c r="Q785" s="18" t="s">
        <v>1517</v>
      </c>
      <c r="R785" s="17"/>
      <c r="S785" s="18" t="s">
        <v>2576</v>
      </c>
      <c r="T785" s="18" t="s">
        <v>2576</v>
      </c>
      <c r="U785" s="15" t="s">
        <v>54</v>
      </c>
      <c r="V785" s="15" t="s">
        <v>56</v>
      </c>
      <c r="W785" s="15"/>
    </row>
    <row r="786" spans="1:23" hidden="1" x14ac:dyDescent="0.3">
      <c r="A786" s="15">
        <v>781</v>
      </c>
      <c r="B786" s="15" t="s">
        <v>2571</v>
      </c>
      <c r="C786" s="19">
        <v>45996</v>
      </c>
      <c r="D786" s="19" t="s">
        <v>56</v>
      </c>
      <c r="E786" s="15" t="s">
        <v>1637</v>
      </c>
      <c r="F786" s="15">
        <v>9842431449</v>
      </c>
      <c r="G786" s="15" t="s">
        <v>6</v>
      </c>
      <c r="H786" s="15" t="s">
        <v>1874</v>
      </c>
      <c r="I786" s="15" t="s">
        <v>2612</v>
      </c>
      <c r="J786" s="15" t="s">
        <v>172</v>
      </c>
      <c r="K786" s="16">
        <v>32820</v>
      </c>
      <c r="L786" s="16">
        <v>40320</v>
      </c>
      <c r="M786" s="17">
        <f>Table1[[#This Row],[Billing Rate Charges]]-Table1[[#This Row],[ LORRY RATE ]]</f>
        <v>7500</v>
      </c>
      <c r="N786" s="17">
        <v>32820</v>
      </c>
      <c r="O786" s="17">
        <f>Table1[[#This Row],[ LORRY RATE ]]-Table1[[#This Row],[Adance Paid (INR)]]</f>
        <v>0</v>
      </c>
      <c r="P786" s="17" t="s">
        <v>147</v>
      </c>
      <c r="Q786" s="18" t="s">
        <v>1510</v>
      </c>
      <c r="R786" s="17"/>
      <c r="S786" s="18" t="s">
        <v>2576</v>
      </c>
      <c r="T786" s="18" t="s">
        <v>2576</v>
      </c>
      <c r="U786" s="15" t="s">
        <v>54</v>
      </c>
      <c r="V786" s="15" t="s">
        <v>56</v>
      </c>
      <c r="W786" s="15"/>
    </row>
    <row r="787" spans="1:23" hidden="1" x14ac:dyDescent="0.3">
      <c r="A787" s="15">
        <v>782</v>
      </c>
      <c r="B787" s="15" t="s">
        <v>2571</v>
      </c>
      <c r="C787" s="19">
        <v>45998</v>
      </c>
      <c r="D787" s="19" t="s">
        <v>56</v>
      </c>
      <c r="E787" s="15" t="s">
        <v>1641</v>
      </c>
      <c r="F787" s="15">
        <v>9281983602</v>
      </c>
      <c r="G787" s="15" t="s">
        <v>6</v>
      </c>
      <c r="H787" s="15" t="s">
        <v>2613</v>
      </c>
      <c r="I787" s="15" t="s">
        <v>2614</v>
      </c>
      <c r="J787" s="15" t="s">
        <v>172</v>
      </c>
      <c r="K787" s="16">
        <v>33770</v>
      </c>
      <c r="L787" s="16">
        <v>46620</v>
      </c>
      <c r="M787" s="17">
        <f>Table1[[#This Row],[Billing Rate Charges]]-Table1[[#This Row],[ LORRY RATE ]]</f>
        <v>12850</v>
      </c>
      <c r="N787" s="17">
        <v>33770</v>
      </c>
      <c r="O787" s="17">
        <f>Table1[[#This Row],[ LORRY RATE ]]-Table1[[#This Row],[Adance Paid (INR)]]</f>
        <v>0</v>
      </c>
      <c r="P787" s="17" t="s">
        <v>147</v>
      </c>
      <c r="Q787" s="18" t="s">
        <v>1515</v>
      </c>
      <c r="R787" s="17"/>
      <c r="S787" s="18" t="s">
        <v>2585</v>
      </c>
      <c r="T787" s="18" t="s">
        <v>2585</v>
      </c>
      <c r="U787" s="15" t="s">
        <v>54</v>
      </c>
      <c r="V787" s="15" t="s">
        <v>56</v>
      </c>
      <c r="W787" s="15"/>
    </row>
    <row r="788" spans="1:23" hidden="1" x14ac:dyDescent="0.3">
      <c r="A788" s="15">
        <v>783</v>
      </c>
      <c r="B788" s="15" t="s">
        <v>2571</v>
      </c>
      <c r="C788" s="19">
        <v>45998</v>
      </c>
      <c r="D788" s="19" t="s">
        <v>56</v>
      </c>
      <c r="E788" s="15" t="s">
        <v>60</v>
      </c>
      <c r="F788" s="15">
        <v>9589264337</v>
      </c>
      <c r="G788" s="15" t="s">
        <v>1093</v>
      </c>
      <c r="H788" s="15" t="s">
        <v>2620</v>
      </c>
      <c r="I788" s="15" t="s">
        <v>6</v>
      </c>
      <c r="J788" s="15" t="s">
        <v>172</v>
      </c>
      <c r="K788" s="16">
        <v>41230</v>
      </c>
      <c r="L788" s="16">
        <v>96390</v>
      </c>
      <c r="M788" s="17">
        <f>Table1[[#This Row],[Billing Rate Charges]]-Table1[[#This Row],[ LORRY RATE ]]</f>
        <v>55160</v>
      </c>
      <c r="N788" s="17">
        <v>41230</v>
      </c>
      <c r="O788" s="17">
        <f>Table1[[#This Row],[ LORRY RATE ]]-Table1[[#This Row],[Adance Paid (INR)]]</f>
        <v>0</v>
      </c>
      <c r="P788" s="17" t="s">
        <v>147</v>
      </c>
      <c r="Q788" s="18" t="s">
        <v>1513</v>
      </c>
      <c r="R788" s="17"/>
      <c r="S788" s="18" t="s">
        <v>2585</v>
      </c>
      <c r="T788" s="18" t="s">
        <v>2585</v>
      </c>
      <c r="U788" s="15" t="s">
        <v>54</v>
      </c>
      <c r="V788" s="15" t="s">
        <v>56</v>
      </c>
      <c r="W788" s="15"/>
    </row>
    <row r="789" spans="1:23" hidden="1" x14ac:dyDescent="0.3">
      <c r="A789" s="15">
        <v>784</v>
      </c>
      <c r="B789" s="15" t="s">
        <v>2571</v>
      </c>
      <c r="C789" s="19">
        <v>45999</v>
      </c>
      <c r="D789" s="19" t="s">
        <v>56</v>
      </c>
      <c r="E789" s="15" t="s">
        <v>38</v>
      </c>
      <c r="F789" s="15">
        <v>9515412075</v>
      </c>
      <c r="G789" s="15" t="s">
        <v>6</v>
      </c>
      <c r="H789" s="15" t="s">
        <v>2607</v>
      </c>
      <c r="I789" s="15" t="s">
        <v>2608</v>
      </c>
      <c r="J789" s="15" t="s">
        <v>59</v>
      </c>
      <c r="K789" s="16">
        <v>33530</v>
      </c>
      <c r="L789" s="16">
        <v>45040</v>
      </c>
      <c r="M789" s="17">
        <f>Table1[[#This Row],[Billing Rate Charges]]-Table1[[#This Row],[ LORRY RATE ]]</f>
        <v>11510</v>
      </c>
      <c r="N789" s="17">
        <v>33530</v>
      </c>
      <c r="O789" s="17">
        <f>Table1[[#This Row],[ LORRY RATE ]]-Table1[[#This Row],[Adance Paid (INR)]]</f>
        <v>0</v>
      </c>
      <c r="P789" s="17" t="s">
        <v>147</v>
      </c>
      <c r="Q789" s="18" t="s">
        <v>1521</v>
      </c>
      <c r="R789" s="17"/>
      <c r="S789" s="18" t="s">
        <v>2586</v>
      </c>
      <c r="T789" s="18" t="s">
        <v>2586</v>
      </c>
      <c r="U789" s="15" t="s">
        <v>54</v>
      </c>
      <c r="V789" s="15" t="s">
        <v>56</v>
      </c>
      <c r="W789" s="15" t="s">
        <v>2587</v>
      </c>
    </row>
    <row r="790" spans="1:23" hidden="1" x14ac:dyDescent="0.3">
      <c r="A790" s="15">
        <v>785</v>
      </c>
      <c r="B790" s="15" t="s">
        <v>2571</v>
      </c>
      <c r="C790" s="19">
        <v>46001</v>
      </c>
      <c r="D790" s="19" t="s">
        <v>51</v>
      </c>
      <c r="E790" s="21" t="s">
        <v>2584</v>
      </c>
      <c r="F790" s="21">
        <v>9368040749</v>
      </c>
      <c r="G790" s="15" t="s">
        <v>6</v>
      </c>
      <c r="H790" s="15" t="s">
        <v>1874</v>
      </c>
      <c r="I790" s="15" t="s">
        <v>2609</v>
      </c>
      <c r="J790" s="15" t="s">
        <v>168</v>
      </c>
      <c r="K790" s="16">
        <v>25690</v>
      </c>
      <c r="L790" s="16">
        <v>35600</v>
      </c>
      <c r="M790" s="17">
        <f>Table1[[#This Row],[Billing Rate Charges]]-Table1[[#This Row],[ LORRY RATE ]]</f>
        <v>9910</v>
      </c>
      <c r="N790" s="17">
        <v>25690</v>
      </c>
      <c r="O790" s="17">
        <f>Table1[[#This Row],[ LORRY RATE ]]-Table1[[#This Row],[Adance Paid (INR)]]</f>
        <v>0</v>
      </c>
      <c r="P790" s="17" t="s">
        <v>147</v>
      </c>
      <c r="Q790" s="18" t="s">
        <v>1520</v>
      </c>
      <c r="R790" s="17"/>
      <c r="S790" s="18" t="s">
        <v>2590</v>
      </c>
      <c r="T790" s="18" t="s">
        <v>2590</v>
      </c>
      <c r="U790" s="15" t="s">
        <v>54</v>
      </c>
      <c r="V790" s="15" t="s">
        <v>439</v>
      </c>
      <c r="W790" s="15"/>
    </row>
    <row r="791" spans="1:23" hidden="1" x14ac:dyDescent="0.3">
      <c r="A791" s="15">
        <v>786</v>
      </c>
      <c r="B791" s="15" t="s">
        <v>2571</v>
      </c>
      <c r="C791" s="19">
        <v>46001</v>
      </c>
      <c r="D791" s="19" t="s">
        <v>56</v>
      </c>
      <c r="E791" s="21" t="s">
        <v>1644</v>
      </c>
      <c r="F791" s="21">
        <v>9793531306</v>
      </c>
      <c r="G791" s="15" t="s">
        <v>1093</v>
      </c>
      <c r="H791" s="15" t="s">
        <v>2625</v>
      </c>
      <c r="I791" s="15" t="s">
        <v>6</v>
      </c>
      <c r="J791" s="15" t="s">
        <v>172</v>
      </c>
      <c r="K791" s="16">
        <v>43120</v>
      </c>
      <c r="L791" s="16">
        <v>108990</v>
      </c>
      <c r="M791" s="17">
        <f>Table1[[#This Row],[Billing Rate Charges]]-Table1[[#This Row],[ LORRY RATE ]]</f>
        <v>65870</v>
      </c>
      <c r="N791" s="17">
        <v>43120</v>
      </c>
      <c r="O791" s="17">
        <f>Table1[[#This Row],[ LORRY RATE ]]-Table1[[#This Row],[Adance Paid (INR)]]</f>
        <v>0</v>
      </c>
      <c r="P791" s="17" t="s">
        <v>147</v>
      </c>
      <c r="Q791" s="18" t="s">
        <v>1519</v>
      </c>
      <c r="R791" s="17"/>
      <c r="S791" s="18" t="s">
        <v>2590</v>
      </c>
      <c r="T791" s="18" t="s">
        <v>2590</v>
      </c>
      <c r="U791" s="15" t="s">
        <v>54</v>
      </c>
      <c r="V791" s="15" t="s">
        <v>56</v>
      </c>
      <c r="W791" s="15"/>
    </row>
    <row r="792" spans="1:23" hidden="1" x14ac:dyDescent="0.3">
      <c r="A792" s="15">
        <v>787</v>
      </c>
      <c r="B792" s="15" t="s">
        <v>2571</v>
      </c>
      <c r="C792" s="19">
        <v>46002</v>
      </c>
      <c r="D792" s="19" t="s">
        <v>56</v>
      </c>
      <c r="E792" s="21" t="s">
        <v>60</v>
      </c>
      <c r="F792" s="21">
        <v>9589264337</v>
      </c>
      <c r="G792" s="15" t="s">
        <v>6</v>
      </c>
      <c r="H792" s="15" t="s">
        <v>2633</v>
      </c>
      <c r="I792" s="15" t="s">
        <v>2634</v>
      </c>
      <c r="J792" s="15" t="s">
        <v>172</v>
      </c>
      <c r="K792" s="16">
        <v>33770</v>
      </c>
      <c r="L792" s="16">
        <v>46620</v>
      </c>
      <c r="M792" s="17">
        <f>Table1[[#This Row],[Billing Rate Charges]]-Table1[[#This Row],[ LORRY RATE ]]</f>
        <v>12850</v>
      </c>
      <c r="N792" s="17">
        <v>33770</v>
      </c>
      <c r="O792" s="17">
        <f>Table1[[#This Row],[ LORRY RATE ]]-Table1[[#This Row],[Adance Paid (INR)]]</f>
        <v>0</v>
      </c>
      <c r="P792" s="17" t="s">
        <v>147</v>
      </c>
      <c r="Q792" s="18" t="s">
        <v>1528</v>
      </c>
      <c r="R792" s="17"/>
      <c r="S792" s="18" t="s">
        <v>2591</v>
      </c>
      <c r="T792" s="18" t="s">
        <v>2591</v>
      </c>
      <c r="U792" s="15" t="s">
        <v>54</v>
      </c>
      <c r="V792" s="15" t="s">
        <v>56</v>
      </c>
      <c r="W792" s="15"/>
    </row>
    <row r="793" spans="1:23" hidden="1" x14ac:dyDescent="0.3">
      <c r="A793" s="15">
        <v>788</v>
      </c>
      <c r="B793" s="15" t="s">
        <v>2571</v>
      </c>
      <c r="C793" s="19">
        <v>46002</v>
      </c>
      <c r="D793" s="19" t="s">
        <v>51</v>
      </c>
      <c r="E793" s="21" t="s">
        <v>2588</v>
      </c>
      <c r="F793" s="21">
        <v>9126864455</v>
      </c>
      <c r="G793" s="15" t="s">
        <v>6</v>
      </c>
      <c r="H793" s="15" t="s">
        <v>1874</v>
      </c>
      <c r="I793" s="15" t="s">
        <v>2635</v>
      </c>
      <c r="J793" s="15" t="s">
        <v>172</v>
      </c>
      <c r="K793" s="16">
        <v>31750</v>
      </c>
      <c r="L793" s="16">
        <v>40320</v>
      </c>
      <c r="M793" s="17">
        <f>Table1[[#This Row],[Billing Rate Charges]]-Table1[[#This Row],[ LORRY RATE ]]</f>
        <v>8570</v>
      </c>
      <c r="N793" s="17">
        <v>31750</v>
      </c>
      <c r="O793" s="17">
        <f>Table1[[#This Row],[ LORRY RATE ]]-Table1[[#This Row],[Adance Paid (INR)]]</f>
        <v>0</v>
      </c>
      <c r="P793" s="17" t="s">
        <v>147</v>
      </c>
      <c r="Q793" s="18" t="s">
        <v>1524</v>
      </c>
      <c r="R793" s="17"/>
      <c r="S793" s="18" t="s">
        <v>2591</v>
      </c>
      <c r="T793" s="18" t="s">
        <v>2591</v>
      </c>
      <c r="U793" s="15" t="s">
        <v>54</v>
      </c>
      <c r="V793" s="15" t="s">
        <v>439</v>
      </c>
      <c r="W793" s="15"/>
    </row>
    <row r="794" spans="1:23" hidden="1" x14ac:dyDescent="0.3">
      <c r="A794" s="15">
        <v>789</v>
      </c>
      <c r="B794" s="15" t="s">
        <v>2571</v>
      </c>
      <c r="C794" s="19">
        <v>46003</v>
      </c>
      <c r="D794" s="19" t="s">
        <v>56</v>
      </c>
      <c r="E794" s="21" t="s">
        <v>38</v>
      </c>
      <c r="F794" s="21">
        <v>9793531306</v>
      </c>
      <c r="G794" s="15" t="s">
        <v>1093</v>
      </c>
      <c r="H794" s="15" t="s">
        <v>2630</v>
      </c>
      <c r="I794" s="15" t="s">
        <v>6</v>
      </c>
      <c r="J794" s="15" t="s">
        <v>59</v>
      </c>
      <c r="K794" s="16">
        <v>40480</v>
      </c>
      <c r="L794" s="16">
        <v>91350</v>
      </c>
      <c r="M794" s="17">
        <f>Table1[[#This Row],[Billing Rate Charges]]-Table1[[#This Row],[ LORRY RATE ]]</f>
        <v>50870</v>
      </c>
      <c r="N794" s="17">
        <v>40480</v>
      </c>
      <c r="O794" s="17">
        <f>Table1[[#This Row],[ LORRY RATE ]]-Table1[[#This Row],[Adance Paid (INR)]]</f>
        <v>0</v>
      </c>
      <c r="P794" s="17" t="s">
        <v>147</v>
      </c>
      <c r="Q794" s="18" t="s">
        <v>1529</v>
      </c>
      <c r="R794" s="17"/>
      <c r="S794" s="18" t="s">
        <v>2592</v>
      </c>
      <c r="T794" s="18" t="s">
        <v>2591</v>
      </c>
      <c r="U794" s="15" t="s">
        <v>54</v>
      </c>
      <c r="V794" s="15" t="s">
        <v>56</v>
      </c>
      <c r="W794" s="15"/>
    </row>
    <row r="795" spans="1:23" hidden="1" x14ac:dyDescent="0.3">
      <c r="A795" s="15">
        <v>790</v>
      </c>
      <c r="B795" s="15" t="s">
        <v>2571</v>
      </c>
      <c r="C795" s="19">
        <v>46004</v>
      </c>
      <c r="D795" s="19" t="s">
        <v>51</v>
      </c>
      <c r="E795" s="21" t="s">
        <v>2589</v>
      </c>
      <c r="F795" s="21">
        <v>9348294554</v>
      </c>
      <c r="G795" s="15" t="s">
        <v>1093</v>
      </c>
      <c r="H795" s="15" t="s">
        <v>2657</v>
      </c>
      <c r="I795" s="15" t="s">
        <v>6</v>
      </c>
      <c r="J795" s="15" t="s">
        <v>172</v>
      </c>
      <c r="K795" s="16">
        <v>66670</v>
      </c>
      <c r="L795" s="16">
        <v>96390</v>
      </c>
      <c r="M795" s="17">
        <f>Table1[[#This Row],[Billing Rate Charges]]-Table1[[#This Row],[ LORRY RATE ]]</f>
        <v>29720</v>
      </c>
      <c r="N795" s="17">
        <v>66670</v>
      </c>
      <c r="O795" s="17">
        <f>Table1[[#This Row],[ LORRY RATE ]]-Table1[[#This Row],[Adance Paid (INR)]]</f>
        <v>0</v>
      </c>
      <c r="P795" s="17" t="s">
        <v>147</v>
      </c>
      <c r="Q795" s="18" t="s">
        <v>1522</v>
      </c>
      <c r="R795" s="17"/>
      <c r="S795" s="18" t="s">
        <v>2595</v>
      </c>
      <c r="T795" s="18" t="s">
        <v>2595</v>
      </c>
      <c r="U795" s="15" t="s">
        <v>54</v>
      </c>
      <c r="V795" s="15" t="s">
        <v>439</v>
      </c>
      <c r="W795" s="15"/>
    </row>
    <row r="796" spans="1:23" hidden="1" x14ac:dyDescent="0.3">
      <c r="A796" s="15">
        <v>791</v>
      </c>
      <c r="B796" s="15" t="s">
        <v>2571</v>
      </c>
      <c r="C796" s="19">
        <v>46004</v>
      </c>
      <c r="D796" s="19" t="s">
        <v>56</v>
      </c>
      <c r="E796" s="21" t="s">
        <v>1644</v>
      </c>
      <c r="F796" s="21">
        <v>9902798068</v>
      </c>
      <c r="G796" s="15" t="s">
        <v>6</v>
      </c>
      <c r="H796" s="15" t="s">
        <v>2636</v>
      </c>
      <c r="I796" s="15" t="s">
        <v>2637</v>
      </c>
      <c r="J796" s="15" t="s">
        <v>172</v>
      </c>
      <c r="K796" s="16">
        <v>33770</v>
      </c>
      <c r="L796" s="16">
        <v>46620</v>
      </c>
      <c r="M796" s="17">
        <f>Table1[[#This Row],[Billing Rate Charges]]-Table1[[#This Row],[ LORRY RATE ]]</f>
        <v>12850</v>
      </c>
      <c r="N796" s="17">
        <v>33770</v>
      </c>
      <c r="O796" s="17">
        <f>Table1[[#This Row],[ LORRY RATE ]]-Table1[[#This Row],[Adance Paid (INR)]]</f>
        <v>0</v>
      </c>
      <c r="P796" s="17" t="s">
        <v>147</v>
      </c>
      <c r="Q796" s="18" t="s">
        <v>1530</v>
      </c>
      <c r="R796" s="17"/>
      <c r="S796" s="18" t="s">
        <v>2591</v>
      </c>
      <c r="T796" s="18" t="s">
        <v>2591</v>
      </c>
      <c r="U796" s="15" t="s">
        <v>54</v>
      </c>
      <c r="V796" s="15" t="s">
        <v>56</v>
      </c>
      <c r="W796" s="15"/>
    </row>
    <row r="797" spans="1:23" hidden="1" x14ac:dyDescent="0.3">
      <c r="A797" s="15">
        <v>792</v>
      </c>
      <c r="B797" s="15" t="s">
        <v>2571</v>
      </c>
      <c r="C797" s="19">
        <v>46004</v>
      </c>
      <c r="D797" s="19" t="s">
        <v>56</v>
      </c>
      <c r="E797" s="21" t="s">
        <v>1635</v>
      </c>
      <c r="F797" s="21">
        <v>9472230553</v>
      </c>
      <c r="G797" s="15" t="s">
        <v>6</v>
      </c>
      <c r="H797" s="15" t="s">
        <v>1874</v>
      </c>
      <c r="I797" s="15" t="s">
        <v>2638</v>
      </c>
      <c r="J797" s="15" t="s">
        <v>172</v>
      </c>
      <c r="K797" s="16">
        <v>32820</v>
      </c>
      <c r="L797" s="16">
        <v>40320</v>
      </c>
      <c r="M797" s="17">
        <f>Table1[[#This Row],[Billing Rate Charges]]-Table1[[#This Row],[ LORRY RATE ]]</f>
        <v>7500</v>
      </c>
      <c r="N797" s="17">
        <v>32820</v>
      </c>
      <c r="O797" s="17">
        <f>Table1[[#This Row],[ LORRY RATE ]]-Table1[[#This Row],[Adance Paid (INR)]]</f>
        <v>0</v>
      </c>
      <c r="P797" s="17" t="s">
        <v>147</v>
      </c>
      <c r="Q797" s="18" t="s">
        <v>1531</v>
      </c>
      <c r="R797" s="17"/>
      <c r="S797" s="18" t="s">
        <v>2591</v>
      </c>
      <c r="T797" s="18" t="s">
        <v>2591</v>
      </c>
      <c r="U797" s="15" t="s">
        <v>54</v>
      </c>
      <c r="V797" s="15" t="s">
        <v>56</v>
      </c>
      <c r="W797" s="15"/>
    </row>
    <row r="798" spans="1:23" hidden="1" x14ac:dyDescent="0.3">
      <c r="A798" s="15">
        <v>793</v>
      </c>
      <c r="B798" s="15" t="s">
        <v>2571</v>
      </c>
      <c r="C798" s="19">
        <v>46006</v>
      </c>
      <c r="D798" s="19" t="s">
        <v>56</v>
      </c>
      <c r="E798" s="21" t="s">
        <v>1637</v>
      </c>
      <c r="F798" s="21">
        <v>9025368773</v>
      </c>
      <c r="G798" s="15" t="s">
        <v>6</v>
      </c>
      <c r="H798" s="15" t="s">
        <v>1874</v>
      </c>
      <c r="I798" s="15" t="s">
        <v>2639</v>
      </c>
      <c r="J798" s="15" t="s">
        <v>172</v>
      </c>
      <c r="K798" s="16">
        <v>32820</v>
      </c>
      <c r="L798" s="16">
        <v>40320</v>
      </c>
      <c r="M798" s="17">
        <f>Table1[[#This Row],[Billing Rate Charges]]-Table1[[#This Row],[ LORRY RATE ]]</f>
        <v>7500</v>
      </c>
      <c r="N798" s="17">
        <v>32820</v>
      </c>
      <c r="O798" s="17">
        <f>Table1[[#This Row],[ LORRY RATE ]]-Table1[[#This Row],[Adance Paid (INR)]]</f>
        <v>0</v>
      </c>
      <c r="P798" s="17" t="s">
        <v>147</v>
      </c>
      <c r="Q798" s="18" t="s">
        <v>1512</v>
      </c>
      <c r="R798" s="17"/>
      <c r="S798" s="18" t="s">
        <v>2596</v>
      </c>
      <c r="T798" s="18" t="s">
        <v>2596</v>
      </c>
      <c r="U798" s="15" t="s">
        <v>54</v>
      </c>
      <c r="V798" s="15" t="s">
        <v>56</v>
      </c>
      <c r="W798" s="15"/>
    </row>
    <row r="799" spans="1:23" hidden="1" x14ac:dyDescent="0.3">
      <c r="A799" s="15">
        <v>794</v>
      </c>
      <c r="B799" s="15" t="s">
        <v>2571</v>
      </c>
      <c r="C799" s="19">
        <v>46007</v>
      </c>
      <c r="D799" s="19" t="s">
        <v>56</v>
      </c>
      <c r="E799" s="21" t="s">
        <v>1641</v>
      </c>
      <c r="F799" s="21">
        <v>9793531306</v>
      </c>
      <c r="G799" s="15" t="s">
        <v>6</v>
      </c>
      <c r="H799" s="15" t="s">
        <v>2640</v>
      </c>
      <c r="I799" s="15" t="s">
        <v>2641</v>
      </c>
      <c r="J799" s="15" t="s">
        <v>172</v>
      </c>
      <c r="K799" s="16">
        <v>33770</v>
      </c>
      <c r="L799" s="16">
        <v>46620</v>
      </c>
      <c r="M799" s="17">
        <f>Table1[[#This Row],[Billing Rate Charges]]-Table1[[#This Row],[ LORRY RATE ]]</f>
        <v>12850</v>
      </c>
      <c r="N799" s="17">
        <v>33770</v>
      </c>
      <c r="O799" s="17">
        <f>Table1[[#This Row],[ LORRY RATE ]]-Table1[[#This Row],[Adance Paid (INR)]]</f>
        <v>0</v>
      </c>
      <c r="P799" s="17" t="s">
        <v>147</v>
      </c>
      <c r="Q799" s="18" t="s">
        <v>1532</v>
      </c>
      <c r="R799" s="17"/>
      <c r="S799" s="18" t="s">
        <v>2597</v>
      </c>
      <c r="T799" s="18" t="s">
        <v>2597</v>
      </c>
      <c r="U799" s="15" t="s">
        <v>54</v>
      </c>
      <c r="V799" s="15" t="s">
        <v>56</v>
      </c>
      <c r="W799" s="15"/>
    </row>
    <row r="800" spans="1:23" hidden="1" x14ac:dyDescent="0.3">
      <c r="A800" s="15">
        <v>795</v>
      </c>
      <c r="B800" s="15" t="s">
        <v>2571</v>
      </c>
      <c r="C800" s="19">
        <v>46007</v>
      </c>
      <c r="D800" s="19" t="s">
        <v>56</v>
      </c>
      <c r="E800" s="21" t="s">
        <v>38</v>
      </c>
      <c r="F800" s="21">
        <v>9515412075</v>
      </c>
      <c r="G800" s="15" t="s">
        <v>6</v>
      </c>
      <c r="H800" s="15" t="s">
        <v>1874</v>
      </c>
      <c r="I800" s="15" t="s">
        <v>2642</v>
      </c>
      <c r="J800" s="15" t="s">
        <v>172</v>
      </c>
      <c r="K800" s="16">
        <v>32540</v>
      </c>
      <c r="L800" s="16">
        <v>38430</v>
      </c>
      <c r="M800" s="17">
        <f>Table1[[#This Row],[Billing Rate Charges]]-Table1[[#This Row],[ LORRY RATE ]]</f>
        <v>5890</v>
      </c>
      <c r="N800" s="17">
        <v>32540</v>
      </c>
      <c r="O800" s="17">
        <f>Table1[[#This Row],[ LORRY RATE ]]-Table1[[#This Row],[Adance Paid (INR)]]</f>
        <v>0</v>
      </c>
      <c r="P800" s="17" t="s">
        <v>147</v>
      </c>
      <c r="Q800" s="18" t="s">
        <v>1533</v>
      </c>
      <c r="R800" s="17"/>
      <c r="S800" s="18" t="s">
        <v>2597</v>
      </c>
      <c r="T800" s="18" t="s">
        <v>2597</v>
      </c>
      <c r="U800" s="15" t="s">
        <v>54</v>
      </c>
      <c r="V800" s="15" t="s">
        <v>56</v>
      </c>
      <c r="W800" s="15"/>
    </row>
    <row r="801" spans="1:23" hidden="1" x14ac:dyDescent="0.3">
      <c r="A801" s="15">
        <v>796</v>
      </c>
      <c r="B801" s="15" t="s">
        <v>2571</v>
      </c>
      <c r="C801" s="19">
        <v>46007</v>
      </c>
      <c r="D801" s="19" t="s">
        <v>56</v>
      </c>
      <c r="E801" s="21" t="s">
        <v>60</v>
      </c>
      <c r="F801" s="21">
        <v>9589264337</v>
      </c>
      <c r="G801" s="15" t="s">
        <v>1093</v>
      </c>
      <c r="H801" s="15" t="s">
        <v>2621</v>
      </c>
      <c r="I801" s="15" t="s">
        <v>6</v>
      </c>
      <c r="J801" s="15" t="s">
        <v>172</v>
      </c>
      <c r="K801" s="16">
        <v>43120</v>
      </c>
      <c r="L801" s="16">
        <v>108990</v>
      </c>
      <c r="M801" s="17">
        <f>Table1[[#This Row],[Billing Rate Charges]]-Table1[[#This Row],[ LORRY RATE ]]</f>
        <v>65870</v>
      </c>
      <c r="N801" s="17">
        <v>43120</v>
      </c>
      <c r="O801" s="17">
        <f>Table1[[#This Row],[ LORRY RATE ]]-Table1[[#This Row],[Adance Paid (INR)]]</f>
        <v>0</v>
      </c>
      <c r="P801" s="17" t="s">
        <v>147</v>
      </c>
      <c r="Q801" s="18" t="s">
        <v>1518</v>
      </c>
      <c r="R801" s="17"/>
      <c r="S801" s="18" t="s">
        <v>2597</v>
      </c>
      <c r="T801" s="18" t="s">
        <v>2597</v>
      </c>
      <c r="U801" s="15" t="s">
        <v>54</v>
      </c>
      <c r="V801" s="15" t="s">
        <v>56</v>
      </c>
      <c r="W801" s="15"/>
    </row>
    <row r="802" spans="1:23" hidden="1" x14ac:dyDescent="0.3">
      <c r="A802" s="15">
        <v>797</v>
      </c>
      <c r="B802" s="15" t="s">
        <v>2571</v>
      </c>
      <c r="C802" s="19">
        <v>46009</v>
      </c>
      <c r="D802" s="19" t="s">
        <v>56</v>
      </c>
      <c r="E802" s="21" t="s">
        <v>1635</v>
      </c>
      <c r="F802" s="21">
        <v>9220186371</v>
      </c>
      <c r="G802" s="15" t="s">
        <v>1093</v>
      </c>
      <c r="H802" s="15" t="s">
        <v>2627</v>
      </c>
      <c r="I802" s="15" t="s">
        <v>6</v>
      </c>
      <c r="J802" s="15" t="s">
        <v>172</v>
      </c>
      <c r="K802" s="16">
        <v>42180</v>
      </c>
      <c r="L802" s="16">
        <v>102690</v>
      </c>
      <c r="M802" s="17">
        <f>Table1[[#This Row],[Billing Rate Charges]]-Table1[[#This Row],[ LORRY RATE ]]</f>
        <v>60510</v>
      </c>
      <c r="N802" s="17">
        <v>42180</v>
      </c>
      <c r="O802" s="17">
        <f>Table1[[#This Row],[ LORRY RATE ]]-Table1[[#This Row],[Adance Paid (INR)]]</f>
        <v>0</v>
      </c>
      <c r="P802" s="17" t="s">
        <v>147</v>
      </c>
      <c r="Q802" s="18" t="s">
        <v>1534</v>
      </c>
      <c r="R802" s="17"/>
      <c r="S802" s="18" t="s">
        <v>2598</v>
      </c>
      <c r="T802" s="18" t="s">
        <v>2598</v>
      </c>
      <c r="U802" s="15" t="s">
        <v>54</v>
      </c>
      <c r="V802" s="15" t="s">
        <v>56</v>
      </c>
      <c r="W802" s="15"/>
    </row>
    <row r="803" spans="1:23" hidden="1" x14ac:dyDescent="0.3">
      <c r="A803" s="15">
        <v>798</v>
      </c>
      <c r="B803" s="15" t="s">
        <v>2571</v>
      </c>
      <c r="C803" s="19">
        <v>46009</v>
      </c>
      <c r="D803" s="19" t="s">
        <v>51</v>
      </c>
      <c r="E803" s="21" t="s">
        <v>2589</v>
      </c>
      <c r="F803" s="21">
        <v>9348294554</v>
      </c>
      <c r="G803" s="15" t="s">
        <v>6</v>
      </c>
      <c r="H803" s="15" t="s">
        <v>2643</v>
      </c>
      <c r="I803" s="15" t="s">
        <v>2644</v>
      </c>
      <c r="J803" s="15" t="s">
        <v>172</v>
      </c>
      <c r="K803" s="16">
        <v>33230</v>
      </c>
      <c r="L803" s="16">
        <v>46620</v>
      </c>
      <c r="M803" s="17">
        <f>Table1[[#This Row],[Billing Rate Charges]]-Table1[[#This Row],[ LORRY RATE ]]</f>
        <v>13390</v>
      </c>
      <c r="N803" s="17">
        <v>33230</v>
      </c>
      <c r="O803" s="17">
        <f>Table1[[#This Row],[ LORRY RATE ]]-Table1[[#This Row],[Adance Paid (INR)]]</f>
        <v>0</v>
      </c>
      <c r="P803" s="17" t="s">
        <v>147</v>
      </c>
      <c r="Q803" s="18" t="s">
        <v>1605</v>
      </c>
      <c r="R803" s="17"/>
      <c r="S803" s="18" t="s">
        <v>2599</v>
      </c>
      <c r="T803" s="18" t="s">
        <v>2599</v>
      </c>
      <c r="U803" s="15" t="s">
        <v>54</v>
      </c>
      <c r="V803" s="15" t="s">
        <v>439</v>
      </c>
      <c r="W803" s="15"/>
    </row>
    <row r="804" spans="1:23" hidden="1" x14ac:dyDescent="0.3">
      <c r="A804" s="15">
        <v>799</v>
      </c>
      <c r="B804" s="15" t="s">
        <v>2571</v>
      </c>
      <c r="C804" s="19">
        <v>46010</v>
      </c>
      <c r="D804" s="19" t="s">
        <v>56</v>
      </c>
      <c r="E804" s="21" t="s">
        <v>1637</v>
      </c>
      <c r="F804" s="21">
        <v>9842431449</v>
      </c>
      <c r="G804" s="15" t="s">
        <v>1093</v>
      </c>
      <c r="H804" s="15" t="s">
        <v>2624</v>
      </c>
      <c r="I804" s="15" t="s">
        <v>6</v>
      </c>
      <c r="J804" s="15" t="s">
        <v>172</v>
      </c>
      <c r="K804" s="16">
        <v>41230</v>
      </c>
      <c r="L804" s="16">
        <v>96390</v>
      </c>
      <c r="M804" s="17">
        <f>Table1[[#This Row],[Billing Rate Charges]]-Table1[[#This Row],[ LORRY RATE ]]</f>
        <v>55160</v>
      </c>
      <c r="N804" s="17">
        <v>41230</v>
      </c>
      <c r="O804" s="17">
        <f>Table1[[#This Row],[ LORRY RATE ]]-Table1[[#This Row],[Adance Paid (INR)]]</f>
        <v>0</v>
      </c>
      <c r="P804" s="17" t="s">
        <v>147</v>
      </c>
      <c r="Q804" s="18" t="s">
        <v>1606</v>
      </c>
      <c r="R804" s="17"/>
      <c r="S804" s="18" t="s">
        <v>2599</v>
      </c>
      <c r="T804" s="18" t="s">
        <v>2599</v>
      </c>
      <c r="U804" s="15" t="s">
        <v>54</v>
      </c>
      <c r="V804" s="15" t="s">
        <v>56</v>
      </c>
      <c r="W804" s="15"/>
    </row>
    <row r="805" spans="1:23" hidden="1" x14ac:dyDescent="0.3">
      <c r="A805" s="15">
        <v>800</v>
      </c>
      <c r="B805" s="15" t="s">
        <v>2571</v>
      </c>
      <c r="C805" s="19">
        <v>46011</v>
      </c>
      <c r="D805" s="19" t="s">
        <v>56</v>
      </c>
      <c r="E805" s="21" t="s">
        <v>38</v>
      </c>
      <c r="F805" s="21">
        <v>9793531306</v>
      </c>
      <c r="G805" s="15" t="s">
        <v>1093</v>
      </c>
      <c r="H805" s="15" t="s">
        <v>2631</v>
      </c>
      <c r="I805" s="15" t="s">
        <v>6</v>
      </c>
      <c r="J805" s="15" t="s">
        <v>59</v>
      </c>
      <c r="K805" s="16">
        <v>40480</v>
      </c>
      <c r="L805" s="16">
        <v>91350</v>
      </c>
      <c r="M805" s="17">
        <f>Table1[[#This Row],[Billing Rate Charges]]-Table1[[#This Row],[ LORRY RATE ]]</f>
        <v>50870</v>
      </c>
      <c r="N805" s="17">
        <v>40480</v>
      </c>
      <c r="O805" s="17">
        <f>Table1[[#This Row],[ LORRY RATE ]]-Table1[[#This Row],[Adance Paid (INR)]]</f>
        <v>0</v>
      </c>
      <c r="P805" s="17" t="s">
        <v>147</v>
      </c>
      <c r="Q805" s="18" t="s">
        <v>1607</v>
      </c>
      <c r="R805" s="17"/>
      <c r="S805" s="18" t="s">
        <v>2600</v>
      </c>
      <c r="T805" s="18" t="s">
        <v>2600</v>
      </c>
      <c r="U805" s="15" t="s">
        <v>54</v>
      </c>
      <c r="V805" s="15" t="s">
        <v>56</v>
      </c>
      <c r="W805" s="15"/>
    </row>
    <row r="806" spans="1:23" hidden="1" x14ac:dyDescent="0.3">
      <c r="A806" s="15">
        <v>801</v>
      </c>
      <c r="B806" s="15" t="s">
        <v>2571</v>
      </c>
      <c r="C806" s="19">
        <v>46011</v>
      </c>
      <c r="D806" s="19" t="s">
        <v>56</v>
      </c>
      <c r="E806" s="21" t="s">
        <v>1644</v>
      </c>
      <c r="F806" s="21">
        <v>9902798068</v>
      </c>
      <c r="G806" s="15" t="s">
        <v>6</v>
      </c>
      <c r="H806" s="15" t="s">
        <v>2645</v>
      </c>
      <c r="I806" s="15" t="s">
        <v>2646</v>
      </c>
      <c r="J806" s="15" t="s">
        <v>172</v>
      </c>
      <c r="K806" s="16">
        <v>33770</v>
      </c>
      <c r="L806" s="16">
        <v>46620</v>
      </c>
      <c r="M806" s="17">
        <f>Table1[[#This Row],[Billing Rate Charges]]-Table1[[#This Row],[ LORRY RATE ]]</f>
        <v>12850</v>
      </c>
      <c r="N806" s="17">
        <v>33770</v>
      </c>
      <c r="O806" s="17">
        <f>Table1[[#This Row],[ LORRY RATE ]]-Table1[[#This Row],[Adance Paid (INR)]]</f>
        <v>0</v>
      </c>
      <c r="P806" s="17" t="s">
        <v>147</v>
      </c>
      <c r="Q806" s="18" t="s">
        <v>1608</v>
      </c>
      <c r="R806" s="17"/>
      <c r="S806" s="18" t="s">
        <v>2600</v>
      </c>
      <c r="T806" s="18" t="s">
        <v>2600</v>
      </c>
      <c r="U806" s="15" t="s">
        <v>54</v>
      </c>
      <c r="V806" s="15" t="s">
        <v>56</v>
      </c>
      <c r="W806" s="15"/>
    </row>
    <row r="807" spans="1:23" hidden="1" x14ac:dyDescent="0.3">
      <c r="A807" s="15">
        <v>802</v>
      </c>
      <c r="B807" s="15" t="s">
        <v>2571</v>
      </c>
      <c r="C807" s="19">
        <v>46012</v>
      </c>
      <c r="D807" s="19" t="s">
        <v>51</v>
      </c>
      <c r="E807" s="21" t="s">
        <v>2594</v>
      </c>
      <c r="F807" s="21">
        <v>9741103980</v>
      </c>
      <c r="G807" s="15" t="s">
        <v>6</v>
      </c>
      <c r="H807" s="15" t="s">
        <v>1874</v>
      </c>
      <c r="I807" s="15" t="s">
        <v>2647</v>
      </c>
      <c r="J807" s="15" t="s">
        <v>623</v>
      </c>
      <c r="K807" s="16">
        <v>25690</v>
      </c>
      <c r="L807" s="16">
        <v>35600</v>
      </c>
      <c r="M807" s="17">
        <f>Table1[[#This Row],[Billing Rate Charges]]-Table1[[#This Row],[ LORRY RATE ]]</f>
        <v>9910</v>
      </c>
      <c r="N807" s="17">
        <v>25690</v>
      </c>
      <c r="O807" s="17">
        <f>Table1[[#This Row],[ LORRY RATE ]]-Table1[[#This Row],[Adance Paid (INR)]]</f>
        <v>0</v>
      </c>
      <c r="P807" s="17" t="s">
        <v>147</v>
      </c>
      <c r="Q807" s="18" t="s">
        <v>1609</v>
      </c>
      <c r="R807" s="17"/>
      <c r="S807" s="18" t="s">
        <v>2601</v>
      </c>
      <c r="T807" s="18" t="s">
        <v>2601</v>
      </c>
      <c r="U807" s="15" t="s">
        <v>54</v>
      </c>
      <c r="V807" s="15" t="s">
        <v>439</v>
      </c>
      <c r="W807" s="15"/>
    </row>
    <row r="808" spans="1:23" hidden="1" x14ac:dyDescent="0.3">
      <c r="A808" s="15">
        <v>803</v>
      </c>
      <c r="B808" s="15" t="s">
        <v>2571</v>
      </c>
      <c r="C808" s="19">
        <v>46014</v>
      </c>
      <c r="D808" s="19" t="s">
        <v>56</v>
      </c>
      <c r="E808" s="21" t="s">
        <v>60</v>
      </c>
      <c r="F808" s="21">
        <v>9589264337</v>
      </c>
      <c r="G808" s="15" t="s">
        <v>6</v>
      </c>
      <c r="H808" s="15" t="s">
        <v>1874</v>
      </c>
      <c r="I808" s="15" t="s">
        <v>2648</v>
      </c>
      <c r="J808" s="15" t="s">
        <v>541</v>
      </c>
      <c r="K808" s="16">
        <v>32820</v>
      </c>
      <c r="L808" s="16">
        <v>40320</v>
      </c>
      <c r="M808" s="17">
        <f>Table1[[#This Row],[Billing Rate Charges]]-Table1[[#This Row],[ LORRY RATE ]]</f>
        <v>7500</v>
      </c>
      <c r="N808" s="17">
        <v>32820</v>
      </c>
      <c r="O808" s="17">
        <f>Table1[[#This Row],[ LORRY RATE ]]-Table1[[#This Row],[Adance Paid (INR)]]</f>
        <v>0</v>
      </c>
      <c r="P808" s="17" t="s">
        <v>147</v>
      </c>
      <c r="Q808" s="18" t="s">
        <v>1610</v>
      </c>
      <c r="R808" s="17"/>
      <c r="S808" s="18" t="s">
        <v>2617</v>
      </c>
      <c r="T808" s="18" t="s">
        <v>2617</v>
      </c>
      <c r="U808" s="15" t="s">
        <v>54</v>
      </c>
      <c r="V808" s="15" t="s">
        <v>56</v>
      </c>
      <c r="W808" s="15"/>
    </row>
    <row r="809" spans="1:23" hidden="1" x14ac:dyDescent="0.3">
      <c r="A809" s="15">
        <v>804</v>
      </c>
      <c r="B809" s="15" t="s">
        <v>2571</v>
      </c>
      <c r="C809" s="19">
        <v>46015</v>
      </c>
      <c r="D809" s="19" t="s">
        <v>56</v>
      </c>
      <c r="E809" s="15" t="s">
        <v>1635</v>
      </c>
      <c r="F809" s="15">
        <v>9472230553</v>
      </c>
      <c r="G809" s="15" t="s">
        <v>6</v>
      </c>
      <c r="H809" s="15" t="s">
        <v>1874</v>
      </c>
      <c r="I809" s="15" t="s">
        <v>2649</v>
      </c>
      <c r="J809" s="15" t="s">
        <v>172</v>
      </c>
      <c r="K809" s="16">
        <v>32820</v>
      </c>
      <c r="L809" s="16">
        <v>40320</v>
      </c>
      <c r="M809" s="17">
        <f>Table1[[#This Row],[Billing Rate Charges]]-Table1[[#This Row],[ LORRY RATE ]]</f>
        <v>7500</v>
      </c>
      <c r="N809" s="17">
        <v>32820</v>
      </c>
      <c r="O809" s="17">
        <f>Table1[[#This Row],[ LORRY RATE ]]-Table1[[#This Row],[Adance Paid (INR)]]</f>
        <v>0</v>
      </c>
      <c r="P809" s="17" t="s">
        <v>147</v>
      </c>
      <c r="Q809" s="18" t="s">
        <v>1611</v>
      </c>
      <c r="R809" s="17"/>
      <c r="S809" s="18" t="s">
        <v>2618</v>
      </c>
      <c r="T809" s="18" t="s">
        <v>2618</v>
      </c>
      <c r="U809" s="15" t="s">
        <v>54</v>
      </c>
      <c r="V809" s="15" t="s">
        <v>56</v>
      </c>
      <c r="W809" s="15"/>
    </row>
    <row r="810" spans="1:23" hidden="1" x14ac:dyDescent="0.3">
      <c r="A810" s="15">
        <v>805</v>
      </c>
      <c r="B810" s="15" t="s">
        <v>2571</v>
      </c>
      <c r="C810" s="19">
        <v>46016</v>
      </c>
      <c r="D810" s="19" t="s">
        <v>56</v>
      </c>
      <c r="E810" s="21" t="s">
        <v>1644</v>
      </c>
      <c r="F810" s="21">
        <v>9793531306</v>
      </c>
      <c r="G810" s="15" t="s">
        <v>1093</v>
      </c>
      <c r="H810" s="15" t="s">
        <v>2626</v>
      </c>
      <c r="I810" s="15" t="s">
        <v>6</v>
      </c>
      <c r="J810" s="15" t="s">
        <v>172</v>
      </c>
      <c r="K810" s="16">
        <v>42180</v>
      </c>
      <c r="L810" s="16">
        <v>102690</v>
      </c>
      <c r="M810" s="17">
        <f>Table1[[#This Row],[Billing Rate Charges]]-Table1[[#This Row],[ LORRY RATE ]]</f>
        <v>60510</v>
      </c>
      <c r="N810" s="17">
        <v>42180</v>
      </c>
      <c r="O810" s="17">
        <f>Table1[[#This Row],[ LORRY RATE ]]-Table1[[#This Row],[Adance Paid (INR)]]</f>
        <v>0</v>
      </c>
      <c r="P810" s="17" t="s">
        <v>147</v>
      </c>
      <c r="Q810" s="18" t="s">
        <v>1613</v>
      </c>
      <c r="R810" s="17"/>
      <c r="S810" s="18" t="s">
        <v>2619</v>
      </c>
      <c r="T810" s="18" t="s">
        <v>2619</v>
      </c>
      <c r="U810" s="15" t="s">
        <v>54</v>
      </c>
      <c r="V810" s="15" t="s">
        <v>56</v>
      </c>
      <c r="W810" s="15"/>
    </row>
    <row r="811" spans="1:23" hidden="1" x14ac:dyDescent="0.3">
      <c r="A811" s="15">
        <v>806</v>
      </c>
      <c r="B811" s="15" t="s">
        <v>2571</v>
      </c>
      <c r="C811" s="19">
        <v>46016</v>
      </c>
      <c r="D811" s="19" t="s">
        <v>56</v>
      </c>
      <c r="E811" s="21" t="s">
        <v>38</v>
      </c>
      <c r="F811" s="21">
        <v>9515412075</v>
      </c>
      <c r="G811" s="15" t="s">
        <v>6</v>
      </c>
      <c r="H811" s="15" t="s">
        <v>2650</v>
      </c>
      <c r="I811" s="15" t="s">
        <v>2651</v>
      </c>
      <c r="J811" s="15" t="s">
        <v>59</v>
      </c>
      <c r="K811" s="16">
        <v>33480</v>
      </c>
      <c r="L811" s="16">
        <v>44730</v>
      </c>
      <c r="M811" s="17">
        <f>Table1[[#This Row],[Billing Rate Charges]]-Table1[[#This Row],[ LORRY RATE ]]</f>
        <v>11250</v>
      </c>
      <c r="N811" s="17">
        <v>33480</v>
      </c>
      <c r="O811" s="17">
        <f>Table1[[#This Row],[ LORRY RATE ]]-Table1[[#This Row],[Adance Paid (INR)]]</f>
        <v>0</v>
      </c>
      <c r="P811" s="17" t="s">
        <v>147</v>
      </c>
      <c r="Q811" s="18" t="s">
        <v>1614</v>
      </c>
      <c r="R811" s="17"/>
      <c r="S811" s="18" t="s">
        <v>2619</v>
      </c>
      <c r="T811" s="18" t="s">
        <v>2619</v>
      </c>
      <c r="U811" s="15" t="s">
        <v>54</v>
      </c>
      <c r="V811" s="15" t="s">
        <v>56</v>
      </c>
      <c r="W811" s="15"/>
    </row>
    <row r="812" spans="1:23" hidden="1" x14ac:dyDescent="0.3">
      <c r="A812" s="15">
        <v>807</v>
      </c>
      <c r="B812" s="15" t="s">
        <v>2571</v>
      </c>
      <c r="C812" s="19">
        <v>46017</v>
      </c>
      <c r="D812" s="19" t="s">
        <v>56</v>
      </c>
      <c r="E812" s="21" t="s">
        <v>1637</v>
      </c>
      <c r="F812" s="21">
        <v>9025368773</v>
      </c>
      <c r="G812" s="15" t="s">
        <v>6</v>
      </c>
      <c r="H812" s="15" t="s">
        <v>2652</v>
      </c>
      <c r="I812" s="15" t="s">
        <v>2653</v>
      </c>
      <c r="J812" s="15" t="s">
        <v>172</v>
      </c>
      <c r="K812" s="16">
        <v>33770</v>
      </c>
      <c r="L812" s="16">
        <v>46620</v>
      </c>
      <c r="M812" s="17">
        <f>Table1[[#This Row],[Billing Rate Charges]]-Table1[[#This Row],[ LORRY RATE ]]</f>
        <v>12850</v>
      </c>
      <c r="N812" s="17">
        <v>33770</v>
      </c>
      <c r="O812" s="17">
        <f>Table1[[#This Row],[ LORRY RATE ]]-Table1[[#This Row],[Adance Paid (INR)]]</f>
        <v>0</v>
      </c>
      <c r="P812" s="17" t="s">
        <v>147</v>
      </c>
      <c r="Q812" s="18" t="s">
        <v>1615</v>
      </c>
      <c r="R812" s="17"/>
      <c r="S812" s="18" t="s">
        <v>2659</v>
      </c>
      <c r="T812" s="18" t="s">
        <v>2659</v>
      </c>
      <c r="U812" s="15" t="s">
        <v>54</v>
      </c>
      <c r="V812" s="15" t="s">
        <v>56</v>
      </c>
      <c r="W812" s="15"/>
    </row>
    <row r="813" spans="1:23" hidden="1" x14ac:dyDescent="0.3">
      <c r="A813" s="15">
        <v>808</v>
      </c>
      <c r="B813" s="15" t="s">
        <v>2571</v>
      </c>
      <c r="C813" s="19">
        <v>46018</v>
      </c>
      <c r="D813" s="19" t="s">
        <v>56</v>
      </c>
      <c r="E813" s="21" t="s">
        <v>1641</v>
      </c>
      <c r="F813" s="21">
        <v>9793531306</v>
      </c>
      <c r="G813" s="15" t="s">
        <v>6</v>
      </c>
      <c r="H813" s="15" t="s">
        <v>2654</v>
      </c>
      <c r="I813" s="15" t="s">
        <v>2655</v>
      </c>
      <c r="J813" s="15" t="s">
        <v>172</v>
      </c>
      <c r="K813" s="16">
        <v>33770</v>
      </c>
      <c r="L813" s="16">
        <v>46620</v>
      </c>
      <c r="M813" s="17">
        <f>Table1[[#This Row],[Billing Rate Charges]]-Table1[[#This Row],[ LORRY RATE ]]</f>
        <v>12850</v>
      </c>
      <c r="N813" s="17">
        <v>33770</v>
      </c>
      <c r="O813" s="17">
        <f>Table1[[#This Row],[ LORRY RATE ]]-Table1[[#This Row],[Adance Paid (INR)]]</f>
        <v>0</v>
      </c>
      <c r="P813" s="17" t="s">
        <v>147</v>
      </c>
      <c r="Q813" s="18" t="s">
        <v>1616</v>
      </c>
      <c r="R813" s="17"/>
      <c r="S813" s="18" t="s">
        <v>2659</v>
      </c>
      <c r="T813" s="18" t="s">
        <v>2659</v>
      </c>
      <c r="U813" s="15" t="s">
        <v>54</v>
      </c>
      <c r="V813" s="15" t="s">
        <v>56</v>
      </c>
      <c r="W813" s="15"/>
    </row>
    <row r="814" spans="1:23" hidden="1" x14ac:dyDescent="0.3">
      <c r="A814" s="15">
        <v>809</v>
      </c>
      <c r="B814" s="15" t="s">
        <v>2571</v>
      </c>
      <c r="C814" s="19">
        <v>46018</v>
      </c>
      <c r="D814" s="19" t="s">
        <v>56</v>
      </c>
      <c r="E814" s="21" t="s">
        <v>60</v>
      </c>
      <c r="F814" s="21">
        <v>9589264337</v>
      </c>
      <c r="G814" s="15" t="s">
        <v>105</v>
      </c>
      <c r="H814" s="15" t="s">
        <v>2622</v>
      </c>
      <c r="I814" s="15" t="s">
        <v>6</v>
      </c>
      <c r="J814" s="15" t="s">
        <v>172</v>
      </c>
      <c r="K814" s="16">
        <v>42180</v>
      </c>
      <c r="L814" s="16">
        <v>102690</v>
      </c>
      <c r="M814" s="17">
        <f>Table1[[#This Row],[Billing Rate Charges]]-Table1[[#This Row],[ LORRY RATE ]]</f>
        <v>60510</v>
      </c>
      <c r="N814" s="17">
        <v>42180</v>
      </c>
      <c r="O814" s="17">
        <f>Table1[[#This Row],[ LORRY RATE ]]-Table1[[#This Row],[Adance Paid (INR)]]</f>
        <v>0</v>
      </c>
      <c r="P814" s="17" t="s">
        <v>147</v>
      </c>
      <c r="Q814" s="18" t="s">
        <v>1617</v>
      </c>
      <c r="R814" s="17"/>
      <c r="S814" s="18" t="s">
        <v>2659</v>
      </c>
      <c r="T814" s="18" t="s">
        <v>2659</v>
      </c>
      <c r="U814" s="15" t="s">
        <v>54</v>
      </c>
      <c r="V814" s="15" t="s">
        <v>56</v>
      </c>
      <c r="W814" s="15"/>
    </row>
    <row r="815" spans="1:23" hidden="1" x14ac:dyDescent="0.3">
      <c r="A815" s="15">
        <v>810</v>
      </c>
      <c r="B815" s="15" t="s">
        <v>2571</v>
      </c>
      <c r="C815" s="19">
        <v>46018</v>
      </c>
      <c r="D815" s="19" t="s">
        <v>56</v>
      </c>
      <c r="E815" s="21" t="s">
        <v>1635</v>
      </c>
      <c r="F815" s="21">
        <v>9220186371</v>
      </c>
      <c r="G815" s="15" t="s">
        <v>1093</v>
      </c>
      <c r="H815" s="15" t="s">
        <v>2628</v>
      </c>
      <c r="I815" s="15" t="s">
        <v>6</v>
      </c>
      <c r="J815" s="15" t="s">
        <v>172</v>
      </c>
      <c r="K815" s="16">
        <v>41230</v>
      </c>
      <c r="L815" s="16">
        <v>96390</v>
      </c>
      <c r="M815" s="17">
        <f>Table1[[#This Row],[Billing Rate Charges]]-Table1[[#This Row],[ LORRY RATE ]]</f>
        <v>55160</v>
      </c>
      <c r="N815" s="17">
        <v>41230</v>
      </c>
      <c r="O815" s="17">
        <f>Table1[[#This Row],[ LORRY RATE ]]-Table1[[#This Row],[Adance Paid (INR)]]</f>
        <v>0</v>
      </c>
      <c r="P815" s="17" t="s">
        <v>147</v>
      </c>
      <c r="Q815" s="18" t="s">
        <v>1618</v>
      </c>
      <c r="R815" s="17"/>
      <c r="S815" s="18" t="s">
        <v>2659</v>
      </c>
      <c r="T815" s="18" t="s">
        <v>2659</v>
      </c>
      <c r="U815" s="15" t="s">
        <v>54</v>
      </c>
      <c r="V815" s="15" t="s">
        <v>56</v>
      </c>
      <c r="W815" s="15"/>
    </row>
    <row r="816" spans="1:23" hidden="1" x14ac:dyDescent="0.3">
      <c r="A816" s="15">
        <v>811</v>
      </c>
      <c r="B816" s="15" t="s">
        <v>2571</v>
      </c>
      <c r="C816" s="19">
        <v>46019</v>
      </c>
      <c r="D816" s="19" t="s">
        <v>51</v>
      </c>
      <c r="E816" s="21" t="s">
        <v>2589</v>
      </c>
      <c r="F816" s="21">
        <v>9348294554</v>
      </c>
      <c r="G816" s="15" t="s">
        <v>6</v>
      </c>
      <c r="H816" s="15" t="s">
        <v>1874</v>
      </c>
      <c r="I816" s="15" t="s">
        <v>2656</v>
      </c>
      <c r="J816" s="15" t="s">
        <v>172</v>
      </c>
      <c r="K816" s="16">
        <v>29070</v>
      </c>
      <c r="L816" s="16">
        <v>40320</v>
      </c>
      <c r="M816" s="17">
        <f>Table1[[#This Row],[Billing Rate Charges]]-Table1[[#This Row],[ LORRY RATE ]]</f>
        <v>11250</v>
      </c>
      <c r="N816" s="17">
        <v>29070</v>
      </c>
      <c r="O816" s="17">
        <f>Table1[[#This Row],[ LORRY RATE ]]-Table1[[#This Row],[Adance Paid (INR)]]</f>
        <v>0</v>
      </c>
      <c r="P816" s="17" t="s">
        <v>147</v>
      </c>
      <c r="Q816" s="18" t="s">
        <v>1619</v>
      </c>
      <c r="R816" s="17"/>
      <c r="S816" s="18" t="s">
        <v>1120</v>
      </c>
      <c r="T816" s="18" t="s">
        <v>1120</v>
      </c>
      <c r="U816" s="15" t="s">
        <v>54</v>
      </c>
      <c r="V816" s="15" t="s">
        <v>2616</v>
      </c>
      <c r="W816" s="15"/>
    </row>
    <row r="817" spans="1:23" hidden="1" x14ac:dyDescent="0.3">
      <c r="A817" s="15">
        <v>812</v>
      </c>
      <c r="B817" s="15" t="s">
        <v>2571</v>
      </c>
      <c r="C817" s="19">
        <v>46021</v>
      </c>
      <c r="D817" s="19" t="s">
        <v>56</v>
      </c>
      <c r="E817" s="15" t="s">
        <v>1644</v>
      </c>
      <c r="F817" s="15">
        <v>9793531306</v>
      </c>
      <c r="G817" s="15" t="s">
        <v>6</v>
      </c>
      <c r="H817" s="15" t="s">
        <v>1874</v>
      </c>
      <c r="I817" s="15" t="s">
        <v>2669</v>
      </c>
      <c r="J817" s="15" t="s">
        <v>172</v>
      </c>
      <c r="K817" s="16">
        <v>32820</v>
      </c>
      <c r="L817" s="16">
        <v>40320</v>
      </c>
      <c r="M817" s="17">
        <f>Table1[[#This Row],[Billing Rate Charges]]-Table1[[#This Row],[ LORRY RATE ]]</f>
        <v>7500</v>
      </c>
      <c r="N817" s="17">
        <v>32820</v>
      </c>
      <c r="O817" s="17">
        <f>Table1[[#This Row],[ LORRY RATE ]]-Table1[[#This Row],[Adance Paid (INR)]]</f>
        <v>0</v>
      </c>
      <c r="P817" s="17" t="s">
        <v>147</v>
      </c>
      <c r="Q817" s="18" t="s">
        <v>1622</v>
      </c>
      <c r="R817" s="17"/>
      <c r="S817" s="18" t="s">
        <v>2660</v>
      </c>
      <c r="T817" s="18" t="s">
        <v>2661</v>
      </c>
      <c r="U817" s="15" t="s">
        <v>54</v>
      </c>
      <c r="V817" s="15" t="s">
        <v>56</v>
      </c>
      <c r="W817" s="15"/>
    </row>
    <row r="818" spans="1:23" hidden="1" x14ac:dyDescent="0.3">
      <c r="A818" s="15">
        <v>813</v>
      </c>
      <c r="B818" s="15" t="s">
        <v>2571</v>
      </c>
      <c r="C818" s="19">
        <v>46022</v>
      </c>
      <c r="D818" s="19" t="s">
        <v>56</v>
      </c>
      <c r="E818" s="21" t="s">
        <v>38</v>
      </c>
      <c r="F818" s="21">
        <v>9793531306</v>
      </c>
      <c r="G818" s="15" t="s">
        <v>1093</v>
      </c>
      <c r="H818" s="15" t="s">
        <v>2682</v>
      </c>
      <c r="I818" s="15" t="s">
        <v>6</v>
      </c>
      <c r="J818" s="15" t="s">
        <v>59</v>
      </c>
      <c r="K818" s="16">
        <v>41420</v>
      </c>
      <c r="L818" s="16">
        <v>97650</v>
      </c>
      <c r="M818" s="17">
        <f>Table1[[#This Row],[Billing Rate Charges]]-Table1[[#This Row],[ LORRY RATE ]]</f>
        <v>56230</v>
      </c>
      <c r="N818" s="17">
        <v>41420</v>
      </c>
      <c r="O818" s="17">
        <f>Table1[[#This Row],[ LORRY RATE ]]-Table1[[#This Row],[Adance Paid (INR)]]</f>
        <v>0</v>
      </c>
      <c r="P818" s="17" t="s">
        <v>147</v>
      </c>
      <c r="Q818" s="18" t="s">
        <v>1623</v>
      </c>
      <c r="R818" s="17"/>
      <c r="S818" s="18" t="s">
        <v>2661</v>
      </c>
      <c r="T818" s="18" t="s">
        <v>2661</v>
      </c>
      <c r="U818" s="15" t="s">
        <v>54</v>
      </c>
      <c r="V818" s="15" t="s">
        <v>56</v>
      </c>
      <c r="W818" s="15"/>
    </row>
    <row r="819" spans="1:23" hidden="1" x14ac:dyDescent="0.3">
      <c r="A819" s="15">
        <v>814</v>
      </c>
      <c r="B819" s="15" t="s">
        <v>2571</v>
      </c>
      <c r="C819" s="19">
        <v>46022</v>
      </c>
      <c r="D819" s="19" t="s">
        <v>56</v>
      </c>
      <c r="E819" s="21" t="s">
        <v>1635</v>
      </c>
      <c r="F819" s="21">
        <v>9472230553</v>
      </c>
      <c r="G819" s="15" t="s">
        <v>6</v>
      </c>
      <c r="H819" s="15" t="s">
        <v>2670</v>
      </c>
      <c r="I819" s="15" t="s">
        <v>2671</v>
      </c>
      <c r="J819" s="15" t="s">
        <v>172</v>
      </c>
      <c r="K819" s="16">
        <v>35750</v>
      </c>
      <c r="L819" s="16">
        <v>59850</v>
      </c>
      <c r="M819" s="17">
        <f>Table1[[#This Row],[Billing Rate Charges]]-Table1[[#This Row],[ LORRY RATE ]]</f>
        <v>24100</v>
      </c>
      <c r="N819" s="17">
        <v>35750</v>
      </c>
      <c r="O819" s="17">
        <f>Table1[[#This Row],[ LORRY RATE ]]-Table1[[#This Row],[Adance Paid (INR)]]</f>
        <v>0</v>
      </c>
      <c r="P819" s="17" t="s">
        <v>147</v>
      </c>
      <c r="Q819" s="18" t="s">
        <v>1624</v>
      </c>
      <c r="R819" s="17"/>
      <c r="S819" s="18" t="s">
        <v>2661</v>
      </c>
      <c r="T819" s="18" t="s">
        <v>2662</v>
      </c>
      <c r="U819" s="15" t="s">
        <v>54</v>
      </c>
      <c r="V819" s="15" t="s">
        <v>56</v>
      </c>
      <c r="W819" s="15"/>
    </row>
    <row r="820" spans="1:23" hidden="1" x14ac:dyDescent="0.3">
      <c r="A820" s="15">
        <v>815</v>
      </c>
      <c r="B820" s="15" t="s">
        <v>2571</v>
      </c>
      <c r="C820" s="19">
        <v>46022</v>
      </c>
      <c r="D820" s="19" t="s">
        <v>56</v>
      </c>
      <c r="E820" s="21" t="s">
        <v>60</v>
      </c>
      <c r="F820" s="21">
        <v>9589264337</v>
      </c>
      <c r="G820" s="15" t="s">
        <v>6</v>
      </c>
      <c r="H820" s="15" t="s">
        <v>1874</v>
      </c>
      <c r="I820" s="15" t="s">
        <v>2672</v>
      </c>
      <c r="J820" s="15" t="s">
        <v>172</v>
      </c>
      <c r="K820" s="16">
        <v>32820</v>
      </c>
      <c r="L820" s="16">
        <v>40320</v>
      </c>
      <c r="M820" s="17">
        <f>Table1[[#This Row],[Billing Rate Charges]]-Table1[[#This Row],[ LORRY RATE ]]</f>
        <v>7500</v>
      </c>
      <c r="N820" s="17">
        <v>32820</v>
      </c>
      <c r="O820" s="17">
        <f>Table1[[#This Row],[ LORRY RATE ]]-Table1[[#This Row],[Adance Paid (INR)]]</f>
        <v>0</v>
      </c>
      <c r="P820" s="17" t="s">
        <v>147</v>
      </c>
      <c r="Q820" s="18" t="s">
        <v>1625</v>
      </c>
      <c r="R820" s="17"/>
      <c r="S820" s="18" t="s">
        <v>2661</v>
      </c>
      <c r="T820" s="18" t="s">
        <v>2661</v>
      </c>
      <c r="U820" s="15" t="s">
        <v>54</v>
      </c>
      <c r="V820" s="15" t="s">
        <v>56</v>
      </c>
      <c r="W820" s="15"/>
    </row>
    <row r="821" spans="1:23" hidden="1" x14ac:dyDescent="0.3">
      <c r="A821" s="15">
        <v>816</v>
      </c>
      <c r="B821" s="15" t="s">
        <v>2658</v>
      </c>
      <c r="C821" s="19">
        <v>46025</v>
      </c>
      <c r="D821" s="19" t="s">
        <v>56</v>
      </c>
      <c r="E821" s="21" t="s">
        <v>38</v>
      </c>
      <c r="F821" s="21">
        <v>9515412075</v>
      </c>
      <c r="G821" s="15" t="s">
        <v>6</v>
      </c>
      <c r="H821" s="15" t="s">
        <v>1874</v>
      </c>
      <c r="I821" s="15" t="s">
        <v>2673</v>
      </c>
      <c r="J821" s="15" t="s">
        <v>59</v>
      </c>
      <c r="K821" s="16">
        <v>32590</v>
      </c>
      <c r="L821" s="16">
        <v>38740</v>
      </c>
      <c r="M821" s="17">
        <f>Table1[[#This Row],[Billing Rate Charges]]-Table1[[#This Row],[ LORRY RATE ]]</f>
        <v>6150</v>
      </c>
      <c r="N821" s="17">
        <v>32590</v>
      </c>
      <c r="O821" s="17">
        <f>Table1[[#This Row],[ LORRY RATE ]]-Table1[[#This Row],[Adance Paid (INR)]]</f>
        <v>0</v>
      </c>
      <c r="P821" s="17" t="s">
        <v>147</v>
      </c>
      <c r="Q821" s="18" t="s">
        <v>1626</v>
      </c>
      <c r="R821" s="17"/>
      <c r="S821" s="18" t="s">
        <v>2666</v>
      </c>
      <c r="T821" s="18" t="s">
        <v>2666</v>
      </c>
      <c r="U821" s="15" t="s">
        <v>54</v>
      </c>
      <c r="V821" s="15" t="s">
        <v>56</v>
      </c>
      <c r="W821" s="15"/>
    </row>
    <row r="822" spans="1:23" hidden="1" x14ac:dyDescent="0.3">
      <c r="A822" s="15">
        <v>817</v>
      </c>
      <c r="B822" s="15" t="s">
        <v>2658</v>
      </c>
      <c r="C822" s="19">
        <v>46026</v>
      </c>
      <c r="D822" s="19" t="s">
        <v>56</v>
      </c>
      <c r="E822" s="21" t="s">
        <v>1641</v>
      </c>
      <c r="F822" s="21">
        <v>9281983602</v>
      </c>
      <c r="G822" s="15" t="s">
        <v>1093</v>
      </c>
      <c r="H822" s="15" t="s">
        <v>2687</v>
      </c>
      <c r="I822" s="15" t="s">
        <v>6</v>
      </c>
      <c r="J822" s="15" t="s">
        <v>172</v>
      </c>
      <c r="K822" s="16">
        <v>42180</v>
      </c>
      <c r="L822" s="16">
        <v>102690</v>
      </c>
      <c r="M822" s="17">
        <f>Table1[[#This Row],[Billing Rate Charges]]-Table1[[#This Row],[ LORRY RATE ]]</f>
        <v>60510</v>
      </c>
      <c r="N822" s="17">
        <v>42180</v>
      </c>
      <c r="O822" s="17">
        <f>Table1[[#This Row],[ LORRY RATE ]]-Table1[[#This Row],[Adance Paid (INR)]]</f>
        <v>0</v>
      </c>
      <c r="P822" s="17" t="s">
        <v>147</v>
      </c>
      <c r="Q822" s="18" t="s">
        <v>1627</v>
      </c>
      <c r="R822" s="17"/>
      <c r="S822" s="18" t="s">
        <v>2662</v>
      </c>
      <c r="T822" s="18" t="s">
        <v>2662</v>
      </c>
      <c r="U822" s="15" t="s">
        <v>54</v>
      </c>
      <c r="V822" s="15" t="s">
        <v>56</v>
      </c>
      <c r="W822" s="15"/>
    </row>
    <row r="823" spans="1:23" hidden="1" x14ac:dyDescent="0.3">
      <c r="A823" s="15">
        <v>818</v>
      </c>
      <c r="B823" s="15" t="s">
        <v>2658</v>
      </c>
      <c r="C823" s="19">
        <v>46028</v>
      </c>
      <c r="D823" s="19" t="s">
        <v>56</v>
      </c>
      <c r="E823" s="21" t="s">
        <v>1641</v>
      </c>
      <c r="F823" s="21">
        <v>9281983602</v>
      </c>
      <c r="G823" s="15" t="s">
        <v>6</v>
      </c>
      <c r="H823" s="15" t="s">
        <v>2674</v>
      </c>
      <c r="I823" s="15" t="s">
        <v>2675</v>
      </c>
      <c r="J823" s="15" t="s">
        <v>172</v>
      </c>
      <c r="K823" s="16">
        <v>33770</v>
      </c>
      <c r="L823" s="16">
        <v>46620</v>
      </c>
      <c r="M823" s="17">
        <f>Table1[[#This Row],[Billing Rate Charges]]-Table1[[#This Row],[ LORRY RATE ]]</f>
        <v>12850</v>
      </c>
      <c r="N823" s="17">
        <v>33770</v>
      </c>
      <c r="O823" s="17">
        <f>Table1[[#This Row],[ LORRY RATE ]]-Table1[[#This Row],[Adance Paid (INR)]]</f>
        <v>0</v>
      </c>
      <c r="P823" s="17" t="s">
        <v>147</v>
      </c>
      <c r="Q823" s="18" t="s">
        <v>1628</v>
      </c>
      <c r="R823" s="17"/>
      <c r="S823" s="18" t="s">
        <v>2667</v>
      </c>
      <c r="T823" s="18" t="s">
        <v>2667</v>
      </c>
      <c r="U823" s="15" t="s">
        <v>54</v>
      </c>
      <c r="V823" s="15" t="s">
        <v>56</v>
      </c>
      <c r="W823" s="15"/>
    </row>
    <row r="824" spans="1:23" hidden="1" x14ac:dyDescent="0.3">
      <c r="A824" s="15">
        <v>819</v>
      </c>
      <c r="B824" s="15" t="s">
        <v>2658</v>
      </c>
      <c r="C824" s="19">
        <v>46028</v>
      </c>
      <c r="D824" s="19" t="s">
        <v>56</v>
      </c>
      <c r="E824" s="21" t="s">
        <v>60</v>
      </c>
      <c r="F824" s="21">
        <v>9589264337</v>
      </c>
      <c r="G824" s="15" t="s">
        <v>1093</v>
      </c>
      <c r="H824" s="15" t="s">
        <v>2684</v>
      </c>
      <c r="I824" s="15" t="s">
        <v>6</v>
      </c>
      <c r="J824" s="15" t="s">
        <v>172</v>
      </c>
      <c r="K824" s="16">
        <v>41230</v>
      </c>
      <c r="L824" s="16">
        <v>96390</v>
      </c>
      <c r="M824" s="17">
        <f>Table1[[#This Row],[Billing Rate Charges]]-Table1[[#This Row],[ LORRY RATE ]]</f>
        <v>55160</v>
      </c>
      <c r="N824" s="17">
        <v>41230</v>
      </c>
      <c r="O824" s="17">
        <f>Table1[[#This Row],[ LORRY RATE ]]-Table1[[#This Row],[Adance Paid (INR)]]</f>
        <v>0</v>
      </c>
      <c r="P824" s="17" t="s">
        <v>147</v>
      </c>
      <c r="Q824" s="18" t="s">
        <v>1612</v>
      </c>
      <c r="R824" s="17"/>
      <c r="S824" s="18" t="s">
        <v>2667</v>
      </c>
      <c r="T824" s="18" t="s">
        <v>2667</v>
      </c>
      <c r="U824" s="15" t="s">
        <v>54</v>
      </c>
      <c r="V824" s="15" t="s">
        <v>56</v>
      </c>
      <c r="W824" s="15"/>
    </row>
    <row r="825" spans="1:23" hidden="1" x14ac:dyDescent="0.3">
      <c r="A825" s="15">
        <v>820</v>
      </c>
      <c r="B825" s="15" t="s">
        <v>2658</v>
      </c>
      <c r="C825" s="19">
        <v>46029</v>
      </c>
      <c r="D825" s="19" t="s">
        <v>56</v>
      </c>
      <c r="E825" s="21" t="s">
        <v>1637</v>
      </c>
      <c r="F825" s="21">
        <v>9793531306</v>
      </c>
      <c r="G825" s="15" t="s">
        <v>6</v>
      </c>
      <c r="H825" s="15" t="s">
        <v>1874</v>
      </c>
      <c r="I825" s="15" t="s">
        <v>2676</v>
      </c>
      <c r="J825" s="15" t="s">
        <v>172</v>
      </c>
      <c r="K825" s="16">
        <v>32820</v>
      </c>
      <c r="L825" s="16">
        <v>40320</v>
      </c>
      <c r="M825" s="17">
        <f>Table1[[#This Row],[Billing Rate Charges]]-Table1[[#This Row],[ LORRY RATE ]]</f>
        <v>7500</v>
      </c>
      <c r="N825" s="17">
        <v>32820</v>
      </c>
      <c r="O825" s="17">
        <f>Table1[[#This Row],[ LORRY RATE ]]-Table1[[#This Row],[Adance Paid (INR)]]</f>
        <v>0</v>
      </c>
      <c r="P825" s="17" t="s">
        <v>147</v>
      </c>
      <c r="Q825" s="18" t="s">
        <v>1629</v>
      </c>
      <c r="R825" s="17"/>
      <c r="S825" s="18" t="s">
        <v>2668</v>
      </c>
      <c r="T825" s="18" t="s">
        <v>2668</v>
      </c>
      <c r="U825" s="15" t="s">
        <v>54</v>
      </c>
      <c r="V825" s="15" t="s">
        <v>56</v>
      </c>
      <c r="W825" s="15"/>
    </row>
    <row r="826" spans="1:23" hidden="1" x14ac:dyDescent="0.3">
      <c r="A826" s="15">
        <v>820</v>
      </c>
      <c r="B826" s="15" t="s">
        <v>2658</v>
      </c>
      <c r="C826" s="19">
        <v>46030</v>
      </c>
      <c r="D826" s="19" t="s">
        <v>56</v>
      </c>
      <c r="E826" s="21" t="s">
        <v>1644</v>
      </c>
      <c r="F826" s="21">
        <v>9793531306</v>
      </c>
      <c r="G826" s="15" t="s">
        <v>1093</v>
      </c>
      <c r="H826" s="15" t="s">
        <v>2685</v>
      </c>
      <c r="I826" s="15" t="s">
        <v>6</v>
      </c>
      <c r="J826" s="15" t="s">
        <v>172</v>
      </c>
      <c r="K826" s="16">
        <v>43120</v>
      </c>
      <c r="L826" s="16">
        <v>108990</v>
      </c>
      <c r="M826" s="17">
        <f>Table1[[#This Row],[Billing Rate Charges]]-Table1[[#This Row],[ LORRY RATE ]]</f>
        <v>65870</v>
      </c>
      <c r="N826" s="17">
        <v>43120</v>
      </c>
      <c r="O826" s="17">
        <f>Table1[[#This Row],[ LORRY RATE ]]-Table1[[#This Row],[Adance Paid (INR)]]</f>
        <v>0</v>
      </c>
      <c r="P826" s="17" t="s">
        <v>147</v>
      </c>
      <c r="Q826" s="18" t="s">
        <v>1632</v>
      </c>
      <c r="R826" s="17"/>
      <c r="S826" s="18" t="s">
        <v>2668</v>
      </c>
      <c r="T826" s="18" t="s">
        <v>2668</v>
      </c>
      <c r="U826" s="15" t="s">
        <v>54</v>
      </c>
      <c r="V826" s="15" t="s">
        <v>56</v>
      </c>
      <c r="W826" s="15"/>
    </row>
    <row r="827" spans="1:23" hidden="1" x14ac:dyDescent="0.3">
      <c r="A827" s="15">
        <v>821</v>
      </c>
      <c r="B827" s="15" t="s">
        <v>2658</v>
      </c>
      <c r="C827" s="19">
        <v>46030</v>
      </c>
      <c r="D827" s="19" t="s">
        <v>51</v>
      </c>
      <c r="E827" s="21" t="s">
        <v>2664</v>
      </c>
      <c r="F827" s="21">
        <v>9065263863</v>
      </c>
      <c r="G827" s="15" t="s">
        <v>6</v>
      </c>
      <c r="H827" s="15" t="s">
        <v>1874</v>
      </c>
      <c r="I827" s="15" t="s">
        <v>2677</v>
      </c>
      <c r="J827" s="15" t="s">
        <v>168</v>
      </c>
      <c r="K827" s="16">
        <v>25690</v>
      </c>
      <c r="L827" s="16">
        <v>35600</v>
      </c>
      <c r="M827" s="17">
        <f>Table1[[#This Row],[Billing Rate Charges]]-Table1[[#This Row],[ LORRY RATE ]]</f>
        <v>9910</v>
      </c>
      <c r="N827" s="17">
        <v>25690</v>
      </c>
      <c r="O827" s="17">
        <f>Table1[[#This Row],[ LORRY RATE ]]-Table1[[#This Row],[Adance Paid (INR)]]</f>
        <v>0</v>
      </c>
      <c r="P827" s="17" t="s">
        <v>147</v>
      </c>
      <c r="Q827" s="18" t="s">
        <v>1633</v>
      </c>
      <c r="R827" s="17"/>
      <c r="S827" s="18" t="s">
        <v>2668</v>
      </c>
      <c r="T827" s="18" t="s">
        <v>2668</v>
      </c>
      <c r="U827" s="15" t="s">
        <v>54</v>
      </c>
      <c r="V827" s="15" t="s">
        <v>439</v>
      </c>
      <c r="W827" s="15"/>
    </row>
    <row r="828" spans="1:23" hidden="1" x14ac:dyDescent="0.3">
      <c r="A828" s="15">
        <v>822</v>
      </c>
      <c r="B828" s="15" t="s">
        <v>2658</v>
      </c>
      <c r="C828" s="19">
        <v>46030</v>
      </c>
      <c r="D828" s="19" t="s">
        <v>51</v>
      </c>
      <c r="E828" s="21" t="s">
        <v>2665</v>
      </c>
      <c r="F828" s="21">
        <v>9061911374</v>
      </c>
      <c r="G828" s="15" t="s">
        <v>6</v>
      </c>
      <c r="H828" s="15" t="s">
        <v>2678</v>
      </c>
      <c r="I828" s="15" t="s">
        <v>2679</v>
      </c>
      <c r="J828" s="15" t="s">
        <v>172</v>
      </c>
      <c r="K828" s="16">
        <v>33230</v>
      </c>
      <c r="L828" s="16">
        <v>46620</v>
      </c>
      <c r="M828" s="17">
        <f>Table1[[#This Row],[Billing Rate Charges]]-Table1[[#This Row],[ LORRY RATE ]]</f>
        <v>13390</v>
      </c>
      <c r="N828" s="17">
        <v>33230</v>
      </c>
      <c r="O828" s="17">
        <f>Table1[[#This Row],[ LORRY RATE ]]-Table1[[#This Row],[Adance Paid (INR)]]</f>
        <v>0</v>
      </c>
      <c r="P828" s="17" t="s">
        <v>147</v>
      </c>
      <c r="Q828" s="18" t="s">
        <v>1708</v>
      </c>
      <c r="R828" s="17"/>
      <c r="S828" s="18" t="s">
        <v>2688</v>
      </c>
      <c r="T828" s="18" t="s">
        <v>2688</v>
      </c>
      <c r="U828" s="15" t="s">
        <v>54</v>
      </c>
      <c r="V828" s="15" t="s">
        <v>439</v>
      </c>
      <c r="W828" s="15"/>
    </row>
    <row r="829" spans="1:23" hidden="1" x14ac:dyDescent="0.3">
      <c r="A829" s="15">
        <v>823</v>
      </c>
      <c r="B829" s="15" t="s">
        <v>2658</v>
      </c>
      <c r="C829" s="19">
        <v>46031</v>
      </c>
      <c r="D829" s="19" t="s">
        <v>56</v>
      </c>
      <c r="E829" s="21" t="s">
        <v>38</v>
      </c>
      <c r="F829" s="21">
        <v>9793531306</v>
      </c>
      <c r="G829" s="15" t="s">
        <v>1093</v>
      </c>
      <c r="H829" s="15" t="s">
        <v>2683</v>
      </c>
      <c r="I829" s="15" t="s">
        <v>6</v>
      </c>
      <c r="J829" s="15" t="s">
        <v>59</v>
      </c>
      <c r="K829" s="16">
        <v>40480</v>
      </c>
      <c r="L829" s="16">
        <v>91350</v>
      </c>
      <c r="M829" s="17">
        <f>Table1[[#This Row],[Billing Rate Charges]]-Table1[[#This Row],[ LORRY RATE ]]</f>
        <v>50870</v>
      </c>
      <c r="N829" s="17">
        <v>40480</v>
      </c>
      <c r="O829" s="17">
        <f>Table1[[#This Row],[ LORRY RATE ]]-Table1[[#This Row],[Adance Paid (INR)]]</f>
        <v>0</v>
      </c>
      <c r="P829" s="17" t="s">
        <v>147</v>
      </c>
      <c r="Q829" s="18" t="s">
        <v>1709</v>
      </c>
      <c r="R829" s="17"/>
      <c r="S829" s="18" t="s">
        <v>2688</v>
      </c>
      <c r="T829" s="18" t="s">
        <v>2688</v>
      </c>
      <c r="U829" s="15" t="s">
        <v>54</v>
      </c>
      <c r="V829" s="15" t="s">
        <v>56</v>
      </c>
      <c r="W829" s="15"/>
    </row>
    <row r="830" spans="1:23" hidden="1" x14ac:dyDescent="0.3">
      <c r="A830" s="15">
        <v>824</v>
      </c>
      <c r="B830" s="15" t="s">
        <v>2658</v>
      </c>
      <c r="C830" s="19">
        <v>46031</v>
      </c>
      <c r="D830" s="19" t="s">
        <v>56</v>
      </c>
      <c r="E830" s="21" t="s">
        <v>1635</v>
      </c>
      <c r="F830" s="21">
        <v>9220186371</v>
      </c>
      <c r="G830" s="15" t="s">
        <v>1093</v>
      </c>
      <c r="H830" s="15" t="s">
        <v>2686</v>
      </c>
      <c r="I830" s="15" t="s">
        <v>6</v>
      </c>
      <c r="J830" s="15" t="s">
        <v>172</v>
      </c>
      <c r="K830" s="16">
        <v>41230</v>
      </c>
      <c r="L830" s="16">
        <v>96390</v>
      </c>
      <c r="M830" s="17">
        <f>Table1[[#This Row],[Billing Rate Charges]]-Table1[[#This Row],[ LORRY RATE ]]</f>
        <v>55160</v>
      </c>
      <c r="N830" s="17">
        <v>41230</v>
      </c>
      <c r="O830" s="17">
        <f>Table1[[#This Row],[ LORRY RATE ]]-Table1[[#This Row],[Adance Paid (INR)]]</f>
        <v>0</v>
      </c>
      <c r="P830" s="17" t="s">
        <v>147</v>
      </c>
      <c r="Q830" s="18" t="s">
        <v>1710</v>
      </c>
      <c r="R830" s="17"/>
      <c r="S830" s="18" t="s">
        <v>2688</v>
      </c>
      <c r="T830" s="18" t="s">
        <v>2688</v>
      </c>
      <c r="U830" s="15" t="s">
        <v>54</v>
      </c>
      <c r="V830" s="15" t="s">
        <v>56</v>
      </c>
      <c r="W830" s="15"/>
    </row>
    <row r="831" spans="1:23" hidden="1" x14ac:dyDescent="0.3">
      <c r="A831" s="15">
        <v>825</v>
      </c>
      <c r="B831" s="15" t="s">
        <v>2658</v>
      </c>
      <c r="C831" s="19">
        <v>46032</v>
      </c>
      <c r="D831" s="19" t="s">
        <v>56</v>
      </c>
      <c r="E831" s="21" t="s">
        <v>60</v>
      </c>
      <c r="F831" s="21">
        <v>9220186371</v>
      </c>
      <c r="G831" s="15" t="s">
        <v>6</v>
      </c>
      <c r="H831" s="15" t="s">
        <v>2680</v>
      </c>
      <c r="I831" s="15" t="s">
        <v>2681</v>
      </c>
      <c r="J831" s="15" t="s">
        <v>172</v>
      </c>
      <c r="K831" s="16">
        <v>33770</v>
      </c>
      <c r="L831" s="16">
        <v>46620</v>
      </c>
      <c r="M831" s="17">
        <f>Table1[[#This Row],[Billing Rate Charges]]-Table1[[#This Row],[ LORRY RATE ]]</f>
        <v>12850</v>
      </c>
      <c r="N831" s="17">
        <v>33770</v>
      </c>
      <c r="O831" s="17">
        <f>Table1[[#This Row],[ LORRY RATE ]]-Table1[[#This Row],[Adance Paid (INR)]]</f>
        <v>0</v>
      </c>
      <c r="P831" s="17" t="s">
        <v>147</v>
      </c>
      <c r="Q831" s="18" t="s">
        <v>1711</v>
      </c>
      <c r="R831" s="17"/>
      <c r="S831" s="18" t="s">
        <v>2689</v>
      </c>
      <c r="T831" s="18" t="s">
        <v>2690</v>
      </c>
      <c r="U831" s="15" t="s">
        <v>54</v>
      </c>
      <c r="V831" s="15" t="s">
        <v>56</v>
      </c>
      <c r="W831" s="15"/>
    </row>
    <row r="832" spans="1:23" hidden="1" x14ac:dyDescent="0.3">
      <c r="A832" s="15">
        <v>826</v>
      </c>
      <c r="B832" s="15" t="s">
        <v>2658</v>
      </c>
      <c r="C832" s="19">
        <v>46034</v>
      </c>
      <c r="D832" s="19" t="s">
        <v>56</v>
      </c>
      <c r="E832" s="15" t="s">
        <v>1641</v>
      </c>
      <c r="F832" s="15">
        <v>9281983602</v>
      </c>
      <c r="G832" s="15" t="s">
        <v>1093</v>
      </c>
      <c r="H832" s="15" t="s">
        <v>2718</v>
      </c>
      <c r="I832" s="15" t="s">
        <v>6</v>
      </c>
      <c r="J832" s="15" t="s">
        <v>172</v>
      </c>
      <c r="K832" s="16">
        <v>42180</v>
      </c>
      <c r="L832" s="16">
        <v>102690</v>
      </c>
      <c r="M832" s="17">
        <f>Table1[[#This Row],[Billing Rate Charges]]-Table1[[#This Row],[ LORRY RATE ]]</f>
        <v>60510</v>
      </c>
      <c r="N832" s="17">
        <v>42180</v>
      </c>
      <c r="O832" s="17">
        <f>Table1[[#This Row],[ LORRY RATE ]]-Table1[[#This Row],[Adance Paid (INR)]]</f>
        <v>0</v>
      </c>
      <c r="P832" s="17" t="s">
        <v>147</v>
      </c>
      <c r="Q832" s="18" t="s">
        <v>1712</v>
      </c>
      <c r="R832" s="17"/>
      <c r="S832" s="18" t="s">
        <v>2691</v>
      </c>
      <c r="T832" s="18" t="s">
        <v>2691</v>
      </c>
      <c r="U832" s="15" t="s">
        <v>54</v>
      </c>
      <c r="V832" s="15" t="s">
        <v>56</v>
      </c>
      <c r="W832" s="15"/>
    </row>
    <row r="833" spans="1:23" hidden="1" x14ac:dyDescent="0.3">
      <c r="A833" s="15">
        <v>827</v>
      </c>
      <c r="B833" s="15" t="s">
        <v>2658</v>
      </c>
      <c r="C833" s="19">
        <v>46035</v>
      </c>
      <c r="D833" s="19" t="s">
        <v>56</v>
      </c>
      <c r="E833" s="15" t="s">
        <v>1644</v>
      </c>
      <c r="F833" s="15">
        <v>9793531306</v>
      </c>
      <c r="G833" s="15" t="s">
        <v>6</v>
      </c>
      <c r="H833" s="15" t="s">
        <v>2694</v>
      </c>
      <c r="I833" s="15" t="s">
        <v>2695</v>
      </c>
      <c r="J833" s="15" t="s">
        <v>172</v>
      </c>
      <c r="K833" s="16">
        <v>33770</v>
      </c>
      <c r="L833" s="16">
        <v>46620</v>
      </c>
      <c r="M833" s="17">
        <f>Table1[[#This Row],[Billing Rate Charges]]-Table1[[#This Row],[ LORRY RATE ]]</f>
        <v>12850</v>
      </c>
      <c r="N833" s="17">
        <v>33770</v>
      </c>
      <c r="O833" s="17">
        <f>Table1[[#This Row],[ LORRY RATE ]]-Table1[[#This Row],[Adance Paid (INR)]]</f>
        <v>0</v>
      </c>
      <c r="P833" s="17" t="s">
        <v>147</v>
      </c>
      <c r="Q833" s="18" t="s">
        <v>1713</v>
      </c>
      <c r="R833" s="17"/>
      <c r="S833" s="18" t="s">
        <v>2692</v>
      </c>
      <c r="T833" s="18" t="s">
        <v>2692</v>
      </c>
      <c r="U833" s="15" t="s">
        <v>54</v>
      </c>
      <c r="V833" s="15" t="s">
        <v>56</v>
      </c>
      <c r="W833" s="15"/>
    </row>
    <row r="834" spans="1:23" hidden="1" x14ac:dyDescent="0.3">
      <c r="A834" s="15">
        <v>828</v>
      </c>
      <c r="B834" s="15" t="s">
        <v>2658</v>
      </c>
      <c r="C834" s="19">
        <v>46036</v>
      </c>
      <c r="D834" s="19" t="s">
        <v>56</v>
      </c>
      <c r="E834" s="21" t="s">
        <v>1637</v>
      </c>
      <c r="F834" s="21">
        <v>9793531306</v>
      </c>
      <c r="G834" s="15" t="s">
        <v>1093</v>
      </c>
      <c r="H834" s="15" t="s">
        <v>2719</v>
      </c>
      <c r="I834" s="15" t="s">
        <v>6</v>
      </c>
      <c r="J834" s="15" t="s">
        <v>172</v>
      </c>
      <c r="K834" s="16">
        <v>42180</v>
      </c>
      <c r="L834" s="16">
        <v>102690</v>
      </c>
      <c r="M834" s="17">
        <f>Table1[[#This Row],[Billing Rate Charges]]-Table1[[#This Row],[ LORRY RATE ]]</f>
        <v>60510</v>
      </c>
      <c r="N834" s="17">
        <v>42180</v>
      </c>
      <c r="O834" s="17">
        <f>Table1[[#This Row],[ LORRY RATE ]]-Table1[[#This Row],[Adance Paid (INR)]]</f>
        <v>0</v>
      </c>
      <c r="P834" s="17" t="s">
        <v>147</v>
      </c>
      <c r="Q834" s="18" t="s">
        <v>1714</v>
      </c>
      <c r="R834" s="17"/>
      <c r="S834" s="18" t="s">
        <v>2693</v>
      </c>
      <c r="T834" s="18" t="s">
        <v>2693</v>
      </c>
      <c r="U834" s="15" t="s">
        <v>54</v>
      </c>
      <c r="V834" s="15" t="s">
        <v>56</v>
      </c>
      <c r="W834" s="15"/>
    </row>
    <row r="835" spans="1:23" hidden="1" x14ac:dyDescent="0.3">
      <c r="A835" s="15">
        <v>829</v>
      </c>
      <c r="B835" s="15" t="s">
        <v>2658</v>
      </c>
      <c r="C835" s="19">
        <v>46036</v>
      </c>
      <c r="D835" s="19" t="s">
        <v>56</v>
      </c>
      <c r="E835" s="21" t="s">
        <v>1635</v>
      </c>
      <c r="F835" s="21">
        <v>9472230553</v>
      </c>
      <c r="G835" s="15" t="s">
        <v>6</v>
      </c>
      <c r="H835" s="15" t="s">
        <v>1874</v>
      </c>
      <c r="I835" s="15" t="s">
        <v>2696</v>
      </c>
      <c r="J835" s="15" t="s">
        <v>172</v>
      </c>
      <c r="K835" s="16">
        <v>32820</v>
      </c>
      <c r="L835" s="16">
        <v>40320</v>
      </c>
      <c r="M835" s="17">
        <f>Table1[[#This Row],[Billing Rate Charges]]-Table1[[#This Row],[ LORRY RATE ]]</f>
        <v>7500</v>
      </c>
      <c r="N835" s="17">
        <v>32820</v>
      </c>
      <c r="O835" s="17">
        <f>Table1[[#This Row],[ LORRY RATE ]]-Table1[[#This Row],[Adance Paid (INR)]]</f>
        <v>0</v>
      </c>
      <c r="P835" s="17" t="s">
        <v>147</v>
      </c>
      <c r="Q835" s="18" t="s">
        <v>1715</v>
      </c>
      <c r="R835" s="17"/>
      <c r="S835" s="18" t="s">
        <v>2692</v>
      </c>
      <c r="T835" s="18" t="s">
        <v>2692</v>
      </c>
      <c r="U835" s="15" t="s">
        <v>54</v>
      </c>
      <c r="V835" s="15" t="s">
        <v>56</v>
      </c>
      <c r="W835" s="15"/>
    </row>
    <row r="836" spans="1:23" hidden="1" x14ac:dyDescent="0.3">
      <c r="A836" s="15">
        <v>830</v>
      </c>
      <c r="B836" s="15" t="s">
        <v>2658</v>
      </c>
      <c r="C836" s="19">
        <v>46037</v>
      </c>
      <c r="D836" s="19" t="s">
        <v>56</v>
      </c>
      <c r="E836" s="21" t="s">
        <v>38</v>
      </c>
      <c r="F836" s="21">
        <v>9515412075</v>
      </c>
      <c r="G836" s="15" t="s">
        <v>6</v>
      </c>
      <c r="H836" s="15" t="s">
        <v>2697</v>
      </c>
      <c r="I836" s="15" t="s">
        <v>2698</v>
      </c>
      <c r="J836" s="15" t="s">
        <v>59</v>
      </c>
      <c r="K836" s="16">
        <v>33530</v>
      </c>
      <c r="L836" s="16">
        <v>45040</v>
      </c>
      <c r="M836" s="17">
        <f>Table1[[#This Row],[Billing Rate Charges]]-Table1[[#This Row],[ LORRY RATE ]]</f>
        <v>11510</v>
      </c>
      <c r="N836" s="17">
        <v>33530</v>
      </c>
      <c r="O836" s="17">
        <f>Table1[[#This Row],[ LORRY RATE ]]-Table1[[#This Row],[Adance Paid (INR)]]</f>
        <v>0</v>
      </c>
      <c r="P836" s="17" t="s">
        <v>147</v>
      </c>
      <c r="Q836" s="18" t="s">
        <v>1716</v>
      </c>
      <c r="R836" s="17"/>
      <c r="S836" s="18" t="s">
        <v>2693</v>
      </c>
      <c r="T836" s="18" t="s">
        <v>2693</v>
      </c>
      <c r="U836" s="15" t="s">
        <v>54</v>
      </c>
      <c r="V836" s="15" t="s">
        <v>56</v>
      </c>
      <c r="W836" s="15"/>
    </row>
    <row r="837" spans="1:23" hidden="1" x14ac:dyDescent="0.3">
      <c r="A837" s="15">
        <v>831</v>
      </c>
      <c r="B837" s="15" t="s">
        <v>2658</v>
      </c>
      <c r="C837" s="19">
        <v>46038</v>
      </c>
      <c r="D837" s="19" t="s">
        <v>56</v>
      </c>
      <c r="E837" s="21" t="s">
        <v>1641</v>
      </c>
      <c r="F837" s="21">
        <v>9281983602</v>
      </c>
      <c r="G837" s="15" t="s">
        <v>6</v>
      </c>
      <c r="H837" s="15" t="s">
        <v>2699</v>
      </c>
      <c r="I837" s="15" t="s">
        <v>2700</v>
      </c>
      <c r="J837" s="15" t="s">
        <v>172</v>
      </c>
      <c r="K837" s="16">
        <v>33770</v>
      </c>
      <c r="L837" s="16">
        <v>46620</v>
      </c>
      <c r="M837" s="17">
        <f>Table1[[#This Row],[Billing Rate Charges]]-Table1[[#This Row],[ LORRY RATE ]]</f>
        <v>12850</v>
      </c>
      <c r="N837" s="17">
        <v>33770</v>
      </c>
      <c r="O837" s="17">
        <f>Table1[[#This Row],[ LORRY RATE ]]-Table1[[#This Row],[Adance Paid (INR)]]</f>
        <v>0</v>
      </c>
      <c r="P837" s="17" t="s">
        <v>147</v>
      </c>
      <c r="Q837" s="18" t="s">
        <v>1717</v>
      </c>
      <c r="R837" s="17"/>
      <c r="S837" s="18" t="s">
        <v>2703</v>
      </c>
      <c r="T837" s="18" t="s">
        <v>2703</v>
      </c>
      <c r="U837" s="15" t="s">
        <v>54</v>
      </c>
      <c r="V837" s="15" t="s">
        <v>56</v>
      </c>
      <c r="W837" s="15"/>
    </row>
    <row r="838" spans="1:23" hidden="1" x14ac:dyDescent="0.3">
      <c r="A838" s="15">
        <v>832</v>
      </c>
      <c r="B838" s="15" t="s">
        <v>2658</v>
      </c>
      <c r="C838" s="19">
        <v>46039</v>
      </c>
      <c r="D838" s="19" t="s">
        <v>56</v>
      </c>
      <c r="E838" s="15" t="s">
        <v>1637</v>
      </c>
      <c r="F838" s="15">
        <v>9025368773</v>
      </c>
      <c r="G838" s="15" t="s">
        <v>6</v>
      </c>
      <c r="H838" s="15" t="s">
        <v>2701</v>
      </c>
      <c r="I838" s="15" t="s">
        <v>2702</v>
      </c>
      <c r="J838" s="15" t="s">
        <v>172</v>
      </c>
      <c r="K838" s="16">
        <v>33770</v>
      </c>
      <c r="L838" s="16">
        <v>46620</v>
      </c>
      <c r="M838" s="17">
        <f>Table1[[#This Row],[Billing Rate Charges]]-Table1[[#This Row],[ LORRY RATE ]]</f>
        <v>12850</v>
      </c>
      <c r="N838" s="17">
        <v>33770</v>
      </c>
      <c r="O838" s="17">
        <f>Table1[[#This Row],[ LORRY RATE ]]-Table1[[#This Row],[Adance Paid (INR)]]</f>
        <v>0</v>
      </c>
      <c r="P838" s="17" t="s">
        <v>147</v>
      </c>
      <c r="Q838" s="18" t="s">
        <v>1718</v>
      </c>
      <c r="R838" s="17"/>
      <c r="S838" s="18" t="s">
        <v>2704</v>
      </c>
      <c r="T838" s="18" t="s">
        <v>2704</v>
      </c>
      <c r="U838" s="15" t="s">
        <v>54</v>
      </c>
      <c r="V838" s="15" t="s">
        <v>56</v>
      </c>
      <c r="W838" s="15"/>
    </row>
    <row r="839" spans="1:23" hidden="1" x14ac:dyDescent="0.3">
      <c r="A839" s="15">
        <v>833</v>
      </c>
      <c r="B839" s="15" t="s">
        <v>2658</v>
      </c>
      <c r="C839" s="19">
        <v>46042</v>
      </c>
      <c r="D839" s="19" t="s">
        <v>56</v>
      </c>
      <c r="E839" s="15" t="s">
        <v>38</v>
      </c>
      <c r="F839" s="15">
        <v>943074382</v>
      </c>
      <c r="G839" s="15" t="s">
        <v>45</v>
      </c>
      <c r="H839" s="15" t="s">
        <v>2721</v>
      </c>
      <c r="I839" s="15" t="s">
        <v>2722</v>
      </c>
      <c r="J839" s="15" t="s">
        <v>59</v>
      </c>
      <c r="K839" s="16">
        <v>37830</v>
      </c>
      <c r="L839" s="16">
        <v>73710</v>
      </c>
      <c r="M839" s="17">
        <f>Table1[[#This Row],[Billing Rate Charges]]-Table1[[#This Row],[ LORRY RATE ]]</f>
        <v>35880</v>
      </c>
      <c r="N839" s="17">
        <v>37830</v>
      </c>
      <c r="O839" s="17">
        <f>Table1[[#This Row],[ LORRY RATE ]]-Table1[[#This Row],[Adance Paid (INR)]]</f>
        <v>0</v>
      </c>
      <c r="P839" s="17" t="s">
        <v>147</v>
      </c>
      <c r="Q839" s="18" t="s">
        <v>1719</v>
      </c>
      <c r="R839" s="17"/>
      <c r="S839" s="18" t="s">
        <v>2711</v>
      </c>
      <c r="T839" s="18" t="s">
        <v>2711</v>
      </c>
      <c r="U839" s="15" t="s">
        <v>54</v>
      </c>
      <c r="V839" s="15" t="s">
        <v>56</v>
      </c>
      <c r="W839" s="15"/>
    </row>
    <row r="840" spans="1:23" hidden="1" x14ac:dyDescent="0.3">
      <c r="A840" s="15">
        <v>834</v>
      </c>
      <c r="B840" s="15" t="s">
        <v>2658</v>
      </c>
      <c r="C840" s="19">
        <v>46042</v>
      </c>
      <c r="D840" s="19" t="s">
        <v>51</v>
      </c>
      <c r="E840" s="15" t="s">
        <v>2705</v>
      </c>
      <c r="F840" s="15">
        <v>9293605851</v>
      </c>
      <c r="G840" s="15" t="s">
        <v>6</v>
      </c>
      <c r="H840" s="15" t="s">
        <v>1874</v>
      </c>
      <c r="I840" s="15" t="s">
        <v>2710</v>
      </c>
      <c r="J840" s="15" t="s">
        <v>172</v>
      </c>
      <c r="K840" s="16">
        <v>31750</v>
      </c>
      <c r="L840" s="16">
        <v>40320</v>
      </c>
      <c r="M840" s="17">
        <f>Table1[[#This Row],[Billing Rate Charges]]-Table1[[#This Row],[ LORRY RATE ]]</f>
        <v>8570</v>
      </c>
      <c r="N840" s="17">
        <v>31750</v>
      </c>
      <c r="O840" s="17">
        <f>Table1[[#This Row],[ LORRY RATE ]]-Table1[[#This Row],[Adance Paid (INR)]]</f>
        <v>0</v>
      </c>
      <c r="P840" s="17" t="s">
        <v>147</v>
      </c>
      <c r="Q840" s="18" t="s">
        <v>1720</v>
      </c>
      <c r="R840" s="17"/>
      <c r="S840" s="18" t="s">
        <v>2711</v>
      </c>
      <c r="T840" s="18" t="s">
        <v>2711</v>
      </c>
      <c r="U840" s="15" t="s">
        <v>54</v>
      </c>
      <c r="V840" s="15" t="s">
        <v>439</v>
      </c>
      <c r="W840" s="15"/>
    </row>
    <row r="841" spans="1:23" hidden="1" x14ac:dyDescent="0.3">
      <c r="A841" s="15">
        <v>835</v>
      </c>
      <c r="B841" s="15" t="s">
        <v>2658</v>
      </c>
      <c r="C841" s="19">
        <v>46043</v>
      </c>
      <c r="D841" s="19" t="s">
        <v>51</v>
      </c>
      <c r="E841" s="15" t="s">
        <v>2706</v>
      </c>
      <c r="F841" s="15">
        <v>9271530210</v>
      </c>
      <c r="G841" s="15" t="s">
        <v>6</v>
      </c>
      <c r="H841" s="15" t="s">
        <v>2708</v>
      </c>
      <c r="I841" s="15" t="s">
        <v>2709</v>
      </c>
      <c r="J841" s="15" t="s">
        <v>172</v>
      </c>
      <c r="K841" s="16">
        <v>32700</v>
      </c>
      <c r="L841" s="16">
        <v>46620</v>
      </c>
      <c r="M841" s="17">
        <f>Table1[[#This Row],[Billing Rate Charges]]-Table1[[#This Row],[ LORRY RATE ]]</f>
        <v>13920</v>
      </c>
      <c r="N841" s="17">
        <v>29980</v>
      </c>
      <c r="O841" s="17">
        <f>Table1[[#This Row],[ LORRY RATE ]]-Table1[[#This Row],[Adance Paid (INR)]]</f>
        <v>2720</v>
      </c>
      <c r="P841" s="17" t="s">
        <v>147</v>
      </c>
      <c r="Q841" s="18" t="s">
        <v>1721</v>
      </c>
      <c r="R841" s="17"/>
      <c r="S841" s="18" t="s">
        <v>2712</v>
      </c>
      <c r="T841" s="18" t="s">
        <v>2712</v>
      </c>
      <c r="U841" s="15" t="s">
        <v>54</v>
      </c>
      <c r="V841" s="15" t="s">
        <v>2707</v>
      </c>
      <c r="W841" s="15"/>
    </row>
    <row r="842" spans="1:23" hidden="1" x14ac:dyDescent="0.3">
      <c r="A842" s="15">
        <v>836</v>
      </c>
      <c r="B842" s="15" t="s">
        <v>2658</v>
      </c>
      <c r="C842" s="19">
        <v>46045</v>
      </c>
      <c r="D842" s="19" t="s">
        <v>56</v>
      </c>
      <c r="E842" s="15" t="s">
        <v>1637</v>
      </c>
      <c r="F842" s="15">
        <v>9793531306</v>
      </c>
      <c r="G842" s="15" t="s">
        <v>1093</v>
      </c>
      <c r="H842" s="15" t="s">
        <v>2720</v>
      </c>
      <c r="I842" s="15" t="s">
        <v>6</v>
      </c>
      <c r="J842" s="15" t="s">
        <v>172</v>
      </c>
      <c r="K842" s="16">
        <v>42180</v>
      </c>
      <c r="L842" s="16">
        <v>102690</v>
      </c>
      <c r="M842" s="17">
        <f>Table1[[#This Row],[Billing Rate Charges]]-Table1[[#This Row],[ LORRY RATE ]]</f>
        <v>60510</v>
      </c>
      <c r="N842" s="17">
        <v>42180</v>
      </c>
      <c r="O842" s="17">
        <f>Table1[[#This Row],[ LORRY RATE ]]-Table1[[#This Row],[Adance Paid (INR)]]</f>
        <v>0</v>
      </c>
      <c r="P842" s="17" t="s">
        <v>147</v>
      </c>
      <c r="Q842" s="18" t="s">
        <v>1722</v>
      </c>
      <c r="R842" s="17"/>
      <c r="S842" s="18" t="s">
        <v>2713</v>
      </c>
      <c r="T842" s="18" t="s">
        <v>2714</v>
      </c>
      <c r="U842" s="15" t="s">
        <v>54</v>
      </c>
      <c r="V842" s="15" t="s">
        <v>56</v>
      </c>
      <c r="W842" s="15"/>
    </row>
    <row r="843" spans="1:23" hidden="1" x14ac:dyDescent="0.3">
      <c r="A843" s="15">
        <v>837</v>
      </c>
      <c r="B843" s="15" t="s">
        <v>2658</v>
      </c>
      <c r="C843" s="19">
        <v>46045</v>
      </c>
      <c r="D843" s="19" t="s">
        <v>56</v>
      </c>
      <c r="E843" s="15" t="s">
        <v>38</v>
      </c>
      <c r="F843" s="15">
        <v>9515412075</v>
      </c>
      <c r="G843" s="15" t="s">
        <v>6</v>
      </c>
      <c r="H843" s="15" t="s">
        <v>1874</v>
      </c>
      <c r="I843" s="15" t="s">
        <v>2716</v>
      </c>
      <c r="J843" s="15" t="s">
        <v>59</v>
      </c>
      <c r="K843" s="16">
        <v>32590</v>
      </c>
      <c r="L843" s="16">
        <v>38740</v>
      </c>
      <c r="M843" s="17">
        <f>Table1[[#This Row],[Billing Rate Charges]]-Table1[[#This Row],[ LORRY RATE ]]</f>
        <v>6150</v>
      </c>
      <c r="N843" s="17">
        <v>32590</v>
      </c>
      <c r="O843" s="17">
        <f>Table1[[#This Row],[ LORRY RATE ]]-Table1[[#This Row],[Adance Paid (INR)]]</f>
        <v>0</v>
      </c>
      <c r="P843" s="17" t="s">
        <v>147</v>
      </c>
      <c r="Q843" s="18" t="s">
        <v>1723</v>
      </c>
      <c r="R843" s="17"/>
      <c r="S843" s="18" t="s">
        <v>2714</v>
      </c>
      <c r="T843" s="18" t="s">
        <v>2714</v>
      </c>
      <c r="U843" s="15" t="s">
        <v>54</v>
      </c>
      <c r="V843" s="15" t="s">
        <v>56</v>
      </c>
      <c r="W843" s="15"/>
    </row>
    <row r="844" spans="1:23" hidden="1" x14ac:dyDescent="0.3">
      <c r="A844" s="15">
        <v>838</v>
      </c>
      <c r="B844" s="15" t="s">
        <v>2658</v>
      </c>
      <c r="C844" s="19">
        <v>46046</v>
      </c>
      <c r="D844" s="19" t="s">
        <v>51</v>
      </c>
      <c r="E844" s="21" t="s">
        <v>2589</v>
      </c>
      <c r="F844" s="21">
        <v>9348294554</v>
      </c>
      <c r="G844" s="15" t="s">
        <v>1093</v>
      </c>
      <c r="H844" s="15" t="s">
        <v>1874</v>
      </c>
      <c r="I844" s="15" t="s">
        <v>2717</v>
      </c>
      <c r="J844" s="15" t="s">
        <v>172</v>
      </c>
      <c r="K844" s="16">
        <v>65330</v>
      </c>
      <c r="L844" s="16">
        <v>96390</v>
      </c>
      <c r="M844" s="17">
        <f>Table1[[#This Row],[Billing Rate Charges]]-Table1[[#This Row],[ LORRY RATE ]]</f>
        <v>31060</v>
      </c>
      <c r="N844" s="17">
        <v>65330</v>
      </c>
      <c r="O844" s="17">
        <f>Table1[[#This Row],[ LORRY RATE ]]-Table1[[#This Row],[Adance Paid (INR)]]</f>
        <v>0</v>
      </c>
      <c r="P844" s="17" t="s">
        <v>147</v>
      </c>
      <c r="Q844" s="18" t="s">
        <v>1724</v>
      </c>
      <c r="R844" s="17"/>
      <c r="S844" s="18" t="s">
        <v>2723</v>
      </c>
      <c r="T844" s="18" t="s">
        <v>2723</v>
      </c>
      <c r="U844" s="15" t="s">
        <v>54</v>
      </c>
      <c r="V844" s="15" t="s">
        <v>2616</v>
      </c>
      <c r="W844" s="15"/>
    </row>
    <row r="845" spans="1:23" hidden="1" x14ac:dyDescent="0.3">
      <c r="A845" s="15">
        <v>839</v>
      </c>
      <c r="B845" s="15" t="s">
        <v>2658</v>
      </c>
      <c r="C845" s="19">
        <v>46046</v>
      </c>
      <c r="D845" s="19" t="s">
        <v>56</v>
      </c>
      <c r="E845" s="21" t="s">
        <v>1644</v>
      </c>
      <c r="F845" s="21">
        <v>9902798068</v>
      </c>
      <c r="G845" s="15" t="s">
        <v>6</v>
      </c>
      <c r="H845" s="15" t="s">
        <v>1874</v>
      </c>
      <c r="I845" s="15" t="s">
        <v>2715</v>
      </c>
      <c r="J845" s="15" t="s">
        <v>172</v>
      </c>
      <c r="K845" s="16">
        <v>32820</v>
      </c>
      <c r="L845" s="16">
        <v>40320</v>
      </c>
      <c r="M845" s="17">
        <f>Table1[[#This Row],[Billing Rate Charges]]-Table1[[#This Row],[ LORRY RATE ]]</f>
        <v>7500</v>
      </c>
      <c r="N845" s="17">
        <v>32820</v>
      </c>
      <c r="O845" s="17">
        <f>Table1[[#This Row],[ LORRY RATE ]]-Table1[[#This Row],[Adance Paid (INR)]]</f>
        <v>0</v>
      </c>
      <c r="P845" s="17" t="s">
        <v>147</v>
      </c>
      <c r="Q845" s="18" t="s">
        <v>1726</v>
      </c>
      <c r="R845" s="17"/>
      <c r="S845" s="18" t="s">
        <v>2714</v>
      </c>
      <c r="T845" s="18" t="s">
        <v>2714</v>
      </c>
      <c r="U845" s="15" t="s">
        <v>54</v>
      </c>
      <c r="V845" s="15" t="s">
        <v>56</v>
      </c>
      <c r="W845" s="15"/>
    </row>
    <row r="846" spans="1:23" hidden="1" x14ac:dyDescent="0.3">
      <c r="A846" s="15">
        <v>840</v>
      </c>
      <c r="B846" s="15" t="s">
        <v>2658</v>
      </c>
      <c r="C846" s="19">
        <v>46050</v>
      </c>
      <c r="D846" s="19" t="s">
        <v>56</v>
      </c>
      <c r="E846" s="21" t="s">
        <v>38</v>
      </c>
      <c r="F846" s="21">
        <v>9486716172</v>
      </c>
      <c r="G846" s="15" t="s">
        <v>1093</v>
      </c>
      <c r="H846" s="15" t="s">
        <v>2727</v>
      </c>
      <c r="I846" s="15" t="s">
        <v>6</v>
      </c>
      <c r="J846" s="15" t="s">
        <v>59</v>
      </c>
      <c r="K846" s="16">
        <v>40480</v>
      </c>
      <c r="L846" s="16">
        <v>91350</v>
      </c>
      <c r="M846" s="17">
        <f>Table1[[#This Row],[Billing Rate Charges]]-Table1[[#This Row],[ LORRY RATE ]]</f>
        <v>50870</v>
      </c>
      <c r="N846" s="17">
        <v>40480</v>
      </c>
      <c r="O846" s="17">
        <f>Table1[[#This Row],[ LORRY RATE ]]-Table1[[#This Row],[Adance Paid (INR)]]</f>
        <v>0</v>
      </c>
      <c r="P846" s="17" t="s">
        <v>147</v>
      </c>
      <c r="Q846" s="18" t="s">
        <v>1725</v>
      </c>
      <c r="R846" s="17"/>
      <c r="S846" s="18" t="s">
        <v>2729</v>
      </c>
      <c r="T846" s="18" t="s">
        <v>2728</v>
      </c>
      <c r="U846" s="15" t="s">
        <v>54</v>
      </c>
      <c r="V846" s="15" t="s">
        <v>56</v>
      </c>
      <c r="W846" s="15"/>
    </row>
    <row r="847" spans="1:23" hidden="1" x14ac:dyDescent="0.3">
      <c r="A847" s="15">
        <v>841</v>
      </c>
      <c r="B847" s="15" t="s">
        <v>2658</v>
      </c>
      <c r="C847" s="19">
        <v>46050</v>
      </c>
      <c r="D847" s="19" t="s">
        <v>56</v>
      </c>
      <c r="E847" s="21" t="s">
        <v>1641</v>
      </c>
      <c r="F847" s="21">
        <v>9281983602</v>
      </c>
      <c r="G847" s="15" t="s">
        <v>6</v>
      </c>
      <c r="H847" s="15" t="s">
        <v>1874</v>
      </c>
      <c r="I847" s="15" t="s">
        <v>2725</v>
      </c>
      <c r="J847" s="15" t="s">
        <v>172</v>
      </c>
      <c r="K847" s="16">
        <v>32820</v>
      </c>
      <c r="L847" s="16">
        <v>40320</v>
      </c>
      <c r="M847" s="17">
        <f>Table1[[#This Row],[Billing Rate Charges]]-Table1[[#This Row],[ LORRY RATE ]]</f>
        <v>7500</v>
      </c>
      <c r="N847" s="17">
        <v>32820</v>
      </c>
      <c r="O847" s="17">
        <f>Table1[[#This Row],[ LORRY RATE ]]-Table1[[#This Row],[Adance Paid (INR)]]</f>
        <v>0</v>
      </c>
      <c r="P847" s="17" t="s">
        <v>147</v>
      </c>
      <c r="Q847" s="18" t="s">
        <v>1727</v>
      </c>
      <c r="R847" s="17"/>
      <c r="S847" s="18" t="s">
        <v>2730</v>
      </c>
      <c r="T847" s="18" t="s">
        <v>2730</v>
      </c>
      <c r="U847" s="15" t="s">
        <v>54</v>
      </c>
      <c r="V847" s="15" t="s">
        <v>56</v>
      </c>
      <c r="W847" s="15"/>
    </row>
    <row r="848" spans="1:23" hidden="1" x14ac:dyDescent="0.3">
      <c r="A848" s="15">
        <v>842</v>
      </c>
      <c r="B848" s="15" t="s">
        <v>2658</v>
      </c>
      <c r="C848" s="19">
        <v>46050</v>
      </c>
      <c r="D848" s="19" t="s">
        <v>56</v>
      </c>
      <c r="E848" s="21" t="s">
        <v>60</v>
      </c>
      <c r="F848" s="21">
        <v>9220186371</v>
      </c>
      <c r="G848" s="15" t="s">
        <v>6</v>
      </c>
      <c r="H848" s="15" t="s">
        <v>1874</v>
      </c>
      <c r="I848" s="15" t="s">
        <v>2724</v>
      </c>
      <c r="J848" s="15" t="s">
        <v>172</v>
      </c>
      <c r="K848" s="16">
        <v>32820</v>
      </c>
      <c r="L848" s="16">
        <v>40320</v>
      </c>
      <c r="M848" s="17">
        <f>Table1[[#This Row],[Billing Rate Charges]]-Table1[[#This Row],[ LORRY RATE ]]</f>
        <v>7500</v>
      </c>
      <c r="N848" s="17">
        <v>32820</v>
      </c>
      <c r="O848" s="17">
        <f>Table1[[#This Row],[ LORRY RATE ]]-Table1[[#This Row],[Adance Paid (INR)]]</f>
        <v>0</v>
      </c>
      <c r="P848" s="17" t="s">
        <v>147</v>
      </c>
      <c r="Q848" s="18" t="s">
        <v>1728</v>
      </c>
      <c r="R848" s="17"/>
      <c r="S848" s="18" t="s">
        <v>2729</v>
      </c>
      <c r="T848" s="18" t="s">
        <v>2729</v>
      </c>
      <c r="U848" s="15" t="s">
        <v>54</v>
      </c>
      <c r="V848" s="15" t="s">
        <v>56</v>
      </c>
      <c r="W848" s="15"/>
    </row>
    <row r="849" spans="1:23" hidden="1" x14ac:dyDescent="0.3">
      <c r="A849" s="15">
        <v>843</v>
      </c>
      <c r="B849" s="15" t="s">
        <v>2658</v>
      </c>
      <c r="C849" s="19">
        <v>46051</v>
      </c>
      <c r="D849" s="19" t="s">
        <v>56</v>
      </c>
      <c r="E849" s="15" t="s">
        <v>1635</v>
      </c>
      <c r="F849" s="15">
        <v>9472230553</v>
      </c>
      <c r="G849" s="15" t="s">
        <v>6</v>
      </c>
      <c r="H849" s="15" t="s">
        <v>1874</v>
      </c>
      <c r="I849" s="15" t="s">
        <v>2726</v>
      </c>
      <c r="J849" s="15" t="s">
        <v>172</v>
      </c>
      <c r="K849" s="16">
        <v>32820</v>
      </c>
      <c r="L849" s="16">
        <v>40320</v>
      </c>
      <c r="M849" s="17">
        <f>Table1[[#This Row],[Billing Rate Charges]]-Table1[[#This Row],[ LORRY RATE ]]</f>
        <v>7500</v>
      </c>
      <c r="N849" s="17">
        <v>32820</v>
      </c>
      <c r="O849" s="17">
        <f>Table1[[#This Row],[ LORRY RATE ]]-Table1[[#This Row],[Adance Paid (INR)]]</f>
        <v>0</v>
      </c>
      <c r="P849" s="17" t="s">
        <v>147</v>
      </c>
      <c r="Q849" s="18" t="s">
        <v>1729</v>
      </c>
      <c r="R849" s="17"/>
      <c r="S849" s="18" t="s">
        <v>2729</v>
      </c>
      <c r="T849" s="18" t="s">
        <v>2729</v>
      </c>
      <c r="U849" s="15" t="s">
        <v>54</v>
      </c>
      <c r="V849" s="15" t="s">
        <v>56</v>
      </c>
      <c r="W849" s="15"/>
    </row>
    <row r="850" spans="1:23" hidden="1" x14ac:dyDescent="0.3">
      <c r="A850" s="15">
        <v>844</v>
      </c>
      <c r="B850" s="15" t="s">
        <v>2658</v>
      </c>
      <c r="C850" s="19">
        <v>46051</v>
      </c>
      <c r="D850" s="19" t="s">
        <v>56</v>
      </c>
      <c r="E850" s="15" t="s">
        <v>1644</v>
      </c>
      <c r="F850" s="15">
        <v>9902798068</v>
      </c>
      <c r="G850" s="15" t="s">
        <v>1093</v>
      </c>
      <c r="H850" s="15" t="s">
        <v>2734</v>
      </c>
      <c r="I850" s="15" t="s">
        <v>6</v>
      </c>
      <c r="J850" s="15" t="s">
        <v>172</v>
      </c>
      <c r="K850" s="16">
        <v>42180</v>
      </c>
      <c r="L850" s="16">
        <v>102690</v>
      </c>
      <c r="M850" s="17">
        <f>Table1[[#This Row],[Billing Rate Charges]]-Table1[[#This Row],[ LORRY RATE ]]</f>
        <v>60510</v>
      </c>
      <c r="N850" s="17">
        <v>42180</v>
      </c>
      <c r="O850" s="17">
        <f>Table1[[#This Row],[ LORRY RATE ]]-Table1[[#This Row],[Adance Paid (INR)]]</f>
        <v>0</v>
      </c>
      <c r="P850" s="17" t="s">
        <v>147</v>
      </c>
      <c r="Q850" s="18" t="s">
        <v>1731</v>
      </c>
      <c r="R850" s="17"/>
      <c r="S850" s="18" t="s">
        <v>2728</v>
      </c>
      <c r="T850" s="18" t="s">
        <v>2728</v>
      </c>
      <c r="U850" s="15" t="s">
        <v>54</v>
      </c>
      <c r="V850" s="15" t="s">
        <v>56</v>
      </c>
      <c r="W850" s="15"/>
    </row>
    <row r="851" spans="1:23" hidden="1" x14ac:dyDescent="0.3">
      <c r="A851" s="15">
        <v>845</v>
      </c>
      <c r="B851" s="15" t="s">
        <v>2658</v>
      </c>
      <c r="C851" s="19">
        <v>46051</v>
      </c>
      <c r="D851" s="19" t="s">
        <v>51</v>
      </c>
      <c r="E851" s="21" t="s">
        <v>2589</v>
      </c>
      <c r="F851" s="21">
        <v>9907656818</v>
      </c>
      <c r="G851" s="15" t="s">
        <v>6</v>
      </c>
      <c r="H851" s="15" t="s">
        <v>1874</v>
      </c>
      <c r="I851" s="15" t="s">
        <v>2733</v>
      </c>
      <c r="J851" s="15" t="s">
        <v>172</v>
      </c>
      <c r="K851" s="16">
        <v>30150</v>
      </c>
      <c r="L851" s="16">
        <v>40320</v>
      </c>
      <c r="M851" s="17">
        <v>10170</v>
      </c>
      <c r="N851" s="17">
        <v>30150</v>
      </c>
      <c r="O851" s="17">
        <f>Table1[[#This Row],[ LORRY RATE ]]-Table1[[#This Row],[Adance Paid (INR)]]</f>
        <v>0</v>
      </c>
      <c r="P851" s="17" t="s">
        <v>147</v>
      </c>
      <c r="Q851" s="18" t="s">
        <v>1732</v>
      </c>
      <c r="R851" s="17"/>
      <c r="S851" s="18" t="s">
        <v>2736</v>
      </c>
      <c r="T851" s="18" t="s">
        <v>2736</v>
      </c>
      <c r="U851" s="15" t="s">
        <v>54</v>
      </c>
      <c r="V851" s="15" t="s">
        <v>2616</v>
      </c>
      <c r="W851" s="15"/>
    </row>
    <row r="852" spans="1:23" hidden="1" x14ac:dyDescent="0.3">
      <c r="A852" s="15">
        <v>846</v>
      </c>
      <c r="B852" s="15" t="s">
        <v>2731</v>
      </c>
      <c r="C852" s="19">
        <v>46054</v>
      </c>
      <c r="D852" s="19" t="s">
        <v>56</v>
      </c>
      <c r="E852" s="15" t="s">
        <v>1641</v>
      </c>
      <c r="F852" s="15">
        <v>9281983602</v>
      </c>
      <c r="G852" s="15" t="s">
        <v>1093</v>
      </c>
      <c r="H852" s="15" t="s">
        <v>2735</v>
      </c>
      <c r="I852" s="15" t="s">
        <v>6</v>
      </c>
      <c r="J852" s="15" t="s">
        <v>172</v>
      </c>
      <c r="K852" s="16">
        <v>41230</v>
      </c>
      <c r="L852" s="16">
        <v>96390</v>
      </c>
      <c r="M852" s="17">
        <f>Table1[[#This Row],[Billing Rate Charges]]-Table1[[#This Row],[ LORRY RATE ]]</f>
        <v>55160</v>
      </c>
      <c r="N852" s="17">
        <v>41230</v>
      </c>
      <c r="O852" s="17">
        <f>Table1[[#This Row],[ LORRY RATE ]]-Table1[[#This Row],[Adance Paid (INR)]]</f>
        <v>0</v>
      </c>
      <c r="P852" s="17" t="s">
        <v>147</v>
      </c>
      <c r="Q852" s="18" t="s">
        <v>1733</v>
      </c>
      <c r="R852" s="17"/>
      <c r="S852" s="18" t="s">
        <v>2737</v>
      </c>
      <c r="T852" s="18" t="s">
        <v>2737</v>
      </c>
      <c r="U852" s="15" t="s">
        <v>54</v>
      </c>
      <c r="V852" s="15" t="s">
        <v>56</v>
      </c>
      <c r="W852" s="15"/>
    </row>
    <row r="853" spans="1:23" hidden="1" x14ac:dyDescent="0.3">
      <c r="A853" s="15">
        <v>847</v>
      </c>
      <c r="B853" s="15" t="s">
        <v>2731</v>
      </c>
      <c r="C853" s="19">
        <v>46056</v>
      </c>
      <c r="D853" s="19" t="s">
        <v>56</v>
      </c>
      <c r="E853" s="21" t="s">
        <v>38</v>
      </c>
      <c r="F853" s="21">
        <v>9515412075</v>
      </c>
      <c r="G853" s="15" t="s">
        <v>6</v>
      </c>
      <c r="H853" s="15" t="s">
        <v>1874</v>
      </c>
      <c r="I853" s="15" t="s">
        <v>2740</v>
      </c>
      <c r="J853" s="15" t="s">
        <v>59</v>
      </c>
      <c r="K853" s="16">
        <v>32590</v>
      </c>
      <c r="L853" s="16">
        <v>38740</v>
      </c>
      <c r="M853" s="17">
        <f>Table1[[#This Row],[Billing Rate Charges]]-Table1[[#This Row],[ LORRY RATE ]]</f>
        <v>6150</v>
      </c>
      <c r="N853" s="17">
        <v>32590</v>
      </c>
      <c r="O853" s="17">
        <f>Table1[[#This Row],[ LORRY RATE ]]-Table1[[#This Row],[Adance Paid (INR)]]</f>
        <v>0</v>
      </c>
      <c r="P853" s="17" t="s">
        <v>147</v>
      </c>
      <c r="Q853" s="18" t="s">
        <v>1736</v>
      </c>
      <c r="R853" s="17"/>
      <c r="S853" s="18" t="s">
        <v>2738</v>
      </c>
      <c r="T853" s="18" t="s">
        <v>2738</v>
      </c>
      <c r="U853" s="15" t="s">
        <v>54</v>
      </c>
      <c r="V853" s="15" t="s">
        <v>56</v>
      </c>
      <c r="W853" s="15"/>
    </row>
    <row r="854" spans="1:23" hidden="1" x14ac:dyDescent="0.3">
      <c r="A854" s="15">
        <v>848</v>
      </c>
      <c r="B854" s="15" t="s">
        <v>2731</v>
      </c>
      <c r="C854" s="19">
        <v>46056</v>
      </c>
      <c r="D854" s="19" t="s">
        <v>56</v>
      </c>
      <c r="E854" s="21" t="s">
        <v>60</v>
      </c>
      <c r="F854" s="21">
        <v>9220186371</v>
      </c>
      <c r="G854" s="15" t="s">
        <v>105</v>
      </c>
      <c r="H854" s="15" t="s">
        <v>2748</v>
      </c>
      <c r="I854" s="15" t="s">
        <v>6</v>
      </c>
      <c r="J854" s="15" t="s">
        <v>172</v>
      </c>
      <c r="K854" s="16">
        <v>42180</v>
      </c>
      <c r="L854" s="16">
        <v>102690</v>
      </c>
      <c r="M854" s="17">
        <f>Table1[[#This Row],[Billing Rate Charges]]-Table1[[#This Row],[ LORRY RATE ]]</f>
        <v>60510</v>
      </c>
      <c r="N854" s="17">
        <v>42180</v>
      </c>
      <c r="O854" s="17">
        <f>Table1[[#This Row],[ LORRY RATE ]]-Table1[[#This Row],[Adance Paid (INR)]]</f>
        <v>0</v>
      </c>
      <c r="P854" s="17" t="s">
        <v>147</v>
      </c>
      <c r="Q854" s="18" t="s">
        <v>1737</v>
      </c>
      <c r="R854" s="17"/>
      <c r="S854" s="18" t="s">
        <v>2738</v>
      </c>
      <c r="T854" s="18" t="s">
        <v>2738</v>
      </c>
      <c r="U854" s="15" t="s">
        <v>54</v>
      </c>
      <c r="V854" s="15" t="s">
        <v>56</v>
      </c>
      <c r="W854" s="15"/>
    </row>
    <row r="855" spans="1:23" hidden="1" x14ac:dyDescent="0.3">
      <c r="A855" s="15">
        <v>849</v>
      </c>
      <c r="B855" s="15" t="s">
        <v>2731</v>
      </c>
      <c r="C855" s="19">
        <v>46056</v>
      </c>
      <c r="D855" s="19" t="s">
        <v>56</v>
      </c>
      <c r="E855" s="21" t="s">
        <v>1635</v>
      </c>
      <c r="F855" s="21">
        <v>9220186371</v>
      </c>
      <c r="G855" s="15" t="s">
        <v>1093</v>
      </c>
      <c r="H855" s="15" t="s">
        <v>2751</v>
      </c>
      <c r="I855" s="15" t="s">
        <v>6</v>
      </c>
      <c r="J855" s="15" t="s">
        <v>172</v>
      </c>
      <c r="K855" s="16">
        <v>41230</v>
      </c>
      <c r="L855" s="16">
        <v>96390</v>
      </c>
      <c r="M855" s="17">
        <f>Table1[[#This Row],[Billing Rate Charges]]-Table1[[#This Row],[ LORRY RATE ]]</f>
        <v>55160</v>
      </c>
      <c r="N855" s="17">
        <v>41230</v>
      </c>
      <c r="O855" s="17">
        <f>Table1[[#This Row],[ LORRY RATE ]]-Table1[[#This Row],[Adance Paid (INR)]]</f>
        <v>0</v>
      </c>
      <c r="P855" s="17" t="s">
        <v>147</v>
      </c>
      <c r="Q855" s="18" t="s">
        <v>1738</v>
      </c>
      <c r="R855" s="17"/>
      <c r="S855" s="18" t="s">
        <v>2738</v>
      </c>
      <c r="T855" s="18" t="s">
        <v>2738</v>
      </c>
      <c r="U855" s="15" t="s">
        <v>54</v>
      </c>
      <c r="V855" s="15" t="s">
        <v>56</v>
      </c>
      <c r="W855" s="15"/>
    </row>
    <row r="856" spans="1:23" hidden="1" x14ac:dyDescent="0.3">
      <c r="A856" s="15">
        <v>850</v>
      </c>
      <c r="B856" s="15" t="s">
        <v>2731</v>
      </c>
      <c r="C856" s="19">
        <v>46057</v>
      </c>
      <c r="D856" s="19" t="s">
        <v>56</v>
      </c>
      <c r="E856" s="21" t="s">
        <v>1644</v>
      </c>
      <c r="F856" s="21">
        <v>9902798068</v>
      </c>
      <c r="G856" s="15" t="s">
        <v>6</v>
      </c>
      <c r="H856" s="15" t="s">
        <v>1874</v>
      </c>
      <c r="I856" s="15" t="s">
        <v>2741</v>
      </c>
      <c r="J856" s="15" t="s">
        <v>172</v>
      </c>
      <c r="K856" s="16">
        <v>32820</v>
      </c>
      <c r="L856" s="16">
        <v>40320</v>
      </c>
      <c r="M856" s="17">
        <f>Table1[[#This Row],[Billing Rate Charges]]-Table1[[#This Row],[ LORRY RATE ]]</f>
        <v>7500</v>
      </c>
      <c r="N856" s="17">
        <v>32820</v>
      </c>
      <c r="O856" s="17">
        <f>Table1[[#This Row],[ LORRY RATE ]]-Table1[[#This Row],[Adance Paid (INR)]]</f>
        <v>0</v>
      </c>
      <c r="P856" s="17" t="s">
        <v>147</v>
      </c>
      <c r="Q856" s="18" t="s">
        <v>1740</v>
      </c>
      <c r="R856" s="17"/>
      <c r="S856" s="18" t="s">
        <v>2739</v>
      </c>
      <c r="T856" s="18" t="s">
        <v>2739</v>
      </c>
      <c r="U856" s="15" t="s">
        <v>54</v>
      </c>
      <c r="V856" s="15" t="s">
        <v>56</v>
      </c>
      <c r="W856" s="15"/>
    </row>
    <row r="857" spans="1:23" hidden="1" x14ac:dyDescent="0.3">
      <c r="A857" s="15">
        <v>851</v>
      </c>
      <c r="B857" s="15" t="s">
        <v>2731</v>
      </c>
      <c r="C857" s="19">
        <v>46057</v>
      </c>
      <c r="D857" s="19" t="s">
        <v>56</v>
      </c>
      <c r="E857" s="21" t="s">
        <v>1637</v>
      </c>
      <c r="F857" s="21">
        <v>9793531306</v>
      </c>
      <c r="G857" s="15" t="s">
        <v>1093</v>
      </c>
      <c r="H857" s="15" t="s">
        <v>2749</v>
      </c>
      <c r="I857" s="15" t="s">
        <v>6</v>
      </c>
      <c r="J857" s="15" t="s">
        <v>172</v>
      </c>
      <c r="K857" s="16">
        <v>41230</v>
      </c>
      <c r="L857" s="16">
        <v>96390</v>
      </c>
      <c r="M857" s="17">
        <f>Table1[[#This Row],[Billing Rate Charges]]-Table1[[#This Row],[ LORRY RATE ]]</f>
        <v>55160</v>
      </c>
      <c r="N857" s="17">
        <v>41230</v>
      </c>
      <c r="O857" s="17">
        <f>Table1[[#This Row],[ LORRY RATE ]]-Table1[[#This Row],[Adance Paid (INR)]]</f>
        <v>0</v>
      </c>
      <c r="P857" s="17" t="s">
        <v>147</v>
      </c>
      <c r="Q857" s="18" t="s">
        <v>1741</v>
      </c>
      <c r="R857" s="17"/>
      <c r="S857" s="18" t="s">
        <v>2739</v>
      </c>
      <c r="T857" s="18" t="s">
        <v>2739</v>
      </c>
      <c r="U857" s="15" t="s">
        <v>54</v>
      </c>
      <c r="V857" s="15" t="s">
        <v>56</v>
      </c>
      <c r="W857" s="15"/>
    </row>
    <row r="858" spans="1:23" hidden="1" x14ac:dyDescent="0.3">
      <c r="A858" s="15">
        <v>852</v>
      </c>
      <c r="B858" s="15" t="s">
        <v>2731</v>
      </c>
      <c r="C858" s="19">
        <v>46059</v>
      </c>
      <c r="D858" s="19" t="s">
        <v>56</v>
      </c>
      <c r="E858" s="21" t="s">
        <v>1641</v>
      </c>
      <c r="F858" s="21">
        <v>9486716172</v>
      </c>
      <c r="G858" s="15" t="s">
        <v>6</v>
      </c>
      <c r="H858" s="15" t="s">
        <v>2742</v>
      </c>
      <c r="I858" s="15" t="s">
        <v>2743</v>
      </c>
      <c r="J858" s="15" t="s">
        <v>172</v>
      </c>
      <c r="K858" s="16">
        <v>33770</v>
      </c>
      <c r="L858" s="16">
        <v>46620</v>
      </c>
      <c r="M858" s="17">
        <f>Table1[[#This Row],[Billing Rate Charges]]-Table1[[#This Row],[ LORRY RATE ]]</f>
        <v>12850</v>
      </c>
      <c r="N858" s="17">
        <v>33770</v>
      </c>
      <c r="O858" s="17">
        <f>Table1[[#This Row],[ LORRY RATE ]]-Table1[[#This Row],[Adance Paid (INR)]]</f>
        <v>0</v>
      </c>
      <c r="P858" s="17" t="s">
        <v>147</v>
      </c>
      <c r="Q858" s="18" t="s">
        <v>1742</v>
      </c>
      <c r="R858" s="17"/>
      <c r="S858" s="18" t="s">
        <v>2752</v>
      </c>
      <c r="T858" s="18" t="s">
        <v>2752</v>
      </c>
      <c r="U858" s="15" t="s">
        <v>54</v>
      </c>
      <c r="V858" s="15" t="s">
        <v>56</v>
      </c>
      <c r="W858" s="15"/>
    </row>
    <row r="859" spans="1:23" hidden="1" x14ac:dyDescent="0.3">
      <c r="A859" s="15">
        <v>853</v>
      </c>
      <c r="B859" s="15" t="s">
        <v>2731</v>
      </c>
      <c r="C859" s="19">
        <v>46060</v>
      </c>
      <c r="D859" s="19" t="s">
        <v>56</v>
      </c>
      <c r="E859" s="21" t="s">
        <v>38</v>
      </c>
      <c r="F859" s="21">
        <v>9486716172</v>
      </c>
      <c r="G859" s="15" t="s">
        <v>1093</v>
      </c>
      <c r="H859" s="15" t="s">
        <v>2750</v>
      </c>
      <c r="I859" s="15" t="s">
        <v>6</v>
      </c>
      <c r="J859" s="15" t="s">
        <v>59</v>
      </c>
      <c r="K859" s="16">
        <v>40480</v>
      </c>
      <c r="L859" s="16">
        <v>91350</v>
      </c>
      <c r="M859" s="17">
        <f>Table1[[#This Row],[Billing Rate Charges]]-Table1[[#This Row],[ LORRY RATE ]]</f>
        <v>50870</v>
      </c>
      <c r="N859" s="17">
        <v>40480</v>
      </c>
      <c r="O859" s="17">
        <f>Table1[[#This Row],[ LORRY RATE ]]-Table1[[#This Row],[Adance Paid (INR)]]</f>
        <v>0</v>
      </c>
      <c r="P859" s="17" t="s">
        <v>147</v>
      </c>
      <c r="Q859" s="18" t="s">
        <v>1743</v>
      </c>
      <c r="R859" s="17"/>
      <c r="S859" s="18" t="s">
        <v>2752</v>
      </c>
      <c r="T859" s="18" t="s">
        <v>2752</v>
      </c>
      <c r="U859" s="15" t="s">
        <v>54</v>
      </c>
      <c r="V859" s="15" t="s">
        <v>56</v>
      </c>
      <c r="W859" s="15"/>
    </row>
    <row r="860" spans="1:23" hidden="1" x14ac:dyDescent="0.3">
      <c r="A860" s="15">
        <v>854</v>
      </c>
      <c r="B860" s="15" t="s">
        <v>2731</v>
      </c>
      <c r="C860" s="19">
        <v>46060</v>
      </c>
      <c r="D860" s="19" t="s">
        <v>56</v>
      </c>
      <c r="E860" s="21" t="s">
        <v>60</v>
      </c>
      <c r="F860" s="21">
        <v>9589264337</v>
      </c>
      <c r="G860" s="15" t="s">
        <v>6</v>
      </c>
      <c r="H860" s="15" t="s">
        <v>2744</v>
      </c>
      <c r="I860" s="15" t="s">
        <v>2745</v>
      </c>
      <c r="J860" s="15" t="s">
        <v>172</v>
      </c>
      <c r="K860" s="16">
        <v>33770</v>
      </c>
      <c r="L860" s="16">
        <v>46620</v>
      </c>
      <c r="M860" s="17">
        <f>Table1[[#This Row],[Billing Rate Charges]]-Table1[[#This Row],[ LORRY RATE ]]</f>
        <v>12850</v>
      </c>
      <c r="N860" s="17">
        <v>33770</v>
      </c>
      <c r="O860" s="17">
        <f>Table1[[#This Row],[ LORRY RATE ]]-Table1[[#This Row],[Adance Paid (INR)]]</f>
        <v>0</v>
      </c>
      <c r="P860" s="17" t="s">
        <v>147</v>
      </c>
      <c r="Q860" s="18" t="s">
        <v>1781</v>
      </c>
      <c r="R860" s="17"/>
      <c r="S860" s="18" t="s">
        <v>2753</v>
      </c>
      <c r="T860" s="18" t="s">
        <v>2753</v>
      </c>
      <c r="U860" s="15" t="s">
        <v>54</v>
      </c>
      <c r="V860" s="15" t="s">
        <v>56</v>
      </c>
      <c r="W860" s="15"/>
    </row>
    <row r="861" spans="1:23" hidden="1" x14ac:dyDescent="0.3">
      <c r="A861" s="15">
        <v>855</v>
      </c>
      <c r="B861" s="15" t="s">
        <v>2731</v>
      </c>
      <c r="C861" s="19">
        <v>46062</v>
      </c>
      <c r="D861" s="19" t="s">
        <v>56</v>
      </c>
      <c r="E861" s="21" t="s">
        <v>1635</v>
      </c>
      <c r="F861" s="21">
        <v>9472230553</v>
      </c>
      <c r="G861" s="15" t="s">
        <v>6</v>
      </c>
      <c r="H861" s="15" t="s">
        <v>2746</v>
      </c>
      <c r="I861" s="15" t="s">
        <v>2747</v>
      </c>
      <c r="J861" s="15" t="s">
        <v>172</v>
      </c>
      <c r="K861" s="16">
        <v>33770</v>
      </c>
      <c r="L861" s="16">
        <v>46620</v>
      </c>
      <c r="M861" s="17">
        <f>Table1[[#This Row],[Billing Rate Charges]]-Table1[[#This Row],[ LORRY RATE ]]</f>
        <v>12850</v>
      </c>
      <c r="N861" s="17">
        <v>33770</v>
      </c>
      <c r="O861" s="17">
        <f>Table1[[#This Row],[ LORRY RATE ]]-Table1[[#This Row],[Adance Paid (INR)]]</f>
        <v>0</v>
      </c>
      <c r="P861" s="17" t="s">
        <v>147</v>
      </c>
      <c r="Q861" s="18" t="s">
        <v>1784</v>
      </c>
      <c r="R861" s="17"/>
      <c r="S861" s="18" t="s">
        <v>2755</v>
      </c>
      <c r="T861" s="18" t="s">
        <v>2755</v>
      </c>
      <c r="U861" s="15" t="s">
        <v>54</v>
      </c>
      <c r="V861" s="15" t="s">
        <v>56</v>
      </c>
      <c r="W861" s="15"/>
    </row>
    <row r="862" spans="1:23" hidden="1" x14ac:dyDescent="0.3">
      <c r="A862" s="15">
        <v>856</v>
      </c>
      <c r="B862" s="15" t="s">
        <v>2731</v>
      </c>
      <c r="C862" s="19">
        <v>46062</v>
      </c>
      <c r="D862" s="19" t="s">
        <v>56</v>
      </c>
      <c r="E862" s="21" t="s">
        <v>1644</v>
      </c>
      <c r="F862" s="21">
        <v>9793531306</v>
      </c>
      <c r="G862" s="15" t="s">
        <v>1093</v>
      </c>
      <c r="H862" s="15" t="s">
        <v>2764</v>
      </c>
      <c r="I862" s="15" t="s">
        <v>6</v>
      </c>
      <c r="J862" s="15" t="s">
        <v>172</v>
      </c>
      <c r="K862" s="16">
        <v>43120</v>
      </c>
      <c r="L862" s="16">
        <v>108990</v>
      </c>
      <c r="M862" s="17">
        <f>Table1[[#This Row],[Billing Rate Charges]]-Table1[[#This Row],[ LORRY RATE ]]</f>
        <v>65870</v>
      </c>
      <c r="N862" s="17">
        <v>43120</v>
      </c>
      <c r="O862" s="17">
        <f>Table1[[#This Row],[ LORRY RATE ]]-Table1[[#This Row],[Adance Paid (INR)]]</f>
        <v>0</v>
      </c>
      <c r="P862" s="17" t="s">
        <v>147</v>
      </c>
      <c r="Q862" s="18" t="s">
        <v>1789</v>
      </c>
      <c r="R862" s="17"/>
      <c r="S862" s="18" t="s">
        <v>2754</v>
      </c>
      <c r="T862" s="18" t="s">
        <v>2754</v>
      </c>
      <c r="U862" s="15" t="s">
        <v>54</v>
      </c>
      <c r="V862" s="15" t="s">
        <v>56</v>
      </c>
      <c r="W862" s="15"/>
    </row>
    <row r="863" spans="1:23" hidden="1" x14ac:dyDescent="0.3">
      <c r="A863" s="15">
        <v>857</v>
      </c>
      <c r="B863" s="15" t="s">
        <v>2731</v>
      </c>
      <c r="C863" s="19">
        <v>46064</v>
      </c>
      <c r="D863" s="19" t="s">
        <v>56</v>
      </c>
      <c r="E863" s="21" t="s">
        <v>1641</v>
      </c>
      <c r="F863" s="21">
        <v>9220186371</v>
      </c>
      <c r="G863" s="15" t="s">
        <v>1093</v>
      </c>
      <c r="H863" s="15" t="s">
        <v>2766</v>
      </c>
      <c r="I863" s="15" t="s">
        <v>6</v>
      </c>
      <c r="J863" s="15" t="s">
        <v>172</v>
      </c>
      <c r="K863" s="16">
        <v>41230</v>
      </c>
      <c r="L863" s="16">
        <v>96390</v>
      </c>
      <c r="M863" s="17">
        <f>Table1[[#This Row],[Billing Rate Charges]]-Table1[[#This Row],[ LORRY RATE ]]</f>
        <v>55160</v>
      </c>
      <c r="N863" s="17">
        <v>41230</v>
      </c>
      <c r="O863" s="17">
        <f>Table1[[#This Row],[ LORRY RATE ]]-Table1[[#This Row],[Adance Paid (INR)]]</f>
        <v>0</v>
      </c>
      <c r="P863" s="17" t="s">
        <v>147</v>
      </c>
      <c r="Q863" s="18" t="s">
        <v>1786</v>
      </c>
      <c r="R863" s="17"/>
      <c r="S863" s="18" t="s">
        <v>2760</v>
      </c>
      <c r="T863" s="18" t="s">
        <v>2760</v>
      </c>
      <c r="U863" s="15" t="s">
        <v>54</v>
      </c>
      <c r="V863" s="15" t="s">
        <v>56</v>
      </c>
      <c r="W863" s="15"/>
    </row>
    <row r="864" spans="1:23" hidden="1" x14ac:dyDescent="0.3">
      <c r="A864" s="15">
        <v>858</v>
      </c>
      <c r="B864" s="15" t="s">
        <v>2731</v>
      </c>
      <c r="C864" s="19">
        <v>46064</v>
      </c>
      <c r="D864" s="19" t="s">
        <v>56</v>
      </c>
      <c r="E864" s="21" t="s">
        <v>38</v>
      </c>
      <c r="F864" s="21">
        <v>9515412075</v>
      </c>
      <c r="G864" s="15" t="s">
        <v>6</v>
      </c>
      <c r="H864" s="15" t="s">
        <v>2758</v>
      </c>
      <c r="I864" s="15" t="s">
        <v>2759</v>
      </c>
      <c r="J864" s="15" t="s">
        <v>59</v>
      </c>
      <c r="K864" s="16">
        <v>33530</v>
      </c>
      <c r="L864" s="16">
        <v>45040</v>
      </c>
      <c r="M864" s="17">
        <f>Table1[[#This Row],[Billing Rate Charges]]-Table1[[#This Row],[ LORRY RATE ]]</f>
        <v>11510</v>
      </c>
      <c r="N864" s="17">
        <v>33530</v>
      </c>
      <c r="O864" s="17">
        <f>Table1[[#This Row],[ LORRY RATE ]]-Table1[[#This Row],[Adance Paid (INR)]]</f>
        <v>0</v>
      </c>
      <c r="P864" s="17" t="s">
        <v>147</v>
      </c>
      <c r="Q864" s="18" t="s">
        <v>1787</v>
      </c>
      <c r="R864" s="17"/>
      <c r="S864" s="18" t="s">
        <v>2760</v>
      </c>
      <c r="T864" s="18" t="s">
        <v>2760</v>
      </c>
      <c r="U864" s="15" t="s">
        <v>54</v>
      </c>
      <c r="V864" s="15" t="s">
        <v>56</v>
      </c>
      <c r="W864" s="15"/>
    </row>
    <row r="865" spans="1:23" hidden="1" x14ac:dyDescent="0.3">
      <c r="A865" s="15">
        <v>859</v>
      </c>
      <c r="B865" s="15" t="s">
        <v>2731</v>
      </c>
      <c r="C865" s="19">
        <v>46065</v>
      </c>
      <c r="D865" s="19" t="s">
        <v>56</v>
      </c>
      <c r="E865" s="15" t="s">
        <v>1637</v>
      </c>
      <c r="F865" s="15">
        <v>9793531306</v>
      </c>
      <c r="G865" s="15" t="s">
        <v>6</v>
      </c>
      <c r="H865" s="15" t="s">
        <v>2767</v>
      </c>
      <c r="I865" s="15" t="s">
        <v>2768</v>
      </c>
      <c r="J865" s="15" t="s">
        <v>172</v>
      </c>
      <c r="K865" s="16">
        <v>33770</v>
      </c>
      <c r="L865" s="16">
        <v>46620</v>
      </c>
      <c r="M865" s="17">
        <f>Table1[[#This Row],[Billing Rate Charges]]-Table1[[#This Row],[ LORRY RATE ]]</f>
        <v>12850</v>
      </c>
      <c r="N865" s="17">
        <v>33770</v>
      </c>
      <c r="O865" s="17">
        <f>Table1[[#This Row],[ LORRY RATE ]]-Table1[[#This Row],[Adance Paid (INR)]]</f>
        <v>0</v>
      </c>
      <c r="P865" s="17" t="s">
        <v>147</v>
      </c>
      <c r="Q865" s="18" t="s">
        <v>1790</v>
      </c>
      <c r="R865" s="17"/>
      <c r="S865" s="18" t="s">
        <v>2760</v>
      </c>
      <c r="T865" s="18" t="s">
        <v>2760</v>
      </c>
      <c r="U865" s="15" t="s">
        <v>54</v>
      </c>
      <c r="V865" s="15" t="s">
        <v>56</v>
      </c>
      <c r="W865" s="15"/>
    </row>
    <row r="866" spans="1:23" hidden="1" x14ac:dyDescent="0.3">
      <c r="A866" s="15">
        <v>860</v>
      </c>
      <c r="B866" s="15" t="s">
        <v>2731</v>
      </c>
      <c r="C866" s="19">
        <v>46066</v>
      </c>
      <c r="D866" s="19" t="s">
        <v>56</v>
      </c>
      <c r="E866" s="15" t="s">
        <v>1644</v>
      </c>
      <c r="F866" s="15">
        <v>9902798068</v>
      </c>
      <c r="G866" s="15" t="s">
        <v>6</v>
      </c>
      <c r="H866" s="15" t="s">
        <v>2756</v>
      </c>
      <c r="I866" s="15" t="s">
        <v>2757</v>
      </c>
      <c r="J866" s="15" t="s">
        <v>172</v>
      </c>
      <c r="K866" s="16">
        <v>33770</v>
      </c>
      <c r="L866" s="16">
        <v>46620</v>
      </c>
      <c r="M866" s="17">
        <f>Table1[[#This Row],[Billing Rate Charges]]-Table1[[#This Row],[ LORRY RATE ]]</f>
        <v>12850</v>
      </c>
      <c r="N866" s="17">
        <v>33770</v>
      </c>
      <c r="O866" s="17">
        <f>Table1[[#This Row],[ LORRY RATE ]]-Table1[[#This Row],[Adance Paid (INR)]]</f>
        <v>0</v>
      </c>
      <c r="P866" s="17" t="s">
        <v>147</v>
      </c>
      <c r="Q866" s="18" t="s">
        <v>1791</v>
      </c>
      <c r="R866" s="17"/>
      <c r="S866" s="18" t="s">
        <v>2761</v>
      </c>
      <c r="T866" s="18" t="s">
        <v>2761</v>
      </c>
      <c r="U866" s="15" t="s">
        <v>54</v>
      </c>
      <c r="V866" s="15" t="s">
        <v>56</v>
      </c>
      <c r="W866" s="15"/>
    </row>
    <row r="867" spans="1:23" hidden="1" x14ac:dyDescent="0.3">
      <c r="A867" s="15">
        <v>861</v>
      </c>
      <c r="B867" s="15" t="s">
        <v>2731</v>
      </c>
      <c r="C867" s="19">
        <v>46067</v>
      </c>
      <c r="D867" s="19" t="s">
        <v>56</v>
      </c>
      <c r="E867" s="15" t="s">
        <v>60</v>
      </c>
      <c r="F867" s="15">
        <v>9589264337</v>
      </c>
      <c r="G867" s="15" t="s">
        <v>1093</v>
      </c>
      <c r="H867" s="15" t="s">
        <v>2773</v>
      </c>
      <c r="I867" s="15" t="s">
        <v>6</v>
      </c>
      <c r="J867" s="15" t="s">
        <v>172</v>
      </c>
      <c r="K867" s="16">
        <v>43120</v>
      </c>
      <c r="L867" s="16">
        <v>108990</v>
      </c>
      <c r="M867" s="17">
        <f>Table1[[#This Row],[Billing Rate Charges]]-Table1[[#This Row],[ LORRY RATE ]]</f>
        <v>65870</v>
      </c>
      <c r="N867" s="17">
        <v>43120</v>
      </c>
      <c r="O867" s="17">
        <f>Table1[[#This Row],[ LORRY RATE ]]-Table1[[#This Row],[Adance Paid (INR)]]</f>
        <v>0</v>
      </c>
      <c r="P867" s="17" t="s">
        <v>147</v>
      </c>
      <c r="Q867" s="18" t="s">
        <v>1792</v>
      </c>
      <c r="R867" s="17"/>
      <c r="S867" s="18" t="s">
        <v>2762</v>
      </c>
      <c r="T867" s="18" t="s">
        <v>2762</v>
      </c>
      <c r="U867" s="15" t="s">
        <v>54</v>
      </c>
      <c r="V867" s="15" t="s">
        <v>56</v>
      </c>
      <c r="W867" s="15"/>
    </row>
    <row r="868" spans="1:23" hidden="1" x14ac:dyDescent="0.3">
      <c r="A868" s="15">
        <v>862</v>
      </c>
      <c r="B868" s="15" t="s">
        <v>2731</v>
      </c>
      <c r="C868" s="19">
        <v>46069</v>
      </c>
      <c r="D868" s="19" t="s">
        <v>56</v>
      </c>
      <c r="E868" s="15" t="s">
        <v>1635</v>
      </c>
      <c r="F868" s="15">
        <v>9472230553</v>
      </c>
      <c r="G868" s="15" t="s">
        <v>105</v>
      </c>
      <c r="H868" s="15" t="s">
        <v>2765</v>
      </c>
      <c r="I868" s="15" t="s">
        <v>6</v>
      </c>
      <c r="J868" s="15" t="s">
        <v>172</v>
      </c>
      <c r="K868" s="16">
        <v>43120</v>
      </c>
      <c r="L868" s="16">
        <v>108990</v>
      </c>
      <c r="M868" s="17">
        <f>Table1[[#This Row],[Billing Rate Charges]]-Table1[[#This Row],[ LORRY RATE ]]</f>
        <v>65870</v>
      </c>
      <c r="N868" s="17">
        <v>43120</v>
      </c>
      <c r="O868" s="17">
        <f>Table1[[#This Row],[ LORRY RATE ]]-Table1[[#This Row],[Adance Paid (INR)]]</f>
        <v>0</v>
      </c>
      <c r="P868" s="17" t="s">
        <v>147</v>
      </c>
      <c r="Q868" s="18" t="s">
        <v>1788</v>
      </c>
      <c r="R868" s="17"/>
      <c r="S868" s="18" t="s">
        <v>2763</v>
      </c>
      <c r="T868" s="18" t="s">
        <v>2763</v>
      </c>
      <c r="U868" s="15" t="s">
        <v>54</v>
      </c>
      <c r="V868" s="15" t="s">
        <v>56</v>
      </c>
      <c r="W868" s="15"/>
    </row>
    <row r="869" spans="1:23" hidden="1" x14ac:dyDescent="0.3">
      <c r="A869" s="15">
        <v>863</v>
      </c>
      <c r="B869" s="15" t="s">
        <v>2731</v>
      </c>
      <c r="C869" s="19">
        <v>46071</v>
      </c>
      <c r="D869" s="19" t="s">
        <v>56</v>
      </c>
      <c r="E869" s="15" t="s">
        <v>1641</v>
      </c>
      <c r="F869" s="15">
        <v>9486716172</v>
      </c>
      <c r="G869" s="15" t="s">
        <v>6</v>
      </c>
      <c r="H869" s="15" t="s">
        <v>2769</v>
      </c>
      <c r="I869" s="15" t="s">
        <v>2770</v>
      </c>
      <c r="J869" s="15" t="s">
        <v>172</v>
      </c>
      <c r="K869" s="16">
        <v>33770</v>
      </c>
      <c r="L869" s="16">
        <v>46620</v>
      </c>
      <c r="M869" s="17">
        <f>Table1[[#This Row],[Billing Rate Charges]]-Table1[[#This Row],[ LORRY RATE ]]</f>
        <v>12850</v>
      </c>
      <c r="N869" s="17">
        <v>33770</v>
      </c>
      <c r="O869" s="17">
        <f>Table1[[#This Row],[ LORRY RATE ]]-Table1[[#This Row],[Adance Paid (INR)]]</f>
        <v>0</v>
      </c>
      <c r="P869" s="17" t="s">
        <v>147</v>
      </c>
      <c r="Q869" s="18" t="s">
        <v>1793</v>
      </c>
      <c r="R869" s="17"/>
      <c r="S869" s="18" t="s">
        <v>2771</v>
      </c>
      <c r="T869" s="18" t="s">
        <v>2771</v>
      </c>
      <c r="U869" s="15" t="s">
        <v>54</v>
      </c>
      <c r="V869" s="15" t="s">
        <v>56</v>
      </c>
      <c r="W869" s="15"/>
    </row>
    <row r="870" spans="1:23" hidden="1" x14ac:dyDescent="0.3">
      <c r="A870" s="15">
        <v>864</v>
      </c>
      <c r="B870" s="15" t="s">
        <v>2731</v>
      </c>
      <c r="C870" s="19">
        <v>46071</v>
      </c>
      <c r="D870" s="19" t="s">
        <v>56</v>
      </c>
      <c r="E870" s="15" t="s">
        <v>38</v>
      </c>
      <c r="F870" s="15">
        <v>9515412075</v>
      </c>
      <c r="G870" s="15" t="s">
        <v>1093</v>
      </c>
      <c r="H870" s="15" t="s">
        <v>2772</v>
      </c>
      <c r="I870" s="15" t="s">
        <v>6</v>
      </c>
      <c r="J870" s="15" t="s">
        <v>59</v>
      </c>
      <c r="K870" s="16">
        <v>40480</v>
      </c>
      <c r="L870" s="16">
        <v>91350</v>
      </c>
      <c r="M870" s="17">
        <f>Table1[[#This Row],[Billing Rate Charges]]-Table1[[#This Row],[ LORRY RATE ]]</f>
        <v>50870</v>
      </c>
      <c r="N870" s="17">
        <v>40480</v>
      </c>
      <c r="O870" s="17">
        <f>Table1[[#This Row],[ LORRY RATE ]]-Table1[[#This Row],[Adance Paid (INR)]]</f>
        <v>0</v>
      </c>
      <c r="P870" s="17" t="s">
        <v>147</v>
      </c>
      <c r="Q870" s="18" t="s">
        <v>1794</v>
      </c>
      <c r="R870" s="17"/>
      <c r="S870" s="18" t="s">
        <v>2771</v>
      </c>
      <c r="T870" s="18" t="s">
        <v>2771</v>
      </c>
      <c r="U870" s="15" t="s">
        <v>54</v>
      </c>
      <c r="V870" s="15" t="s">
        <v>56</v>
      </c>
      <c r="W870" s="15"/>
    </row>
    <row r="871" spans="1:23" hidden="1" x14ac:dyDescent="0.3">
      <c r="A871" s="15">
        <v>865</v>
      </c>
      <c r="B871" s="15" t="s">
        <v>2731</v>
      </c>
      <c r="C871" s="19">
        <v>46074</v>
      </c>
      <c r="D871" s="19" t="s">
        <v>51</v>
      </c>
      <c r="E871" s="21" t="s">
        <v>2589</v>
      </c>
      <c r="F871" s="21">
        <v>9656908336</v>
      </c>
      <c r="G871" s="15" t="s">
        <v>1093</v>
      </c>
      <c r="H871" s="15" t="s">
        <v>2774</v>
      </c>
      <c r="I871" s="15" t="s">
        <v>6</v>
      </c>
      <c r="J871" s="15" t="s">
        <v>172</v>
      </c>
      <c r="K871" s="16">
        <v>65330</v>
      </c>
      <c r="L871" s="16">
        <v>96390</v>
      </c>
      <c r="M871" s="17">
        <v>31060</v>
      </c>
      <c r="N871" s="17">
        <v>65330</v>
      </c>
      <c r="O871" s="17">
        <f>Table1[[#This Row],[ LORRY RATE ]]-Table1[[#This Row],[Adance Paid (INR)]]</f>
        <v>0</v>
      </c>
      <c r="P871" s="17" t="s">
        <v>147</v>
      </c>
      <c r="Q871" s="18" t="s">
        <v>1796</v>
      </c>
      <c r="R871" s="17"/>
      <c r="S871" s="18" t="s">
        <v>2780</v>
      </c>
      <c r="T871" s="18" t="s">
        <v>2780</v>
      </c>
      <c r="U871" s="15" t="s">
        <v>54</v>
      </c>
      <c r="V871" s="15" t="s">
        <v>2616</v>
      </c>
      <c r="W871" s="15"/>
    </row>
    <row r="872" spans="1:23" hidden="1" x14ac:dyDescent="0.3">
      <c r="A872" s="15">
        <v>866</v>
      </c>
      <c r="B872" s="15" t="s">
        <v>2731</v>
      </c>
      <c r="C872" s="19">
        <v>46074</v>
      </c>
      <c r="D872" s="19" t="s">
        <v>56</v>
      </c>
      <c r="E872" s="21" t="s">
        <v>60</v>
      </c>
      <c r="F872" s="21">
        <v>9589264337</v>
      </c>
      <c r="G872" s="15" t="s">
        <v>6</v>
      </c>
      <c r="H872" s="15" t="s">
        <v>2775</v>
      </c>
      <c r="I872" s="15" t="s">
        <v>2776</v>
      </c>
      <c r="J872" s="15" t="s">
        <v>172</v>
      </c>
      <c r="K872" s="16">
        <v>33770</v>
      </c>
      <c r="L872" s="16">
        <v>46620</v>
      </c>
      <c r="M872" s="17">
        <f>Table1[[#This Row],[Billing Rate Charges]]-Table1[[#This Row],[ LORRY RATE ]]</f>
        <v>12850</v>
      </c>
      <c r="N872" s="17">
        <v>33770</v>
      </c>
      <c r="O872" s="17">
        <f>Table1[[#This Row],[ LORRY RATE ]]-Table1[[#This Row],[Adance Paid (INR)]]</f>
        <v>0</v>
      </c>
      <c r="P872" s="17" t="s">
        <v>147</v>
      </c>
      <c r="Q872" s="17" t="s">
        <v>2779</v>
      </c>
      <c r="R872" s="17"/>
      <c r="S872" s="18" t="s">
        <v>2780</v>
      </c>
      <c r="T872" s="18" t="s">
        <v>2780</v>
      </c>
      <c r="U872" s="15" t="s">
        <v>54</v>
      </c>
      <c r="V872" s="15" t="s">
        <v>56</v>
      </c>
      <c r="W872" s="15"/>
    </row>
    <row r="873" spans="1:23" hidden="1" x14ac:dyDescent="0.3">
      <c r="A873" s="15">
        <v>867</v>
      </c>
      <c r="B873" s="15" t="s">
        <v>2731</v>
      </c>
      <c r="C873" s="19">
        <v>46075</v>
      </c>
      <c r="D873" s="19" t="s">
        <v>56</v>
      </c>
      <c r="E873" s="21" t="s">
        <v>1635</v>
      </c>
      <c r="F873" s="21">
        <v>9472230553</v>
      </c>
      <c r="G873" s="15" t="s">
        <v>6</v>
      </c>
      <c r="H873" s="15" t="s">
        <v>2777</v>
      </c>
      <c r="I873" s="15" t="s">
        <v>2778</v>
      </c>
      <c r="J873" s="15" t="s">
        <v>172</v>
      </c>
      <c r="K873" s="16">
        <v>33770</v>
      </c>
      <c r="L873" s="16">
        <v>46620</v>
      </c>
      <c r="M873" s="17">
        <f>Table1[[#This Row],[Billing Rate Charges]]-Table1[[#This Row],[ LORRY RATE ]]</f>
        <v>12850</v>
      </c>
      <c r="N873" s="17">
        <v>33770</v>
      </c>
      <c r="O873" s="17">
        <f>Table1[[#This Row],[ LORRY RATE ]]-Table1[[#This Row],[Adance Paid (INR)]]</f>
        <v>0</v>
      </c>
      <c r="P873" s="17" t="s">
        <v>147</v>
      </c>
      <c r="Q873" s="18" t="s">
        <v>1798</v>
      </c>
      <c r="R873" s="17"/>
      <c r="S873" s="18" t="s">
        <v>2781</v>
      </c>
      <c r="T873" s="18" t="s">
        <v>2781</v>
      </c>
      <c r="U873" s="15" t="s">
        <v>54</v>
      </c>
      <c r="V873" s="15" t="s">
        <v>56</v>
      </c>
      <c r="W873" s="15"/>
    </row>
    <row r="874" spans="1:23" hidden="1" x14ac:dyDescent="0.3">
      <c r="A874" s="15">
        <v>868</v>
      </c>
      <c r="B874" s="15" t="s">
        <v>2731</v>
      </c>
      <c r="C874" s="19">
        <v>46076</v>
      </c>
      <c r="D874" s="19" t="s">
        <v>56</v>
      </c>
      <c r="E874" s="21" t="s">
        <v>1637</v>
      </c>
      <c r="F874" s="21">
        <v>9025368773</v>
      </c>
      <c r="G874" s="15" t="s">
        <v>6</v>
      </c>
      <c r="H874" s="15" t="s">
        <v>1874</v>
      </c>
      <c r="I874" s="15" t="s">
        <v>2796</v>
      </c>
      <c r="J874" s="15" t="s">
        <v>172</v>
      </c>
      <c r="K874" s="16">
        <v>32820</v>
      </c>
      <c r="L874" s="16">
        <v>40320</v>
      </c>
      <c r="M874" s="17">
        <f>Table1[[#This Row],[Billing Rate Charges]]-Table1[[#This Row],[ LORRY RATE ]]</f>
        <v>7500</v>
      </c>
      <c r="N874" s="17">
        <v>32820</v>
      </c>
      <c r="O874" s="17">
        <f>Table1[[#This Row],[ LORRY RATE ]]-Table1[[#This Row],[Adance Paid (INR)]]</f>
        <v>0</v>
      </c>
      <c r="P874" s="17" t="s">
        <v>147</v>
      </c>
      <c r="Q874" s="18" t="s">
        <v>1800</v>
      </c>
      <c r="R874" s="17"/>
      <c r="S874" s="18" t="s">
        <v>2782</v>
      </c>
      <c r="T874" s="18" t="s">
        <v>2782</v>
      </c>
      <c r="U874" s="15" t="s">
        <v>54</v>
      </c>
      <c r="V874" s="15" t="s">
        <v>56</v>
      </c>
      <c r="W874" s="15"/>
    </row>
    <row r="875" spans="1:23" hidden="1" x14ac:dyDescent="0.3">
      <c r="A875" s="15">
        <v>869</v>
      </c>
      <c r="B875" s="15" t="s">
        <v>2731</v>
      </c>
      <c r="C875" s="19">
        <v>46076</v>
      </c>
      <c r="D875" s="19" t="s">
        <v>56</v>
      </c>
      <c r="E875" s="21" t="s">
        <v>38</v>
      </c>
      <c r="F875" s="21">
        <v>9515412075</v>
      </c>
      <c r="G875" s="15" t="s">
        <v>6</v>
      </c>
      <c r="H875" s="15" t="s">
        <v>1874</v>
      </c>
      <c r="I875" s="15" t="s">
        <v>2797</v>
      </c>
      <c r="J875" s="15" t="s">
        <v>59</v>
      </c>
      <c r="K875" s="16">
        <v>32590</v>
      </c>
      <c r="L875" s="16">
        <v>38740</v>
      </c>
      <c r="M875" s="17">
        <f>Table1[[#This Row],[Billing Rate Charges]]-Table1[[#This Row],[ LORRY RATE ]]</f>
        <v>6150</v>
      </c>
      <c r="N875" s="17">
        <v>32590</v>
      </c>
      <c r="O875" s="17">
        <f>Table1[[#This Row],[ LORRY RATE ]]-Table1[[#This Row],[Adance Paid (INR)]]</f>
        <v>0</v>
      </c>
      <c r="P875" s="17" t="s">
        <v>147</v>
      </c>
      <c r="Q875" s="18" t="s">
        <v>1801</v>
      </c>
      <c r="R875" s="17"/>
      <c r="S875" s="18" t="s">
        <v>2782</v>
      </c>
      <c r="T875" s="18" t="s">
        <v>2782</v>
      </c>
      <c r="U875" s="15" t="s">
        <v>54</v>
      </c>
      <c r="V875" s="15" t="s">
        <v>56</v>
      </c>
      <c r="W875" s="15"/>
    </row>
    <row r="876" spans="1:23" hidden="1" x14ac:dyDescent="0.3">
      <c r="A876" s="15">
        <v>870</v>
      </c>
      <c r="B876" s="15" t="s">
        <v>2731</v>
      </c>
      <c r="C876" s="19">
        <v>46077</v>
      </c>
      <c r="D876" s="19" t="s">
        <v>56</v>
      </c>
      <c r="E876" s="21" t="s">
        <v>1644</v>
      </c>
      <c r="F876" s="21">
        <v>9902798068</v>
      </c>
      <c r="G876" s="15" t="s">
        <v>6</v>
      </c>
      <c r="H876" s="15" t="s">
        <v>1874</v>
      </c>
      <c r="I876" s="15" t="s">
        <v>2799</v>
      </c>
      <c r="J876" s="15" t="s">
        <v>172</v>
      </c>
      <c r="K876" s="16">
        <v>32820</v>
      </c>
      <c r="L876" s="16">
        <v>40320</v>
      </c>
      <c r="M876" s="17">
        <f>Table1[[#This Row],[Billing Rate Charges]]-Table1[[#This Row],[ LORRY RATE ]]</f>
        <v>7500</v>
      </c>
      <c r="N876" s="17">
        <v>32820</v>
      </c>
      <c r="O876" s="17">
        <f>Table1[[#This Row],[ LORRY RATE ]]-Table1[[#This Row],[Adance Paid (INR)]]</f>
        <v>0</v>
      </c>
      <c r="P876" s="17" t="s">
        <v>147</v>
      </c>
      <c r="Q876" s="18" t="s">
        <v>1802</v>
      </c>
      <c r="R876" s="17"/>
      <c r="S876" s="18" t="s">
        <v>2783</v>
      </c>
      <c r="T876" s="18" t="s">
        <v>2783</v>
      </c>
      <c r="U876" s="15" t="s">
        <v>54</v>
      </c>
      <c r="V876" s="15" t="s">
        <v>56</v>
      </c>
      <c r="W876" s="15"/>
    </row>
    <row r="877" spans="1:23" hidden="1" x14ac:dyDescent="0.3">
      <c r="A877" s="15">
        <v>871</v>
      </c>
      <c r="B877" s="15" t="s">
        <v>2731</v>
      </c>
      <c r="C877" s="19">
        <v>46077</v>
      </c>
      <c r="D877" s="19" t="s">
        <v>56</v>
      </c>
      <c r="E877" s="21" t="s">
        <v>1641</v>
      </c>
      <c r="F877" s="21">
        <v>9486716172</v>
      </c>
      <c r="G877" s="15" t="s">
        <v>1093</v>
      </c>
      <c r="H877" s="15" t="s">
        <v>2812</v>
      </c>
      <c r="I877" s="15" t="s">
        <v>6</v>
      </c>
      <c r="J877" s="15" t="s">
        <v>172</v>
      </c>
      <c r="K877" s="16">
        <v>42180</v>
      </c>
      <c r="L877" s="16">
        <v>102690</v>
      </c>
      <c r="M877" s="17">
        <f>Table1[[#This Row],[Billing Rate Charges]]-Table1[[#This Row],[ LORRY RATE ]]</f>
        <v>60510</v>
      </c>
      <c r="N877" s="17">
        <v>42180</v>
      </c>
      <c r="O877" s="17">
        <f>Table1[[#This Row],[ LORRY RATE ]]-Table1[[#This Row],[Adance Paid (INR)]]</f>
        <v>0</v>
      </c>
      <c r="P877" s="17" t="s">
        <v>147</v>
      </c>
      <c r="Q877" s="18" t="s">
        <v>1803</v>
      </c>
      <c r="R877" s="17"/>
      <c r="S877" s="18" t="s">
        <v>2782</v>
      </c>
      <c r="T877" s="18" t="s">
        <v>2783</v>
      </c>
      <c r="U877" s="15" t="s">
        <v>54</v>
      </c>
      <c r="V877" s="15" t="s">
        <v>56</v>
      </c>
      <c r="W877" s="15"/>
    </row>
    <row r="878" spans="1:23" hidden="1" x14ac:dyDescent="0.3">
      <c r="A878" s="15">
        <v>872</v>
      </c>
      <c r="B878" s="15" t="s">
        <v>2731</v>
      </c>
      <c r="C878" s="19">
        <v>46078</v>
      </c>
      <c r="D878" s="19" t="s">
        <v>51</v>
      </c>
      <c r="E878" s="21" t="s">
        <v>2589</v>
      </c>
      <c r="F878" s="21">
        <v>9656908336</v>
      </c>
      <c r="G878" s="15" t="s">
        <v>6</v>
      </c>
      <c r="H878" s="15" t="s">
        <v>1874</v>
      </c>
      <c r="I878" s="15" t="s">
        <v>2798</v>
      </c>
      <c r="J878" s="15" t="s">
        <v>172</v>
      </c>
      <c r="K878" s="16">
        <v>30150</v>
      </c>
      <c r="L878" s="16">
        <v>40320</v>
      </c>
      <c r="M878" s="17">
        <f>Table1[[#This Row],[Billing Rate Charges]]-Table1[[#This Row],[ LORRY RATE ]]</f>
        <v>10170</v>
      </c>
      <c r="N878" s="17">
        <v>30150</v>
      </c>
      <c r="O878" s="17" t="s">
        <v>1874</v>
      </c>
      <c r="P878" s="17" t="s">
        <v>147</v>
      </c>
      <c r="Q878" s="18" t="s">
        <v>1854</v>
      </c>
      <c r="R878" s="17"/>
      <c r="S878" s="18" t="s">
        <v>2788</v>
      </c>
      <c r="T878" s="18" t="s">
        <v>2788</v>
      </c>
      <c r="U878" s="15" t="s">
        <v>54</v>
      </c>
      <c r="V878" s="15" t="s">
        <v>2616</v>
      </c>
      <c r="W878" s="15"/>
    </row>
    <row r="879" spans="1:23" hidden="1" x14ac:dyDescent="0.3">
      <c r="A879" s="15">
        <v>873</v>
      </c>
      <c r="B879" s="15" t="s">
        <v>2731</v>
      </c>
      <c r="C879" s="19">
        <v>46078</v>
      </c>
      <c r="D879" s="19" t="s">
        <v>56</v>
      </c>
      <c r="E879" s="15" t="s">
        <v>60</v>
      </c>
      <c r="F879" s="15">
        <v>9589264337</v>
      </c>
      <c r="G879" s="15" t="s">
        <v>1093</v>
      </c>
      <c r="H879" s="15" t="s">
        <v>2816</v>
      </c>
      <c r="I879" s="15" t="s">
        <v>6</v>
      </c>
      <c r="J879" s="15" t="s">
        <v>172</v>
      </c>
      <c r="K879" s="16">
        <v>41230</v>
      </c>
      <c r="L879" s="16">
        <v>96390</v>
      </c>
      <c r="M879" s="17">
        <f>Table1[[#This Row],[Billing Rate Charges]]-Table1[[#This Row],[ LORRY RATE ]]</f>
        <v>55160</v>
      </c>
      <c r="N879" s="17">
        <v>41230</v>
      </c>
      <c r="O879" s="17">
        <f>Table1[[#This Row],[ LORRY RATE ]]-Table1[[#This Row],[Adance Paid (INR)]]</f>
        <v>0</v>
      </c>
      <c r="P879" s="17" t="s">
        <v>147</v>
      </c>
      <c r="Q879" s="18" t="s">
        <v>1856</v>
      </c>
      <c r="R879" s="17"/>
      <c r="S879" s="18" t="s">
        <v>2788</v>
      </c>
      <c r="T879" s="18" t="s">
        <v>2788</v>
      </c>
      <c r="U879" s="15" t="s">
        <v>54</v>
      </c>
      <c r="V879" s="15" t="s">
        <v>56</v>
      </c>
      <c r="W879" s="15"/>
    </row>
    <row r="880" spans="1:23" hidden="1" x14ac:dyDescent="0.3">
      <c r="A880" s="15">
        <v>874</v>
      </c>
      <c r="B880" s="15" t="s">
        <v>2731</v>
      </c>
      <c r="C880" s="19">
        <v>46079</v>
      </c>
      <c r="D880" s="19" t="s">
        <v>51</v>
      </c>
      <c r="E880" s="21" t="s">
        <v>2784</v>
      </c>
      <c r="F880" s="21">
        <v>9267658136</v>
      </c>
      <c r="G880" s="15" t="s">
        <v>6</v>
      </c>
      <c r="H880" s="15" t="s">
        <v>2800</v>
      </c>
      <c r="I880" s="15" t="s">
        <v>2801</v>
      </c>
      <c r="J880" s="15" t="s">
        <v>172</v>
      </c>
      <c r="K880" s="16">
        <v>33770</v>
      </c>
      <c r="L880" s="16">
        <v>46620</v>
      </c>
      <c r="M880" s="17">
        <f>Table1[[#This Row],[Billing Rate Charges]]-Table1[[#This Row],[ LORRY RATE ]]</f>
        <v>12850</v>
      </c>
      <c r="N880" s="17">
        <v>33090</v>
      </c>
      <c r="O880" s="17">
        <f>Table1[[#This Row],[ LORRY RATE ]]-Table1[[#This Row],[Adance Paid (INR)]]</f>
        <v>680</v>
      </c>
      <c r="P880" s="17" t="s">
        <v>147</v>
      </c>
      <c r="Q880" s="18" t="s">
        <v>1858</v>
      </c>
      <c r="R880" s="17"/>
      <c r="S880" s="18" t="s">
        <v>2789</v>
      </c>
      <c r="T880" s="18" t="s">
        <v>2789</v>
      </c>
      <c r="U880" s="15" t="s">
        <v>54</v>
      </c>
      <c r="V880" s="15" t="s">
        <v>213</v>
      </c>
      <c r="W880" s="15"/>
    </row>
    <row r="881" spans="1:23" hidden="1" x14ac:dyDescent="0.3">
      <c r="A881" s="15">
        <v>875</v>
      </c>
      <c r="B881" s="15" t="s">
        <v>2731</v>
      </c>
      <c r="C881" s="19">
        <v>46080</v>
      </c>
      <c r="D881" s="19" t="s">
        <v>56</v>
      </c>
      <c r="E881" s="21" t="s">
        <v>1641</v>
      </c>
      <c r="F881" s="21">
        <v>9486716172</v>
      </c>
      <c r="G881" s="15" t="s">
        <v>6</v>
      </c>
      <c r="H881" s="15" t="s">
        <v>2802</v>
      </c>
      <c r="I881" s="15" t="s">
        <v>2803</v>
      </c>
      <c r="J881" s="15" t="s">
        <v>172</v>
      </c>
      <c r="K881" s="16">
        <v>35750</v>
      </c>
      <c r="L881" s="16">
        <v>59850</v>
      </c>
      <c r="M881" s="17">
        <f>Table1[[#This Row],[Billing Rate Charges]]-Table1[[#This Row],[ LORRY RATE ]]</f>
        <v>24100</v>
      </c>
      <c r="N881" s="17">
        <v>35750</v>
      </c>
      <c r="O881" s="17">
        <f>Table1[[#This Row],[ LORRY RATE ]]-Table1[[#This Row],[Adance Paid (INR)]]</f>
        <v>0</v>
      </c>
      <c r="P881" s="17" t="s">
        <v>147</v>
      </c>
      <c r="Q881" s="18" t="s">
        <v>1859</v>
      </c>
      <c r="R881" s="17"/>
      <c r="S881" s="18" t="s">
        <v>2789</v>
      </c>
      <c r="T881" s="18" t="s">
        <v>2789</v>
      </c>
      <c r="U881" s="15" t="s">
        <v>54</v>
      </c>
      <c r="V881" s="15" t="s">
        <v>56</v>
      </c>
      <c r="W881" s="15"/>
    </row>
    <row r="882" spans="1:23" hidden="1" x14ac:dyDescent="0.3">
      <c r="A882" s="15">
        <v>876</v>
      </c>
      <c r="B882" s="15" t="s">
        <v>2731</v>
      </c>
      <c r="C882" s="19">
        <v>46081</v>
      </c>
      <c r="D882" s="19" t="s">
        <v>56</v>
      </c>
      <c r="E882" s="21" t="s">
        <v>1635</v>
      </c>
      <c r="F882" s="21">
        <v>9220186371</v>
      </c>
      <c r="G882" s="15" t="s">
        <v>1093</v>
      </c>
      <c r="H882" s="15" t="s">
        <v>2815</v>
      </c>
      <c r="I882" s="15" t="s">
        <v>6</v>
      </c>
      <c r="J882" s="15" t="s">
        <v>172</v>
      </c>
      <c r="K882" s="16">
        <v>41230</v>
      </c>
      <c r="L882" s="16">
        <v>96390</v>
      </c>
      <c r="M882" s="17">
        <f>Table1[[#This Row],[Billing Rate Charges]]-Table1[[#This Row],[ LORRY RATE ]]</f>
        <v>55160</v>
      </c>
      <c r="N882" s="17">
        <v>41230</v>
      </c>
      <c r="O882" s="17">
        <f>Table1[[#This Row],[ LORRY RATE ]]-Table1[[#This Row],[Adance Paid (INR)]]</f>
        <v>0</v>
      </c>
      <c r="P882" s="17" t="s">
        <v>147</v>
      </c>
      <c r="Q882" s="18" t="s">
        <v>1861</v>
      </c>
      <c r="R882" s="17"/>
      <c r="S882" s="18" t="s">
        <v>2789</v>
      </c>
      <c r="T882" s="18" t="s">
        <v>2789</v>
      </c>
      <c r="U882" s="15" t="s">
        <v>54</v>
      </c>
      <c r="V882" s="15" t="s">
        <v>56</v>
      </c>
      <c r="W882" s="15"/>
    </row>
    <row r="883" spans="1:23" hidden="1" x14ac:dyDescent="0.3">
      <c r="A883" s="15">
        <v>877</v>
      </c>
      <c r="B883" s="15" t="s">
        <v>2731</v>
      </c>
      <c r="C883" s="19">
        <v>46081</v>
      </c>
      <c r="D883" s="19" t="s">
        <v>56</v>
      </c>
      <c r="E883" s="21" t="s">
        <v>1644</v>
      </c>
      <c r="F883" s="21">
        <v>9793531306</v>
      </c>
      <c r="G883" s="15" t="s">
        <v>1093</v>
      </c>
      <c r="H883" s="15" t="s">
        <v>2814</v>
      </c>
      <c r="I883" s="15" t="s">
        <v>6</v>
      </c>
      <c r="J883" s="15" t="s">
        <v>172</v>
      </c>
      <c r="K883" s="16">
        <v>42180</v>
      </c>
      <c r="L883" s="16">
        <v>102690</v>
      </c>
      <c r="M883" s="17">
        <f>Table1[[#This Row],[Billing Rate Charges]]-Table1[[#This Row],[ LORRY RATE ]]</f>
        <v>60510</v>
      </c>
      <c r="N883" s="17">
        <v>42180</v>
      </c>
      <c r="O883" s="17">
        <f>Table1[[#This Row],[ LORRY RATE ]]-Table1[[#This Row],[Adance Paid (INR)]]</f>
        <v>0</v>
      </c>
      <c r="P883" s="17" t="s">
        <v>147</v>
      </c>
      <c r="Q883" s="18" t="s">
        <v>1862</v>
      </c>
      <c r="R883" s="17"/>
      <c r="S883" s="18" t="s">
        <v>2790</v>
      </c>
      <c r="T883" s="18" t="s">
        <v>2790</v>
      </c>
      <c r="U883" s="15" t="s">
        <v>54</v>
      </c>
      <c r="V883" s="15" t="s">
        <v>56</v>
      </c>
      <c r="W883" s="15"/>
    </row>
    <row r="884" spans="1:23" hidden="1" x14ac:dyDescent="0.3">
      <c r="A884" s="15">
        <v>878</v>
      </c>
      <c r="B884" s="15" t="s">
        <v>2785</v>
      </c>
      <c r="C884" s="19">
        <v>46082</v>
      </c>
      <c r="D884" s="19" t="s">
        <v>56</v>
      </c>
      <c r="E884" s="21" t="s">
        <v>60</v>
      </c>
      <c r="F884" s="21">
        <v>9589264337</v>
      </c>
      <c r="G884" s="15" t="s">
        <v>6</v>
      </c>
      <c r="H884" s="15" t="s">
        <v>2804</v>
      </c>
      <c r="I884" s="15" t="s">
        <v>2805</v>
      </c>
      <c r="J884" s="15" t="s">
        <v>172</v>
      </c>
      <c r="K884" s="16">
        <v>33770</v>
      </c>
      <c r="L884" s="16">
        <v>46620</v>
      </c>
      <c r="M884" s="17">
        <f>Table1[[#This Row],[Billing Rate Charges]]-Table1[[#This Row],[ LORRY RATE ]]</f>
        <v>12850</v>
      </c>
      <c r="N884" s="17">
        <v>33770</v>
      </c>
      <c r="O884" s="17">
        <f>Table1[[#This Row],[ LORRY RATE ]]-Table1[[#This Row],[Adance Paid (INR)]]</f>
        <v>0</v>
      </c>
      <c r="P884" s="17" t="s">
        <v>147</v>
      </c>
      <c r="Q884" s="18" t="s">
        <v>1865</v>
      </c>
      <c r="R884" s="17"/>
      <c r="S884" s="18" t="s">
        <v>2791</v>
      </c>
      <c r="T884" s="18" t="s">
        <v>2791</v>
      </c>
      <c r="U884" s="15" t="s">
        <v>54</v>
      </c>
      <c r="V884" s="15" t="s">
        <v>56</v>
      </c>
      <c r="W884" s="15"/>
    </row>
    <row r="885" spans="1:23" hidden="1" x14ac:dyDescent="0.3">
      <c r="A885" s="15">
        <v>879</v>
      </c>
      <c r="B885" s="15" t="s">
        <v>2785</v>
      </c>
      <c r="C885" s="19">
        <v>46082</v>
      </c>
      <c r="D885" s="19" t="s">
        <v>56</v>
      </c>
      <c r="E885" s="21" t="s">
        <v>38</v>
      </c>
      <c r="F885" s="21">
        <v>9486716172</v>
      </c>
      <c r="G885" s="15" t="s">
        <v>1093</v>
      </c>
      <c r="H885" s="15" t="s">
        <v>2819</v>
      </c>
      <c r="I885" s="15" t="s">
        <v>6</v>
      </c>
      <c r="J885" s="15" t="s">
        <v>59</v>
      </c>
      <c r="K885" s="16">
        <v>40480</v>
      </c>
      <c r="L885" s="16">
        <v>91350</v>
      </c>
      <c r="M885" s="17">
        <f>Table1[[#This Row],[Billing Rate Charges]]-Table1[[#This Row],[ LORRY RATE ]]</f>
        <v>50870</v>
      </c>
      <c r="N885" s="17">
        <v>40480</v>
      </c>
      <c r="O885" s="17">
        <f>Table1[[#This Row],[ LORRY RATE ]]-Table1[[#This Row],[Adance Paid (INR)]]</f>
        <v>0</v>
      </c>
      <c r="P885" s="17" t="s">
        <v>147</v>
      </c>
      <c r="Q885" s="18" t="s">
        <v>1866</v>
      </c>
      <c r="R885" s="17"/>
      <c r="S885" s="18" t="s">
        <v>2790</v>
      </c>
      <c r="T885" s="18" t="s">
        <v>2790</v>
      </c>
      <c r="U885" s="15" t="s">
        <v>54</v>
      </c>
      <c r="V885" s="15" t="s">
        <v>56</v>
      </c>
      <c r="W885" s="15"/>
    </row>
    <row r="886" spans="1:23" hidden="1" x14ac:dyDescent="0.3">
      <c r="A886" s="15">
        <v>880</v>
      </c>
      <c r="B886" s="15" t="s">
        <v>2785</v>
      </c>
      <c r="C886" s="19">
        <v>46083</v>
      </c>
      <c r="D886" s="19" t="s">
        <v>56</v>
      </c>
      <c r="E886" s="21" t="s">
        <v>1635</v>
      </c>
      <c r="F886" s="21">
        <v>9281983602</v>
      </c>
      <c r="G886" s="15" t="s">
        <v>6</v>
      </c>
      <c r="H886" s="15" t="s">
        <v>2806</v>
      </c>
      <c r="I886" s="15" t="s">
        <v>2807</v>
      </c>
      <c r="J886" s="15" t="s">
        <v>172</v>
      </c>
      <c r="K886" s="16">
        <v>33770</v>
      </c>
      <c r="L886" s="16">
        <v>46620</v>
      </c>
      <c r="M886" s="17">
        <f>Table1[[#This Row],[Billing Rate Charges]]-Table1[[#This Row],[ LORRY RATE ]]</f>
        <v>12850</v>
      </c>
      <c r="N886" s="17">
        <v>33770</v>
      </c>
      <c r="O886" s="17">
        <f>Table1[[#This Row],[ LORRY RATE ]]-Table1[[#This Row],[Adance Paid (INR)]]</f>
        <v>0</v>
      </c>
      <c r="P886" s="17" t="s">
        <v>147</v>
      </c>
      <c r="Q886" s="18" t="s">
        <v>1867</v>
      </c>
      <c r="R886" s="17"/>
      <c r="S886" s="18" t="s">
        <v>2792</v>
      </c>
      <c r="T886" s="18" t="s">
        <v>2792</v>
      </c>
      <c r="U886" s="15" t="s">
        <v>54</v>
      </c>
      <c r="V886" s="15" t="s">
        <v>56</v>
      </c>
      <c r="W886" s="15"/>
    </row>
    <row r="887" spans="1:23" hidden="1" x14ac:dyDescent="0.3">
      <c r="A887" s="15">
        <v>881</v>
      </c>
      <c r="B887" s="15" t="s">
        <v>2785</v>
      </c>
      <c r="C887" s="19">
        <v>46083</v>
      </c>
      <c r="D887" s="19" t="s">
        <v>51</v>
      </c>
      <c r="E887" s="21" t="s">
        <v>2786</v>
      </c>
      <c r="F887" s="21">
        <v>9831839088</v>
      </c>
      <c r="G887" s="15" t="s">
        <v>1093</v>
      </c>
      <c r="H887" s="15" t="s">
        <v>2820</v>
      </c>
      <c r="I887" s="15" t="s">
        <v>6</v>
      </c>
      <c r="J887" s="15" t="s">
        <v>172</v>
      </c>
      <c r="K887" s="16">
        <v>65330</v>
      </c>
      <c r="L887" s="16">
        <v>96390</v>
      </c>
      <c r="M887" s="17">
        <f>Table1[[#This Row],[Billing Rate Charges]]-Table1[[#This Row],[ LORRY RATE ]]</f>
        <v>31060</v>
      </c>
      <c r="N887" s="17">
        <v>65330</v>
      </c>
      <c r="O887" s="17">
        <f>Table1[[#This Row],[ LORRY RATE ]]-Table1[[#This Row],[Adance Paid (INR)]]</f>
        <v>0</v>
      </c>
      <c r="P887" s="17" t="s">
        <v>147</v>
      </c>
      <c r="Q887" s="18" t="s">
        <v>1855</v>
      </c>
      <c r="R887" s="17"/>
      <c r="S887" s="18" t="s">
        <v>2793</v>
      </c>
      <c r="T887" s="18" t="s">
        <v>2792</v>
      </c>
      <c r="U887" s="15" t="s">
        <v>54</v>
      </c>
      <c r="V887" s="15" t="s">
        <v>2616</v>
      </c>
      <c r="W887" s="15"/>
    </row>
    <row r="888" spans="1:23" hidden="1" x14ac:dyDescent="0.3">
      <c r="A888" s="15">
        <v>882</v>
      </c>
      <c r="B888" s="15" t="s">
        <v>2785</v>
      </c>
      <c r="C888" s="19">
        <v>46085</v>
      </c>
      <c r="D888" s="19" t="s">
        <v>56</v>
      </c>
      <c r="E888" s="21" t="s">
        <v>1641</v>
      </c>
      <c r="F888" s="21">
        <v>9486716172</v>
      </c>
      <c r="G888" s="15" t="s">
        <v>1093</v>
      </c>
      <c r="H888" s="15" t="s">
        <v>2813</v>
      </c>
      <c r="I888" s="15" t="s">
        <v>6</v>
      </c>
      <c r="J888" s="15" t="s">
        <v>172</v>
      </c>
      <c r="K888" s="16">
        <v>41230</v>
      </c>
      <c r="L888" s="16">
        <v>96390</v>
      </c>
      <c r="M888" s="17">
        <f>Table1[[#This Row],[Billing Rate Charges]]-Table1[[#This Row],[ LORRY RATE ]]</f>
        <v>55160</v>
      </c>
      <c r="N888" s="17">
        <v>41230</v>
      </c>
      <c r="O888" s="17">
        <f>Table1[[#This Row],[ LORRY RATE ]]-Table1[[#This Row],[Adance Paid (INR)]]</f>
        <v>0</v>
      </c>
      <c r="P888" s="17" t="s">
        <v>147</v>
      </c>
      <c r="Q888" s="18" t="s">
        <v>1857</v>
      </c>
      <c r="R888" s="17"/>
      <c r="S888" s="18" t="s">
        <v>2794</v>
      </c>
      <c r="T888" s="18" t="s">
        <v>2794</v>
      </c>
      <c r="U888" s="15" t="s">
        <v>54</v>
      </c>
      <c r="V888" s="15" t="s">
        <v>56</v>
      </c>
      <c r="W888" s="15"/>
    </row>
    <row r="889" spans="1:23" hidden="1" x14ac:dyDescent="0.3">
      <c r="A889" s="15">
        <v>883</v>
      </c>
      <c r="B889" s="15" t="s">
        <v>2785</v>
      </c>
      <c r="C889" s="19">
        <v>46087</v>
      </c>
      <c r="D889" s="19" t="s">
        <v>56</v>
      </c>
      <c r="E889" s="21" t="s">
        <v>60</v>
      </c>
      <c r="F889" s="21">
        <v>9589264337</v>
      </c>
      <c r="G889" s="15" t="s">
        <v>1093</v>
      </c>
      <c r="H889" s="15" t="s">
        <v>2817</v>
      </c>
      <c r="I889" s="15" t="s">
        <v>6</v>
      </c>
      <c r="J889" s="15" t="s">
        <v>172</v>
      </c>
      <c r="K889" s="16">
        <v>42180</v>
      </c>
      <c r="L889" s="16">
        <v>102690</v>
      </c>
      <c r="M889" s="17">
        <f>Table1[[#This Row],[Billing Rate Charges]]-Table1[[#This Row],[ LORRY RATE ]]</f>
        <v>60510</v>
      </c>
      <c r="N889" s="17">
        <v>42180</v>
      </c>
      <c r="O889" s="17">
        <f>Table1[[#This Row],[ LORRY RATE ]]-Table1[[#This Row],[Adance Paid (INR)]]</f>
        <v>0</v>
      </c>
      <c r="P889" s="17" t="s">
        <v>147</v>
      </c>
      <c r="Q889" s="18" t="s">
        <v>1868</v>
      </c>
      <c r="R889" s="17"/>
      <c r="S889" s="18" t="s">
        <v>2795</v>
      </c>
      <c r="T889" s="18" t="s">
        <v>2795</v>
      </c>
      <c r="U889" s="15" t="s">
        <v>54</v>
      </c>
      <c r="V889" s="15" t="s">
        <v>56</v>
      </c>
      <c r="W889" s="15"/>
    </row>
    <row r="890" spans="1:23" hidden="1" x14ac:dyDescent="0.3">
      <c r="A890" s="15">
        <v>884</v>
      </c>
      <c r="B890" s="15" t="s">
        <v>2785</v>
      </c>
      <c r="C890" s="19">
        <v>46088</v>
      </c>
      <c r="D890" s="19" t="s">
        <v>56</v>
      </c>
      <c r="E890" s="21" t="s">
        <v>1644</v>
      </c>
      <c r="F890" s="21">
        <v>9902798068</v>
      </c>
      <c r="G890" s="15" t="s">
        <v>6</v>
      </c>
      <c r="H890" s="15" t="s">
        <v>2808</v>
      </c>
      <c r="I890" s="15" t="s">
        <v>2809</v>
      </c>
      <c r="J890" s="15" t="s">
        <v>172</v>
      </c>
      <c r="K890" s="16">
        <v>33770</v>
      </c>
      <c r="L890" s="16">
        <v>46620</v>
      </c>
      <c r="M890" s="17">
        <f>Table1[[#This Row],[Billing Rate Charges]]-Table1[[#This Row],[ LORRY RATE ]]</f>
        <v>12850</v>
      </c>
      <c r="N890" s="17">
        <v>33770</v>
      </c>
      <c r="O890" s="17">
        <f>Table1[[#This Row],[ LORRY RATE ]]-Table1[[#This Row],[Adance Paid (INR)]]</f>
        <v>0</v>
      </c>
      <c r="P890" s="17" t="s">
        <v>147</v>
      </c>
      <c r="Q890" s="18" t="s">
        <v>1864</v>
      </c>
      <c r="R890" s="17"/>
      <c r="S890" s="18" t="s">
        <v>2795</v>
      </c>
      <c r="T890" s="18" t="s">
        <v>2795</v>
      </c>
      <c r="U890" s="15" t="s">
        <v>54</v>
      </c>
      <c r="V890" s="15" t="s">
        <v>56</v>
      </c>
      <c r="W890" s="15"/>
    </row>
    <row r="891" spans="1:23" hidden="1" x14ac:dyDescent="0.3">
      <c r="A891" s="15">
        <v>885</v>
      </c>
      <c r="B891" s="15" t="s">
        <v>2785</v>
      </c>
      <c r="C891" s="19">
        <v>46089</v>
      </c>
      <c r="D891" s="19" t="s">
        <v>56</v>
      </c>
      <c r="E891" s="21" t="s">
        <v>1637</v>
      </c>
      <c r="F891" s="21">
        <v>9025368773</v>
      </c>
      <c r="G891" s="15" t="s">
        <v>6</v>
      </c>
      <c r="H891" s="15" t="s">
        <v>2810</v>
      </c>
      <c r="I891" s="15" t="s">
        <v>2811</v>
      </c>
      <c r="J891" s="15" t="s">
        <v>172</v>
      </c>
      <c r="K891" s="16">
        <v>33770</v>
      </c>
      <c r="L891" s="16">
        <v>46620</v>
      </c>
      <c r="M891" s="17">
        <f>Table1[[#This Row],[Billing Rate Charges]]-Table1[[#This Row],[ LORRY RATE ]]</f>
        <v>12850</v>
      </c>
      <c r="N891" s="17">
        <v>33770</v>
      </c>
      <c r="O891" s="17">
        <f>Table1[[#This Row],[ LORRY RATE ]]-Table1[[#This Row],[Adance Paid (INR)]]</f>
        <v>0</v>
      </c>
      <c r="P891" s="17" t="s">
        <v>147</v>
      </c>
      <c r="Q891" s="18" t="s">
        <v>1860</v>
      </c>
      <c r="R891" s="17"/>
      <c r="S891" s="18" t="s">
        <v>2818</v>
      </c>
      <c r="T891" s="18" t="s">
        <v>2818</v>
      </c>
      <c r="U891" s="15" t="s">
        <v>54</v>
      </c>
      <c r="V891" s="15" t="s">
        <v>56</v>
      </c>
      <c r="W891" s="15"/>
    </row>
    <row r="892" spans="1:23" hidden="1" x14ac:dyDescent="0.3">
      <c r="A892" s="15">
        <v>886</v>
      </c>
      <c r="B892" s="15" t="s">
        <v>2785</v>
      </c>
      <c r="C892" s="19">
        <v>46091</v>
      </c>
      <c r="D892" s="19" t="s">
        <v>56</v>
      </c>
      <c r="E892" s="21" t="s">
        <v>38</v>
      </c>
      <c r="F892" s="21">
        <v>9515412075</v>
      </c>
      <c r="G892" s="15" t="s">
        <v>6</v>
      </c>
      <c r="H892" s="15" t="s">
        <v>2716</v>
      </c>
      <c r="I892" s="15" t="s">
        <v>2824</v>
      </c>
      <c r="J892" s="15" t="s">
        <v>59</v>
      </c>
      <c r="K892" s="16">
        <v>33530</v>
      </c>
      <c r="L892" s="16">
        <v>45040</v>
      </c>
      <c r="M892" s="17">
        <f>Table1[[#This Row],[Billing Rate Charges]]-Table1[[#This Row],[ LORRY RATE ]]</f>
        <v>11510</v>
      </c>
      <c r="N892" s="17">
        <v>33530</v>
      </c>
      <c r="O892" s="17">
        <f>Table1[[#This Row],[ LORRY RATE ]]-Table1[[#This Row],[Adance Paid (INR)]]</f>
        <v>0</v>
      </c>
      <c r="P892" s="17" t="s">
        <v>147</v>
      </c>
      <c r="Q892" s="18" t="s">
        <v>1869</v>
      </c>
      <c r="R892" s="17"/>
      <c r="S892" s="18" t="s">
        <v>2821</v>
      </c>
      <c r="T892" s="18" t="s">
        <v>2821</v>
      </c>
      <c r="U892" s="15" t="s">
        <v>54</v>
      </c>
      <c r="V892" s="15" t="s">
        <v>56</v>
      </c>
      <c r="W892" s="15"/>
    </row>
    <row r="893" spans="1:23" hidden="1" x14ac:dyDescent="0.3">
      <c r="A893" s="15">
        <v>887</v>
      </c>
      <c r="B893" s="15" t="s">
        <v>2785</v>
      </c>
      <c r="C893" s="19">
        <v>46092</v>
      </c>
      <c r="D893" s="19" t="s">
        <v>56</v>
      </c>
      <c r="E893" s="21" t="s">
        <v>1635</v>
      </c>
      <c r="F893" s="21">
        <v>9281983602</v>
      </c>
      <c r="G893" s="15" t="s">
        <v>1093</v>
      </c>
      <c r="H893" s="15" t="s">
        <v>2822</v>
      </c>
      <c r="I893" s="15" t="s">
        <v>6</v>
      </c>
      <c r="J893" s="15" t="s">
        <v>172</v>
      </c>
      <c r="K893" s="16">
        <v>41230</v>
      </c>
      <c r="L893" s="16">
        <v>96390</v>
      </c>
      <c r="M893" s="17">
        <f>Table1[[#This Row],[Billing Rate Charges]]-Table1[[#This Row],[ LORRY RATE ]]</f>
        <v>55160</v>
      </c>
      <c r="N893" s="17">
        <v>41230</v>
      </c>
      <c r="O893" s="17">
        <f>Table1[[#This Row],[ LORRY RATE ]]-Table1[[#This Row],[Adance Paid (INR)]]</f>
        <v>0</v>
      </c>
      <c r="P893" s="17" t="s">
        <v>147</v>
      </c>
      <c r="Q893" s="18" t="s">
        <v>1870</v>
      </c>
      <c r="R893" s="17"/>
      <c r="S893" s="18" t="s">
        <v>2821</v>
      </c>
      <c r="T893" s="18" t="s">
        <v>2821</v>
      </c>
      <c r="U893" s="15" t="s">
        <v>54</v>
      </c>
      <c r="V893" s="15" t="s">
        <v>56</v>
      </c>
      <c r="W893" s="15"/>
    </row>
    <row r="894" spans="1:23" hidden="1" x14ac:dyDescent="0.3">
      <c r="A894" s="15">
        <v>888</v>
      </c>
      <c r="B894" s="15" t="s">
        <v>2785</v>
      </c>
      <c r="C894" s="19">
        <v>46093</v>
      </c>
      <c r="D894" s="19" t="s">
        <v>56</v>
      </c>
      <c r="E894" s="15" t="s">
        <v>1641</v>
      </c>
      <c r="F894" s="15">
        <v>9486716172</v>
      </c>
      <c r="G894" s="15" t="s">
        <v>6</v>
      </c>
      <c r="H894" s="15" t="s">
        <v>2826</v>
      </c>
      <c r="I894" s="15" t="s">
        <v>2823</v>
      </c>
      <c r="J894" s="15" t="s">
        <v>172</v>
      </c>
      <c r="K894" s="16">
        <v>33770</v>
      </c>
      <c r="L894" s="16">
        <v>46620</v>
      </c>
      <c r="M894" s="17">
        <f>Table1[[#This Row],[Billing Rate Charges]]-Table1[[#This Row],[ LORRY RATE ]]</f>
        <v>12850</v>
      </c>
      <c r="N894" s="17">
        <v>33770</v>
      </c>
      <c r="O894" s="17">
        <f>Table1[[#This Row],[ LORRY RATE ]]-Table1[[#This Row],[Adance Paid (INR)]]</f>
        <v>0</v>
      </c>
      <c r="P894" s="17" t="s">
        <v>147</v>
      </c>
      <c r="Q894" s="18" t="s">
        <v>1871</v>
      </c>
      <c r="R894" s="17"/>
      <c r="S894" s="18" t="s">
        <v>2827</v>
      </c>
      <c r="T894" s="18" t="s">
        <v>2827</v>
      </c>
      <c r="U894" s="15" t="s">
        <v>54</v>
      </c>
      <c r="V894" s="15" t="s">
        <v>56</v>
      </c>
      <c r="W894" s="15"/>
    </row>
    <row r="895" spans="1:23" hidden="1" x14ac:dyDescent="0.3">
      <c r="A895" s="15">
        <v>889</v>
      </c>
      <c r="B895" s="15" t="s">
        <v>2785</v>
      </c>
      <c r="C895" s="19">
        <v>46093</v>
      </c>
      <c r="D895" s="19" t="s">
        <v>56</v>
      </c>
      <c r="E895" s="15" t="s">
        <v>1644</v>
      </c>
      <c r="F895" s="15">
        <v>9902798068</v>
      </c>
      <c r="G895" s="15" t="s">
        <v>1093</v>
      </c>
      <c r="H895" s="15" t="s">
        <v>2825</v>
      </c>
      <c r="I895" s="15" t="s">
        <v>6</v>
      </c>
      <c r="J895" s="15" t="s">
        <v>172</v>
      </c>
      <c r="K895" s="16">
        <v>42180</v>
      </c>
      <c r="L895" s="16">
        <v>102690</v>
      </c>
      <c r="M895" s="17">
        <f>Table1[[#This Row],[Billing Rate Charges]]-Table1[[#This Row],[ LORRY RATE ]]</f>
        <v>60510</v>
      </c>
      <c r="N895" s="17">
        <v>42180</v>
      </c>
      <c r="O895" s="17">
        <f>Table1[[#This Row],[ LORRY RATE ]]-Table1[[#This Row],[Adance Paid (INR)]]</f>
        <v>0</v>
      </c>
      <c r="P895" s="17" t="s">
        <v>147</v>
      </c>
      <c r="Q895" s="18" t="s">
        <v>1873</v>
      </c>
      <c r="R895" s="17"/>
      <c r="S895" s="18" t="s">
        <v>2828</v>
      </c>
      <c r="T895" s="18" t="s">
        <v>2829</v>
      </c>
      <c r="U895" s="15" t="s">
        <v>54</v>
      </c>
      <c r="V895" s="15" t="s">
        <v>56</v>
      </c>
      <c r="W895" s="15"/>
    </row>
    <row r="896" spans="1:23" hidden="1" x14ac:dyDescent="0.3">
      <c r="A896" s="15">
        <v>890</v>
      </c>
      <c r="B896" s="15" t="s">
        <v>2785</v>
      </c>
      <c r="C896" s="19">
        <v>46095</v>
      </c>
      <c r="D896" s="19" t="s">
        <v>56</v>
      </c>
      <c r="E896" s="21" t="s">
        <v>60</v>
      </c>
      <c r="F896" s="21">
        <v>92466897558</v>
      </c>
      <c r="G896" s="15" t="s">
        <v>6</v>
      </c>
      <c r="H896" s="15" t="s">
        <v>2832</v>
      </c>
      <c r="I896" s="15" t="s">
        <v>2833</v>
      </c>
      <c r="J896" s="15" t="s">
        <v>172</v>
      </c>
      <c r="K896" s="16">
        <v>33770</v>
      </c>
      <c r="L896" s="16">
        <v>46620</v>
      </c>
      <c r="M896" s="17">
        <f>Table1[[#This Row],[Billing Rate Charges]]-Table1[[#This Row],[ LORRY RATE ]]</f>
        <v>12850</v>
      </c>
      <c r="N896" s="17">
        <v>33770</v>
      </c>
      <c r="O896" s="17">
        <f>Table1[[#This Row],[ LORRY RATE ]]-Table1[[#This Row],[Adance Paid (INR)]]</f>
        <v>0</v>
      </c>
      <c r="P896" s="17" t="s">
        <v>147</v>
      </c>
      <c r="Q896" s="18" t="s">
        <v>2841</v>
      </c>
      <c r="R896" s="17"/>
      <c r="S896" s="18" t="s">
        <v>2830</v>
      </c>
      <c r="T896" s="18" t="s">
        <v>2830</v>
      </c>
      <c r="U896" s="15" t="s">
        <v>54</v>
      </c>
      <c r="V896" s="15" t="s">
        <v>56</v>
      </c>
      <c r="W896" s="15"/>
    </row>
    <row r="897" spans="1:23" hidden="1" x14ac:dyDescent="0.3">
      <c r="A897" s="15">
        <v>891</v>
      </c>
      <c r="B897" s="15" t="s">
        <v>2785</v>
      </c>
      <c r="C897" s="19">
        <v>46096</v>
      </c>
      <c r="D897" s="19" t="s">
        <v>56</v>
      </c>
      <c r="E897" s="21" t="s">
        <v>1635</v>
      </c>
      <c r="F897" s="21">
        <v>9281983602</v>
      </c>
      <c r="G897" s="15" t="s">
        <v>6</v>
      </c>
      <c r="H897" s="15" t="s">
        <v>1874</v>
      </c>
      <c r="I897" s="15" t="s">
        <v>2834</v>
      </c>
      <c r="J897" s="15" t="s">
        <v>172</v>
      </c>
      <c r="K897" s="16">
        <v>32820</v>
      </c>
      <c r="L897" s="16">
        <v>40320</v>
      </c>
      <c r="M897" s="17">
        <f>Table1[[#This Row],[Billing Rate Charges]]-Table1[[#This Row],[ LORRY RATE ]]</f>
        <v>7500</v>
      </c>
      <c r="N897" s="17">
        <v>32820</v>
      </c>
      <c r="O897" s="17">
        <f>Table1[[#This Row],[ LORRY RATE ]]-Table1[[#This Row],[Adance Paid (INR)]]</f>
        <v>0</v>
      </c>
      <c r="P897" s="17" t="s">
        <v>147</v>
      </c>
      <c r="Q897" s="18" t="s">
        <v>2842</v>
      </c>
      <c r="R897" s="17"/>
      <c r="S897" s="18" t="s">
        <v>2847</v>
      </c>
      <c r="T897" s="18" t="s">
        <v>2847</v>
      </c>
      <c r="U897" s="15" t="s">
        <v>54</v>
      </c>
      <c r="V897" s="15" t="s">
        <v>56</v>
      </c>
      <c r="W897" s="15"/>
    </row>
    <row r="898" spans="1:23" hidden="1" x14ac:dyDescent="0.3">
      <c r="A898" s="15">
        <v>892</v>
      </c>
      <c r="B898" s="15" t="s">
        <v>2785</v>
      </c>
      <c r="C898" s="19">
        <v>46096</v>
      </c>
      <c r="D898" s="19" t="s">
        <v>56</v>
      </c>
      <c r="E898" s="21" t="s">
        <v>38</v>
      </c>
      <c r="F898" s="21">
        <v>9486716172</v>
      </c>
      <c r="G898" s="15" t="s">
        <v>1093</v>
      </c>
      <c r="H898" s="15" t="s">
        <v>2839</v>
      </c>
      <c r="I898" s="15" t="s">
        <v>6</v>
      </c>
      <c r="J898" s="15" t="s">
        <v>59</v>
      </c>
      <c r="K898" s="16">
        <v>40480</v>
      </c>
      <c r="L898" s="16">
        <v>91350</v>
      </c>
      <c r="M898" s="17">
        <f>Table1[[#This Row],[Billing Rate Charges]]-Table1[[#This Row],[ LORRY RATE ]]</f>
        <v>50870</v>
      </c>
      <c r="N898" s="17">
        <v>40480</v>
      </c>
      <c r="O898" s="17">
        <f>Table1[[#This Row],[ LORRY RATE ]]-Table1[[#This Row],[Adance Paid (INR)]]</f>
        <v>0</v>
      </c>
      <c r="P898" s="17" t="s">
        <v>147</v>
      </c>
      <c r="Q898" s="18" t="s">
        <v>2843</v>
      </c>
      <c r="R898" s="17"/>
      <c r="S898" s="18" t="s">
        <v>2831</v>
      </c>
      <c r="T898" s="18" t="s">
        <v>2831</v>
      </c>
      <c r="U898" s="15" t="s">
        <v>54</v>
      </c>
      <c r="V898" s="15" t="s">
        <v>56</v>
      </c>
      <c r="W898" s="15"/>
    </row>
    <row r="899" spans="1:23" hidden="1" x14ac:dyDescent="0.3">
      <c r="A899" s="15">
        <v>893</v>
      </c>
      <c r="B899" s="15" t="s">
        <v>2785</v>
      </c>
      <c r="C899" s="19">
        <v>46097</v>
      </c>
      <c r="D899" s="19" t="s">
        <v>56</v>
      </c>
      <c r="E899" s="15" t="s">
        <v>1644</v>
      </c>
      <c r="F899" s="15">
        <v>9793531306</v>
      </c>
      <c r="G899" s="15" t="s">
        <v>6</v>
      </c>
      <c r="H899" s="15" t="s">
        <v>2835</v>
      </c>
      <c r="I899" s="15" t="s">
        <v>2836</v>
      </c>
      <c r="J899" s="15" t="s">
        <v>172</v>
      </c>
      <c r="K899" s="16">
        <v>33770</v>
      </c>
      <c r="L899" s="16">
        <v>46620</v>
      </c>
      <c r="M899" s="17">
        <f>Table1[[#This Row],[Billing Rate Charges]]-Table1[[#This Row],[ LORRY RATE ]]</f>
        <v>12850</v>
      </c>
      <c r="N899" s="17">
        <v>33770</v>
      </c>
      <c r="O899" s="17">
        <f>Table1[[#This Row],[ LORRY RATE ]]-Table1[[#This Row],[Adance Paid (INR)]]</f>
        <v>0</v>
      </c>
      <c r="P899" s="17" t="s">
        <v>147</v>
      </c>
      <c r="Q899" s="18" t="s">
        <v>2844</v>
      </c>
      <c r="R899" s="17"/>
      <c r="S899" s="18" t="s">
        <v>2848</v>
      </c>
      <c r="T899" s="18" t="s">
        <v>2848</v>
      </c>
      <c r="U899" s="15" t="s">
        <v>54</v>
      </c>
      <c r="V899" s="15" t="s">
        <v>56</v>
      </c>
      <c r="W899" s="15"/>
    </row>
    <row r="900" spans="1:23" hidden="1" x14ac:dyDescent="0.3">
      <c r="A900" s="15">
        <v>894</v>
      </c>
      <c r="B900" s="15" t="s">
        <v>2785</v>
      </c>
      <c r="C900" s="19">
        <v>46098</v>
      </c>
      <c r="D900" s="19" t="s">
        <v>56</v>
      </c>
      <c r="E900" s="15" t="s">
        <v>1637</v>
      </c>
      <c r="F900" s="15">
        <v>9025368773</v>
      </c>
      <c r="G900" s="15" t="s">
        <v>6</v>
      </c>
      <c r="H900" s="15" t="s">
        <v>2837</v>
      </c>
      <c r="I900" s="15" t="s">
        <v>2838</v>
      </c>
      <c r="J900" s="15" t="s">
        <v>172</v>
      </c>
      <c r="K900" s="16">
        <v>33770</v>
      </c>
      <c r="L900" s="16">
        <v>46620</v>
      </c>
      <c r="M900" s="17">
        <f>Table1[[#This Row],[Billing Rate Charges]]-Table1[[#This Row],[ LORRY RATE ]]</f>
        <v>12850</v>
      </c>
      <c r="N900" s="17">
        <v>33770</v>
      </c>
      <c r="O900" s="17">
        <f>Table1[[#This Row],[ LORRY RATE ]]-Table1[[#This Row],[Adance Paid (INR)]]</f>
        <v>0</v>
      </c>
      <c r="P900" s="17" t="s">
        <v>147</v>
      </c>
      <c r="Q900" s="18" t="s">
        <v>2845</v>
      </c>
      <c r="R900" s="17"/>
      <c r="S900" s="18" t="s">
        <v>2847</v>
      </c>
      <c r="T900" s="18" t="s">
        <v>2847</v>
      </c>
      <c r="U900" s="15" t="s">
        <v>54</v>
      </c>
      <c r="V900" s="15" t="s">
        <v>56</v>
      </c>
      <c r="W900" s="15"/>
    </row>
    <row r="901" spans="1:23" hidden="1" x14ac:dyDescent="0.3">
      <c r="A901" s="15">
        <v>895</v>
      </c>
      <c r="B901" s="15" t="s">
        <v>2785</v>
      </c>
      <c r="C901" s="19">
        <v>46100</v>
      </c>
      <c r="D901" s="19" t="s">
        <v>56</v>
      </c>
      <c r="E901" s="15" t="s">
        <v>60</v>
      </c>
      <c r="F901" s="15">
        <v>9589264337</v>
      </c>
      <c r="G901" s="15" t="s">
        <v>1093</v>
      </c>
      <c r="H901" s="15" t="s">
        <v>2840</v>
      </c>
      <c r="I901" s="15" t="s">
        <v>6</v>
      </c>
      <c r="J901" s="15" t="s">
        <v>172</v>
      </c>
      <c r="K901" s="16">
        <v>43120</v>
      </c>
      <c r="L901" s="16">
        <v>108990</v>
      </c>
      <c r="M901" s="17">
        <f>Table1[[#This Row],[Billing Rate Charges]]-Table1[[#This Row],[ LORRY RATE ]]</f>
        <v>65870</v>
      </c>
      <c r="N901" s="17">
        <v>43120</v>
      </c>
      <c r="O901" s="17">
        <f>Table1[[#This Row],[ LORRY RATE ]]-Table1[[#This Row],[Adance Paid (INR)]]</f>
        <v>0</v>
      </c>
      <c r="P901" s="17" t="s">
        <v>147</v>
      </c>
      <c r="Q901" s="18" t="s">
        <v>2846</v>
      </c>
      <c r="R901" s="17"/>
      <c r="S901" s="18" t="s">
        <v>2849</v>
      </c>
      <c r="T901" s="18" t="s">
        <v>2849</v>
      </c>
      <c r="U901" s="15" t="s">
        <v>54</v>
      </c>
      <c r="V901" s="15" t="s">
        <v>56</v>
      </c>
      <c r="W901" s="15"/>
    </row>
    <row r="902" spans="1:23" hidden="1" x14ac:dyDescent="0.3">
      <c r="A902" s="15">
        <v>896</v>
      </c>
      <c r="B902" s="15" t="s">
        <v>2785</v>
      </c>
      <c r="C902" s="19">
        <v>46101</v>
      </c>
      <c r="D902" s="19" t="s">
        <v>56</v>
      </c>
      <c r="E902" s="15" t="s">
        <v>1641</v>
      </c>
      <c r="F902" s="15">
        <v>9486716172</v>
      </c>
      <c r="G902" s="15" t="s">
        <v>6</v>
      </c>
      <c r="H902" s="15" t="s">
        <v>2863</v>
      </c>
      <c r="I902" s="15" t="s">
        <v>2862</v>
      </c>
      <c r="J902" s="15" t="s">
        <v>172</v>
      </c>
      <c r="K902" s="16">
        <v>35750</v>
      </c>
      <c r="L902" s="16">
        <v>59850</v>
      </c>
      <c r="M902" s="17">
        <f>Table1[[#This Row],[Billing Rate Charges]]-Table1[[#This Row],[ LORRY RATE ]]</f>
        <v>24100</v>
      </c>
      <c r="N902" s="17">
        <v>35750</v>
      </c>
      <c r="O902" s="17">
        <f>Table1[[#This Row],[ LORRY RATE ]]-Table1[[#This Row],[Adance Paid (INR)]]</f>
        <v>0</v>
      </c>
      <c r="P902" s="17" t="s">
        <v>147</v>
      </c>
      <c r="Q902" s="18" t="s">
        <v>2879</v>
      </c>
      <c r="R902" s="17"/>
      <c r="S902" s="18" t="s">
        <v>2851</v>
      </c>
      <c r="T902" s="18" t="s">
        <v>2851</v>
      </c>
      <c r="U902" s="15" t="s">
        <v>54</v>
      </c>
      <c r="V902" s="15" t="s">
        <v>56</v>
      </c>
      <c r="W902" s="15"/>
    </row>
    <row r="903" spans="1:23" hidden="1" x14ac:dyDescent="0.3">
      <c r="A903" s="15">
        <v>897</v>
      </c>
      <c r="B903" s="15" t="s">
        <v>2785</v>
      </c>
      <c r="C903" s="19">
        <v>46101</v>
      </c>
      <c r="D903" s="19" t="s">
        <v>51</v>
      </c>
      <c r="E903" s="21" t="s">
        <v>1218</v>
      </c>
      <c r="F903" s="21">
        <v>9542438212</v>
      </c>
      <c r="G903" s="15" t="s">
        <v>6</v>
      </c>
      <c r="H903" s="15" t="s">
        <v>1874</v>
      </c>
      <c r="I903" s="15" t="s">
        <v>2880</v>
      </c>
      <c r="J903" s="15" t="s">
        <v>172</v>
      </c>
      <c r="K903" s="16">
        <v>32820</v>
      </c>
      <c r="L903" s="16">
        <v>40320</v>
      </c>
      <c r="M903" s="17">
        <f>Table1[[#This Row],[Billing Rate Charges]]-Table1[[#This Row],[ LORRY RATE ]]</f>
        <v>7500</v>
      </c>
      <c r="N903" s="17">
        <v>32820</v>
      </c>
      <c r="O903" s="17">
        <f>Table1[[#This Row],[ LORRY RATE ]]-Table1[[#This Row],[Adance Paid (INR)]]</f>
        <v>0</v>
      </c>
      <c r="P903" s="17" t="s">
        <v>147</v>
      </c>
      <c r="Q903" s="18" t="s">
        <v>2881</v>
      </c>
      <c r="R903" s="17"/>
      <c r="S903" s="18" t="s">
        <v>2851</v>
      </c>
      <c r="T903" s="18" t="s">
        <v>2851</v>
      </c>
      <c r="U903" s="15" t="s">
        <v>54</v>
      </c>
      <c r="V903" s="15" t="s">
        <v>213</v>
      </c>
      <c r="W903" s="15"/>
    </row>
    <row r="904" spans="1:23" hidden="1" x14ac:dyDescent="0.3">
      <c r="A904" s="15">
        <v>898</v>
      </c>
      <c r="B904" s="15" t="s">
        <v>2785</v>
      </c>
      <c r="C904" s="19">
        <v>46101</v>
      </c>
      <c r="D904" s="19" t="s">
        <v>51</v>
      </c>
      <c r="E904" s="21" t="s">
        <v>2850</v>
      </c>
      <c r="F904" s="21">
        <v>9482516734</v>
      </c>
      <c r="G904" s="15" t="s">
        <v>6</v>
      </c>
      <c r="H904" s="15" t="s">
        <v>2864</v>
      </c>
      <c r="I904" s="15" t="s">
        <v>2865</v>
      </c>
      <c r="J904" s="15" t="s">
        <v>172</v>
      </c>
      <c r="K904" s="16">
        <v>33770</v>
      </c>
      <c r="L904" s="16">
        <v>46620</v>
      </c>
      <c r="M904" s="17">
        <f>Table1[[#This Row],[Billing Rate Charges]]-Table1[[#This Row],[ LORRY RATE ]]</f>
        <v>12850</v>
      </c>
      <c r="N904" s="17">
        <v>33770</v>
      </c>
      <c r="O904" s="17">
        <f>Table1[[#This Row],[ LORRY RATE ]]-Table1[[#This Row],[Adance Paid (INR)]]</f>
        <v>0</v>
      </c>
      <c r="P904" s="17" t="s">
        <v>147</v>
      </c>
      <c r="Q904" s="18" t="s">
        <v>2882</v>
      </c>
      <c r="R904" s="17"/>
      <c r="S904" s="18" t="s">
        <v>2851</v>
      </c>
      <c r="T904" s="18" t="s">
        <v>2851</v>
      </c>
      <c r="U904" s="15" t="s">
        <v>54</v>
      </c>
      <c r="V904" s="15" t="s">
        <v>213</v>
      </c>
      <c r="W904" s="15"/>
    </row>
    <row r="905" spans="1:23" hidden="1" x14ac:dyDescent="0.3">
      <c r="A905" s="15">
        <v>899</v>
      </c>
      <c r="B905" s="15" t="s">
        <v>2785</v>
      </c>
      <c r="C905" s="19">
        <v>46104</v>
      </c>
      <c r="D905" s="19" t="s">
        <v>56</v>
      </c>
      <c r="E905" s="15" t="s">
        <v>60</v>
      </c>
      <c r="F905" s="15">
        <v>9589264337</v>
      </c>
      <c r="G905" s="15" t="s">
        <v>6</v>
      </c>
      <c r="H905" s="15" t="s">
        <v>2866</v>
      </c>
      <c r="I905" s="15" t="s">
        <v>2867</v>
      </c>
      <c r="J905" s="15" t="s">
        <v>172</v>
      </c>
      <c r="K905" s="16">
        <v>33770</v>
      </c>
      <c r="L905" s="16">
        <v>46620</v>
      </c>
      <c r="M905" s="17">
        <f>Table1[[#This Row],[Billing Rate Charges]]-Table1[[#This Row],[ LORRY RATE ]]</f>
        <v>12850</v>
      </c>
      <c r="N905" s="17">
        <v>33770</v>
      </c>
      <c r="O905" s="17">
        <f>Table1[[#This Row],[ LORRY RATE ]]-Table1[[#This Row],[Adance Paid (INR)]]</f>
        <v>0</v>
      </c>
      <c r="P905" s="17" t="s">
        <v>147</v>
      </c>
      <c r="Q905" s="18" t="s">
        <v>2883</v>
      </c>
      <c r="R905" s="17"/>
      <c r="S905" s="18" t="s">
        <v>2853</v>
      </c>
      <c r="T905" s="18" t="s">
        <v>2853</v>
      </c>
      <c r="U905" s="15" t="s">
        <v>54</v>
      </c>
      <c r="V905" s="15" t="s">
        <v>56</v>
      </c>
      <c r="W905" s="15"/>
    </row>
    <row r="906" spans="1:23" hidden="1" x14ac:dyDescent="0.3">
      <c r="A906" s="15">
        <v>900</v>
      </c>
      <c r="B906" s="15" t="s">
        <v>2785</v>
      </c>
      <c r="C906" s="19">
        <v>46106</v>
      </c>
      <c r="D906" s="19" t="s">
        <v>56</v>
      </c>
      <c r="E906" s="21" t="s">
        <v>2852</v>
      </c>
      <c r="F906" s="21">
        <v>9549554553</v>
      </c>
      <c r="G906" s="15" t="s">
        <v>6</v>
      </c>
      <c r="H906" s="15" t="s">
        <v>2868</v>
      </c>
      <c r="I906" s="15" t="s">
        <v>2869</v>
      </c>
      <c r="J906" s="15" t="s">
        <v>172</v>
      </c>
      <c r="K906" s="16">
        <v>33770</v>
      </c>
      <c r="L906" s="16">
        <v>46620</v>
      </c>
      <c r="M906" s="17">
        <f>Table1[[#This Row],[Billing Rate Charges]]-Table1[[#This Row],[ LORRY RATE ]]</f>
        <v>12850</v>
      </c>
      <c r="N906" s="17">
        <v>33770</v>
      </c>
      <c r="O906" s="17" t="s">
        <v>1874</v>
      </c>
      <c r="P906" s="17" t="s">
        <v>147</v>
      </c>
      <c r="Q906" s="18" t="s">
        <v>2884</v>
      </c>
      <c r="R906" s="17"/>
      <c r="S906" s="18" t="s">
        <v>2855</v>
      </c>
      <c r="T906" s="18" t="s">
        <v>2856</v>
      </c>
      <c r="U906" s="15" t="s">
        <v>54</v>
      </c>
      <c r="V906" s="15" t="s">
        <v>213</v>
      </c>
      <c r="W906" s="15"/>
    </row>
    <row r="907" spans="1:23" hidden="1" x14ac:dyDescent="0.3">
      <c r="A907" s="15">
        <v>901</v>
      </c>
      <c r="B907" s="15" t="s">
        <v>2785</v>
      </c>
      <c r="C907" s="19">
        <v>46107</v>
      </c>
      <c r="D907" s="19" t="s">
        <v>56</v>
      </c>
      <c r="E907" s="15" t="s">
        <v>1641</v>
      </c>
      <c r="F907" s="15">
        <v>9486716172</v>
      </c>
      <c r="G907" s="15" t="s">
        <v>1093</v>
      </c>
      <c r="H907" s="15" t="s">
        <v>2861</v>
      </c>
      <c r="I907" s="15" t="s">
        <v>6</v>
      </c>
      <c r="J907" s="15" t="s">
        <v>172</v>
      </c>
      <c r="K907" s="16">
        <v>42180</v>
      </c>
      <c r="L907" s="16">
        <v>102690</v>
      </c>
      <c r="M907" s="17">
        <f>Table1[[#This Row],[Billing Rate Charges]]-Table1[[#This Row],[ LORRY RATE ]]</f>
        <v>60510</v>
      </c>
      <c r="N907" s="17">
        <v>42180</v>
      </c>
      <c r="O907" s="17">
        <f>Table1[[#This Row],[ LORRY RATE ]]-Table1[[#This Row],[Adance Paid (INR)]]</f>
        <v>0</v>
      </c>
      <c r="P907" s="17" t="s">
        <v>147</v>
      </c>
      <c r="Q907" s="18" t="s">
        <v>2885</v>
      </c>
      <c r="R907" s="17"/>
      <c r="S907" s="18" t="s">
        <v>2854</v>
      </c>
      <c r="T907" s="18" t="s">
        <v>2854</v>
      </c>
      <c r="U907" s="15" t="s">
        <v>54</v>
      </c>
      <c r="V907" s="15" t="s">
        <v>56</v>
      </c>
      <c r="W907" s="15"/>
    </row>
    <row r="908" spans="1:23" hidden="1" x14ac:dyDescent="0.3">
      <c r="A908" s="15">
        <v>902</v>
      </c>
      <c r="B908" s="15" t="s">
        <v>2785</v>
      </c>
      <c r="C908" s="19">
        <v>46108</v>
      </c>
      <c r="D908" s="19" t="s">
        <v>56</v>
      </c>
      <c r="E908" s="21" t="s">
        <v>1635</v>
      </c>
      <c r="F908" s="21">
        <v>9793531306</v>
      </c>
      <c r="G908" s="15" t="s">
        <v>6</v>
      </c>
      <c r="H908" s="15" t="s">
        <v>2870</v>
      </c>
      <c r="I908" s="15" t="s">
        <v>2871</v>
      </c>
      <c r="J908" s="15" t="s">
        <v>172</v>
      </c>
      <c r="K908" s="16">
        <v>33770</v>
      </c>
      <c r="L908" s="16">
        <v>46620</v>
      </c>
      <c r="M908" s="17">
        <f>Table1[[#This Row],[Billing Rate Charges]]-Table1[[#This Row],[ LORRY RATE ]]</f>
        <v>12850</v>
      </c>
      <c r="N908" s="17">
        <v>33770</v>
      </c>
      <c r="O908" s="17">
        <f>Table1[[#This Row],[ LORRY RATE ]]-Table1[[#This Row],[Adance Paid (INR)]]</f>
        <v>0</v>
      </c>
      <c r="P908" s="17" t="s">
        <v>147</v>
      </c>
      <c r="Q908" s="18" t="s">
        <v>2886</v>
      </c>
      <c r="R908" s="17"/>
      <c r="S908" s="18" t="s">
        <v>2855</v>
      </c>
      <c r="T908" s="18" t="s">
        <v>2855</v>
      </c>
      <c r="U908" s="15" t="s">
        <v>54</v>
      </c>
      <c r="V908" s="15" t="s">
        <v>56</v>
      </c>
      <c r="W908" s="15"/>
    </row>
    <row r="909" spans="1:23" hidden="1" x14ac:dyDescent="0.3">
      <c r="A909" s="15">
        <v>903</v>
      </c>
      <c r="B909" s="15" t="s">
        <v>2785</v>
      </c>
      <c r="C909" s="19">
        <v>46109</v>
      </c>
      <c r="D909" s="19" t="s">
        <v>56</v>
      </c>
      <c r="E909" s="21" t="s">
        <v>1637</v>
      </c>
      <c r="F909" s="21">
        <v>9025368773</v>
      </c>
      <c r="G909" s="15" t="s">
        <v>6</v>
      </c>
      <c r="H909" s="15" t="s">
        <v>1874</v>
      </c>
      <c r="I909" s="15" t="s">
        <v>2872</v>
      </c>
      <c r="J909" s="15" t="s">
        <v>172</v>
      </c>
      <c r="K909" s="16">
        <v>32820</v>
      </c>
      <c r="L909" s="16">
        <v>40320</v>
      </c>
      <c r="M909" s="17">
        <f>Table1[[#This Row],[Billing Rate Charges]]-Table1[[#This Row],[ LORRY RATE ]]</f>
        <v>7500</v>
      </c>
      <c r="N909" s="17">
        <v>32820</v>
      </c>
      <c r="O909" s="17">
        <f>Table1[[#This Row],[ LORRY RATE ]]-Table1[[#This Row],[Adance Paid (INR)]]</f>
        <v>0</v>
      </c>
      <c r="P909" s="17" t="s">
        <v>147</v>
      </c>
      <c r="Q909" s="18" t="s">
        <v>2887</v>
      </c>
      <c r="R909" s="17"/>
      <c r="S909" s="18" t="s">
        <v>2855</v>
      </c>
      <c r="T909" s="18" t="s">
        <v>2855</v>
      </c>
      <c r="U909" s="15" t="s">
        <v>54</v>
      </c>
      <c r="V909" s="15" t="s">
        <v>56</v>
      </c>
      <c r="W909" s="15"/>
    </row>
    <row r="910" spans="1:23" hidden="1" x14ac:dyDescent="0.3">
      <c r="A910" s="15">
        <v>904</v>
      </c>
      <c r="B910" s="15" t="s">
        <v>2785</v>
      </c>
      <c r="C910" s="19">
        <v>46109</v>
      </c>
      <c r="D910" s="19" t="s">
        <v>51</v>
      </c>
      <c r="E910" s="21" t="s">
        <v>2589</v>
      </c>
      <c r="F910" s="21">
        <v>9899841498</v>
      </c>
      <c r="G910" s="15" t="s">
        <v>1093</v>
      </c>
      <c r="H910" s="15" t="s">
        <v>2878</v>
      </c>
      <c r="I910" s="15" t="s">
        <v>6</v>
      </c>
      <c r="J910" s="15" t="s">
        <v>172</v>
      </c>
      <c r="K910" s="16">
        <v>65330</v>
      </c>
      <c r="L910" s="16">
        <v>96390</v>
      </c>
      <c r="M910" s="17">
        <f>Table1[[#This Row],[Billing Rate Charges]]-Table1[[#This Row],[ LORRY RATE ]]</f>
        <v>31060</v>
      </c>
      <c r="N910" s="17">
        <v>65330</v>
      </c>
      <c r="O910" s="17">
        <f>Table1[[#This Row],[ LORRY RATE ]]-Table1[[#This Row],[Adance Paid (INR)]]</f>
        <v>0</v>
      </c>
      <c r="P910" s="17" t="s">
        <v>147</v>
      </c>
      <c r="Q910" s="18" t="s">
        <v>2888</v>
      </c>
      <c r="R910" s="17"/>
      <c r="S910" s="18" t="s">
        <v>2857</v>
      </c>
      <c r="T910" s="18" t="s">
        <v>2857</v>
      </c>
      <c r="U910" s="15" t="s">
        <v>54</v>
      </c>
      <c r="V910" s="15" t="s">
        <v>2616</v>
      </c>
      <c r="W910" s="15"/>
    </row>
    <row r="911" spans="1:23" hidden="1" x14ac:dyDescent="0.3">
      <c r="A911" s="15">
        <v>905</v>
      </c>
      <c r="B911" s="15" t="s">
        <v>2785</v>
      </c>
      <c r="C911" s="19">
        <v>46109</v>
      </c>
      <c r="D911" s="19" t="s">
        <v>56</v>
      </c>
      <c r="E911" s="21" t="s">
        <v>1641</v>
      </c>
      <c r="F911" s="21">
        <v>9486716172</v>
      </c>
      <c r="G911" s="15" t="s">
        <v>6</v>
      </c>
      <c r="H911" s="15" t="s">
        <v>2873</v>
      </c>
      <c r="I911" s="15" t="s">
        <v>2874</v>
      </c>
      <c r="J911" s="15" t="s">
        <v>172</v>
      </c>
      <c r="K911" s="16">
        <v>33770</v>
      </c>
      <c r="L911" s="16">
        <v>46620</v>
      </c>
      <c r="M911" s="17">
        <f>Table1[[#This Row],[Billing Rate Charges]]-Table1[[#This Row],[ LORRY RATE ]]</f>
        <v>12850</v>
      </c>
      <c r="N911" s="17">
        <v>33770</v>
      </c>
      <c r="O911" s="17">
        <f>Table1[[#This Row],[ LORRY RATE ]]-Table1[[#This Row],[Adance Paid (INR)]]</f>
        <v>0</v>
      </c>
      <c r="P911" s="17" t="s">
        <v>147</v>
      </c>
      <c r="Q911" s="18" t="s">
        <v>2889</v>
      </c>
      <c r="R911" s="17"/>
      <c r="S911" s="18" t="s">
        <v>3076</v>
      </c>
      <c r="T911" s="18" t="s">
        <v>3076</v>
      </c>
      <c r="U911" s="15" t="s">
        <v>54</v>
      </c>
      <c r="V911" s="15" t="s">
        <v>56</v>
      </c>
      <c r="W911" s="15"/>
    </row>
    <row r="912" spans="1:23" hidden="1" x14ac:dyDescent="0.3">
      <c r="A912" s="15">
        <v>906</v>
      </c>
      <c r="B912" s="15" t="s">
        <v>2785</v>
      </c>
      <c r="C912" s="19">
        <v>46111</v>
      </c>
      <c r="D912" s="19" t="s">
        <v>56</v>
      </c>
      <c r="E912" s="21" t="s">
        <v>1644</v>
      </c>
      <c r="F912" s="21">
        <v>9220186371</v>
      </c>
      <c r="G912" s="15" t="s">
        <v>6</v>
      </c>
      <c r="H912" s="15" t="s">
        <v>1874</v>
      </c>
      <c r="I912" s="15" t="s">
        <v>2875</v>
      </c>
      <c r="J912" s="15" t="s">
        <v>172</v>
      </c>
      <c r="K912" s="16">
        <v>32820</v>
      </c>
      <c r="L912" s="16">
        <v>40320</v>
      </c>
      <c r="M912" s="17">
        <f>Table1[[#This Row],[Billing Rate Charges]]-Table1[[#This Row],[ LORRY RATE ]]</f>
        <v>7500</v>
      </c>
      <c r="N912" s="17">
        <v>32820</v>
      </c>
      <c r="O912" s="17">
        <f>Table1[[#This Row],[ LORRY RATE ]]-Table1[[#This Row],[Adance Paid (INR)]]</f>
        <v>0</v>
      </c>
      <c r="P912" s="17" t="s">
        <v>147</v>
      </c>
      <c r="Q912" s="18" t="s">
        <v>3100</v>
      </c>
      <c r="R912" s="17"/>
      <c r="S912" s="18" t="s">
        <v>2856</v>
      </c>
      <c r="T912" s="18" t="s">
        <v>2856</v>
      </c>
      <c r="U912" s="15" t="s">
        <v>54</v>
      </c>
      <c r="V912" s="15" t="s">
        <v>56</v>
      </c>
      <c r="W912" s="15"/>
    </row>
    <row r="913" spans="1:23" hidden="1" x14ac:dyDescent="0.3">
      <c r="A913" s="15">
        <v>907</v>
      </c>
      <c r="B913" s="15" t="s">
        <v>2858</v>
      </c>
      <c r="C913" s="19">
        <v>46113</v>
      </c>
      <c r="D913" s="19" t="s">
        <v>56</v>
      </c>
      <c r="E913" s="21" t="s">
        <v>1637</v>
      </c>
      <c r="F913" s="21">
        <v>9793531306</v>
      </c>
      <c r="G913" s="15" t="s">
        <v>1093</v>
      </c>
      <c r="H913" s="15" t="s">
        <v>3091</v>
      </c>
      <c r="I913" s="15" t="s">
        <v>6</v>
      </c>
      <c r="J913" s="15" t="s">
        <v>172</v>
      </c>
      <c r="K913" s="16">
        <v>48460</v>
      </c>
      <c r="L913" s="16">
        <v>144580</v>
      </c>
      <c r="M913" s="17">
        <f>Table1[[#This Row],[Billing Rate Charges]]-Table1[[#This Row],[ LORRY RATE ]]</f>
        <v>96120</v>
      </c>
      <c r="N913" s="17">
        <v>48460</v>
      </c>
      <c r="O913" s="17">
        <f>Table1[[#This Row],[ LORRY RATE ]]-Table1[[#This Row],[Adance Paid (INR)]]</f>
        <v>0</v>
      </c>
      <c r="P913" s="17" t="s">
        <v>147</v>
      </c>
      <c r="Q913" s="18" t="s">
        <v>112</v>
      </c>
      <c r="R913" s="17"/>
      <c r="S913" s="18" t="s">
        <v>3077</v>
      </c>
      <c r="T913" s="18" t="s">
        <v>3077</v>
      </c>
      <c r="U913" s="15" t="s">
        <v>54</v>
      </c>
      <c r="V913" s="15" t="s">
        <v>56</v>
      </c>
      <c r="W913" s="15"/>
    </row>
    <row r="914" spans="1:23" hidden="1" x14ac:dyDescent="0.3">
      <c r="A914" s="15">
        <v>908</v>
      </c>
      <c r="B914" s="15" t="s">
        <v>2858</v>
      </c>
      <c r="C914" s="19">
        <v>46114</v>
      </c>
      <c r="D914" s="19" t="s">
        <v>56</v>
      </c>
      <c r="E914" s="15" t="s">
        <v>2859</v>
      </c>
      <c r="F914" s="15">
        <v>9472230553</v>
      </c>
      <c r="G914" s="15" t="s">
        <v>6</v>
      </c>
      <c r="H914" s="15" t="s">
        <v>2876</v>
      </c>
      <c r="I914" s="15" t="s">
        <v>2877</v>
      </c>
      <c r="J914" s="15" t="s">
        <v>172</v>
      </c>
      <c r="K914" s="16">
        <v>38350</v>
      </c>
      <c r="L914" s="16">
        <v>77180</v>
      </c>
      <c r="M914" s="17">
        <f>Table1[[#This Row],[Billing Rate Charges]]-Table1[[#This Row],[ LORRY RATE ]]</f>
        <v>38830</v>
      </c>
      <c r="N914" s="17">
        <v>38350</v>
      </c>
      <c r="O914" s="17">
        <f>Table1[[#This Row],[ LORRY RATE ]]-Table1[[#This Row],[Adance Paid (INR)]]</f>
        <v>0</v>
      </c>
      <c r="P914" s="17" t="s">
        <v>147</v>
      </c>
      <c r="Q914" s="18" t="s">
        <v>114</v>
      </c>
      <c r="R914" s="17"/>
      <c r="S914" s="18" t="s">
        <v>3078</v>
      </c>
      <c r="T914" s="18" t="s">
        <v>3079</v>
      </c>
      <c r="U914" s="15" t="s">
        <v>54</v>
      </c>
      <c r="V914" s="15" t="s">
        <v>56</v>
      </c>
      <c r="W914" s="15"/>
    </row>
    <row r="915" spans="1:23" hidden="1" x14ac:dyDescent="0.3">
      <c r="A915" s="15">
        <v>909</v>
      </c>
      <c r="B915" s="15" t="s">
        <v>2858</v>
      </c>
      <c r="C915" s="19">
        <v>46114</v>
      </c>
      <c r="D915" s="19" t="s">
        <v>56</v>
      </c>
      <c r="E915" s="15" t="s">
        <v>1635</v>
      </c>
      <c r="F915" s="15">
        <v>9793531306</v>
      </c>
      <c r="G915" s="15" t="s">
        <v>1537</v>
      </c>
      <c r="H915" s="15" t="s">
        <v>3092</v>
      </c>
      <c r="I915" s="15" t="s">
        <v>6</v>
      </c>
      <c r="J915" s="15" t="s">
        <v>172</v>
      </c>
      <c r="K915" s="16">
        <v>49410</v>
      </c>
      <c r="L915" s="16">
        <v>150880</v>
      </c>
      <c r="M915" s="17">
        <f>Table1[[#This Row],[Billing Rate Charges]]-Table1[[#This Row],[ LORRY RATE ]]</f>
        <v>101470</v>
      </c>
      <c r="N915" s="17">
        <v>49410</v>
      </c>
      <c r="O915" s="17">
        <f>Table1[[#This Row],[ LORRY RATE ]]-Table1[[#This Row],[Adance Paid (INR)]]</f>
        <v>0</v>
      </c>
      <c r="P915" s="17" t="s">
        <v>147</v>
      </c>
      <c r="Q915" s="18" t="s">
        <v>115</v>
      </c>
      <c r="R915" s="17"/>
      <c r="S915" s="18" t="s">
        <v>3078</v>
      </c>
      <c r="T915" s="18" t="s">
        <v>3078</v>
      </c>
      <c r="U915" s="15" t="s">
        <v>54</v>
      </c>
      <c r="V915" s="15" t="s">
        <v>56</v>
      </c>
      <c r="W915" s="15"/>
    </row>
    <row r="916" spans="1:23" hidden="1" x14ac:dyDescent="0.3">
      <c r="A916" s="15">
        <v>910</v>
      </c>
      <c r="B916" s="15" t="s">
        <v>2858</v>
      </c>
      <c r="C916" s="19">
        <v>46117</v>
      </c>
      <c r="D916" s="19" t="s">
        <v>56</v>
      </c>
      <c r="E916" s="21" t="s">
        <v>1641</v>
      </c>
      <c r="F916" s="21">
        <v>9486716172</v>
      </c>
      <c r="G916" s="15" t="s">
        <v>1093</v>
      </c>
      <c r="H916" s="15" t="s">
        <v>3093</v>
      </c>
      <c r="I916" s="15" t="s">
        <v>6</v>
      </c>
      <c r="J916" s="15" t="s">
        <v>172</v>
      </c>
      <c r="K916" s="16">
        <v>48460</v>
      </c>
      <c r="L916" s="16">
        <v>144580</v>
      </c>
      <c r="M916" s="17">
        <f>Table1[[#This Row],[Billing Rate Charges]]-Table1[[#This Row],[ LORRY RATE ]]</f>
        <v>96120</v>
      </c>
      <c r="N916" s="17">
        <v>48460</v>
      </c>
      <c r="O916" s="17">
        <f>Table1[[#This Row],[ LORRY RATE ]]-Table1[[#This Row],[Adance Paid (INR)]]</f>
        <v>0</v>
      </c>
      <c r="P916" s="17" t="s">
        <v>147</v>
      </c>
      <c r="Q916" s="18" t="s">
        <v>133</v>
      </c>
      <c r="R916" s="17"/>
      <c r="S916" s="18" t="s">
        <v>3080</v>
      </c>
      <c r="T916" s="18" t="s">
        <v>3080</v>
      </c>
      <c r="U916" s="15" t="s">
        <v>54</v>
      </c>
      <c r="V916" s="15" t="s">
        <v>56</v>
      </c>
      <c r="W916" s="15"/>
    </row>
    <row r="917" spans="1:23" hidden="1" x14ac:dyDescent="0.3">
      <c r="A917" s="15">
        <v>911</v>
      </c>
      <c r="B917" s="15" t="s">
        <v>2858</v>
      </c>
      <c r="C917" s="19">
        <v>46118</v>
      </c>
      <c r="D917" s="19" t="s">
        <v>51</v>
      </c>
      <c r="E917" s="21" t="s">
        <v>3074</v>
      </c>
      <c r="F917" s="21">
        <v>9783237724</v>
      </c>
      <c r="G917" s="15" t="s">
        <v>2168</v>
      </c>
      <c r="H917" s="15" t="s">
        <v>3089</v>
      </c>
      <c r="I917" s="15" t="s">
        <v>6</v>
      </c>
      <c r="J917" s="15" t="s">
        <v>172</v>
      </c>
      <c r="K917" s="16">
        <v>66940</v>
      </c>
      <c r="L917" s="16">
        <v>128520</v>
      </c>
      <c r="M917" s="17">
        <f>Table1[[#This Row],[Billing Rate Charges]]-Table1[[#This Row],[ LORRY RATE ]]</f>
        <v>61580</v>
      </c>
      <c r="N917" s="17">
        <v>60250</v>
      </c>
      <c r="O917" s="17">
        <f>Table1[[#This Row],[ LORRY RATE ]]-Table1[[#This Row],[Adance Paid (INR)]]</f>
        <v>6690</v>
      </c>
      <c r="P917" s="17" t="s">
        <v>147</v>
      </c>
      <c r="Q917" s="18" t="s">
        <v>116</v>
      </c>
      <c r="R917" s="17"/>
      <c r="S917" s="18" t="s">
        <v>3088</v>
      </c>
      <c r="T917" s="18" t="s">
        <v>3088</v>
      </c>
      <c r="U917" s="15" t="s">
        <v>54</v>
      </c>
      <c r="V917" s="15" t="s">
        <v>3075</v>
      </c>
      <c r="W917" s="15"/>
    </row>
    <row r="918" spans="1:23" hidden="1" x14ac:dyDescent="0.3">
      <c r="A918" s="15">
        <v>912</v>
      </c>
      <c r="B918" s="15" t="s">
        <v>2858</v>
      </c>
      <c r="C918" s="19">
        <v>46120</v>
      </c>
      <c r="D918" s="19" t="s">
        <v>56</v>
      </c>
      <c r="E918" s="15" t="s">
        <v>3065</v>
      </c>
      <c r="F918" s="15">
        <v>9589264337</v>
      </c>
      <c r="G918" s="15" t="s">
        <v>6</v>
      </c>
      <c r="H918" s="15" t="s">
        <v>1874</v>
      </c>
      <c r="I918" s="15" t="s">
        <v>3090</v>
      </c>
      <c r="J918" s="15" t="s">
        <v>172</v>
      </c>
      <c r="K918" s="16">
        <v>44680</v>
      </c>
      <c r="L918" s="16">
        <v>60480</v>
      </c>
      <c r="M918" s="17">
        <f>Table1[[#This Row],[Billing Rate Charges]]-Table1[[#This Row],[ LORRY RATE ]]</f>
        <v>15800</v>
      </c>
      <c r="N918" s="17">
        <v>44680</v>
      </c>
      <c r="O918" s="17">
        <f>Table1[[#This Row],[ LORRY RATE ]]-Table1[[#This Row],[Adance Paid (INR)]]</f>
        <v>0</v>
      </c>
      <c r="P918" s="17" t="s">
        <v>147</v>
      </c>
      <c r="Q918" s="18" t="s">
        <v>117</v>
      </c>
      <c r="R918" s="17"/>
      <c r="S918" s="18" t="s">
        <v>3107</v>
      </c>
      <c r="T918" s="18" t="s">
        <v>3107</v>
      </c>
      <c r="U918" s="15" t="s">
        <v>54</v>
      </c>
      <c r="V918" s="15" t="s">
        <v>56</v>
      </c>
      <c r="W918" s="15"/>
    </row>
    <row r="919" spans="1:23" hidden="1" x14ac:dyDescent="0.3">
      <c r="A919" s="15">
        <v>913</v>
      </c>
      <c r="B919" s="15" t="s">
        <v>2858</v>
      </c>
      <c r="C919" s="19">
        <v>46121</v>
      </c>
      <c r="D919" s="19" t="s">
        <v>56</v>
      </c>
      <c r="E919" s="21" t="s">
        <v>2859</v>
      </c>
      <c r="F919" s="21">
        <v>9472230553</v>
      </c>
      <c r="G919" s="15" t="s">
        <v>1093</v>
      </c>
      <c r="H919" s="15" t="s">
        <v>3128</v>
      </c>
      <c r="I919" s="15" t="s">
        <v>6</v>
      </c>
      <c r="J919" s="15" t="s">
        <v>172</v>
      </c>
      <c r="K919" s="16">
        <v>58240</v>
      </c>
      <c r="L919" s="16">
        <v>150880</v>
      </c>
      <c r="M919" s="17">
        <f>Table1[[#This Row],[Billing Rate Charges]]-Table1[[#This Row],[ LORRY RATE ]]</f>
        <v>92640</v>
      </c>
      <c r="N919" s="17">
        <v>58240</v>
      </c>
      <c r="O919" s="17">
        <f>Table1[[#This Row],[ LORRY RATE ]]-Table1[[#This Row],[Adance Paid (INR)]]</f>
        <v>0</v>
      </c>
      <c r="P919" s="17" t="s">
        <v>147</v>
      </c>
      <c r="Q919" s="18" t="s">
        <v>118</v>
      </c>
      <c r="R919" s="17"/>
      <c r="S919" s="18" t="s">
        <v>3108</v>
      </c>
      <c r="T919" s="18" t="s">
        <v>3108</v>
      </c>
      <c r="U919" s="15" t="s">
        <v>54</v>
      </c>
      <c r="V919" s="15" t="s">
        <v>56</v>
      </c>
      <c r="W919" s="15"/>
    </row>
    <row r="920" spans="1:23" hidden="1" x14ac:dyDescent="0.3">
      <c r="A920" s="15">
        <v>914</v>
      </c>
      <c r="B920" s="15" t="s">
        <v>2858</v>
      </c>
      <c r="C920" s="19">
        <v>46121</v>
      </c>
      <c r="D920" s="19" t="s">
        <v>51</v>
      </c>
      <c r="E920" s="21" t="s">
        <v>3094</v>
      </c>
      <c r="F920" s="21">
        <v>9663991448</v>
      </c>
      <c r="G920" s="15" t="s">
        <v>2168</v>
      </c>
      <c r="H920" s="15" t="s">
        <v>3125</v>
      </c>
      <c r="I920" s="15" t="s">
        <v>6</v>
      </c>
      <c r="J920" s="15" t="s">
        <v>172</v>
      </c>
      <c r="K920" s="16">
        <v>78180</v>
      </c>
      <c r="L920" s="16">
        <v>128520</v>
      </c>
      <c r="M920" s="17">
        <f>Table1[[#This Row],[Billing Rate Charges]]-Table1[[#This Row],[ LORRY RATE ]]</f>
        <v>50340</v>
      </c>
      <c r="N920" s="17">
        <v>71070</v>
      </c>
      <c r="O920" s="17">
        <f>Table1[[#This Row],[ LORRY RATE ]]-Table1[[#This Row],[Adance Paid (INR)]]</f>
        <v>7110</v>
      </c>
      <c r="P920" s="17" t="s">
        <v>147</v>
      </c>
      <c r="Q920" s="18" t="s">
        <v>134</v>
      </c>
      <c r="R920" s="17"/>
      <c r="S920" s="18" t="s">
        <v>3109</v>
      </c>
      <c r="T920" s="18" t="s">
        <v>3109</v>
      </c>
      <c r="U920" s="15" t="s">
        <v>54</v>
      </c>
      <c r="V920" s="15" t="s">
        <v>3095</v>
      </c>
      <c r="W920" s="15"/>
    </row>
    <row r="921" spans="1:23" hidden="1" x14ac:dyDescent="0.3">
      <c r="A921" s="15">
        <v>915</v>
      </c>
      <c r="B921" s="15" t="s">
        <v>2858</v>
      </c>
      <c r="C921" s="19">
        <v>46126</v>
      </c>
      <c r="D921" s="19" t="s">
        <v>56</v>
      </c>
      <c r="E921" s="21" t="s">
        <v>3122</v>
      </c>
      <c r="F921" s="21">
        <v>9281983602</v>
      </c>
      <c r="G921" s="15" t="s">
        <v>6</v>
      </c>
      <c r="H921" s="15" t="s">
        <v>1874</v>
      </c>
      <c r="I921" s="15" t="s">
        <v>3126</v>
      </c>
      <c r="J921" s="15" t="s">
        <v>172</v>
      </c>
      <c r="K921" s="16">
        <v>44680</v>
      </c>
      <c r="L921" s="16">
        <v>60480</v>
      </c>
      <c r="M921" s="17">
        <f>Table1[[#This Row],[Billing Rate Charges]]-Table1[[#This Row],[ LORRY RATE ]]</f>
        <v>15800</v>
      </c>
      <c r="N921" s="17">
        <v>44680</v>
      </c>
      <c r="O921" s="17">
        <f>Table1[[#This Row],[ LORRY RATE ]]-Table1[[#This Row],[Adance Paid (INR)]]</f>
        <v>0</v>
      </c>
      <c r="P921" s="17" t="s">
        <v>147</v>
      </c>
      <c r="Q921" s="18" t="s">
        <v>119</v>
      </c>
      <c r="R921" s="17"/>
      <c r="S921" s="18" t="s">
        <v>3135</v>
      </c>
      <c r="T921" s="18" t="s">
        <v>3135</v>
      </c>
      <c r="U921" s="15" t="s">
        <v>54</v>
      </c>
      <c r="V921" s="15" t="s">
        <v>56</v>
      </c>
      <c r="W921" s="15"/>
    </row>
    <row r="922" spans="1:23" hidden="1" x14ac:dyDescent="0.3">
      <c r="A922" s="15">
        <v>916</v>
      </c>
      <c r="B922" s="15" t="s">
        <v>2858</v>
      </c>
      <c r="C922" s="19">
        <v>46127</v>
      </c>
      <c r="D922" s="19" t="s">
        <v>56</v>
      </c>
      <c r="E922" s="15" t="s">
        <v>3065</v>
      </c>
      <c r="F922" s="15">
        <v>9589264337</v>
      </c>
      <c r="G922" s="15" t="s">
        <v>1093</v>
      </c>
      <c r="H922" s="15" t="s">
        <v>3130</v>
      </c>
      <c r="I922" s="15" t="s">
        <v>6</v>
      </c>
      <c r="J922" s="15" t="s">
        <v>172</v>
      </c>
      <c r="K922" s="16">
        <v>58240</v>
      </c>
      <c r="L922" s="16">
        <v>150880</v>
      </c>
      <c r="M922" s="17">
        <f>Table1[[#This Row],[Billing Rate Charges]]-Table1[[#This Row],[ LORRY RATE ]]</f>
        <v>92640</v>
      </c>
      <c r="N922" s="17">
        <v>58240</v>
      </c>
      <c r="O922" s="17">
        <f>Table1[[#This Row],[ LORRY RATE ]]-Table1[[#This Row],[Adance Paid (INR)]]</f>
        <v>0</v>
      </c>
      <c r="P922" s="17" t="s">
        <v>147</v>
      </c>
      <c r="Q922" s="18" t="s">
        <v>135</v>
      </c>
      <c r="R922" s="17"/>
      <c r="S922" s="18" t="s">
        <v>3135</v>
      </c>
      <c r="T922" s="18" t="s">
        <v>3136</v>
      </c>
      <c r="U922" s="15" t="s">
        <v>54</v>
      </c>
      <c r="V922" s="15" t="s">
        <v>56</v>
      </c>
      <c r="W922" s="15"/>
    </row>
    <row r="923" spans="1:23" hidden="1" x14ac:dyDescent="0.3">
      <c r="A923" s="15">
        <v>917</v>
      </c>
      <c r="B923" s="15" t="s">
        <v>2858</v>
      </c>
      <c r="C923" s="19">
        <v>46127</v>
      </c>
      <c r="D923" s="19" t="s">
        <v>56</v>
      </c>
      <c r="E923" s="15" t="s">
        <v>38</v>
      </c>
      <c r="F923" s="15">
        <v>9472230553</v>
      </c>
      <c r="G923" s="15" t="s">
        <v>6</v>
      </c>
      <c r="H923" s="15" t="s">
        <v>1874</v>
      </c>
      <c r="I923" s="15" t="s">
        <v>3127</v>
      </c>
      <c r="J923" s="15" t="s">
        <v>59</v>
      </c>
      <c r="K923" s="16">
        <v>44330</v>
      </c>
      <c r="L923" s="16">
        <v>58120</v>
      </c>
      <c r="M923" s="17">
        <f>Table1[[#This Row],[Billing Rate Charges]]-Table1[[#This Row],[ LORRY RATE ]]</f>
        <v>13790</v>
      </c>
      <c r="N923" s="17">
        <v>44330</v>
      </c>
      <c r="O923" s="17">
        <f>Table1[[#This Row],[ LORRY RATE ]]-Table1[[#This Row],[Adance Paid (INR)]]</f>
        <v>0</v>
      </c>
      <c r="P923" s="17" t="s">
        <v>147</v>
      </c>
      <c r="Q923" s="18" t="s">
        <v>3131</v>
      </c>
      <c r="R923" s="17"/>
      <c r="S923" s="18" t="s">
        <v>3136</v>
      </c>
      <c r="T923" s="18" t="s">
        <v>3136</v>
      </c>
      <c r="U923" s="15" t="s">
        <v>54</v>
      </c>
      <c r="V923" s="15" t="s">
        <v>56</v>
      </c>
      <c r="W923" s="15"/>
    </row>
    <row r="924" spans="1:23" hidden="1" x14ac:dyDescent="0.3">
      <c r="A924" s="15">
        <v>918</v>
      </c>
      <c r="B924" s="15" t="s">
        <v>2858</v>
      </c>
      <c r="C924" s="19">
        <v>46129</v>
      </c>
      <c r="D924" s="19" t="s">
        <v>56</v>
      </c>
      <c r="E924" s="15" t="s">
        <v>1635</v>
      </c>
      <c r="F924" s="15">
        <v>9793531306</v>
      </c>
      <c r="G924" s="15" t="s">
        <v>1093</v>
      </c>
      <c r="H924" s="15" t="s">
        <v>3129</v>
      </c>
      <c r="I924" s="15" t="s">
        <v>6</v>
      </c>
      <c r="J924" s="15" t="s">
        <v>172</v>
      </c>
      <c r="K924" s="16">
        <v>57300</v>
      </c>
      <c r="L924" s="16">
        <v>144580</v>
      </c>
      <c r="M924" s="17">
        <f>Table1[[#This Row],[Billing Rate Charges]]-Table1[[#This Row],[ LORRY RATE ]]</f>
        <v>87280</v>
      </c>
      <c r="N924" s="17">
        <v>57300</v>
      </c>
      <c r="O924" s="17">
        <f>Table1[[#This Row],[ LORRY RATE ]]-Table1[[#This Row],[Adance Paid (INR)]]</f>
        <v>0</v>
      </c>
      <c r="P924" s="17" t="s">
        <v>147</v>
      </c>
      <c r="Q924" s="18" t="s">
        <v>3132</v>
      </c>
      <c r="R924" s="17"/>
      <c r="S924" s="18" t="s">
        <v>3139</v>
      </c>
      <c r="T924" s="18" t="s">
        <v>3139</v>
      </c>
      <c r="U924" s="15" t="s">
        <v>54</v>
      </c>
      <c r="V924" s="15" t="s">
        <v>56</v>
      </c>
      <c r="W924" s="15"/>
    </row>
    <row r="925" spans="1:23" hidden="1" x14ac:dyDescent="0.3">
      <c r="A925" s="15">
        <v>919</v>
      </c>
      <c r="B925" s="15" t="s">
        <v>2858</v>
      </c>
      <c r="C925" s="19">
        <v>46130</v>
      </c>
      <c r="D925" s="19" t="s">
        <v>56</v>
      </c>
      <c r="E925" s="21" t="s">
        <v>3065</v>
      </c>
      <c r="F925" s="21">
        <v>9589264337</v>
      </c>
      <c r="G925" s="15" t="s">
        <v>6</v>
      </c>
      <c r="H925" s="15" t="s">
        <v>1874</v>
      </c>
      <c r="I925" s="15" t="s">
        <v>3161</v>
      </c>
      <c r="J925" s="15" t="s">
        <v>172</v>
      </c>
      <c r="K925" s="16">
        <v>44680</v>
      </c>
      <c r="L925" s="16">
        <v>60480</v>
      </c>
      <c r="M925" s="17">
        <f>Table1[[#This Row],[Billing Rate Charges]]-Table1[[#This Row],[ LORRY RATE ]]</f>
        <v>15800</v>
      </c>
      <c r="N925" s="17">
        <v>44680</v>
      </c>
      <c r="O925" s="17">
        <f>Table1[[#This Row],[ LORRY RATE ]]-Table1[[#This Row],[Adance Paid (INR)]]</f>
        <v>0</v>
      </c>
      <c r="P925" s="17" t="s">
        <v>147</v>
      </c>
      <c r="Q925" s="18" t="s">
        <v>3169</v>
      </c>
      <c r="R925" s="17"/>
      <c r="S925" s="18" t="s">
        <v>3155</v>
      </c>
      <c r="T925" s="18" t="s">
        <v>3155</v>
      </c>
      <c r="U925" s="15" t="s">
        <v>54</v>
      </c>
      <c r="V925" s="15" t="s">
        <v>56</v>
      </c>
      <c r="W925" s="15"/>
    </row>
    <row r="926" spans="1:23" hidden="1" x14ac:dyDescent="0.3">
      <c r="A926" s="15">
        <v>920</v>
      </c>
      <c r="B926" s="15" t="s">
        <v>2858</v>
      </c>
      <c r="C926" s="19">
        <v>46130</v>
      </c>
      <c r="D926" s="19" t="s">
        <v>51</v>
      </c>
      <c r="E926" s="21" t="s">
        <v>3137</v>
      </c>
      <c r="F926" s="21">
        <v>9339435519</v>
      </c>
      <c r="G926" s="15" t="s">
        <v>2094</v>
      </c>
      <c r="H926" s="15" t="s">
        <v>3162</v>
      </c>
      <c r="I926" s="15" t="s">
        <v>6</v>
      </c>
      <c r="J926" s="15" t="s">
        <v>168</v>
      </c>
      <c r="K926" s="16">
        <v>53120</v>
      </c>
      <c r="L926" s="16">
        <v>57830</v>
      </c>
      <c r="M926" s="17">
        <f>Table1[[#This Row],[Billing Rate Charges]]-Table1[[#This Row],[ LORRY RATE ]]</f>
        <v>4710</v>
      </c>
      <c r="N926" s="17">
        <v>48000</v>
      </c>
      <c r="O926" s="17">
        <f>Table1[[#This Row],[ LORRY RATE ]]-Table1[[#This Row],[Adance Paid (INR)]]</f>
        <v>5120</v>
      </c>
      <c r="P926" s="17" t="s">
        <v>147</v>
      </c>
      <c r="Q926" s="18" t="s">
        <v>3170</v>
      </c>
      <c r="R926" s="17"/>
      <c r="S926" s="18" t="s">
        <v>3156</v>
      </c>
      <c r="T926" s="18" t="s">
        <v>3156</v>
      </c>
      <c r="U926" s="15" t="s">
        <v>54</v>
      </c>
      <c r="V926" s="15" t="s">
        <v>3138</v>
      </c>
      <c r="W926" s="15"/>
    </row>
    <row r="927" spans="1:23" hidden="1" x14ac:dyDescent="0.3">
      <c r="A927" s="15">
        <v>921</v>
      </c>
      <c r="B927" s="15" t="s">
        <v>2858</v>
      </c>
      <c r="C927" s="19">
        <v>46131</v>
      </c>
      <c r="D927" s="19" t="s">
        <v>56</v>
      </c>
      <c r="E927" s="21" t="s">
        <v>1637</v>
      </c>
      <c r="F927" s="21">
        <v>9025368773</v>
      </c>
      <c r="G927" s="15" t="s">
        <v>1093</v>
      </c>
      <c r="H927" s="15" t="s">
        <v>3167</v>
      </c>
      <c r="I927" s="15" t="s">
        <v>6</v>
      </c>
      <c r="J927" s="15" t="s">
        <v>172</v>
      </c>
      <c r="K927" s="16">
        <v>58240</v>
      </c>
      <c r="L927" s="16">
        <v>150880</v>
      </c>
      <c r="M927" s="17">
        <f>Table1[[#This Row],[Billing Rate Charges]]-Table1[[#This Row],[ LORRY RATE ]]</f>
        <v>92640</v>
      </c>
      <c r="N927" s="17">
        <v>58240</v>
      </c>
      <c r="O927" s="17">
        <f>Table1[[#This Row],[ LORRY RATE ]]-Table1[[#This Row],[Adance Paid (INR)]]</f>
        <v>0</v>
      </c>
      <c r="P927" s="17" t="s">
        <v>147</v>
      </c>
      <c r="Q927" s="18" t="s">
        <v>3171</v>
      </c>
      <c r="R927" s="17"/>
      <c r="S927" s="18" t="s">
        <v>3155</v>
      </c>
      <c r="T927" s="18" t="s">
        <v>3157</v>
      </c>
      <c r="U927" s="15" t="s">
        <v>54</v>
      </c>
      <c r="V927" s="15" t="s">
        <v>56</v>
      </c>
      <c r="W927" s="15"/>
    </row>
    <row r="928" spans="1:23" hidden="1" x14ac:dyDescent="0.3">
      <c r="A928" s="15">
        <v>922</v>
      </c>
      <c r="B928" s="15" t="s">
        <v>2858</v>
      </c>
      <c r="C928" s="19">
        <v>46132</v>
      </c>
      <c r="D928" s="19" t="s">
        <v>56</v>
      </c>
      <c r="E928" s="15" t="s">
        <v>1635</v>
      </c>
      <c r="F928" s="15">
        <v>9793531306</v>
      </c>
      <c r="G928" s="15" t="s">
        <v>6</v>
      </c>
      <c r="H928" s="15" t="s">
        <v>1874</v>
      </c>
      <c r="I928" s="15" t="s">
        <v>3163</v>
      </c>
      <c r="J928" s="15" t="s">
        <v>172</v>
      </c>
      <c r="K928" s="16">
        <v>44680</v>
      </c>
      <c r="L928" s="16">
        <v>60480</v>
      </c>
      <c r="M928" s="17">
        <f>Table1[[#This Row],[Billing Rate Charges]]-Table1[[#This Row],[ LORRY RATE ]]</f>
        <v>15800</v>
      </c>
      <c r="N928" s="17">
        <v>44680</v>
      </c>
      <c r="O928" s="17">
        <f>Table1[[#This Row],[ LORRY RATE ]]-Table1[[#This Row],[Adance Paid (INR)]]</f>
        <v>0</v>
      </c>
      <c r="P928" s="17" t="s">
        <v>147</v>
      </c>
      <c r="Q928" s="18" t="s">
        <v>3172</v>
      </c>
      <c r="R928" s="17"/>
      <c r="S928" s="18" t="s">
        <v>3156</v>
      </c>
      <c r="T928" s="18" t="s">
        <v>3156</v>
      </c>
      <c r="U928" s="15" t="s">
        <v>54</v>
      </c>
      <c r="V928" s="15" t="s">
        <v>56</v>
      </c>
      <c r="W928" s="15"/>
    </row>
    <row r="929" spans="1:23" hidden="1" x14ac:dyDescent="0.3">
      <c r="A929" s="15">
        <v>823</v>
      </c>
      <c r="B929" s="15" t="s">
        <v>2858</v>
      </c>
      <c r="C929" s="19">
        <v>46134</v>
      </c>
      <c r="D929" s="19" t="s">
        <v>56</v>
      </c>
      <c r="E929" s="15" t="s">
        <v>38</v>
      </c>
      <c r="F929" s="15">
        <v>9995059254</v>
      </c>
      <c r="G929" s="15" t="s">
        <v>1093</v>
      </c>
      <c r="H929" s="15" t="s">
        <v>3168</v>
      </c>
      <c r="I929" s="15" t="s">
        <v>6</v>
      </c>
      <c r="J929" s="15" t="s">
        <v>59</v>
      </c>
      <c r="K929" s="16">
        <v>56160</v>
      </c>
      <c r="L929" s="16">
        <v>137020</v>
      </c>
      <c r="M929" s="17">
        <f>Table1[[#This Row],[Billing Rate Charges]]-Table1[[#This Row],[ LORRY RATE ]]</f>
        <v>80860</v>
      </c>
      <c r="N929" s="17">
        <v>56160</v>
      </c>
      <c r="O929" s="17">
        <f>Table1[[#This Row],[ LORRY RATE ]]-Table1[[#This Row],[Adance Paid (INR)]]</f>
        <v>0</v>
      </c>
      <c r="P929" s="17" t="s">
        <v>147</v>
      </c>
      <c r="Q929" s="18" t="s">
        <v>3173</v>
      </c>
      <c r="R929" s="17"/>
      <c r="S929" s="18" t="s">
        <v>3178</v>
      </c>
      <c r="T929" s="18" t="s">
        <v>3178</v>
      </c>
      <c r="U929" s="15" t="s">
        <v>54</v>
      </c>
      <c r="V929" s="15" t="s">
        <v>56</v>
      </c>
      <c r="W929" s="15"/>
    </row>
    <row r="930" spans="1:23" hidden="1" x14ac:dyDescent="0.3">
      <c r="A930" s="15">
        <v>824</v>
      </c>
      <c r="B930" s="15" t="s">
        <v>2858</v>
      </c>
      <c r="C930" s="19">
        <v>46134</v>
      </c>
      <c r="D930" s="19" t="s">
        <v>56</v>
      </c>
      <c r="E930" s="21" t="s">
        <v>3065</v>
      </c>
      <c r="F930" s="21">
        <v>9589264337</v>
      </c>
      <c r="G930" s="15" t="s">
        <v>1093</v>
      </c>
      <c r="H930" s="15" t="s">
        <v>3174</v>
      </c>
      <c r="I930" s="15" t="s">
        <v>6</v>
      </c>
      <c r="J930" s="15" t="s">
        <v>172</v>
      </c>
      <c r="K930" s="16">
        <v>57300</v>
      </c>
      <c r="L930" s="16">
        <v>144580</v>
      </c>
      <c r="M930" s="17">
        <f>Table1[[#This Row],[Billing Rate Charges]]-Table1[[#This Row],[ LORRY RATE ]]</f>
        <v>87280</v>
      </c>
      <c r="N930" s="17">
        <v>57300</v>
      </c>
      <c r="O930" s="17">
        <f>Table1[[#This Row],[ LORRY RATE ]]-Table1[[#This Row],[Adance Paid (INR)]]</f>
        <v>0</v>
      </c>
      <c r="P930" s="17" t="s">
        <v>147</v>
      </c>
      <c r="Q930" s="18" t="s">
        <v>3175</v>
      </c>
      <c r="R930" s="17"/>
      <c r="S930" s="18" t="s">
        <v>3179</v>
      </c>
      <c r="T930" s="18" t="s">
        <v>3179</v>
      </c>
      <c r="U930" s="15" t="s">
        <v>54</v>
      </c>
      <c r="V930" s="15" t="s">
        <v>56</v>
      </c>
      <c r="W930" s="15"/>
    </row>
    <row r="931" spans="1:23" hidden="1" x14ac:dyDescent="0.3">
      <c r="A931" s="15">
        <v>825</v>
      </c>
      <c r="B931" s="15" t="s">
        <v>2858</v>
      </c>
      <c r="C931" s="19">
        <v>46134</v>
      </c>
      <c r="D931" s="19" t="s">
        <v>56</v>
      </c>
      <c r="E931" s="21" t="s">
        <v>1637</v>
      </c>
      <c r="F931" s="21">
        <v>9025368773</v>
      </c>
      <c r="G931" s="15" t="s">
        <v>6</v>
      </c>
      <c r="H931" s="15" t="s">
        <v>3164</v>
      </c>
      <c r="I931" s="15" t="s">
        <v>3165</v>
      </c>
      <c r="J931" s="15" t="s">
        <v>172</v>
      </c>
      <c r="K931" s="16">
        <v>45630</v>
      </c>
      <c r="L931" s="16">
        <v>66780</v>
      </c>
      <c r="M931" s="17">
        <f>Table1[[#This Row],[Billing Rate Charges]]-Table1[[#This Row],[ LORRY RATE ]]</f>
        <v>21150</v>
      </c>
      <c r="N931" s="17">
        <v>45630</v>
      </c>
      <c r="O931" s="17">
        <f>Table1[[#This Row],[ LORRY RATE ]]-Table1[[#This Row],[Adance Paid (INR)]]</f>
        <v>0</v>
      </c>
      <c r="P931" s="17" t="s">
        <v>147</v>
      </c>
      <c r="Q931" s="18" t="s">
        <v>3176</v>
      </c>
      <c r="R931" s="17"/>
      <c r="S931" s="18" t="s">
        <v>3178</v>
      </c>
      <c r="T931" s="18" t="s">
        <v>3178</v>
      </c>
      <c r="U931" s="15" t="s">
        <v>54</v>
      </c>
      <c r="V931" s="15" t="s">
        <v>56</v>
      </c>
      <c r="W931" s="15"/>
    </row>
    <row r="932" spans="1:23" hidden="1" x14ac:dyDescent="0.3">
      <c r="A932" s="15">
        <v>826</v>
      </c>
      <c r="B932" s="15" t="s">
        <v>2858</v>
      </c>
      <c r="C932" s="19">
        <v>46135</v>
      </c>
      <c r="D932" s="19" t="s">
        <v>56</v>
      </c>
      <c r="E932" s="15" t="s">
        <v>2859</v>
      </c>
      <c r="F932" s="15">
        <v>9472230553</v>
      </c>
      <c r="G932" s="15" t="s">
        <v>6</v>
      </c>
      <c r="H932" s="15" t="s">
        <v>1874</v>
      </c>
      <c r="I932" s="15" t="s">
        <v>3166</v>
      </c>
      <c r="J932" s="15" t="s">
        <v>172</v>
      </c>
      <c r="K932" s="16">
        <v>45630</v>
      </c>
      <c r="L932" s="16">
        <v>66780</v>
      </c>
      <c r="M932" s="17">
        <f>Table1[[#This Row],[Billing Rate Charges]]-Table1[[#This Row],[ LORRY RATE ]]</f>
        <v>21150</v>
      </c>
      <c r="N932" s="17">
        <v>45630</v>
      </c>
      <c r="O932" s="17">
        <f>Table1[[#This Row],[ LORRY RATE ]]-Table1[[#This Row],[Adance Paid (INR)]]</f>
        <v>0</v>
      </c>
      <c r="P932" s="17" t="s">
        <v>147</v>
      </c>
      <c r="Q932" s="18" t="s">
        <v>3177</v>
      </c>
      <c r="R932" s="17"/>
      <c r="S932" s="18" t="s">
        <v>3181</v>
      </c>
      <c r="T932" s="18" t="s">
        <v>3181</v>
      </c>
      <c r="U932" s="15" t="s">
        <v>54</v>
      </c>
      <c r="V932" s="15" t="s">
        <v>56</v>
      </c>
      <c r="W932" s="15"/>
    </row>
    <row r="933" spans="1:23" hidden="1" x14ac:dyDescent="0.3">
      <c r="A933" s="15">
        <v>827</v>
      </c>
      <c r="B933" s="15" t="s">
        <v>2858</v>
      </c>
      <c r="C933" s="19">
        <v>46136</v>
      </c>
      <c r="D933" s="19" t="s">
        <v>56</v>
      </c>
      <c r="E933" s="21" t="s">
        <v>60</v>
      </c>
      <c r="F933" s="21">
        <v>9040208667</v>
      </c>
      <c r="G933" s="15" t="s">
        <v>105</v>
      </c>
      <c r="H933" s="15" t="s">
        <v>3204</v>
      </c>
      <c r="I933" s="15" t="s">
        <v>6</v>
      </c>
      <c r="J933" s="15" t="s">
        <v>172</v>
      </c>
      <c r="K933" s="16">
        <v>59190</v>
      </c>
      <c r="L933" s="16">
        <v>157180</v>
      </c>
      <c r="M933" s="17">
        <f>Table1[[#This Row],[Billing Rate Charges]]-Table1[[#This Row],[ LORRY RATE ]]</f>
        <v>97990</v>
      </c>
      <c r="N933" s="17">
        <v>59190</v>
      </c>
      <c r="O933" s="17">
        <f>Table1[[#This Row],[ LORRY RATE ]]-Table1[[#This Row],[Adance Paid (INR)]]</f>
        <v>0</v>
      </c>
      <c r="P933" s="17" t="s">
        <v>147</v>
      </c>
      <c r="Q933" s="18" t="s">
        <v>3221</v>
      </c>
      <c r="R933" s="17" t="s">
        <v>1874</v>
      </c>
      <c r="S933" s="18" t="s">
        <v>3181</v>
      </c>
      <c r="T933" s="18" t="s">
        <v>3181</v>
      </c>
      <c r="U933" s="15" t="s">
        <v>54</v>
      </c>
      <c r="V933" s="15" t="s">
        <v>56</v>
      </c>
      <c r="W933" s="15"/>
    </row>
    <row r="934" spans="1:23" hidden="1" x14ac:dyDescent="0.3">
      <c r="A934" s="15">
        <v>828</v>
      </c>
      <c r="B934" s="15" t="s">
        <v>2858</v>
      </c>
      <c r="C934" s="19">
        <v>46136</v>
      </c>
      <c r="D934" s="19" t="s">
        <v>56</v>
      </c>
      <c r="E934" s="21" t="s">
        <v>1644</v>
      </c>
      <c r="F934" s="21">
        <v>9220186371</v>
      </c>
      <c r="G934" s="15" t="s">
        <v>6</v>
      </c>
      <c r="H934" s="15" t="s">
        <v>1874</v>
      </c>
      <c r="I934" s="15" t="s">
        <v>3209</v>
      </c>
      <c r="J934" s="15" t="s">
        <v>172</v>
      </c>
      <c r="K934" s="16">
        <v>44680</v>
      </c>
      <c r="L934" s="16">
        <v>60480</v>
      </c>
      <c r="M934" s="17">
        <f>Table1[[#This Row],[Billing Rate Charges]]-Table1[[#This Row],[ LORRY RATE ]]</f>
        <v>15800</v>
      </c>
      <c r="N934" s="17">
        <v>44680</v>
      </c>
      <c r="O934" s="17">
        <f>Table1[[#This Row],[ LORRY RATE ]]-Table1[[#This Row],[Adance Paid (INR)]]</f>
        <v>0</v>
      </c>
      <c r="P934" s="17" t="s">
        <v>147</v>
      </c>
      <c r="Q934" s="18" t="s">
        <v>3222</v>
      </c>
      <c r="R934" s="17" t="s">
        <v>1874</v>
      </c>
      <c r="S934" s="18" t="s">
        <v>3181</v>
      </c>
      <c r="T934" s="18" t="s">
        <v>3181</v>
      </c>
      <c r="U934" s="15" t="s">
        <v>54</v>
      </c>
      <c r="V934" s="15" t="s">
        <v>56</v>
      </c>
      <c r="W934" s="15"/>
    </row>
    <row r="935" spans="1:23" hidden="1" x14ac:dyDescent="0.3">
      <c r="A935" s="15">
        <v>829</v>
      </c>
      <c r="B935" s="15" t="s">
        <v>2858</v>
      </c>
      <c r="C935" s="19">
        <v>46137</v>
      </c>
      <c r="D935" s="19" t="s">
        <v>56</v>
      </c>
      <c r="E935" s="21" t="s">
        <v>3122</v>
      </c>
      <c r="F935" s="21">
        <v>9281983602</v>
      </c>
      <c r="G935" s="15" t="s">
        <v>6</v>
      </c>
      <c r="H935" s="15" t="s">
        <v>3210</v>
      </c>
      <c r="I935" s="15" t="s">
        <v>3211</v>
      </c>
      <c r="J935" s="15" t="s">
        <v>172</v>
      </c>
      <c r="K935" s="16">
        <v>45630</v>
      </c>
      <c r="L935" s="16">
        <v>66780</v>
      </c>
      <c r="M935" s="17">
        <f>Table1[[#This Row],[Billing Rate Charges]]-Table1[[#This Row],[ LORRY RATE ]]</f>
        <v>21150</v>
      </c>
      <c r="N935" s="17">
        <v>45630</v>
      </c>
      <c r="O935" s="17">
        <f>Table1[[#This Row],[ LORRY RATE ]]-Table1[[#This Row],[Adance Paid (INR)]]</f>
        <v>0</v>
      </c>
      <c r="P935" s="17" t="s">
        <v>147</v>
      </c>
      <c r="Q935" s="18" t="s">
        <v>3223</v>
      </c>
      <c r="R935" s="17" t="s">
        <v>1874</v>
      </c>
      <c r="S935" s="18" t="s">
        <v>3187</v>
      </c>
      <c r="T935" s="18" t="s">
        <v>3187</v>
      </c>
      <c r="U935" s="15" t="s">
        <v>54</v>
      </c>
      <c r="V935" s="15" t="s">
        <v>56</v>
      </c>
      <c r="W935" s="15" t="s">
        <v>3188</v>
      </c>
    </row>
    <row r="936" spans="1:23" hidden="1" x14ac:dyDescent="0.3">
      <c r="A936" s="15">
        <v>830</v>
      </c>
      <c r="B936" s="15" t="s">
        <v>2858</v>
      </c>
      <c r="C936" s="19">
        <v>46137</v>
      </c>
      <c r="D936" s="19" t="s">
        <v>56</v>
      </c>
      <c r="E936" s="21" t="s">
        <v>38</v>
      </c>
      <c r="F936" s="21">
        <v>9995059254</v>
      </c>
      <c r="G936" s="15" t="s">
        <v>6</v>
      </c>
      <c r="H936" s="15" t="s">
        <v>3213</v>
      </c>
      <c r="I936" s="15" t="s">
        <v>3212</v>
      </c>
      <c r="J936" s="15" t="s">
        <v>172</v>
      </c>
      <c r="K936" s="16">
        <v>45630</v>
      </c>
      <c r="L936" s="16">
        <v>66780</v>
      </c>
      <c r="M936" s="17">
        <f>Table1[[#This Row],[Billing Rate Charges]]-Table1[[#This Row],[ LORRY RATE ]]</f>
        <v>21150</v>
      </c>
      <c r="N936" s="17">
        <v>45630</v>
      </c>
      <c r="O936" s="17">
        <f>Table1[[#This Row],[ LORRY RATE ]]-Table1[[#This Row],[Adance Paid (INR)]]</f>
        <v>0</v>
      </c>
      <c r="P936" s="17" t="s">
        <v>147</v>
      </c>
      <c r="Q936" s="18" t="s">
        <v>3224</v>
      </c>
      <c r="R936" s="17" t="s">
        <v>1874</v>
      </c>
      <c r="S936" s="18" t="s">
        <v>3187</v>
      </c>
      <c r="T936" s="18" t="s">
        <v>3187</v>
      </c>
      <c r="U936" s="15" t="s">
        <v>54</v>
      </c>
      <c r="V936" s="15" t="s">
        <v>56</v>
      </c>
      <c r="W936" s="15"/>
    </row>
    <row r="937" spans="1:23" hidden="1" x14ac:dyDescent="0.3">
      <c r="A937" s="15">
        <v>831</v>
      </c>
      <c r="B937" s="15" t="s">
        <v>2858</v>
      </c>
      <c r="C937" s="19">
        <v>46138</v>
      </c>
      <c r="D937" s="19" t="s">
        <v>56</v>
      </c>
      <c r="E937" s="21" t="s">
        <v>3114</v>
      </c>
      <c r="F937" s="21">
        <v>9902798068</v>
      </c>
      <c r="G937" s="15" t="s">
        <v>1093</v>
      </c>
      <c r="H937" s="15" t="s">
        <v>3205</v>
      </c>
      <c r="I937" s="15" t="s">
        <v>6</v>
      </c>
      <c r="J937" s="15" t="s">
        <v>172</v>
      </c>
      <c r="K937" s="16">
        <v>57300</v>
      </c>
      <c r="L937" s="16">
        <v>144580</v>
      </c>
      <c r="M937" s="17">
        <f>Table1[[#This Row],[Billing Rate Charges]]-Table1[[#This Row],[ LORRY RATE ]]</f>
        <v>87280</v>
      </c>
      <c r="N937" s="17">
        <v>57300</v>
      </c>
      <c r="O937" s="17">
        <f>Table1[[#This Row],[ LORRY RATE ]]-Table1[[#This Row],[Adance Paid (INR)]]</f>
        <v>0</v>
      </c>
      <c r="P937" s="17" t="s">
        <v>147</v>
      </c>
      <c r="Q937" s="18" t="s">
        <v>3225</v>
      </c>
      <c r="R937" s="17" t="s">
        <v>1874</v>
      </c>
      <c r="S937" s="18" t="s">
        <v>3187</v>
      </c>
      <c r="T937" s="18" t="s">
        <v>3191</v>
      </c>
      <c r="U937" s="15" t="s">
        <v>54</v>
      </c>
      <c r="V937" s="15" t="s">
        <v>56</v>
      </c>
      <c r="W937" s="15"/>
    </row>
    <row r="938" spans="1:23" hidden="1" x14ac:dyDescent="0.3">
      <c r="A938" s="15">
        <v>832</v>
      </c>
      <c r="B938" s="15" t="s">
        <v>2858</v>
      </c>
      <c r="C938" s="19">
        <v>46140</v>
      </c>
      <c r="D938" s="19" t="s">
        <v>56</v>
      </c>
      <c r="E938" s="15" t="s">
        <v>1641</v>
      </c>
      <c r="F938" s="15">
        <v>9950016408</v>
      </c>
      <c r="G938" s="15" t="s">
        <v>6</v>
      </c>
      <c r="H938" s="15" t="s">
        <v>3214</v>
      </c>
      <c r="I938" s="15" t="s">
        <v>3215</v>
      </c>
      <c r="J938" s="15" t="s">
        <v>172</v>
      </c>
      <c r="K938" s="16">
        <v>45630</v>
      </c>
      <c r="L938" s="16">
        <v>66780</v>
      </c>
      <c r="M938" s="17">
        <f>Table1[[#This Row],[Billing Rate Charges]]-Table1[[#This Row],[ LORRY RATE ]]</f>
        <v>21150</v>
      </c>
      <c r="N938" s="17">
        <v>45630</v>
      </c>
      <c r="O938" s="17">
        <f>Table1[[#This Row],[ LORRY RATE ]]-Table1[[#This Row],[Adance Paid (INR)]]</f>
        <v>0</v>
      </c>
      <c r="P938" s="17" t="s">
        <v>147</v>
      </c>
      <c r="Q938" s="18" t="s">
        <v>3226</v>
      </c>
      <c r="R938" s="17"/>
      <c r="S938" s="18" t="s">
        <v>3197</v>
      </c>
      <c r="T938" s="18" t="s">
        <v>3197</v>
      </c>
      <c r="U938" s="15" t="s">
        <v>54</v>
      </c>
      <c r="V938" s="15" t="s">
        <v>56</v>
      </c>
      <c r="W938" s="15"/>
    </row>
    <row r="939" spans="1:23" hidden="1" x14ac:dyDescent="0.3">
      <c r="A939" s="15">
        <v>833</v>
      </c>
      <c r="B939" s="15" t="s">
        <v>2858</v>
      </c>
      <c r="C939" s="19">
        <v>46140</v>
      </c>
      <c r="D939" s="19" t="s">
        <v>56</v>
      </c>
      <c r="E939" s="21" t="s">
        <v>1644</v>
      </c>
      <c r="F939" s="21">
        <v>9793531306</v>
      </c>
      <c r="G939" s="15" t="s">
        <v>1093</v>
      </c>
      <c r="H939" s="15" t="s">
        <v>3207</v>
      </c>
      <c r="I939" s="15" t="s">
        <v>6</v>
      </c>
      <c r="J939" s="15" t="s">
        <v>172</v>
      </c>
      <c r="K939" s="16">
        <v>57300</v>
      </c>
      <c r="L939" s="16">
        <v>144580</v>
      </c>
      <c r="M939" s="17">
        <f>Table1[[#This Row],[Billing Rate Charges]]-Table1[[#This Row],[ LORRY RATE ]]</f>
        <v>87280</v>
      </c>
      <c r="N939" s="17">
        <v>57300</v>
      </c>
      <c r="O939" s="17">
        <f>Table1[[#This Row],[ LORRY RATE ]]-Table1[[#This Row],[Adance Paid (INR)]]</f>
        <v>0</v>
      </c>
      <c r="P939" s="17" t="s">
        <v>147</v>
      </c>
      <c r="Q939" s="18" t="s">
        <v>3227</v>
      </c>
      <c r="R939" s="17"/>
      <c r="S939" s="18" t="s">
        <v>3198</v>
      </c>
      <c r="T939" s="18" t="s">
        <v>3199</v>
      </c>
      <c r="U939" s="15" t="s">
        <v>54</v>
      </c>
      <c r="V939" s="15" t="s">
        <v>56</v>
      </c>
      <c r="W939" s="15"/>
    </row>
    <row r="940" spans="1:23" hidden="1" x14ac:dyDescent="0.3">
      <c r="A940" s="15">
        <v>834</v>
      </c>
      <c r="B940" s="15" t="s">
        <v>2858</v>
      </c>
      <c r="C940" s="19">
        <v>46140</v>
      </c>
      <c r="D940" s="19" t="s">
        <v>56</v>
      </c>
      <c r="E940" s="21" t="s">
        <v>38</v>
      </c>
      <c r="F940" s="21">
        <v>9995059254</v>
      </c>
      <c r="G940" s="15" t="s">
        <v>105</v>
      </c>
      <c r="H940" s="15" t="s">
        <v>3206</v>
      </c>
      <c r="I940" s="15" t="s">
        <v>6</v>
      </c>
      <c r="J940" s="15" t="s">
        <v>59</v>
      </c>
      <c r="K940" s="16">
        <v>56160</v>
      </c>
      <c r="L940" s="16">
        <v>137020</v>
      </c>
      <c r="M940" s="17">
        <f>Table1[[#This Row],[Billing Rate Charges]]-Table1[[#This Row],[ LORRY RATE ]]</f>
        <v>80860</v>
      </c>
      <c r="N940" s="17">
        <v>56160</v>
      </c>
      <c r="O940" s="17">
        <f>Table1[[#This Row],[ LORRY RATE ]]-Table1[[#This Row],[Adance Paid (INR)]]</f>
        <v>0</v>
      </c>
      <c r="P940" s="17" t="s">
        <v>147</v>
      </c>
      <c r="Q940" s="18" t="s">
        <v>3228</v>
      </c>
      <c r="R940" s="17"/>
      <c r="S940" s="18" t="s">
        <v>3198</v>
      </c>
      <c r="T940" s="18" t="s">
        <v>3199</v>
      </c>
      <c r="U940" s="15" t="s">
        <v>54</v>
      </c>
      <c r="V940" s="15" t="s">
        <v>56</v>
      </c>
      <c r="W940" s="15"/>
    </row>
    <row r="941" spans="1:23" hidden="1" x14ac:dyDescent="0.3">
      <c r="A941" s="15">
        <v>835</v>
      </c>
      <c r="B941" s="15" t="s">
        <v>2858</v>
      </c>
      <c r="C941" s="19">
        <v>46142</v>
      </c>
      <c r="D941" s="19" t="s">
        <v>56</v>
      </c>
      <c r="E941" s="15" t="s">
        <v>3114</v>
      </c>
      <c r="F941" s="15">
        <v>9902798068</v>
      </c>
      <c r="G941" s="15" t="s">
        <v>6</v>
      </c>
      <c r="H941" s="15" t="s">
        <v>3216</v>
      </c>
      <c r="I941" s="15" t="s">
        <v>3217</v>
      </c>
      <c r="J941" s="15" t="s">
        <v>172</v>
      </c>
      <c r="K941" s="16">
        <v>45630</v>
      </c>
      <c r="L941" s="16">
        <v>66780</v>
      </c>
      <c r="M941" s="17">
        <f>Table1[[#This Row],[Billing Rate Charges]]-Table1[[#This Row],[ LORRY RATE ]]</f>
        <v>21150</v>
      </c>
      <c r="N941" s="17">
        <v>45630</v>
      </c>
      <c r="O941" s="17">
        <f>Table1[[#This Row],[ LORRY RATE ]]-Table1[[#This Row],[Adance Paid (INR)]]</f>
        <v>0</v>
      </c>
      <c r="P941" s="17" t="s">
        <v>147</v>
      </c>
      <c r="Q941" s="18" t="s">
        <v>3229</v>
      </c>
      <c r="R941" s="17"/>
      <c r="S941" s="18" t="s">
        <v>3239</v>
      </c>
      <c r="T941" s="18" t="s">
        <v>3239</v>
      </c>
      <c r="U941" s="15" t="s">
        <v>54</v>
      </c>
      <c r="V941" s="15" t="s">
        <v>56</v>
      </c>
      <c r="W941" s="15"/>
    </row>
    <row r="942" spans="1:23" hidden="1" x14ac:dyDescent="0.3">
      <c r="A942" s="15">
        <v>836</v>
      </c>
      <c r="B942" s="15" t="s">
        <v>2858</v>
      </c>
      <c r="C942" s="19">
        <v>46142</v>
      </c>
      <c r="D942" s="19" t="s">
        <v>56</v>
      </c>
      <c r="E942" s="21" t="s">
        <v>60</v>
      </c>
      <c r="F942" s="21">
        <v>9040208667</v>
      </c>
      <c r="G942" s="15" t="s">
        <v>6</v>
      </c>
      <c r="H942" s="15" t="s">
        <v>1874</v>
      </c>
      <c r="I942" s="15" t="s">
        <v>3218</v>
      </c>
      <c r="J942" s="15" t="s">
        <v>172</v>
      </c>
      <c r="K942" s="16">
        <v>44680</v>
      </c>
      <c r="L942" s="16">
        <v>60480</v>
      </c>
      <c r="M942" s="17">
        <f>Table1[[#This Row],[Billing Rate Charges]]-Table1[[#This Row],[ LORRY RATE ]]</f>
        <v>15800</v>
      </c>
      <c r="N942" s="17">
        <v>44680</v>
      </c>
      <c r="O942" s="17">
        <f>Table1[[#This Row],[ LORRY RATE ]]-Table1[[#This Row],[Adance Paid (INR)]]</f>
        <v>0</v>
      </c>
      <c r="P942" s="17" t="s">
        <v>147</v>
      </c>
      <c r="Q942" s="18" t="s">
        <v>3230</v>
      </c>
      <c r="R942" s="17"/>
      <c r="S942" s="18" t="s">
        <v>3239</v>
      </c>
      <c r="T942" s="18" t="s">
        <v>3239</v>
      </c>
      <c r="U942" s="15" t="s">
        <v>54</v>
      </c>
      <c r="V942" s="15" t="s">
        <v>56</v>
      </c>
      <c r="W942" s="15"/>
    </row>
    <row r="943" spans="1:23" hidden="1" x14ac:dyDescent="0.3">
      <c r="A943" s="15">
        <v>837</v>
      </c>
      <c r="B943" s="15" t="s">
        <v>3200</v>
      </c>
      <c r="C943" s="19">
        <v>46144</v>
      </c>
      <c r="D943" s="19" t="s">
        <v>56</v>
      </c>
      <c r="E943" s="21" t="s">
        <v>1641</v>
      </c>
      <c r="F943" s="21">
        <v>9486716172</v>
      </c>
      <c r="G943" s="15" t="s">
        <v>1093</v>
      </c>
      <c r="H943" s="15" t="s">
        <v>3208</v>
      </c>
      <c r="I943" s="15" t="s">
        <v>6</v>
      </c>
      <c r="J943" s="15" t="s">
        <v>172</v>
      </c>
      <c r="K943" s="16">
        <v>57300</v>
      </c>
      <c r="L943" s="16">
        <v>144580</v>
      </c>
      <c r="M943" s="17">
        <f>Table1[[#This Row],[Billing Rate Charges]]-Table1[[#This Row],[ LORRY RATE ]]</f>
        <v>87280</v>
      </c>
      <c r="N943" s="17">
        <v>57300</v>
      </c>
      <c r="O943" s="17">
        <f>Table1[[#This Row],[ LORRY RATE ]]-Table1[[#This Row],[Adance Paid (INR)]]</f>
        <v>0</v>
      </c>
      <c r="P943" s="17" t="s">
        <v>147</v>
      </c>
      <c r="Q943" s="18" t="s">
        <v>3278</v>
      </c>
      <c r="R943" s="17"/>
      <c r="S943" s="18" t="s">
        <v>3239</v>
      </c>
      <c r="T943" s="18" t="s">
        <v>3240</v>
      </c>
      <c r="U943" s="15" t="s">
        <v>54</v>
      </c>
      <c r="V943" s="15" t="s">
        <v>56</v>
      </c>
      <c r="W943" s="15"/>
    </row>
    <row r="944" spans="1:23" hidden="1" x14ac:dyDescent="0.3">
      <c r="A944" s="15">
        <v>838</v>
      </c>
      <c r="B944" s="15" t="s">
        <v>3200</v>
      </c>
      <c r="C944" s="19">
        <v>46145</v>
      </c>
      <c r="D944" s="19" t="s">
        <v>56</v>
      </c>
      <c r="E944" s="15" t="s">
        <v>1637</v>
      </c>
      <c r="F944" s="15">
        <v>9793531306</v>
      </c>
      <c r="G944" s="15" t="s">
        <v>6</v>
      </c>
      <c r="H944" s="15" t="s">
        <v>3220</v>
      </c>
      <c r="I944" s="15" t="s">
        <v>3219</v>
      </c>
      <c r="J944" s="15" t="s">
        <v>172</v>
      </c>
      <c r="K944" s="16">
        <v>45630</v>
      </c>
      <c r="L944" s="16">
        <v>66780</v>
      </c>
      <c r="M944" s="17">
        <f>Table1[[#This Row],[Billing Rate Charges]]-Table1[[#This Row],[ LORRY RATE ]]</f>
        <v>21150</v>
      </c>
      <c r="N944" s="17">
        <v>45630</v>
      </c>
      <c r="O944" s="17">
        <f>Table1[[#This Row],[ LORRY RATE ]]-Table1[[#This Row],[Adance Paid (INR)]]</f>
        <v>0</v>
      </c>
      <c r="P944" s="17" t="s">
        <v>147</v>
      </c>
      <c r="Q944" s="18" t="s">
        <v>3279</v>
      </c>
      <c r="R944" s="17"/>
      <c r="S944" s="17"/>
      <c r="T944" s="17"/>
      <c r="U944" s="15" t="s">
        <v>54</v>
      </c>
      <c r="V944" s="15" t="s">
        <v>56</v>
      </c>
      <c r="W944" s="15"/>
    </row>
    <row r="945" spans="1:23" hidden="1" x14ac:dyDescent="0.3">
      <c r="A945" s="15">
        <v>839</v>
      </c>
      <c r="B945" s="15" t="s">
        <v>3200</v>
      </c>
      <c r="C945" s="19">
        <v>46147</v>
      </c>
      <c r="D945" s="19" t="s">
        <v>56</v>
      </c>
      <c r="E945" s="21" t="s">
        <v>3241</v>
      </c>
      <c r="F945" s="21">
        <v>9995059254</v>
      </c>
      <c r="G945" s="15" t="s">
        <v>6</v>
      </c>
      <c r="H945" s="15" t="s">
        <v>3247</v>
      </c>
      <c r="I945" s="15" t="s">
        <v>3248</v>
      </c>
      <c r="J945" s="15" t="s">
        <v>172</v>
      </c>
      <c r="K945" s="16">
        <v>48130</v>
      </c>
      <c r="L945" s="16">
        <v>83480</v>
      </c>
      <c r="M945" s="17">
        <f>Table1[[#This Row],[Billing Rate Charges]]-Table1[[#This Row],[ LORRY RATE ]]</f>
        <v>35350</v>
      </c>
      <c r="N945" s="17">
        <v>48130</v>
      </c>
      <c r="O945" s="17">
        <f>Table1[[#This Row],[ LORRY RATE ]]-Table1[[#This Row],[Adance Paid (INR)]]</f>
        <v>0</v>
      </c>
      <c r="P945" s="17" t="s">
        <v>147</v>
      </c>
      <c r="Q945" s="18" t="s">
        <v>3280</v>
      </c>
      <c r="R945" s="17"/>
      <c r="S945" s="17"/>
      <c r="T945" s="17"/>
      <c r="U945" s="15" t="s">
        <v>54</v>
      </c>
      <c r="V945" s="15" t="s">
        <v>56</v>
      </c>
      <c r="W945" s="15"/>
    </row>
    <row r="946" spans="1:23" hidden="1" x14ac:dyDescent="0.3">
      <c r="A946" s="15">
        <v>840</v>
      </c>
      <c r="B946" s="15" t="s">
        <v>3200</v>
      </c>
      <c r="C946" s="19">
        <v>46147</v>
      </c>
      <c r="D946" s="19" t="s">
        <v>56</v>
      </c>
      <c r="E946" s="21" t="s">
        <v>3114</v>
      </c>
      <c r="F946" s="21">
        <v>9902798068</v>
      </c>
      <c r="G946" s="15" t="s">
        <v>1093</v>
      </c>
      <c r="H946" s="15" t="s">
        <v>3276</v>
      </c>
      <c r="I946" s="15" t="s">
        <v>6</v>
      </c>
      <c r="J946" s="15" t="s">
        <v>172</v>
      </c>
      <c r="K946" s="16">
        <v>58240</v>
      </c>
      <c r="L946" s="16">
        <v>150880</v>
      </c>
      <c r="M946" s="17">
        <f>Table1[[#This Row],[Billing Rate Charges]]-Table1[[#This Row],[ LORRY RATE ]]</f>
        <v>92640</v>
      </c>
      <c r="N946" s="17">
        <v>58240</v>
      </c>
      <c r="O946" s="17">
        <f>Table1[[#This Row],[ LORRY RATE ]]-Table1[[#This Row],[Adance Paid (INR)]]</f>
        <v>0</v>
      </c>
      <c r="P946" s="17" t="s">
        <v>147</v>
      </c>
      <c r="Q946" s="18" t="s">
        <v>3282</v>
      </c>
      <c r="R946" s="17"/>
      <c r="S946" s="17"/>
      <c r="T946" s="17"/>
      <c r="U946" s="15" t="s">
        <v>54</v>
      </c>
      <c r="V946" s="15" t="s">
        <v>56</v>
      </c>
      <c r="W946" s="15"/>
    </row>
    <row r="947" spans="1:23" hidden="1" x14ac:dyDescent="0.3">
      <c r="A947" s="15">
        <v>841</v>
      </c>
      <c r="B947" s="15" t="s">
        <v>3200</v>
      </c>
      <c r="C947" s="19">
        <v>46148</v>
      </c>
      <c r="D947" s="19" t="s">
        <v>56</v>
      </c>
      <c r="E947" s="21" t="s">
        <v>60</v>
      </c>
      <c r="F947" s="21">
        <v>9040208667</v>
      </c>
      <c r="G947" s="15" t="s">
        <v>1093</v>
      </c>
      <c r="H947" s="15" t="s">
        <v>3265</v>
      </c>
      <c r="I947" s="15" t="s">
        <v>6</v>
      </c>
      <c r="J947" s="15" t="s">
        <v>172</v>
      </c>
      <c r="K947" s="16">
        <v>57300</v>
      </c>
      <c r="L947" s="16">
        <v>144580</v>
      </c>
      <c r="M947" s="17">
        <f>Table1[[#This Row],[Billing Rate Charges]]-Table1[[#This Row],[ LORRY RATE ]]</f>
        <v>87280</v>
      </c>
      <c r="N947" s="17">
        <v>57300</v>
      </c>
      <c r="O947" s="17">
        <f>Table1[[#This Row],[ LORRY RATE ]]-Table1[[#This Row],[Adance Paid (INR)]]</f>
        <v>0</v>
      </c>
      <c r="P947" s="17" t="s">
        <v>147</v>
      </c>
      <c r="Q947" s="18" t="s">
        <v>3283</v>
      </c>
      <c r="R947" s="17"/>
      <c r="S947" s="17"/>
      <c r="T947" s="17"/>
      <c r="U947" s="15" t="s">
        <v>54</v>
      </c>
      <c r="V947" s="15" t="s">
        <v>56</v>
      </c>
      <c r="W947" s="15"/>
    </row>
    <row r="948" spans="1:23" hidden="1" x14ac:dyDescent="0.3">
      <c r="A948" s="15">
        <v>842</v>
      </c>
      <c r="B948" s="15" t="s">
        <v>3200</v>
      </c>
      <c r="C948" s="19">
        <v>46148</v>
      </c>
      <c r="D948" s="19" t="s">
        <v>56</v>
      </c>
      <c r="E948" s="21" t="s">
        <v>1641</v>
      </c>
      <c r="F948" s="21">
        <v>9486716172</v>
      </c>
      <c r="G948" s="15" t="s">
        <v>6</v>
      </c>
      <c r="H948" s="15" t="s">
        <v>1874</v>
      </c>
      <c r="I948" s="15" t="s">
        <v>3249</v>
      </c>
      <c r="J948" s="15" t="s">
        <v>172</v>
      </c>
      <c r="K948" s="16">
        <v>44680</v>
      </c>
      <c r="L948" s="16">
        <v>60480</v>
      </c>
      <c r="M948" s="17">
        <f>Table1[[#This Row],[Billing Rate Charges]]-Table1[[#This Row],[ LORRY RATE ]]</f>
        <v>15800</v>
      </c>
      <c r="N948" s="17">
        <v>44680</v>
      </c>
      <c r="O948" s="17">
        <f>Table1[[#This Row],[ LORRY RATE ]]-Table1[[#This Row],[Adance Paid (INR)]]</f>
        <v>0</v>
      </c>
      <c r="P948" s="17" t="s">
        <v>147</v>
      </c>
      <c r="Q948" s="18" t="s">
        <v>3284</v>
      </c>
      <c r="R948" s="17"/>
      <c r="S948" s="17"/>
      <c r="T948" s="17"/>
      <c r="U948" s="15" t="s">
        <v>54</v>
      </c>
      <c r="V948" s="15" t="s">
        <v>56</v>
      </c>
      <c r="W948" s="15"/>
    </row>
    <row r="949" spans="1:23" hidden="1" x14ac:dyDescent="0.3">
      <c r="A949" s="15">
        <v>843</v>
      </c>
      <c r="B949" s="15" t="s">
        <v>3200</v>
      </c>
      <c r="C949" s="19">
        <v>46149</v>
      </c>
      <c r="D949" s="19" t="s">
        <v>56</v>
      </c>
      <c r="E949" s="21" t="s">
        <v>1635</v>
      </c>
      <c r="F949" s="21">
        <v>9793531306</v>
      </c>
      <c r="G949" s="15" t="s">
        <v>6</v>
      </c>
      <c r="H949" s="15" t="s">
        <v>3250</v>
      </c>
      <c r="I949" s="15" t="s">
        <v>3251</v>
      </c>
      <c r="J949" s="15" t="s">
        <v>172</v>
      </c>
      <c r="K949" s="16">
        <v>45630</v>
      </c>
      <c r="L949" s="16">
        <v>66780</v>
      </c>
      <c r="M949" s="17">
        <f>Table1[[#This Row],[Billing Rate Charges]]-Table1[[#This Row],[ LORRY RATE ]]</f>
        <v>21150</v>
      </c>
      <c r="N949" s="17">
        <v>45630</v>
      </c>
      <c r="O949" s="17">
        <f>Table1[[#This Row],[ LORRY RATE ]]-Table1[[#This Row],[Adance Paid (INR)]]</f>
        <v>0</v>
      </c>
      <c r="P949" s="17" t="s">
        <v>147</v>
      </c>
      <c r="Q949" s="18" t="s">
        <v>3285</v>
      </c>
      <c r="R949" s="17"/>
      <c r="S949" s="17"/>
      <c r="T949" s="17"/>
      <c r="U949" s="15" t="s">
        <v>54</v>
      </c>
      <c r="V949" s="15" t="s">
        <v>56</v>
      </c>
      <c r="W949" s="15"/>
    </row>
    <row r="950" spans="1:23" hidden="1" x14ac:dyDescent="0.3">
      <c r="A950" s="15">
        <v>844</v>
      </c>
      <c r="B950" s="15" t="s">
        <v>3200</v>
      </c>
      <c r="C950" s="19">
        <v>46150</v>
      </c>
      <c r="D950" s="19" t="s">
        <v>56</v>
      </c>
      <c r="E950" s="21" t="s">
        <v>1637</v>
      </c>
      <c r="F950" s="21">
        <v>9220186371</v>
      </c>
      <c r="G950" s="15" t="s">
        <v>1093</v>
      </c>
      <c r="H950" s="15" t="s">
        <v>3266</v>
      </c>
      <c r="I950" s="15" t="s">
        <v>6</v>
      </c>
      <c r="J950" s="15" t="s">
        <v>172</v>
      </c>
      <c r="K950" s="16">
        <v>57300</v>
      </c>
      <c r="L950" s="16">
        <v>144580</v>
      </c>
      <c r="M950" s="17">
        <f>Table1[[#This Row],[Billing Rate Charges]]-Table1[[#This Row],[ LORRY RATE ]]</f>
        <v>87280</v>
      </c>
      <c r="N950" s="17">
        <v>57300</v>
      </c>
      <c r="O950" s="17">
        <f>Table1[[#This Row],[ LORRY RATE ]]-Table1[[#This Row],[Adance Paid (INR)]]</f>
        <v>0</v>
      </c>
      <c r="P950" s="17" t="s">
        <v>147</v>
      </c>
      <c r="Q950" s="18" t="s">
        <v>3286</v>
      </c>
      <c r="R950" s="17"/>
      <c r="S950" s="17"/>
      <c r="T950" s="17"/>
      <c r="U950" s="15" t="s">
        <v>54</v>
      </c>
      <c r="V950" s="15" t="s">
        <v>56</v>
      </c>
      <c r="W950" s="15"/>
    </row>
    <row r="951" spans="1:23" hidden="1" x14ac:dyDescent="0.3">
      <c r="A951" s="15">
        <v>845</v>
      </c>
      <c r="B951" s="15" t="s">
        <v>3200</v>
      </c>
      <c r="C951" s="19">
        <v>46150</v>
      </c>
      <c r="D951" s="19" t="s">
        <v>56</v>
      </c>
      <c r="E951" s="21" t="s">
        <v>3065</v>
      </c>
      <c r="F951" s="21">
        <v>9589264337</v>
      </c>
      <c r="G951" s="15" t="s">
        <v>1093</v>
      </c>
      <c r="H951" s="15" t="s">
        <v>3268</v>
      </c>
      <c r="I951" s="15" t="s">
        <v>6</v>
      </c>
      <c r="J951" s="15" t="s">
        <v>172</v>
      </c>
      <c r="K951" s="16">
        <v>58240</v>
      </c>
      <c r="L951" s="16">
        <v>150880</v>
      </c>
      <c r="M951" s="17">
        <f>Table1[[#This Row],[Billing Rate Charges]]-Table1[[#This Row],[ LORRY RATE ]]</f>
        <v>92640</v>
      </c>
      <c r="N951" s="17">
        <v>58240</v>
      </c>
      <c r="O951" s="17">
        <f>Table1[[#This Row],[ LORRY RATE ]]-Table1[[#This Row],[Adance Paid (INR)]]</f>
        <v>0</v>
      </c>
      <c r="P951" s="17" t="s">
        <v>147</v>
      </c>
      <c r="Q951" s="18" t="s">
        <v>1917</v>
      </c>
      <c r="R951" s="17"/>
      <c r="S951" s="17"/>
      <c r="T951" s="17"/>
      <c r="U951" s="15" t="s">
        <v>54</v>
      </c>
      <c r="V951" s="15" t="s">
        <v>56</v>
      </c>
      <c r="W951" s="15"/>
    </row>
    <row r="952" spans="1:23" hidden="1" x14ac:dyDescent="0.3">
      <c r="A952" s="15">
        <v>846</v>
      </c>
      <c r="B952" s="15" t="s">
        <v>3200</v>
      </c>
      <c r="C952" s="19">
        <v>46152</v>
      </c>
      <c r="D952" s="19" t="s">
        <v>56</v>
      </c>
      <c r="E952" s="21" t="s">
        <v>38</v>
      </c>
      <c r="F952" s="21">
        <v>9995059254</v>
      </c>
      <c r="G952" s="15" t="s">
        <v>1093</v>
      </c>
      <c r="H952" s="15" t="s">
        <v>3269</v>
      </c>
      <c r="I952" s="15" t="s">
        <v>6</v>
      </c>
      <c r="J952" s="15" t="s">
        <v>172</v>
      </c>
      <c r="K952" s="16">
        <v>57300</v>
      </c>
      <c r="L952" s="16">
        <v>144580</v>
      </c>
      <c r="M952" s="17">
        <f>Table1[[#This Row],[Billing Rate Charges]]-Table1[[#This Row],[ LORRY RATE ]]</f>
        <v>87280</v>
      </c>
      <c r="N952" s="17">
        <v>57300</v>
      </c>
      <c r="O952" s="17">
        <f>Table1[[#This Row],[ LORRY RATE ]]-Table1[[#This Row],[Adance Paid (INR)]]</f>
        <v>0</v>
      </c>
      <c r="P952" s="17" t="s">
        <v>147</v>
      </c>
      <c r="Q952" s="18" t="s">
        <v>1918</v>
      </c>
      <c r="R952" s="17"/>
      <c r="S952" s="17"/>
      <c r="T952" s="17"/>
      <c r="U952" s="15" t="s">
        <v>54</v>
      </c>
      <c r="V952" s="15" t="s">
        <v>56</v>
      </c>
      <c r="W952" s="15"/>
    </row>
    <row r="953" spans="1:23" hidden="1" x14ac:dyDescent="0.3">
      <c r="A953" s="15">
        <v>847</v>
      </c>
      <c r="B953" s="15" t="s">
        <v>3200</v>
      </c>
      <c r="C953" s="19">
        <v>46152</v>
      </c>
      <c r="D953" s="19" t="s">
        <v>56</v>
      </c>
      <c r="E953" s="21" t="s">
        <v>1641</v>
      </c>
      <c r="F953" s="21">
        <v>9486716172</v>
      </c>
      <c r="G953" s="15" t="s">
        <v>1093</v>
      </c>
      <c r="H953" s="15" t="s">
        <v>3271</v>
      </c>
      <c r="I953" s="15" t="s">
        <v>6</v>
      </c>
      <c r="J953" s="15" t="s">
        <v>172</v>
      </c>
      <c r="K953" s="16">
        <v>57300</v>
      </c>
      <c r="L953" s="16">
        <v>144580</v>
      </c>
      <c r="M953" s="17">
        <f>Table1[[#This Row],[Billing Rate Charges]]-Table1[[#This Row],[ LORRY RATE ]]</f>
        <v>87280</v>
      </c>
      <c r="N953" s="17">
        <v>57300</v>
      </c>
      <c r="O953" s="17">
        <f>Table1[[#This Row],[ LORRY RATE ]]-Table1[[#This Row],[Adance Paid (INR)]]</f>
        <v>0</v>
      </c>
      <c r="P953" s="17" t="s">
        <v>147</v>
      </c>
      <c r="Q953" s="18" t="s">
        <v>1915</v>
      </c>
      <c r="R953" s="17"/>
      <c r="S953" s="17"/>
      <c r="T953" s="17"/>
      <c r="U953" s="15" t="s">
        <v>54</v>
      </c>
      <c r="V953" s="15" t="s">
        <v>56</v>
      </c>
      <c r="W953" s="15"/>
    </row>
    <row r="954" spans="1:23" hidden="1" x14ac:dyDescent="0.3">
      <c r="A954" s="15">
        <v>848</v>
      </c>
      <c r="B954" s="15" t="s">
        <v>3200</v>
      </c>
      <c r="C954" s="19">
        <v>46153</v>
      </c>
      <c r="D954" s="19" t="s">
        <v>56</v>
      </c>
      <c r="E954" s="21" t="s">
        <v>3114</v>
      </c>
      <c r="F954" s="21">
        <v>9902798068</v>
      </c>
      <c r="G954" s="15" t="s">
        <v>6</v>
      </c>
      <c r="H954" s="15" t="s">
        <v>1874</v>
      </c>
      <c r="I954" s="15" t="s">
        <v>3252</v>
      </c>
      <c r="J954" s="15" t="s">
        <v>172</v>
      </c>
      <c r="K954" s="16">
        <v>44680</v>
      </c>
      <c r="L954" s="16">
        <v>60480</v>
      </c>
      <c r="M954" s="17">
        <f>Table1[[#This Row],[Billing Rate Charges]]-Table1[[#This Row],[ LORRY RATE ]]</f>
        <v>15800</v>
      </c>
      <c r="N954" s="17">
        <v>44680</v>
      </c>
      <c r="O954" s="17">
        <f>Table1[[#This Row],[ LORRY RATE ]]-Table1[[#This Row],[Adance Paid (INR)]]</f>
        <v>0</v>
      </c>
      <c r="P954" s="17" t="s">
        <v>147</v>
      </c>
      <c r="Q954" s="18" t="s">
        <v>1930</v>
      </c>
      <c r="R954" s="17"/>
      <c r="S954" s="17"/>
      <c r="T954" s="17"/>
      <c r="U954" s="15" t="s">
        <v>54</v>
      </c>
      <c r="V954" s="15" t="s">
        <v>56</v>
      </c>
      <c r="W954" s="15"/>
    </row>
    <row r="955" spans="1:23" hidden="1" x14ac:dyDescent="0.3">
      <c r="A955" s="15">
        <v>849</v>
      </c>
      <c r="B955" s="15" t="s">
        <v>3200</v>
      </c>
      <c r="C955" s="19">
        <v>46154</v>
      </c>
      <c r="D955" s="19" t="s">
        <v>56</v>
      </c>
      <c r="E955" s="21" t="s">
        <v>1637</v>
      </c>
      <c r="F955" s="21">
        <v>9220186371</v>
      </c>
      <c r="G955" s="15" t="s">
        <v>6</v>
      </c>
      <c r="H955" s="15" t="s">
        <v>3253</v>
      </c>
      <c r="I955" s="15" t="s">
        <v>3254</v>
      </c>
      <c r="J955" s="15" t="s">
        <v>172</v>
      </c>
      <c r="K955" s="16">
        <v>45630</v>
      </c>
      <c r="L955" s="16">
        <v>66780</v>
      </c>
      <c r="M955" s="17">
        <f>Table1[[#This Row],[Billing Rate Charges]]-Table1[[#This Row],[ LORRY RATE ]]</f>
        <v>21150</v>
      </c>
      <c r="N955" s="17">
        <v>45630</v>
      </c>
      <c r="O955" s="17">
        <f>Table1[[#This Row],[ LORRY RATE ]]-Table1[[#This Row],[Adance Paid (INR)]]</f>
        <v>0</v>
      </c>
      <c r="P955" s="17" t="s">
        <v>147</v>
      </c>
      <c r="Q955" s="18" t="s">
        <v>3281</v>
      </c>
      <c r="R955" s="17"/>
      <c r="S955" s="17"/>
      <c r="T955" s="17"/>
      <c r="U955" s="15" t="s">
        <v>54</v>
      </c>
      <c r="V955" s="15" t="s">
        <v>56</v>
      </c>
      <c r="W955" s="15"/>
    </row>
    <row r="956" spans="1:23" hidden="1" x14ac:dyDescent="0.3">
      <c r="A956" s="15">
        <v>850</v>
      </c>
      <c r="B956" s="15" t="s">
        <v>3200</v>
      </c>
      <c r="C956" s="19">
        <v>46156</v>
      </c>
      <c r="D956" s="19" t="s">
        <v>56</v>
      </c>
      <c r="E956" s="21" t="s">
        <v>3065</v>
      </c>
      <c r="F956" s="21">
        <v>9589264337</v>
      </c>
      <c r="G956" s="15" t="s">
        <v>6</v>
      </c>
      <c r="H956" s="15" t="s">
        <v>1874</v>
      </c>
      <c r="I956" s="15" t="s">
        <v>3255</v>
      </c>
      <c r="J956" s="15" t="s">
        <v>172</v>
      </c>
      <c r="K956" s="16">
        <v>44680</v>
      </c>
      <c r="L956" s="16">
        <v>60480</v>
      </c>
      <c r="M956" s="17">
        <f>Table1[[#This Row],[Billing Rate Charges]]-Table1[[#This Row],[ LORRY RATE ]]</f>
        <v>15800</v>
      </c>
      <c r="N956" s="17">
        <v>44680</v>
      </c>
      <c r="O956" s="17">
        <f>Table1[[#This Row],[ LORRY RATE ]]-Table1[[#This Row],[Adance Paid (INR)]]</f>
        <v>0</v>
      </c>
      <c r="P956" s="17" t="s">
        <v>147</v>
      </c>
      <c r="Q956" s="18" t="s">
        <v>1934</v>
      </c>
      <c r="R956" s="17"/>
      <c r="S956" s="17"/>
      <c r="T956" s="17"/>
      <c r="U956" s="15" t="s">
        <v>54</v>
      </c>
      <c r="V956" s="15" t="s">
        <v>56</v>
      </c>
      <c r="W956" s="15"/>
    </row>
    <row r="957" spans="1:23" hidden="1" x14ac:dyDescent="0.3">
      <c r="A957" s="15">
        <v>851</v>
      </c>
      <c r="B957" s="15" t="s">
        <v>3200</v>
      </c>
      <c r="C957" s="19">
        <v>46156</v>
      </c>
      <c r="D957" s="19" t="s">
        <v>56</v>
      </c>
      <c r="E957" s="21" t="s">
        <v>3114</v>
      </c>
      <c r="F957" s="21">
        <v>9902798068</v>
      </c>
      <c r="G957" s="15" t="s">
        <v>1093</v>
      </c>
      <c r="H957" s="15" t="s">
        <v>3277</v>
      </c>
      <c r="I957" s="15" t="s">
        <v>6</v>
      </c>
      <c r="J957" s="15" t="s">
        <v>172</v>
      </c>
      <c r="K957" s="16">
        <v>58240</v>
      </c>
      <c r="L957" s="16">
        <v>150880</v>
      </c>
      <c r="M957" s="17">
        <f>Table1[[#This Row],[Billing Rate Charges]]-Table1[[#This Row],[ LORRY RATE ]]</f>
        <v>92640</v>
      </c>
      <c r="N957" s="17">
        <v>58240</v>
      </c>
      <c r="O957" s="17">
        <f>Table1[[#This Row],[ LORRY RATE ]]-Table1[[#This Row],[Adance Paid (INR)]]</f>
        <v>0</v>
      </c>
      <c r="P957" s="17" t="s">
        <v>147</v>
      </c>
      <c r="Q957" s="18" t="s">
        <v>1921</v>
      </c>
      <c r="R957" s="17"/>
      <c r="S957" s="17"/>
      <c r="T957" s="17"/>
      <c r="U957" s="15" t="s">
        <v>54</v>
      </c>
      <c r="V957" s="15" t="s">
        <v>56</v>
      </c>
      <c r="W957" s="15"/>
    </row>
    <row r="958" spans="1:23" hidden="1" x14ac:dyDescent="0.3">
      <c r="A958" s="15">
        <v>852</v>
      </c>
      <c r="B958" s="15" t="s">
        <v>3200</v>
      </c>
      <c r="C958" s="19">
        <v>46156</v>
      </c>
      <c r="D958" s="19" t="s">
        <v>56</v>
      </c>
      <c r="E958" s="21" t="s">
        <v>1637</v>
      </c>
      <c r="F958" s="21">
        <v>9220186371</v>
      </c>
      <c r="G958" s="15" t="s">
        <v>105</v>
      </c>
      <c r="H958" s="15" t="s">
        <v>3267</v>
      </c>
      <c r="I958" s="15" t="s">
        <v>6</v>
      </c>
      <c r="J958" s="15" t="s">
        <v>172</v>
      </c>
      <c r="K958" s="16">
        <v>57300</v>
      </c>
      <c r="L958" s="16">
        <v>144580</v>
      </c>
      <c r="M958" s="17">
        <f>Table1[[#This Row],[Billing Rate Charges]]-Table1[[#This Row],[ LORRY RATE ]]</f>
        <v>87280</v>
      </c>
      <c r="N958" s="17">
        <v>57300</v>
      </c>
      <c r="O958" s="17">
        <f>Table1[[#This Row],[ LORRY RATE ]]-Table1[[#This Row],[Adance Paid (INR)]]</f>
        <v>0</v>
      </c>
      <c r="P958" s="17" t="s">
        <v>147</v>
      </c>
      <c r="Q958" s="18" t="s">
        <v>1920</v>
      </c>
      <c r="R958" s="17"/>
      <c r="S958" s="17"/>
      <c r="T958" s="17"/>
      <c r="U958" s="15" t="s">
        <v>54</v>
      </c>
      <c r="V958" s="15" t="s">
        <v>56</v>
      </c>
      <c r="W958" s="15"/>
    </row>
    <row r="959" spans="1:23" hidden="1" x14ac:dyDescent="0.3">
      <c r="A959" s="15">
        <v>853</v>
      </c>
      <c r="B959" s="15" t="s">
        <v>3200</v>
      </c>
      <c r="C959" s="19">
        <v>46156</v>
      </c>
      <c r="D959" s="19" t="s">
        <v>56</v>
      </c>
      <c r="E959" s="21" t="s">
        <v>1635</v>
      </c>
      <c r="F959" s="21">
        <v>9793531306</v>
      </c>
      <c r="G959" s="15" t="s">
        <v>1093</v>
      </c>
      <c r="H959" s="15" t="s">
        <v>3272</v>
      </c>
      <c r="I959" s="15" t="s">
        <v>6</v>
      </c>
      <c r="J959" s="15" t="s">
        <v>172</v>
      </c>
      <c r="K959" s="16">
        <v>57300</v>
      </c>
      <c r="L959" s="16">
        <v>144580</v>
      </c>
      <c r="M959" s="17">
        <f>Table1[[#This Row],[Billing Rate Charges]]-Table1[[#This Row],[ LORRY RATE ]]</f>
        <v>87280</v>
      </c>
      <c r="N959" s="17">
        <v>57300</v>
      </c>
      <c r="O959" s="17">
        <f>Table1[[#This Row],[ LORRY RATE ]]-Table1[[#This Row],[Adance Paid (INR)]]</f>
        <v>0</v>
      </c>
      <c r="P959" s="17" t="s">
        <v>147</v>
      </c>
      <c r="Q959" s="18" t="s">
        <v>1919</v>
      </c>
      <c r="R959" s="17"/>
      <c r="S959" s="17"/>
      <c r="T959" s="17"/>
      <c r="U959" s="15" t="s">
        <v>54</v>
      </c>
      <c r="V959" s="15" t="s">
        <v>56</v>
      </c>
      <c r="W959" s="15"/>
    </row>
    <row r="960" spans="1:23" hidden="1" x14ac:dyDescent="0.3">
      <c r="A960" s="15">
        <v>854</v>
      </c>
      <c r="B960" s="15" t="s">
        <v>3200</v>
      </c>
      <c r="C960" s="19">
        <v>46157</v>
      </c>
      <c r="D960" s="19" t="s">
        <v>56</v>
      </c>
      <c r="E960" s="21" t="s">
        <v>38</v>
      </c>
      <c r="F960" s="21">
        <v>9995059254</v>
      </c>
      <c r="G960" s="15" t="s">
        <v>6</v>
      </c>
      <c r="H960" s="15" t="s">
        <v>1874</v>
      </c>
      <c r="I960" s="15" t="s">
        <v>3256</v>
      </c>
      <c r="J960" s="15" t="s">
        <v>172</v>
      </c>
      <c r="K960" s="16">
        <v>44330</v>
      </c>
      <c r="L960" s="16">
        <v>58120</v>
      </c>
      <c r="M960" s="17">
        <f>Table1[[#This Row],[Billing Rate Charges]]-Table1[[#This Row],[ LORRY RATE ]]</f>
        <v>13790</v>
      </c>
      <c r="N960" s="17">
        <v>44330</v>
      </c>
      <c r="O960" s="17">
        <f>Table1[[#This Row],[ LORRY RATE ]]-Table1[[#This Row],[Adance Paid (INR)]]</f>
        <v>0</v>
      </c>
      <c r="P960" s="17" t="s">
        <v>147</v>
      </c>
      <c r="Q960" s="18" t="s">
        <v>1935</v>
      </c>
      <c r="R960" s="17"/>
      <c r="S960" s="17"/>
      <c r="T960" s="17"/>
      <c r="U960" s="15" t="s">
        <v>54</v>
      </c>
      <c r="V960" s="15" t="s">
        <v>56</v>
      </c>
      <c r="W960" s="15"/>
    </row>
    <row r="961" spans="1:23" hidden="1" x14ac:dyDescent="0.3">
      <c r="A961" s="15">
        <v>855</v>
      </c>
      <c r="B961" s="15" t="s">
        <v>3200</v>
      </c>
      <c r="C961" s="19">
        <v>46157</v>
      </c>
      <c r="D961" s="19" t="s">
        <v>56</v>
      </c>
      <c r="E961" s="21" t="s">
        <v>2859</v>
      </c>
      <c r="F961" s="21">
        <v>9472230553</v>
      </c>
      <c r="G961" s="15" t="s">
        <v>1093</v>
      </c>
      <c r="H961" s="15" t="s">
        <v>3274</v>
      </c>
      <c r="I961" s="15" t="s">
        <v>6</v>
      </c>
      <c r="J961" s="15" t="s">
        <v>172</v>
      </c>
      <c r="K961" s="16">
        <v>57300</v>
      </c>
      <c r="L961" s="16">
        <v>144580</v>
      </c>
      <c r="M961" s="17">
        <f>Table1[[#This Row],[Billing Rate Charges]]-Table1[[#This Row],[ LORRY RATE ]]</f>
        <v>87280</v>
      </c>
      <c r="N961" s="17">
        <v>57300</v>
      </c>
      <c r="O961" s="17">
        <f>Table1[[#This Row],[ LORRY RATE ]]-Table1[[#This Row],[Adance Paid (INR)]]</f>
        <v>0</v>
      </c>
      <c r="P961" s="17" t="s">
        <v>147</v>
      </c>
      <c r="Q961" s="18" t="s">
        <v>1924</v>
      </c>
      <c r="R961" s="17"/>
      <c r="S961" s="17"/>
      <c r="T961" s="17"/>
      <c r="U961" s="15" t="s">
        <v>54</v>
      </c>
      <c r="V961" s="15" t="s">
        <v>56</v>
      </c>
      <c r="W961" s="15"/>
    </row>
    <row r="962" spans="1:23" hidden="1" x14ac:dyDescent="0.3">
      <c r="A962" s="15">
        <v>856</v>
      </c>
      <c r="B962" s="15" t="s">
        <v>3200</v>
      </c>
      <c r="C962" s="19">
        <v>46161</v>
      </c>
      <c r="D962" s="19" t="s">
        <v>56</v>
      </c>
      <c r="E962" s="21" t="s">
        <v>3122</v>
      </c>
      <c r="F962" s="21">
        <v>9281983602</v>
      </c>
      <c r="G962" s="15" t="s">
        <v>6</v>
      </c>
      <c r="H962" s="15" t="s">
        <v>3257</v>
      </c>
      <c r="I962" s="15" t="s">
        <v>3258</v>
      </c>
      <c r="J962" s="15" t="s">
        <v>172</v>
      </c>
      <c r="K962" s="16">
        <v>45630</v>
      </c>
      <c r="L962" s="16">
        <v>66780</v>
      </c>
      <c r="M962" s="17">
        <f>Table1[[#This Row],[Billing Rate Charges]]-Table1[[#This Row],[ LORRY RATE ]]</f>
        <v>21150</v>
      </c>
      <c r="N962" s="17">
        <v>45630</v>
      </c>
      <c r="O962" s="17">
        <f>Table1[[#This Row],[ LORRY RATE ]]-Table1[[#This Row],[Adance Paid (INR)]]</f>
        <v>0</v>
      </c>
      <c r="P962" s="17" t="s">
        <v>147</v>
      </c>
      <c r="Q962" s="18" t="s">
        <v>1931</v>
      </c>
      <c r="R962" s="17"/>
      <c r="S962" s="17"/>
      <c r="T962" s="17"/>
      <c r="U962" s="15" t="s">
        <v>54</v>
      </c>
      <c r="V962" s="15" t="s">
        <v>56</v>
      </c>
      <c r="W962" s="15"/>
    </row>
    <row r="963" spans="1:23" hidden="1" x14ac:dyDescent="0.3">
      <c r="A963" s="15">
        <v>857</v>
      </c>
      <c r="B963" s="15" t="s">
        <v>3200</v>
      </c>
      <c r="C963" s="19">
        <v>46161</v>
      </c>
      <c r="D963" s="19" t="s">
        <v>56</v>
      </c>
      <c r="E963" s="21" t="s">
        <v>1635</v>
      </c>
      <c r="F963" s="21">
        <v>9793531306</v>
      </c>
      <c r="G963" s="15" t="s">
        <v>6</v>
      </c>
      <c r="H963" s="15" t="s">
        <v>1874</v>
      </c>
      <c r="I963" s="15" t="s">
        <v>3259</v>
      </c>
      <c r="J963" s="15" t="s">
        <v>172</v>
      </c>
      <c r="K963" s="16">
        <v>44680</v>
      </c>
      <c r="L963" s="16">
        <v>60480</v>
      </c>
      <c r="M963" s="17">
        <f>Table1[[#This Row],[Billing Rate Charges]]-Table1[[#This Row],[ LORRY RATE ]]</f>
        <v>15800</v>
      </c>
      <c r="N963" s="17">
        <v>44680</v>
      </c>
      <c r="O963" s="17">
        <f>Table1[[#This Row],[ LORRY RATE ]]-Table1[[#This Row],[Adance Paid (INR)]]</f>
        <v>0</v>
      </c>
      <c r="P963" s="17" t="s">
        <v>147</v>
      </c>
      <c r="Q963" s="18" t="s">
        <v>1927</v>
      </c>
      <c r="R963" s="17"/>
      <c r="S963" s="17"/>
      <c r="T963" s="17"/>
      <c r="U963" s="15" t="s">
        <v>54</v>
      </c>
      <c r="V963" s="15" t="s">
        <v>56</v>
      </c>
      <c r="W963" s="15"/>
    </row>
    <row r="964" spans="1:23" hidden="1" x14ac:dyDescent="0.3">
      <c r="A964" s="15">
        <v>858</v>
      </c>
      <c r="B964" s="15" t="s">
        <v>3200</v>
      </c>
      <c r="C964" s="19">
        <v>46162</v>
      </c>
      <c r="D964" s="19" t="s">
        <v>56</v>
      </c>
      <c r="E964" s="21" t="s">
        <v>2859</v>
      </c>
      <c r="F964" s="21">
        <v>9472230553</v>
      </c>
      <c r="G964" s="15" t="s">
        <v>6</v>
      </c>
      <c r="H964" s="15" t="s">
        <v>3260</v>
      </c>
      <c r="I964" s="15" t="s">
        <v>3261</v>
      </c>
      <c r="J964" s="15" t="s">
        <v>172</v>
      </c>
      <c r="K964" s="16">
        <v>45630</v>
      </c>
      <c r="L964" s="16">
        <v>66780</v>
      </c>
      <c r="M964" s="17">
        <f>Table1[[#This Row],[Billing Rate Charges]]-Table1[[#This Row],[ LORRY RATE ]]</f>
        <v>21150</v>
      </c>
      <c r="N964" s="17">
        <v>45630</v>
      </c>
      <c r="O964" s="17">
        <f>Table1[[#This Row],[ LORRY RATE ]]-Table1[[#This Row],[Adance Paid (INR)]]</f>
        <v>0</v>
      </c>
      <c r="P964" s="17" t="s">
        <v>147</v>
      </c>
      <c r="Q964" s="18" t="s">
        <v>1932</v>
      </c>
      <c r="R964" s="17"/>
      <c r="S964" s="17"/>
      <c r="T964" s="17"/>
      <c r="U964" s="15" t="s">
        <v>54</v>
      </c>
      <c r="V964" s="15" t="s">
        <v>56</v>
      </c>
      <c r="W964" s="15"/>
    </row>
    <row r="965" spans="1:23" hidden="1" x14ac:dyDescent="0.3">
      <c r="A965" s="15">
        <v>859</v>
      </c>
      <c r="B965" s="15" t="s">
        <v>3200</v>
      </c>
      <c r="C965" s="19">
        <v>46163</v>
      </c>
      <c r="D965" s="19" t="s">
        <v>56</v>
      </c>
      <c r="E965" s="21" t="s">
        <v>3114</v>
      </c>
      <c r="F965" s="21">
        <v>9902798068</v>
      </c>
      <c r="G965" s="15" t="s">
        <v>6</v>
      </c>
      <c r="H965" s="15" t="s">
        <v>1874</v>
      </c>
      <c r="I965" s="15" t="s">
        <v>3262</v>
      </c>
      <c r="J965" s="15" t="s">
        <v>172</v>
      </c>
      <c r="K965" s="16">
        <v>44680</v>
      </c>
      <c r="L965" s="16">
        <v>60480</v>
      </c>
      <c r="M965" s="17">
        <f>Table1[[#This Row],[Billing Rate Charges]]-Table1[[#This Row],[ LORRY RATE ]]</f>
        <v>15800</v>
      </c>
      <c r="N965" s="17">
        <v>44680</v>
      </c>
      <c r="O965" s="17">
        <f>Table1[[#This Row],[ LORRY RATE ]]-Table1[[#This Row],[Adance Paid (INR)]]</f>
        <v>0</v>
      </c>
      <c r="P965" s="17" t="s">
        <v>147</v>
      </c>
      <c r="Q965" s="18" t="s">
        <v>1926</v>
      </c>
      <c r="R965" s="17"/>
      <c r="S965" s="17"/>
      <c r="T965" s="17"/>
      <c r="U965" s="15" t="s">
        <v>54</v>
      </c>
      <c r="V965" s="15" t="s">
        <v>56</v>
      </c>
      <c r="W965" s="15"/>
    </row>
    <row r="966" spans="1:23" hidden="1" x14ac:dyDescent="0.3">
      <c r="A966" s="15">
        <v>860</v>
      </c>
      <c r="B966" s="15" t="s">
        <v>3200</v>
      </c>
      <c r="C966" s="19">
        <v>46163</v>
      </c>
      <c r="D966" s="19" t="s">
        <v>56</v>
      </c>
      <c r="E966" s="21" t="s">
        <v>38</v>
      </c>
      <c r="F966" s="21">
        <v>9995059254</v>
      </c>
      <c r="G966" s="15" t="s">
        <v>1093</v>
      </c>
      <c r="H966" s="15" t="s">
        <v>3270</v>
      </c>
      <c r="I966" s="15" t="s">
        <v>6</v>
      </c>
      <c r="J966" s="15" t="s">
        <v>172</v>
      </c>
      <c r="K966" s="16">
        <v>57110</v>
      </c>
      <c r="L966" s="16">
        <v>143320</v>
      </c>
      <c r="M966" s="17">
        <f>Table1[[#This Row],[Billing Rate Charges]]-Table1[[#This Row],[ LORRY RATE ]]</f>
        <v>86210</v>
      </c>
      <c r="N966" s="17">
        <v>57110</v>
      </c>
      <c r="O966" s="17">
        <f>Table1[[#This Row],[ LORRY RATE ]]-Table1[[#This Row],[Adance Paid (INR)]]</f>
        <v>0</v>
      </c>
      <c r="P966" s="17" t="s">
        <v>147</v>
      </c>
      <c r="Q966" s="18" t="s">
        <v>1922</v>
      </c>
      <c r="R966" s="17"/>
      <c r="S966" s="17"/>
      <c r="T966" s="17"/>
      <c r="U966" s="15" t="s">
        <v>54</v>
      </c>
      <c r="V966" s="15" t="s">
        <v>56</v>
      </c>
      <c r="W966" s="15"/>
    </row>
    <row r="967" spans="1:23" hidden="1" x14ac:dyDescent="0.3">
      <c r="A967" s="15">
        <v>861</v>
      </c>
      <c r="B967" s="15" t="s">
        <v>3200</v>
      </c>
      <c r="C967" s="19">
        <v>46164</v>
      </c>
      <c r="D967" s="19" t="s">
        <v>56</v>
      </c>
      <c r="E967" s="21" t="s">
        <v>1635</v>
      </c>
      <c r="F967" s="21">
        <v>9793531306</v>
      </c>
      <c r="G967" s="15" t="s">
        <v>105</v>
      </c>
      <c r="H967" s="15" t="s">
        <v>3273</v>
      </c>
      <c r="I967" s="15" t="s">
        <v>6</v>
      </c>
      <c r="J967" s="15" t="s">
        <v>172</v>
      </c>
      <c r="K967" s="16">
        <v>59190</v>
      </c>
      <c r="L967" s="16">
        <v>157180</v>
      </c>
      <c r="M967" s="17">
        <f>Table1[[#This Row],[Billing Rate Charges]]-Table1[[#This Row],[ LORRY RATE ]]</f>
        <v>97990</v>
      </c>
      <c r="N967" s="17">
        <v>59190</v>
      </c>
      <c r="O967" s="17">
        <f>Table1[[#This Row],[ LORRY RATE ]]-Table1[[#This Row],[Adance Paid (INR)]]</f>
        <v>0</v>
      </c>
      <c r="P967" s="17" t="s">
        <v>147</v>
      </c>
      <c r="Q967" s="18" t="s">
        <v>1914</v>
      </c>
      <c r="R967" s="17"/>
      <c r="S967" s="17"/>
      <c r="T967" s="17"/>
      <c r="U967" s="15" t="s">
        <v>54</v>
      </c>
      <c r="V967" s="15" t="s">
        <v>56</v>
      </c>
      <c r="W967" s="15"/>
    </row>
    <row r="968" spans="1:23" hidden="1" x14ac:dyDescent="0.3">
      <c r="A968" s="15">
        <v>862</v>
      </c>
      <c r="B968" s="15" t="s">
        <v>3200</v>
      </c>
      <c r="C968" s="19">
        <v>46164</v>
      </c>
      <c r="D968" s="19" t="s">
        <v>56</v>
      </c>
      <c r="E968" s="21" t="s">
        <v>1637</v>
      </c>
      <c r="F968" s="21">
        <v>9220186371</v>
      </c>
      <c r="G968" s="15" t="s">
        <v>6</v>
      </c>
      <c r="H968" s="15" t="s">
        <v>1874</v>
      </c>
      <c r="I968" s="15" t="s">
        <v>3263</v>
      </c>
      <c r="J968" s="15" t="s">
        <v>172</v>
      </c>
      <c r="K968" s="16">
        <v>44680</v>
      </c>
      <c r="L968" s="16">
        <v>60480</v>
      </c>
      <c r="M968" s="17">
        <f>Table1[[#This Row],[Billing Rate Charges]]-Table1[[#This Row],[ LORRY RATE ]]</f>
        <v>15800</v>
      </c>
      <c r="N968" s="17">
        <v>44680</v>
      </c>
      <c r="O968" s="17">
        <f>Table1[[#This Row],[ LORRY RATE ]]-Table1[[#This Row],[Adance Paid (INR)]]</f>
        <v>0</v>
      </c>
      <c r="P968" s="17" t="s">
        <v>147</v>
      </c>
      <c r="Q968" s="18" t="s">
        <v>1923</v>
      </c>
      <c r="R968" s="17"/>
      <c r="S968" s="17"/>
      <c r="T968" s="17"/>
      <c r="U968" s="15" t="s">
        <v>54</v>
      </c>
      <c r="V968" s="15" t="s">
        <v>56</v>
      </c>
      <c r="W968" s="15"/>
    </row>
    <row r="969" spans="1:23" hidden="1" x14ac:dyDescent="0.3">
      <c r="A969" s="15">
        <v>863</v>
      </c>
      <c r="B969" s="15" t="s">
        <v>3200</v>
      </c>
      <c r="C969" s="19">
        <v>46164</v>
      </c>
      <c r="D969" s="19" t="s">
        <v>56</v>
      </c>
      <c r="E969" s="21" t="s">
        <v>60</v>
      </c>
      <c r="F969" s="21">
        <v>9040208667</v>
      </c>
      <c r="G969" s="15" t="s">
        <v>6</v>
      </c>
      <c r="H969" s="15" t="s">
        <v>1874</v>
      </c>
      <c r="I969" s="15" t="s">
        <v>3264</v>
      </c>
      <c r="J969" s="15" t="s">
        <v>172</v>
      </c>
      <c r="K969" s="16">
        <v>44680</v>
      </c>
      <c r="L969" s="16">
        <v>60480</v>
      </c>
      <c r="M969" s="17">
        <f>Table1[[#This Row],[Billing Rate Charges]]-Table1[[#This Row],[ LORRY RATE ]]</f>
        <v>15800</v>
      </c>
      <c r="N969" s="17">
        <v>44680</v>
      </c>
      <c r="O969" s="17">
        <f>Table1[[#This Row],[ LORRY RATE ]]-Table1[[#This Row],[Adance Paid (INR)]]</f>
        <v>0</v>
      </c>
      <c r="P969" s="17" t="s">
        <v>147</v>
      </c>
      <c r="Q969" s="18" t="s">
        <v>1925</v>
      </c>
      <c r="R969" s="17"/>
      <c r="S969" s="17"/>
      <c r="T969" s="17"/>
      <c r="U969" s="15" t="s">
        <v>54</v>
      </c>
      <c r="V969" s="15" t="s">
        <v>56</v>
      </c>
      <c r="W969" s="15"/>
    </row>
    <row r="970" spans="1:23" hidden="1" x14ac:dyDescent="0.3">
      <c r="A970" s="15">
        <v>864</v>
      </c>
      <c r="B970" s="15" t="s">
        <v>3200</v>
      </c>
      <c r="C970" s="19">
        <v>46165</v>
      </c>
      <c r="D970" s="19" t="s">
        <v>56</v>
      </c>
      <c r="E970" s="21" t="s">
        <v>2859</v>
      </c>
      <c r="F970" s="21">
        <v>9472230553</v>
      </c>
      <c r="G970" s="15" t="s">
        <v>1093</v>
      </c>
      <c r="H970" s="15" t="s">
        <v>3275</v>
      </c>
      <c r="I970" s="15" t="s">
        <v>6</v>
      </c>
      <c r="J970" s="15" t="s">
        <v>172</v>
      </c>
      <c r="K970" s="16">
        <v>57300</v>
      </c>
      <c r="L970" s="16">
        <v>144580</v>
      </c>
      <c r="M970" s="17">
        <f>Table1[[#This Row],[Billing Rate Charges]]-Table1[[#This Row],[ LORRY RATE ]]</f>
        <v>87280</v>
      </c>
      <c r="N970" s="17">
        <v>57300</v>
      </c>
      <c r="O970" s="17">
        <f>Table1[[#This Row],[ LORRY RATE ]]-Table1[[#This Row],[Adance Paid (INR)]]</f>
        <v>0</v>
      </c>
      <c r="P970" s="17" t="s">
        <v>147</v>
      </c>
      <c r="Q970" s="18" t="s">
        <v>1936</v>
      </c>
      <c r="R970" s="17"/>
      <c r="S970" s="17"/>
      <c r="T970" s="17"/>
      <c r="U970" s="15" t="s">
        <v>54</v>
      </c>
      <c r="V970" s="15" t="s">
        <v>56</v>
      </c>
      <c r="W970" s="15"/>
    </row>
    <row r="971" spans="1:23" hidden="1" x14ac:dyDescent="0.3">
      <c r="A971" s="15">
        <v>865</v>
      </c>
      <c r="B971" s="15" t="s">
        <v>3200</v>
      </c>
      <c r="C971" s="19">
        <v>46165</v>
      </c>
      <c r="D971" s="19" t="s">
        <v>56</v>
      </c>
      <c r="E971" s="21" t="s">
        <v>3122</v>
      </c>
      <c r="F971" s="21">
        <v>9281983602</v>
      </c>
      <c r="G971" s="15" t="s">
        <v>1093</v>
      </c>
      <c r="H971" s="15" t="s">
        <v>3299</v>
      </c>
      <c r="I971" s="15" t="s">
        <v>6</v>
      </c>
      <c r="J971" s="15" t="s">
        <v>172</v>
      </c>
      <c r="K971" s="16">
        <v>57300</v>
      </c>
      <c r="L971" s="16">
        <v>144580</v>
      </c>
      <c r="M971" s="17">
        <f>Table1[[#This Row],[Billing Rate Charges]]-Table1[[#This Row],[ LORRY RATE ]]</f>
        <v>87280</v>
      </c>
      <c r="N971" s="17">
        <v>57300</v>
      </c>
      <c r="O971" s="17">
        <f>Table1[[#This Row],[ LORRY RATE ]]-Table1[[#This Row],[Adance Paid (INR)]]</f>
        <v>0</v>
      </c>
      <c r="P971" s="17" t="s">
        <v>147</v>
      </c>
      <c r="Q971" s="18" t="s">
        <v>1937</v>
      </c>
      <c r="R971" s="17"/>
      <c r="S971" s="17"/>
      <c r="T971" s="17"/>
      <c r="U971" s="15" t="s">
        <v>54</v>
      </c>
      <c r="V971" s="15" t="s">
        <v>56</v>
      </c>
      <c r="W971" s="15"/>
    </row>
    <row r="972" spans="1:23" hidden="1" x14ac:dyDescent="0.3">
      <c r="A972" s="15">
        <v>866</v>
      </c>
      <c r="B972" s="15" t="s">
        <v>3200</v>
      </c>
      <c r="C972" s="19">
        <v>46165</v>
      </c>
      <c r="D972" s="19" t="s">
        <v>56</v>
      </c>
      <c r="E972" s="15" t="s">
        <v>3065</v>
      </c>
      <c r="F972" s="15">
        <v>9589264337</v>
      </c>
      <c r="G972" s="15" t="s">
        <v>6</v>
      </c>
      <c r="H972" s="15" t="s">
        <v>1874</v>
      </c>
      <c r="I972" s="15" t="s">
        <v>3288</v>
      </c>
      <c r="J972" s="15" t="s">
        <v>172</v>
      </c>
      <c r="K972" s="16">
        <v>44680</v>
      </c>
      <c r="L972" s="16">
        <v>60480</v>
      </c>
      <c r="M972" s="17">
        <v>15800</v>
      </c>
      <c r="N972" s="17">
        <v>44680</v>
      </c>
      <c r="O972" s="17"/>
      <c r="P972" s="17" t="s">
        <v>147</v>
      </c>
      <c r="Q972" s="18" t="s">
        <v>1938</v>
      </c>
      <c r="R972" s="17"/>
      <c r="S972" s="17"/>
      <c r="T972" s="17"/>
      <c r="U972" s="15" t="s">
        <v>54</v>
      </c>
      <c r="V972" s="15" t="s">
        <v>56</v>
      </c>
      <c r="W972" s="15"/>
    </row>
    <row r="973" spans="1:23" hidden="1" x14ac:dyDescent="0.3">
      <c r="A973" s="15">
        <v>867</v>
      </c>
      <c r="B973" s="15" t="s">
        <v>3200</v>
      </c>
      <c r="C973" s="19">
        <v>46165</v>
      </c>
      <c r="D973" s="19" t="s">
        <v>56</v>
      </c>
      <c r="E973" s="15" t="s">
        <v>38</v>
      </c>
      <c r="F973" s="15">
        <v>9995059254</v>
      </c>
      <c r="G973" s="15" t="s">
        <v>6</v>
      </c>
      <c r="H973" s="15" t="s">
        <v>1874</v>
      </c>
      <c r="I973" s="15" t="s">
        <v>3287</v>
      </c>
      <c r="J973" s="15" t="s">
        <v>59</v>
      </c>
      <c r="K973" s="16">
        <v>44330</v>
      </c>
      <c r="L973" s="16">
        <v>58120</v>
      </c>
      <c r="M973" s="17">
        <v>13790</v>
      </c>
      <c r="N973" s="17">
        <v>44330</v>
      </c>
      <c r="O973" s="17"/>
      <c r="P973" s="17" t="s">
        <v>147</v>
      </c>
      <c r="Q973" s="18" t="s">
        <v>1939</v>
      </c>
      <c r="R973" s="17"/>
      <c r="S973" s="17"/>
      <c r="T973" s="17"/>
      <c r="U973" s="15" t="s">
        <v>54</v>
      </c>
      <c r="V973" s="15" t="s">
        <v>56</v>
      </c>
      <c r="W973" s="15"/>
    </row>
    <row r="974" spans="1:23" hidden="1" x14ac:dyDescent="0.3">
      <c r="A974" s="15">
        <v>868</v>
      </c>
      <c r="B974" s="15" t="s">
        <v>3200</v>
      </c>
      <c r="C974" s="19">
        <v>46168</v>
      </c>
      <c r="D974" s="19" t="s">
        <v>56</v>
      </c>
      <c r="E974" s="15" t="s">
        <v>3122</v>
      </c>
      <c r="F974" s="15">
        <v>9281983602</v>
      </c>
      <c r="G974" s="15" t="s">
        <v>6</v>
      </c>
      <c r="H974" s="15" t="s">
        <v>1874</v>
      </c>
      <c r="I974" s="15" t="s">
        <v>3289</v>
      </c>
      <c r="J974" s="15" t="s">
        <v>172</v>
      </c>
      <c r="K974" s="16">
        <v>44680</v>
      </c>
      <c r="L974" s="16">
        <v>60480</v>
      </c>
      <c r="M974" s="17">
        <f>Table1[[#This Row],[Billing Rate Charges]]-Table1[[#This Row],[ LORRY RATE ]]</f>
        <v>15800</v>
      </c>
      <c r="N974" s="17">
        <v>44680</v>
      </c>
      <c r="O974" s="17">
        <f>Table1[[#This Row],[ LORRY RATE ]]-Table1[[#This Row],[Adance Paid (INR)]]</f>
        <v>0</v>
      </c>
      <c r="P974" s="17" t="s">
        <v>147</v>
      </c>
      <c r="Q974" s="18" t="s">
        <v>1940</v>
      </c>
      <c r="R974" s="17"/>
      <c r="S974" s="17"/>
      <c r="T974" s="17"/>
      <c r="U974" s="15" t="s">
        <v>54</v>
      </c>
      <c r="V974" s="15" t="s">
        <v>56</v>
      </c>
      <c r="W974" s="15"/>
    </row>
    <row r="975" spans="1:23" hidden="1" x14ac:dyDescent="0.3">
      <c r="A975" s="15">
        <v>869</v>
      </c>
      <c r="B975" s="15" t="s">
        <v>3200</v>
      </c>
      <c r="C975" s="19">
        <v>46168</v>
      </c>
      <c r="D975" s="19" t="s">
        <v>56</v>
      </c>
      <c r="E975" s="15" t="s">
        <v>1635</v>
      </c>
      <c r="F975" s="21">
        <v>9793531306</v>
      </c>
      <c r="G975" s="15" t="s">
        <v>6</v>
      </c>
      <c r="H975" s="15" t="s">
        <v>1874</v>
      </c>
      <c r="I975" s="15" t="s">
        <v>3290</v>
      </c>
      <c r="J975" s="15" t="s">
        <v>172</v>
      </c>
      <c r="K975" s="16">
        <v>44680</v>
      </c>
      <c r="L975" s="16">
        <v>60480</v>
      </c>
      <c r="M975" s="17">
        <f>Table1[[#This Row],[Billing Rate Charges]]-Table1[[#This Row],[ LORRY RATE ]]</f>
        <v>15800</v>
      </c>
      <c r="N975" s="17">
        <v>44680</v>
      </c>
      <c r="O975" s="17">
        <f>Table1[[#This Row],[ LORRY RATE ]]-Table1[[#This Row],[Adance Paid (INR)]]</f>
        <v>0</v>
      </c>
      <c r="P975" s="17" t="s">
        <v>147</v>
      </c>
      <c r="Q975" s="18" t="s">
        <v>1941</v>
      </c>
      <c r="R975" s="17"/>
      <c r="S975" s="17"/>
      <c r="T975" s="17"/>
      <c r="U975" s="15" t="s">
        <v>54</v>
      </c>
      <c r="V975" s="15" t="s">
        <v>56</v>
      </c>
      <c r="W975" s="15"/>
    </row>
    <row r="976" spans="1:23" hidden="1" x14ac:dyDescent="0.3">
      <c r="A976" s="15">
        <v>870</v>
      </c>
      <c r="B976" s="15" t="s">
        <v>3200</v>
      </c>
      <c r="C976" s="19">
        <v>46169</v>
      </c>
      <c r="D976" s="19" t="s">
        <v>56</v>
      </c>
      <c r="E976" s="21" t="s">
        <v>1637</v>
      </c>
      <c r="F976" s="21">
        <v>9220186371</v>
      </c>
      <c r="G976" s="15" t="s">
        <v>1093</v>
      </c>
      <c r="H976" s="15" t="s">
        <v>3298</v>
      </c>
      <c r="I976" s="15" t="s">
        <v>6</v>
      </c>
      <c r="J976" s="15" t="s">
        <v>172</v>
      </c>
      <c r="K976" s="16">
        <v>57300</v>
      </c>
      <c r="L976" s="16">
        <v>144580</v>
      </c>
      <c r="M976" s="17">
        <f>Table1[[#This Row],[Billing Rate Charges]]-Table1[[#This Row],[ LORRY RATE ]]</f>
        <v>87280</v>
      </c>
      <c r="N976" s="17">
        <v>57300</v>
      </c>
      <c r="O976" s="17">
        <f>Table1[[#This Row],[ LORRY RATE ]]-Table1[[#This Row],[Adance Paid (INR)]]</f>
        <v>0</v>
      </c>
      <c r="P976" s="17" t="s">
        <v>147</v>
      </c>
      <c r="Q976" s="18" t="s">
        <v>1942</v>
      </c>
      <c r="R976" s="17"/>
      <c r="S976" s="17"/>
      <c r="T976" s="17"/>
      <c r="U976" s="15" t="s">
        <v>54</v>
      </c>
      <c r="V976" s="15" t="s">
        <v>56</v>
      </c>
      <c r="W976" s="15"/>
    </row>
    <row r="977" spans="1:23" hidden="1" x14ac:dyDescent="0.3">
      <c r="A977" s="15">
        <v>871</v>
      </c>
      <c r="B977" s="15" t="s">
        <v>3200</v>
      </c>
      <c r="C977" s="19">
        <v>46169</v>
      </c>
      <c r="D977" s="19" t="s">
        <v>56</v>
      </c>
      <c r="E977" s="21" t="s">
        <v>2859</v>
      </c>
      <c r="F977" s="21">
        <v>9472230553</v>
      </c>
      <c r="G977" s="15" t="s">
        <v>6</v>
      </c>
      <c r="H977" s="15" t="s">
        <v>3291</v>
      </c>
      <c r="I977" s="15" t="s">
        <v>3292</v>
      </c>
      <c r="J977" s="15" t="s">
        <v>172</v>
      </c>
      <c r="K977" s="16">
        <v>45630</v>
      </c>
      <c r="L977" s="16">
        <v>66780</v>
      </c>
      <c r="M977" s="17">
        <f>Table1[[#This Row],[Billing Rate Charges]]-Table1[[#This Row],[ LORRY RATE ]]</f>
        <v>21150</v>
      </c>
      <c r="N977" s="17">
        <v>45630</v>
      </c>
      <c r="O977" s="17">
        <f>Table1[[#This Row],[ LORRY RATE ]]-Table1[[#This Row],[Adance Paid (INR)]]</f>
        <v>0</v>
      </c>
      <c r="P977" s="17" t="s">
        <v>147</v>
      </c>
      <c r="Q977" s="18" t="s">
        <v>1943</v>
      </c>
      <c r="R977" s="17"/>
      <c r="S977" s="17"/>
      <c r="T977" s="17"/>
      <c r="U977" s="15" t="s">
        <v>54</v>
      </c>
      <c r="V977" s="15" t="s">
        <v>56</v>
      </c>
      <c r="W977" s="15"/>
    </row>
    <row r="978" spans="1:23" hidden="1" x14ac:dyDescent="0.3">
      <c r="A978" s="15">
        <v>872</v>
      </c>
      <c r="B978" s="15" t="s">
        <v>3200</v>
      </c>
      <c r="C978" s="19">
        <v>46170</v>
      </c>
      <c r="D978" s="19" t="s">
        <v>56</v>
      </c>
      <c r="E978" s="21" t="s">
        <v>1644</v>
      </c>
      <c r="F978" s="21">
        <v>9220186371</v>
      </c>
      <c r="G978" s="15" t="s">
        <v>6</v>
      </c>
      <c r="H978" s="15" t="s">
        <v>1874</v>
      </c>
      <c r="I978" s="15" t="s">
        <v>3293</v>
      </c>
      <c r="J978" s="15" t="s">
        <v>172</v>
      </c>
      <c r="K978" s="16">
        <v>44680</v>
      </c>
      <c r="L978" s="16">
        <v>60480</v>
      </c>
      <c r="M978" s="17">
        <f>Table1[[#This Row],[Billing Rate Charges]]-Table1[[#This Row],[ LORRY RATE ]]</f>
        <v>15800</v>
      </c>
      <c r="N978" s="17">
        <v>44680</v>
      </c>
      <c r="O978" s="17">
        <f>Table1[[#This Row],[ LORRY RATE ]]-Table1[[#This Row],[Adance Paid (INR)]]</f>
        <v>0</v>
      </c>
      <c r="P978" s="17" t="s">
        <v>147</v>
      </c>
      <c r="Q978" s="18" t="s">
        <v>1916</v>
      </c>
      <c r="R978" s="17"/>
      <c r="S978" s="17"/>
      <c r="T978" s="17"/>
      <c r="U978" s="15" t="s">
        <v>54</v>
      </c>
      <c r="V978" s="15" t="s">
        <v>56</v>
      </c>
      <c r="W978" s="15"/>
    </row>
    <row r="979" spans="1:23" hidden="1" x14ac:dyDescent="0.3">
      <c r="A979" s="15">
        <v>873</v>
      </c>
      <c r="B979" s="15" t="s">
        <v>3200</v>
      </c>
      <c r="C979" s="19">
        <v>46170</v>
      </c>
      <c r="D979" s="19" t="s">
        <v>56</v>
      </c>
      <c r="E979" s="21" t="s">
        <v>1641</v>
      </c>
      <c r="F979" s="21">
        <v>9486716172</v>
      </c>
      <c r="G979" s="15" t="s">
        <v>1093</v>
      </c>
      <c r="H979" s="15" t="s">
        <v>3300</v>
      </c>
      <c r="I979" s="15" t="s">
        <v>6</v>
      </c>
      <c r="J979" s="15" t="s">
        <v>172</v>
      </c>
      <c r="K979" s="16">
        <v>58240</v>
      </c>
      <c r="L979" s="16">
        <v>150880</v>
      </c>
      <c r="M979" s="17">
        <f>Table1[[#This Row],[Billing Rate Charges]]-Table1[[#This Row],[ LORRY RATE ]]</f>
        <v>92640</v>
      </c>
      <c r="N979" s="17">
        <v>58240</v>
      </c>
      <c r="O979" s="17">
        <f>Table1[[#This Row],[ LORRY RATE ]]-Table1[[#This Row],[Adance Paid (INR)]]</f>
        <v>0</v>
      </c>
      <c r="P979" s="17" t="s">
        <v>147</v>
      </c>
      <c r="Q979" s="18" t="s">
        <v>1944</v>
      </c>
      <c r="R979" s="17"/>
      <c r="S979" s="17"/>
      <c r="T979" s="17"/>
      <c r="U979" s="15" t="s">
        <v>54</v>
      </c>
      <c r="V979" s="15" t="s">
        <v>56</v>
      </c>
      <c r="W979" s="15"/>
    </row>
    <row r="980" spans="1:23" hidden="1" x14ac:dyDescent="0.3">
      <c r="A980" s="15">
        <v>874</v>
      </c>
      <c r="B980" s="15" t="s">
        <v>3200</v>
      </c>
      <c r="C980" s="19">
        <v>46171</v>
      </c>
      <c r="D980" s="19" t="s">
        <v>56</v>
      </c>
      <c r="E980" s="21" t="s">
        <v>1637</v>
      </c>
      <c r="F980" s="21">
        <v>9025368773</v>
      </c>
      <c r="G980" s="15" t="s">
        <v>6</v>
      </c>
      <c r="H980" s="15" t="s">
        <v>3294</v>
      </c>
      <c r="I980" s="15" t="s">
        <v>3295</v>
      </c>
      <c r="J980" s="15" t="s">
        <v>172</v>
      </c>
      <c r="K980" s="16">
        <v>45630</v>
      </c>
      <c r="L980" s="16">
        <v>66780</v>
      </c>
      <c r="M980" s="17">
        <f>Table1[[#This Row],[Billing Rate Charges]]-Table1[[#This Row],[ LORRY RATE ]]</f>
        <v>21150</v>
      </c>
      <c r="N980" s="17">
        <v>45630</v>
      </c>
      <c r="O980" s="17">
        <f>Table1[[#This Row],[ LORRY RATE ]]-Table1[[#This Row],[Adance Paid (INR)]]</f>
        <v>0</v>
      </c>
      <c r="P980" s="17" t="s">
        <v>147</v>
      </c>
      <c r="Q980" s="18" t="s">
        <v>1945</v>
      </c>
      <c r="R980" s="17"/>
      <c r="S980" s="17"/>
      <c r="T980" s="17"/>
      <c r="U980" s="15" t="s">
        <v>54</v>
      </c>
      <c r="V980" s="15" t="s">
        <v>56</v>
      </c>
      <c r="W980" s="15"/>
    </row>
    <row r="981" spans="1:23" hidden="1" x14ac:dyDescent="0.3">
      <c r="A981" s="15">
        <v>875</v>
      </c>
      <c r="B981" s="15" t="s">
        <v>3200</v>
      </c>
      <c r="C981" s="19">
        <v>46173</v>
      </c>
      <c r="D981" s="19" t="s">
        <v>56</v>
      </c>
      <c r="E981" s="21" t="s">
        <v>60</v>
      </c>
      <c r="F981" s="21">
        <v>9040208667</v>
      </c>
      <c r="G981" s="15" t="s">
        <v>6</v>
      </c>
      <c r="H981" s="15" t="s">
        <v>3296</v>
      </c>
      <c r="I981" s="15" t="s">
        <v>3297</v>
      </c>
      <c r="J981" s="15" t="s">
        <v>172</v>
      </c>
      <c r="K981" s="16">
        <v>45630</v>
      </c>
      <c r="L981" s="16">
        <v>66780</v>
      </c>
      <c r="M981" s="17">
        <f>Table1[[#This Row],[Billing Rate Charges]]-Table1[[#This Row],[ LORRY RATE ]]</f>
        <v>21150</v>
      </c>
      <c r="N981" s="17">
        <v>45630</v>
      </c>
      <c r="O981" s="17">
        <f>Table1[[#This Row],[ LORRY RATE ]]-Table1[[#This Row],[Adance Paid (INR)]]</f>
        <v>0</v>
      </c>
      <c r="P981" s="17" t="s">
        <v>147</v>
      </c>
      <c r="Q981" s="18" t="s">
        <v>1946</v>
      </c>
      <c r="R981" s="17"/>
      <c r="S981" s="17"/>
      <c r="T981" s="17"/>
      <c r="U981" s="15" t="s">
        <v>54</v>
      </c>
      <c r="V981" s="15" t="s">
        <v>56</v>
      </c>
      <c r="W981" s="15"/>
    </row>
    <row r="982" spans="1:23" hidden="1" x14ac:dyDescent="0.3">
      <c r="A982" s="15">
        <v>876</v>
      </c>
      <c r="B982" s="15" t="s">
        <v>3200</v>
      </c>
      <c r="C982" s="19">
        <v>46173</v>
      </c>
      <c r="D982" s="19" t="s">
        <v>56</v>
      </c>
      <c r="E982" s="21" t="s">
        <v>38</v>
      </c>
      <c r="F982" s="21">
        <v>9995059254</v>
      </c>
      <c r="G982" s="15" t="s">
        <v>1093</v>
      </c>
      <c r="H982" s="15" t="s">
        <v>3301</v>
      </c>
      <c r="I982" s="15" t="s">
        <v>6</v>
      </c>
      <c r="J982" s="15" t="s">
        <v>59</v>
      </c>
      <c r="K982" s="16">
        <v>56160</v>
      </c>
      <c r="L982" s="16">
        <v>137020</v>
      </c>
      <c r="M982" s="17">
        <v>80860</v>
      </c>
      <c r="N982" s="17">
        <v>56160</v>
      </c>
      <c r="O982" s="17"/>
      <c r="P982" s="17" t="s">
        <v>147</v>
      </c>
      <c r="Q982" s="18" t="s">
        <v>1947</v>
      </c>
      <c r="R982" s="17"/>
      <c r="S982" s="17"/>
      <c r="T982" s="17"/>
      <c r="U982" s="15" t="s">
        <v>54</v>
      </c>
      <c r="V982" s="15" t="s">
        <v>56</v>
      </c>
      <c r="W982" s="15"/>
    </row>
    <row r="983" spans="1:23" hidden="1" x14ac:dyDescent="0.3">
      <c r="A983" s="15">
        <v>877</v>
      </c>
      <c r="B983" s="15" t="s">
        <v>3343</v>
      </c>
      <c r="C983" s="19">
        <v>46175</v>
      </c>
      <c r="D983" s="19" t="s">
        <v>56</v>
      </c>
      <c r="E983" s="15" t="s">
        <v>1641</v>
      </c>
      <c r="F983" s="15">
        <v>9486716172</v>
      </c>
      <c r="G983" s="15" t="s">
        <v>6</v>
      </c>
      <c r="H983" s="15" t="s">
        <v>3348</v>
      </c>
      <c r="I983" s="15" t="s">
        <v>3349</v>
      </c>
      <c r="J983" s="15" t="s">
        <v>172</v>
      </c>
      <c r="K983" s="16">
        <v>45630</v>
      </c>
      <c r="L983" s="16">
        <v>66780</v>
      </c>
      <c r="M983" s="17">
        <f>Table1[[#This Row],[Billing Rate Charges]]-Table1[[#This Row],[ LORRY RATE ]]</f>
        <v>21150</v>
      </c>
      <c r="N983" s="17">
        <v>45630</v>
      </c>
      <c r="O983" s="17">
        <f>Table1[[#This Row],[ LORRY RATE ]]-Table1[[#This Row],[Adance Paid (INR)]]</f>
        <v>0</v>
      </c>
      <c r="P983" s="17" t="s">
        <v>147</v>
      </c>
      <c r="Q983" s="18" t="s">
        <v>1929</v>
      </c>
      <c r="R983" s="17"/>
      <c r="S983" s="17"/>
      <c r="T983" s="17"/>
      <c r="U983" s="15" t="s">
        <v>54</v>
      </c>
      <c r="V983" s="15" t="s">
        <v>56</v>
      </c>
      <c r="W983" s="15"/>
    </row>
    <row r="984" spans="1:23" hidden="1" x14ac:dyDescent="0.3">
      <c r="A984" s="15">
        <v>878</v>
      </c>
      <c r="B984" s="15" t="s">
        <v>3343</v>
      </c>
      <c r="C984" s="19">
        <v>46176</v>
      </c>
      <c r="D984" s="19" t="s">
        <v>56</v>
      </c>
      <c r="E984" s="15" t="s">
        <v>1644</v>
      </c>
      <c r="F984" s="15">
        <v>9220186371</v>
      </c>
      <c r="G984" s="15" t="s">
        <v>1093</v>
      </c>
      <c r="H984" s="15" t="s">
        <v>3350</v>
      </c>
      <c r="I984" s="15" t="s">
        <v>6</v>
      </c>
      <c r="J984" s="15" t="s">
        <v>172</v>
      </c>
      <c r="K984" s="16">
        <v>57300</v>
      </c>
      <c r="L984" s="16">
        <v>144580</v>
      </c>
      <c r="M984" s="17">
        <f>Table1[[#This Row],[Billing Rate Charges]]-Table1[[#This Row],[ LORRY RATE ]]</f>
        <v>87280</v>
      </c>
      <c r="N984" s="17">
        <v>57300</v>
      </c>
      <c r="O984" s="17">
        <f>Table1[[#This Row],[ LORRY RATE ]]-Table1[[#This Row],[Adance Paid (INR)]]</f>
        <v>0</v>
      </c>
      <c r="P984" s="17" t="s">
        <v>147</v>
      </c>
      <c r="Q984" s="18" t="s">
        <v>1913</v>
      </c>
      <c r="R984" s="17"/>
      <c r="S984" s="17"/>
      <c r="T984" s="17"/>
      <c r="U984" s="15" t="s">
        <v>54</v>
      </c>
      <c r="V984" s="15" t="s">
        <v>56</v>
      </c>
      <c r="W984" s="15"/>
    </row>
    <row r="985" spans="1:23" hidden="1" x14ac:dyDescent="0.3">
      <c r="A985" s="15">
        <v>879</v>
      </c>
      <c r="B985" s="15" t="s">
        <v>3343</v>
      </c>
      <c r="C985" s="19">
        <v>46176</v>
      </c>
      <c r="D985" s="19" t="s">
        <v>56</v>
      </c>
      <c r="E985" s="15" t="s">
        <v>3065</v>
      </c>
      <c r="F985" s="15">
        <v>9589264337</v>
      </c>
      <c r="G985" s="15" t="s">
        <v>6</v>
      </c>
      <c r="H985" s="15" t="s">
        <v>3346</v>
      </c>
      <c r="I985" s="15" t="s">
        <v>3347</v>
      </c>
      <c r="J985" s="15" t="s">
        <v>172</v>
      </c>
      <c r="K985" s="16">
        <v>45630</v>
      </c>
      <c r="L985" s="16">
        <v>66780</v>
      </c>
      <c r="M985" s="17">
        <f>Table1[[#This Row],[Billing Rate Charges]]-Table1[[#This Row],[ LORRY RATE ]]</f>
        <v>21150</v>
      </c>
      <c r="N985" s="17">
        <v>45630</v>
      </c>
      <c r="O985" s="17">
        <f>Table1[[#This Row],[ LORRY RATE ]]-Table1[[#This Row],[Adance Paid (INR)]]</f>
        <v>0</v>
      </c>
      <c r="P985" s="17" t="s">
        <v>147</v>
      </c>
      <c r="Q985" s="18" t="s">
        <v>1928</v>
      </c>
      <c r="R985" s="17"/>
      <c r="S985" s="17"/>
      <c r="T985" s="17"/>
      <c r="U985" s="15" t="s">
        <v>54</v>
      </c>
      <c r="V985" s="15" t="s">
        <v>56</v>
      </c>
      <c r="W985" s="15"/>
    </row>
    <row r="986" spans="1:23" hidden="1" x14ac:dyDescent="0.3">
      <c r="A986" s="15">
        <v>880</v>
      </c>
      <c r="B986" s="15" t="s">
        <v>3343</v>
      </c>
      <c r="C986" s="19">
        <v>46177</v>
      </c>
      <c r="D986" s="19" t="s">
        <v>56</v>
      </c>
      <c r="E986" s="15" t="s">
        <v>1637</v>
      </c>
      <c r="F986" s="15">
        <v>9025368773</v>
      </c>
      <c r="G986" s="15" t="s">
        <v>1093</v>
      </c>
      <c r="H986" s="15" t="s">
        <v>3354</v>
      </c>
      <c r="I986" s="15" t="s">
        <v>6</v>
      </c>
      <c r="J986" s="15" t="s">
        <v>172</v>
      </c>
      <c r="K986" s="16">
        <v>58240</v>
      </c>
      <c r="L986" s="16">
        <v>150880</v>
      </c>
      <c r="M986" s="17">
        <f>Table1[[#This Row],[Billing Rate Charges]]-Table1[[#This Row],[ LORRY RATE ]]</f>
        <v>92640</v>
      </c>
      <c r="N986" s="17">
        <v>58240</v>
      </c>
      <c r="O986" s="17">
        <f>Table1[[#This Row],[ LORRY RATE ]]-Table1[[#This Row],[Adance Paid (INR)]]</f>
        <v>0</v>
      </c>
      <c r="P986" s="17" t="s">
        <v>147</v>
      </c>
      <c r="Q986" s="18" t="s">
        <v>1964</v>
      </c>
      <c r="R986" s="17"/>
      <c r="S986" s="17"/>
      <c r="T986" s="17"/>
      <c r="U986" s="15" t="s">
        <v>54</v>
      </c>
      <c r="V986" s="15" t="s">
        <v>56</v>
      </c>
      <c r="W986" s="15"/>
    </row>
    <row r="987" spans="1:23" hidden="1" x14ac:dyDescent="0.3">
      <c r="A987" s="15">
        <v>881</v>
      </c>
      <c r="B987" s="15" t="s">
        <v>3343</v>
      </c>
      <c r="C987" s="19">
        <v>46177</v>
      </c>
      <c r="D987" s="19" t="s">
        <v>56</v>
      </c>
      <c r="E987" s="15" t="s">
        <v>38</v>
      </c>
      <c r="F987" s="15">
        <v>9995059254</v>
      </c>
      <c r="G987" s="15" t="s">
        <v>6</v>
      </c>
      <c r="H987" s="15" t="s">
        <v>3356</v>
      </c>
      <c r="I987" s="15" t="s">
        <v>3357</v>
      </c>
      <c r="J987" s="15" t="s">
        <v>59</v>
      </c>
      <c r="K987" s="16">
        <v>45270</v>
      </c>
      <c r="L987" s="16">
        <v>64420</v>
      </c>
      <c r="M987" s="17">
        <f>Table1[[#This Row],[Billing Rate Charges]]-Table1[[#This Row],[ LORRY RATE ]]</f>
        <v>19150</v>
      </c>
      <c r="N987" s="17">
        <v>45270</v>
      </c>
      <c r="O987" s="17">
        <f>Table1[[#This Row],[ LORRY RATE ]]-Table1[[#This Row],[Adance Paid (INR)]]</f>
        <v>0</v>
      </c>
      <c r="P987" s="17" t="s">
        <v>147</v>
      </c>
      <c r="Q987" s="18" t="s">
        <v>1965</v>
      </c>
      <c r="R987" s="17"/>
      <c r="S987" s="17"/>
      <c r="T987" s="17"/>
      <c r="U987" s="15" t="s">
        <v>54</v>
      </c>
      <c r="V987" s="15" t="s">
        <v>56</v>
      </c>
      <c r="W987" s="15"/>
    </row>
    <row r="988" spans="1:23" hidden="1" x14ac:dyDescent="0.3">
      <c r="A988" s="15">
        <v>882</v>
      </c>
      <c r="B988" s="15" t="s">
        <v>3343</v>
      </c>
      <c r="C988" s="19">
        <v>46178</v>
      </c>
      <c r="D988" s="19" t="s">
        <v>56</v>
      </c>
      <c r="E988" s="15" t="s">
        <v>60</v>
      </c>
      <c r="F988" s="15">
        <v>9040208667</v>
      </c>
      <c r="G988" s="15" t="s">
        <v>1093</v>
      </c>
      <c r="H988" s="15" t="s">
        <v>3355</v>
      </c>
      <c r="I988" s="15" t="s">
        <v>6</v>
      </c>
      <c r="J988" s="15" t="s">
        <v>172</v>
      </c>
      <c r="K988" s="16">
        <v>57300</v>
      </c>
      <c r="L988" s="16">
        <v>144580</v>
      </c>
      <c r="M988" s="17">
        <f>Table1[[#This Row],[Billing Rate Charges]]-Table1[[#This Row],[ LORRY RATE ]]</f>
        <v>87280</v>
      </c>
      <c r="N988" s="17">
        <v>57300</v>
      </c>
      <c r="O988" s="17">
        <f>Table1[[#This Row],[ LORRY RATE ]]-Table1[[#This Row],[Adance Paid (INR)]]</f>
        <v>0</v>
      </c>
      <c r="P988" s="17" t="s">
        <v>147</v>
      </c>
      <c r="Q988" s="18" t="s">
        <v>1966</v>
      </c>
      <c r="R988" s="17"/>
      <c r="S988" s="17"/>
      <c r="T988" s="17"/>
      <c r="U988" s="15" t="s">
        <v>54</v>
      </c>
      <c r="V988" s="15" t="s">
        <v>56</v>
      </c>
      <c r="W988" s="15"/>
    </row>
    <row r="989" spans="1:23" hidden="1" x14ac:dyDescent="0.3">
      <c r="A989" s="15">
        <v>883</v>
      </c>
      <c r="B989" s="15" t="s">
        <v>3343</v>
      </c>
      <c r="C989" s="19">
        <v>46179</v>
      </c>
      <c r="D989" s="19" t="s">
        <v>56</v>
      </c>
      <c r="E989" s="21" t="s">
        <v>1644</v>
      </c>
      <c r="F989" s="21">
        <v>9220186371</v>
      </c>
      <c r="G989" s="15" t="s">
        <v>6</v>
      </c>
      <c r="H989" s="15" t="s">
        <v>1874</v>
      </c>
      <c r="I989" s="15" t="s">
        <v>3358</v>
      </c>
      <c r="J989" s="15" t="s">
        <v>172</v>
      </c>
      <c r="K989" s="16">
        <v>44680</v>
      </c>
      <c r="L989" s="16">
        <v>60480</v>
      </c>
      <c r="M989" s="17">
        <f>Table1[[#This Row],[Billing Rate Charges]]-Table1[[#This Row],[ LORRY RATE ]]</f>
        <v>15800</v>
      </c>
      <c r="N989" s="17">
        <v>44680</v>
      </c>
      <c r="O989" s="17">
        <f>Table1[[#This Row],[ LORRY RATE ]]-Table1[[#This Row],[Adance Paid (INR)]]</f>
        <v>0</v>
      </c>
      <c r="P989" s="17" t="s">
        <v>147</v>
      </c>
      <c r="Q989" s="18" t="s">
        <v>1967</v>
      </c>
      <c r="R989" s="17"/>
      <c r="S989" s="17"/>
      <c r="T989" s="17"/>
      <c r="U989" s="15" t="s">
        <v>54</v>
      </c>
      <c r="V989" s="15" t="s">
        <v>56</v>
      </c>
      <c r="W989" s="15"/>
    </row>
    <row r="990" spans="1:23" hidden="1" x14ac:dyDescent="0.3">
      <c r="A990" s="15">
        <v>884</v>
      </c>
      <c r="B990" s="15" t="s">
        <v>3343</v>
      </c>
      <c r="C990" s="19">
        <v>46179</v>
      </c>
      <c r="D990" s="19" t="s">
        <v>56</v>
      </c>
      <c r="E990" s="21" t="s">
        <v>1637</v>
      </c>
      <c r="F990" s="21">
        <v>9025368773</v>
      </c>
      <c r="G990" s="15" t="s">
        <v>6</v>
      </c>
      <c r="H990" s="15" t="s">
        <v>1874</v>
      </c>
      <c r="I990" s="15" t="s">
        <v>3359</v>
      </c>
      <c r="J990" s="15" t="s">
        <v>172</v>
      </c>
      <c r="K990" s="16">
        <v>44680</v>
      </c>
      <c r="L990" s="16">
        <v>60480</v>
      </c>
      <c r="M990" s="17">
        <f>Table1[[#This Row],[Billing Rate Charges]]-Table1[[#This Row],[ LORRY RATE ]]</f>
        <v>15800</v>
      </c>
      <c r="N990" s="17">
        <v>44680</v>
      </c>
      <c r="O990" s="17">
        <f>Table1[[#This Row],[ LORRY RATE ]]-Table1[[#This Row],[Adance Paid (INR)]]</f>
        <v>0</v>
      </c>
      <c r="P990" s="17" t="s">
        <v>147</v>
      </c>
      <c r="Q990" s="18" t="s">
        <v>1968</v>
      </c>
      <c r="R990" s="17"/>
      <c r="S990" s="17"/>
      <c r="T990" s="17"/>
      <c r="U990" s="15" t="s">
        <v>54</v>
      </c>
      <c r="V990" s="15" t="s">
        <v>56</v>
      </c>
      <c r="W990" s="15"/>
    </row>
    <row r="991" spans="1:23" hidden="1" x14ac:dyDescent="0.3">
      <c r="A991" s="15">
        <v>885</v>
      </c>
      <c r="B991" s="15" t="s">
        <v>3343</v>
      </c>
      <c r="C991" s="19">
        <v>46180</v>
      </c>
      <c r="D991" s="19" t="s">
        <v>56</v>
      </c>
      <c r="E991" s="21" t="s">
        <v>1641</v>
      </c>
      <c r="F991" s="21">
        <v>9486716172</v>
      </c>
      <c r="G991" s="15" t="s">
        <v>1093</v>
      </c>
      <c r="H991" s="15" t="s">
        <v>3360</v>
      </c>
      <c r="I991" s="15" t="s">
        <v>6</v>
      </c>
      <c r="J991" s="15" t="s">
        <v>172</v>
      </c>
      <c r="K991" s="16">
        <v>57300</v>
      </c>
      <c r="L991" s="16">
        <v>144580</v>
      </c>
      <c r="M991" s="17">
        <f>Table1[[#This Row],[Billing Rate Charges]]-Table1[[#This Row],[ LORRY RATE ]]</f>
        <v>87280</v>
      </c>
      <c r="N991" s="17">
        <v>57300</v>
      </c>
      <c r="O991" s="17">
        <f>Table1[[#This Row],[ LORRY RATE ]]-Table1[[#This Row],[Adance Paid (INR)]]</f>
        <v>0</v>
      </c>
      <c r="P991" s="17" t="s">
        <v>147</v>
      </c>
      <c r="Q991" s="18" t="s">
        <v>1970</v>
      </c>
      <c r="R991" s="17"/>
      <c r="S991" s="17"/>
      <c r="T991" s="17"/>
      <c r="U991" s="15" t="s">
        <v>54</v>
      </c>
      <c r="V991" s="15" t="s">
        <v>56</v>
      </c>
      <c r="W991" s="15"/>
    </row>
    <row r="992" spans="1:23" hidden="1" x14ac:dyDescent="0.3">
      <c r="A992" s="15">
        <v>886</v>
      </c>
      <c r="B992" s="15" t="s">
        <v>3343</v>
      </c>
      <c r="C992" s="19">
        <v>46182</v>
      </c>
      <c r="D992" s="19" t="s">
        <v>56</v>
      </c>
      <c r="E992" s="21" t="s">
        <v>60</v>
      </c>
      <c r="F992" s="21">
        <v>9040208667</v>
      </c>
      <c r="G992" s="15" t="s">
        <v>6</v>
      </c>
      <c r="H992" s="15" t="s">
        <v>3382</v>
      </c>
      <c r="I992" s="15" t="s">
        <v>3383</v>
      </c>
      <c r="J992" s="15" t="s">
        <v>172</v>
      </c>
      <c r="K992" s="16">
        <v>45630</v>
      </c>
      <c r="L992" s="16">
        <v>66780</v>
      </c>
      <c r="M992" s="17">
        <f>Table1[[#This Row],[Billing Rate Charges]]-Table1[[#This Row],[ LORRY RATE ]]</f>
        <v>21150</v>
      </c>
      <c r="N992" s="17">
        <v>45630</v>
      </c>
      <c r="O992" s="17">
        <f>Table1[[#This Row],[ LORRY RATE ]]-Table1[[#This Row],[Adance Paid (INR)]]</f>
        <v>0</v>
      </c>
      <c r="P992" s="17" t="s">
        <v>147</v>
      </c>
      <c r="Q992" s="18" t="s">
        <v>1972</v>
      </c>
      <c r="R992" s="17"/>
      <c r="S992" s="17"/>
      <c r="T992" s="17"/>
      <c r="U992" s="15" t="s">
        <v>54</v>
      </c>
      <c r="V992" s="15" t="s">
        <v>56</v>
      </c>
      <c r="W992" s="15"/>
    </row>
    <row r="993" spans="1:23" hidden="1" x14ac:dyDescent="0.3">
      <c r="A993" s="15">
        <v>887</v>
      </c>
      <c r="B993" s="15" t="s">
        <v>3343</v>
      </c>
      <c r="C993" s="19">
        <v>46182</v>
      </c>
      <c r="D993" s="19" t="s">
        <v>56</v>
      </c>
      <c r="E993" s="21" t="s">
        <v>2859</v>
      </c>
      <c r="F993" s="21">
        <v>9182842770</v>
      </c>
      <c r="G993" s="15" t="s">
        <v>6</v>
      </c>
      <c r="H993" s="15" t="s">
        <v>3384</v>
      </c>
      <c r="I993" s="15" t="s">
        <v>3385</v>
      </c>
      <c r="J993" s="15" t="s">
        <v>172</v>
      </c>
      <c r="K993" s="16">
        <v>45630</v>
      </c>
      <c r="L993" s="16">
        <v>66780</v>
      </c>
      <c r="M993" s="17">
        <f>Table1[[#This Row],[Billing Rate Charges]]-Table1[[#This Row],[ LORRY RATE ]]</f>
        <v>21150</v>
      </c>
      <c r="N993" s="17">
        <v>45630</v>
      </c>
      <c r="O993" s="17">
        <f>Table1[[#This Row],[ LORRY RATE ]]-Table1[[#This Row],[Adance Paid (INR)]]</f>
        <v>0</v>
      </c>
      <c r="P993" s="17" t="s">
        <v>147</v>
      </c>
      <c r="Q993" s="18" t="s">
        <v>1973</v>
      </c>
      <c r="R993" s="17"/>
      <c r="S993" s="17"/>
      <c r="T993" s="17"/>
      <c r="U993" s="15" t="s">
        <v>54</v>
      </c>
      <c r="V993" s="15" t="s">
        <v>56</v>
      </c>
      <c r="W993" s="15"/>
    </row>
    <row r="994" spans="1:23" hidden="1" x14ac:dyDescent="0.3">
      <c r="A994" s="15">
        <v>888</v>
      </c>
      <c r="B994" s="15" t="s">
        <v>3343</v>
      </c>
      <c r="C994" s="19">
        <v>46183</v>
      </c>
      <c r="D994" s="19" t="s">
        <v>56</v>
      </c>
      <c r="E994" s="15" t="s">
        <v>1641</v>
      </c>
      <c r="F994" s="15">
        <v>9486716172</v>
      </c>
      <c r="G994" s="15" t="s">
        <v>6</v>
      </c>
      <c r="H994" s="15" t="s">
        <v>3386</v>
      </c>
      <c r="I994" s="15" t="s">
        <v>3387</v>
      </c>
      <c r="J994" s="15" t="s">
        <v>172</v>
      </c>
      <c r="K994" s="16">
        <v>45630</v>
      </c>
      <c r="L994" s="16">
        <v>66780</v>
      </c>
      <c r="M994" s="17">
        <f>Table1[[#This Row],[Billing Rate Charges]]-Table1[[#This Row],[ LORRY RATE ]]</f>
        <v>21150</v>
      </c>
      <c r="N994" s="17">
        <v>45630</v>
      </c>
      <c r="O994" s="17">
        <f>Table1[[#This Row],[ LORRY RATE ]]-Table1[[#This Row],[Adance Paid (INR)]]</f>
        <v>0</v>
      </c>
      <c r="P994" s="17" t="s">
        <v>147</v>
      </c>
      <c r="Q994" s="18" t="s">
        <v>1974</v>
      </c>
      <c r="R994" s="17"/>
      <c r="S994" s="18" t="s">
        <v>3367</v>
      </c>
      <c r="T994" s="18" t="s">
        <v>3367</v>
      </c>
      <c r="U994" s="15" t="s">
        <v>54</v>
      </c>
      <c r="V994" s="15" t="s">
        <v>56</v>
      </c>
      <c r="W994" s="15"/>
    </row>
    <row r="995" spans="1:23" hidden="1" x14ac:dyDescent="0.3">
      <c r="A995" s="15">
        <v>889</v>
      </c>
      <c r="B995" s="15" t="s">
        <v>3343</v>
      </c>
      <c r="C995" s="19">
        <v>46184</v>
      </c>
      <c r="D995" s="19" t="s">
        <v>56</v>
      </c>
      <c r="E995" s="15" t="s">
        <v>38</v>
      </c>
      <c r="F995" s="15">
        <v>9995059254</v>
      </c>
      <c r="G995" s="15" t="s">
        <v>1093</v>
      </c>
      <c r="H995" s="15" t="s">
        <v>3399</v>
      </c>
      <c r="I995" s="15" t="s">
        <v>6</v>
      </c>
      <c r="J995" s="15" t="s">
        <v>59</v>
      </c>
      <c r="K995" s="16">
        <v>57110</v>
      </c>
      <c r="L995" s="16">
        <v>143320</v>
      </c>
      <c r="M995" s="17">
        <f>Table1[[#This Row],[Billing Rate Charges]]-Table1[[#This Row],[ LORRY RATE ]]</f>
        <v>86210</v>
      </c>
      <c r="N995" s="17">
        <v>57110</v>
      </c>
      <c r="O995" s="17">
        <f>Table1[[#This Row],[ LORRY RATE ]]-Table1[[#This Row],[Adance Paid (INR)]]</f>
        <v>0</v>
      </c>
      <c r="P995" s="17" t="s">
        <v>147</v>
      </c>
      <c r="Q995" s="18" t="s">
        <v>1976</v>
      </c>
      <c r="R995" s="17"/>
      <c r="S995" s="18" t="s">
        <v>3367</v>
      </c>
      <c r="T995" s="18" t="s">
        <v>3367</v>
      </c>
      <c r="U995" s="15" t="s">
        <v>54</v>
      </c>
      <c r="V995" s="15" t="s">
        <v>56</v>
      </c>
      <c r="W995" s="15"/>
    </row>
    <row r="996" spans="1:23" hidden="1" x14ac:dyDescent="0.3">
      <c r="A996" s="15">
        <v>890</v>
      </c>
      <c r="B996" s="15" t="s">
        <v>3343</v>
      </c>
      <c r="C996" s="19">
        <v>46185</v>
      </c>
      <c r="D996" s="19" t="s">
        <v>56</v>
      </c>
      <c r="E996" s="15" t="s">
        <v>1644</v>
      </c>
      <c r="F996" s="15">
        <v>9220186371</v>
      </c>
      <c r="G996" s="15" t="s">
        <v>1093</v>
      </c>
      <c r="H996" s="15" t="s">
        <v>3398</v>
      </c>
      <c r="I996" s="15" t="s">
        <v>6</v>
      </c>
      <c r="J996" s="15" t="s">
        <v>172</v>
      </c>
      <c r="K996" s="16">
        <v>58240</v>
      </c>
      <c r="L996" s="16">
        <v>150880</v>
      </c>
      <c r="M996" s="17">
        <f>Table1[[#This Row],[Billing Rate Charges]]-Table1[[#This Row],[ LORRY RATE ]]</f>
        <v>92640</v>
      </c>
      <c r="N996" s="17">
        <v>58240</v>
      </c>
      <c r="O996" s="17">
        <f>Table1[[#This Row],[ LORRY RATE ]]-Table1[[#This Row],[Adance Paid (INR)]]</f>
        <v>0</v>
      </c>
      <c r="P996" s="17" t="s">
        <v>147</v>
      </c>
      <c r="Q996" s="18" t="s">
        <v>1977</v>
      </c>
      <c r="R996" s="17"/>
      <c r="S996" s="18" t="s">
        <v>3368</v>
      </c>
      <c r="T996" s="18" t="s">
        <v>3369</v>
      </c>
      <c r="U996" s="15" t="s">
        <v>54</v>
      </c>
      <c r="V996" s="15" t="s">
        <v>56</v>
      </c>
      <c r="W996" s="15"/>
    </row>
    <row r="997" spans="1:23" hidden="1" x14ac:dyDescent="0.3">
      <c r="A997" s="15">
        <v>891</v>
      </c>
      <c r="B997" s="15" t="s">
        <v>3343</v>
      </c>
      <c r="C997" s="19">
        <v>46185</v>
      </c>
      <c r="D997" s="19" t="s">
        <v>56</v>
      </c>
      <c r="E997" s="21" t="s">
        <v>3065</v>
      </c>
      <c r="F997" s="21">
        <v>9068805165</v>
      </c>
      <c r="G997" s="15" t="s">
        <v>6</v>
      </c>
      <c r="H997" s="15"/>
      <c r="I997" s="15" t="s">
        <v>3388</v>
      </c>
      <c r="J997" s="15" t="s">
        <v>172</v>
      </c>
      <c r="K997" s="16">
        <v>44680</v>
      </c>
      <c r="L997" s="16">
        <v>60480</v>
      </c>
      <c r="M997" s="17">
        <f>Table1[[#This Row],[Billing Rate Charges]]-Table1[[#This Row],[ LORRY RATE ]]</f>
        <v>15800</v>
      </c>
      <c r="N997" s="17">
        <v>44680</v>
      </c>
      <c r="O997" s="17">
        <f>Table1[[#This Row],[ LORRY RATE ]]-Table1[[#This Row],[Adance Paid (INR)]]</f>
        <v>0</v>
      </c>
      <c r="P997" s="17" t="s">
        <v>147</v>
      </c>
      <c r="Q997" s="18" t="s">
        <v>1978</v>
      </c>
      <c r="R997" s="17"/>
      <c r="S997" s="18" t="s">
        <v>3368</v>
      </c>
      <c r="T997" s="18" t="s">
        <v>3369</v>
      </c>
      <c r="U997" s="15" t="s">
        <v>54</v>
      </c>
      <c r="V997" s="15" t="s">
        <v>56</v>
      </c>
      <c r="W997" s="15"/>
    </row>
    <row r="998" spans="1:23" hidden="1" x14ac:dyDescent="0.3">
      <c r="A998" s="15">
        <v>892</v>
      </c>
      <c r="B998" s="15" t="s">
        <v>3343</v>
      </c>
      <c r="C998" s="19">
        <v>46185</v>
      </c>
      <c r="D998" s="19" t="s">
        <v>56</v>
      </c>
      <c r="E998" s="21" t="s">
        <v>3366</v>
      </c>
      <c r="F998" s="21">
        <v>9251616350</v>
      </c>
      <c r="G998" s="15" t="s">
        <v>6</v>
      </c>
      <c r="H998" s="15" t="s">
        <v>3389</v>
      </c>
      <c r="I998" s="15" t="s">
        <v>3390</v>
      </c>
      <c r="J998" s="15" t="s">
        <v>172</v>
      </c>
      <c r="K998" s="16">
        <v>45630</v>
      </c>
      <c r="L998" s="16">
        <v>66780</v>
      </c>
      <c r="M998" s="17">
        <f>Table1[[#This Row],[Billing Rate Charges]]-Table1[[#This Row],[ LORRY RATE ]]</f>
        <v>21150</v>
      </c>
      <c r="N998" s="17">
        <v>45630</v>
      </c>
      <c r="O998" s="17">
        <f>Table1[[#This Row],[ LORRY RATE ]]-Table1[[#This Row],[Adance Paid (INR)]]</f>
        <v>0</v>
      </c>
      <c r="P998" s="17" t="s">
        <v>147</v>
      </c>
      <c r="Q998" s="18" t="s">
        <v>2024</v>
      </c>
      <c r="R998" s="17"/>
      <c r="S998" s="18" t="s">
        <v>3369</v>
      </c>
      <c r="T998" s="18" t="s">
        <v>3373</v>
      </c>
      <c r="U998" s="15" t="s">
        <v>54</v>
      </c>
      <c r="V998" s="15" t="s">
        <v>56</v>
      </c>
      <c r="W998" s="15"/>
    </row>
    <row r="999" spans="1:23" hidden="1" x14ac:dyDescent="0.3">
      <c r="A999" s="15">
        <v>893</v>
      </c>
      <c r="B999" s="15" t="s">
        <v>3343</v>
      </c>
      <c r="C999" s="19">
        <v>46186</v>
      </c>
      <c r="D999" s="19" t="s">
        <v>56</v>
      </c>
      <c r="E999" s="21" t="s">
        <v>60</v>
      </c>
      <c r="F999" s="21">
        <v>9040208667</v>
      </c>
      <c r="G999" s="15" t="s">
        <v>1093</v>
      </c>
      <c r="H999" s="15" t="s">
        <v>3397</v>
      </c>
      <c r="I999" s="15" t="s">
        <v>6</v>
      </c>
      <c r="J999" s="15" t="s">
        <v>172</v>
      </c>
      <c r="K999" s="16">
        <v>58240</v>
      </c>
      <c r="L999" s="16">
        <v>150880</v>
      </c>
      <c r="M999" s="17">
        <f>Table1[[#This Row],[Billing Rate Charges]]-Table1[[#This Row],[ LORRY RATE ]]</f>
        <v>92640</v>
      </c>
      <c r="N999" s="17">
        <v>58240</v>
      </c>
      <c r="O999" s="17">
        <f>Table1[[#This Row],[ LORRY RATE ]]-Table1[[#This Row],[Adance Paid (INR)]]</f>
        <v>0</v>
      </c>
      <c r="P999" s="17" t="s">
        <v>147</v>
      </c>
      <c r="Q999" s="18" t="s">
        <v>2025</v>
      </c>
      <c r="R999" s="17"/>
      <c r="S999" s="18" t="s">
        <v>3374</v>
      </c>
      <c r="T999" s="18" t="s">
        <v>3374</v>
      </c>
      <c r="U999" s="15" t="s">
        <v>54</v>
      </c>
      <c r="V999" s="15" t="s">
        <v>56</v>
      </c>
      <c r="W999" s="15"/>
    </row>
    <row r="1000" spans="1:23" hidden="1" x14ac:dyDescent="0.3">
      <c r="A1000" s="15">
        <v>894</v>
      </c>
      <c r="B1000" s="15" t="s">
        <v>3343</v>
      </c>
      <c r="C1000" s="19">
        <v>46186</v>
      </c>
      <c r="D1000" s="19" t="s">
        <v>56</v>
      </c>
      <c r="E1000" s="21" t="s">
        <v>3122</v>
      </c>
      <c r="F1000" s="21">
        <v>9935813519</v>
      </c>
      <c r="G1000" s="15" t="s">
        <v>6</v>
      </c>
      <c r="H1000" s="15" t="s">
        <v>3391</v>
      </c>
      <c r="I1000" s="15" t="s">
        <v>3392</v>
      </c>
      <c r="J1000" s="15" t="s">
        <v>172</v>
      </c>
      <c r="K1000" s="16">
        <v>45630</v>
      </c>
      <c r="L1000" s="16">
        <v>66780</v>
      </c>
      <c r="M1000" s="17">
        <f>Table1[[#This Row],[Billing Rate Charges]]-Table1[[#This Row],[ LORRY RATE ]]</f>
        <v>21150</v>
      </c>
      <c r="N1000" s="17">
        <v>45630</v>
      </c>
      <c r="O1000" s="17">
        <f>Table1[[#This Row],[ LORRY RATE ]]-Table1[[#This Row],[Adance Paid (INR)]]</f>
        <v>0</v>
      </c>
      <c r="P1000" s="17" t="s">
        <v>147</v>
      </c>
      <c r="Q1000" s="18" t="s">
        <v>2027</v>
      </c>
      <c r="R1000" s="17"/>
      <c r="S1000" s="18" t="s">
        <v>3369</v>
      </c>
      <c r="T1000" s="18" t="s">
        <v>3373</v>
      </c>
      <c r="U1000" s="15" t="s">
        <v>54</v>
      </c>
      <c r="V1000" s="15" t="s">
        <v>56</v>
      </c>
      <c r="W1000" s="15"/>
    </row>
    <row r="1001" spans="1:23" hidden="1" x14ac:dyDescent="0.3">
      <c r="A1001" s="15">
        <v>895</v>
      </c>
      <c r="B1001" s="15" t="s">
        <v>3343</v>
      </c>
      <c r="C1001" s="19">
        <v>46186</v>
      </c>
      <c r="D1001" s="19" t="s">
        <v>56</v>
      </c>
      <c r="E1001" s="21" t="s">
        <v>3114</v>
      </c>
      <c r="F1001" s="21">
        <v>9380803043</v>
      </c>
      <c r="G1001" s="15" t="s">
        <v>6</v>
      </c>
      <c r="H1001" s="15" t="s">
        <v>3393</v>
      </c>
      <c r="I1001" s="15" t="s">
        <v>3394</v>
      </c>
      <c r="J1001" s="15" t="s">
        <v>172</v>
      </c>
      <c r="K1001" s="16">
        <v>45630</v>
      </c>
      <c r="L1001" s="16">
        <v>66780</v>
      </c>
      <c r="M1001" s="17">
        <f>Table1[[#This Row],[Billing Rate Charges]]-Table1[[#This Row],[ LORRY RATE ]]</f>
        <v>21150</v>
      </c>
      <c r="N1001" s="17">
        <v>45630</v>
      </c>
      <c r="O1001" s="17">
        <f>Table1[[#This Row],[ LORRY RATE ]]-Table1[[#This Row],[Adance Paid (INR)]]</f>
        <v>0</v>
      </c>
      <c r="P1001" s="17" t="s">
        <v>147</v>
      </c>
      <c r="Q1001" s="18" t="s">
        <v>2028</v>
      </c>
      <c r="R1001" s="17"/>
      <c r="S1001" s="18" t="s">
        <v>3373</v>
      </c>
      <c r="T1001" s="18" t="s">
        <v>3374</v>
      </c>
      <c r="U1001" s="15" t="s">
        <v>54</v>
      </c>
      <c r="V1001" s="15" t="s">
        <v>56</v>
      </c>
      <c r="W1001" s="15"/>
    </row>
    <row r="1002" spans="1:23" hidden="1" x14ac:dyDescent="0.3">
      <c r="A1002" s="15">
        <v>896</v>
      </c>
      <c r="B1002" s="15" t="s">
        <v>3343</v>
      </c>
      <c r="C1002" s="19">
        <v>46189</v>
      </c>
      <c r="D1002" s="19" t="s">
        <v>56</v>
      </c>
      <c r="E1002" s="21" t="s">
        <v>38</v>
      </c>
      <c r="F1002" s="21">
        <v>9995059254</v>
      </c>
      <c r="G1002" s="15" t="s">
        <v>6</v>
      </c>
      <c r="H1002" s="15" t="s">
        <v>1874</v>
      </c>
      <c r="I1002" s="15" t="s">
        <v>3395</v>
      </c>
      <c r="J1002" s="15" t="s">
        <v>59</v>
      </c>
      <c r="K1002" s="16">
        <v>44330</v>
      </c>
      <c r="L1002" s="16">
        <v>58120</v>
      </c>
      <c r="M1002" s="17">
        <f>Table1[[#This Row],[Billing Rate Charges]]-Table1[[#This Row],[ LORRY RATE ]]</f>
        <v>13790</v>
      </c>
      <c r="N1002" s="17">
        <v>44330</v>
      </c>
      <c r="O1002" s="17">
        <f>Table1[[#This Row],[ LORRY RATE ]]-Table1[[#This Row],[Adance Paid (INR)]]</f>
        <v>0</v>
      </c>
      <c r="P1002" s="17" t="s">
        <v>147</v>
      </c>
      <c r="Q1002" s="18" t="s">
        <v>2029</v>
      </c>
      <c r="R1002" s="17"/>
      <c r="S1002" s="18" t="s">
        <v>3381</v>
      </c>
      <c r="T1002" s="18" t="s">
        <v>3381</v>
      </c>
      <c r="U1002" s="15" t="s">
        <v>54</v>
      </c>
      <c r="V1002" s="15" t="s">
        <v>56</v>
      </c>
      <c r="W1002" s="15"/>
    </row>
    <row r="1003" spans="1:23" hidden="1" x14ac:dyDescent="0.3">
      <c r="A1003" s="15">
        <v>897</v>
      </c>
      <c r="B1003" s="15" t="s">
        <v>3343</v>
      </c>
      <c r="C1003" s="19">
        <v>46189</v>
      </c>
      <c r="D1003" s="19" t="s">
        <v>56</v>
      </c>
      <c r="E1003" s="21" t="s">
        <v>3065</v>
      </c>
      <c r="F1003" s="21">
        <v>9068805165</v>
      </c>
      <c r="G1003" s="15" t="s">
        <v>1093</v>
      </c>
      <c r="H1003" s="15" t="s">
        <v>3400</v>
      </c>
      <c r="I1003" s="15" t="s">
        <v>6</v>
      </c>
      <c r="J1003" s="15" t="s">
        <v>172</v>
      </c>
      <c r="K1003" s="16">
        <v>58240</v>
      </c>
      <c r="L1003" s="16">
        <v>150880</v>
      </c>
      <c r="M1003" s="17">
        <f>Table1[[#This Row],[Billing Rate Charges]]-Table1[[#This Row],[ LORRY RATE ]]</f>
        <v>92640</v>
      </c>
      <c r="N1003" s="17">
        <v>58240</v>
      </c>
      <c r="O1003" s="17">
        <f>Table1[[#This Row],[ LORRY RATE ]]-Table1[[#This Row],[Adance Paid (INR)]]</f>
        <v>0</v>
      </c>
      <c r="P1003" s="17" t="s">
        <v>147</v>
      </c>
      <c r="Q1003" s="18" t="s">
        <v>2030</v>
      </c>
      <c r="R1003" s="17"/>
      <c r="S1003" s="18" t="s">
        <v>3381</v>
      </c>
      <c r="T1003" s="18" t="s">
        <v>3381</v>
      </c>
      <c r="U1003" s="15" t="s">
        <v>54</v>
      </c>
      <c r="V1003" s="15" t="s">
        <v>56</v>
      </c>
      <c r="W1003" s="15"/>
    </row>
    <row r="1004" spans="1:23" hidden="1" x14ac:dyDescent="0.3">
      <c r="A1004" s="15">
        <v>898</v>
      </c>
      <c r="B1004" s="15" t="s">
        <v>3343</v>
      </c>
      <c r="C1004" s="19">
        <v>46190</v>
      </c>
      <c r="D1004" s="19" t="s">
        <v>56</v>
      </c>
      <c r="E1004" s="21" t="s">
        <v>1644</v>
      </c>
      <c r="F1004" s="21">
        <v>9220186371</v>
      </c>
      <c r="G1004" s="15" t="s">
        <v>6</v>
      </c>
      <c r="H1004" s="15" t="s">
        <v>3396</v>
      </c>
      <c r="I1004" s="15" t="s">
        <v>3297</v>
      </c>
      <c r="J1004" s="15" t="s">
        <v>172</v>
      </c>
      <c r="K1004" s="16">
        <v>45630</v>
      </c>
      <c r="L1004" s="16">
        <v>66780</v>
      </c>
      <c r="M1004" s="17">
        <f>Table1[[#This Row],[Billing Rate Charges]]-Table1[[#This Row],[ LORRY RATE ]]</f>
        <v>21150</v>
      </c>
      <c r="N1004" s="17">
        <v>45630</v>
      </c>
      <c r="O1004" s="17">
        <f>Table1[[#This Row],[ LORRY RATE ]]-Table1[[#This Row],[Adance Paid (INR)]]</f>
        <v>0</v>
      </c>
      <c r="P1004" s="17" t="s">
        <v>147</v>
      </c>
      <c r="Q1004" s="18" t="s">
        <v>2031</v>
      </c>
      <c r="R1004" s="17"/>
      <c r="S1004" s="18" t="s">
        <v>3381</v>
      </c>
      <c r="T1004" s="18" t="s">
        <v>3403</v>
      </c>
      <c r="U1004" s="15" t="s">
        <v>54</v>
      </c>
      <c r="V1004" s="15" t="s">
        <v>56</v>
      </c>
      <c r="W1004" s="15"/>
    </row>
    <row r="1005" spans="1:23" hidden="1" x14ac:dyDescent="0.3">
      <c r="A1005" s="15">
        <v>899</v>
      </c>
      <c r="B1005" s="15" t="s">
        <v>3343</v>
      </c>
      <c r="C1005" s="19">
        <v>46190</v>
      </c>
      <c r="D1005" s="19" t="s">
        <v>56</v>
      </c>
      <c r="E1005" s="21" t="s">
        <v>60</v>
      </c>
      <c r="F1005" s="21">
        <v>9040208667</v>
      </c>
      <c r="G1005" s="15" t="s">
        <v>6</v>
      </c>
      <c r="H1005" s="15" t="s">
        <v>1874</v>
      </c>
      <c r="I1005" s="15" t="s">
        <v>3348</v>
      </c>
      <c r="J1005" s="15" t="s">
        <v>172</v>
      </c>
      <c r="K1005" s="16">
        <v>44680</v>
      </c>
      <c r="L1005" s="16">
        <v>60480</v>
      </c>
      <c r="M1005" s="17">
        <f>Table1[[#This Row],[Billing Rate Charges]]-Table1[[#This Row],[ LORRY RATE ]]</f>
        <v>15800</v>
      </c>
      <c r="N1005" s="17">
        <v>44680</v>
      </c>
      <c r="O1005" s="17">
        <f>Table1[[#This Row],[ LORRY RATE ]]-Table1[[#This Row],[Adance Paid (INR)]]</f>
        <v>0</v>
      </c>
      <c r="P1005" s="17" t="s">
        <v>147</v>
      </c>
      <c r="Q1005" s="18" t="s">
        <v>2032</v>
      </c>
      <c r="R1005" s="17"/>
      <c r="S1005" s="18" t="s">
        <v>3403</v>
      </c>
      <c r="T1005" s="18" t="s">
        <v>3403</v>
      </c>
      <c r="U1005" s="15" t="s">
        <v>54</v>
      </c>
      <c r="V1005" s="15" t="s">
        <v>56</v>
      </c>
      <c r="W1005" s="15"/>
    </row>
    <row r="1006" spans="1:23" hidden="1" x14ac:dyDescent="0.3">
      <c r="A1006" s="15">
        <v>900</v>
      </c>
      <c r="B1006" s="15" t="s">
        <v>3343</v>
      </c>
      <c r="C1006" s="19">
        <v>46191</v>
      </c>
      <c r="D1006" s="19" t="s">
        <v>56</v>
      </c>
      <c r="E1006" s="21" t="s">
        <v>1641</v>
      </c>
      <c r="F1006" s="21">
        <v>9486716172</v>
      </c>
      <c r="G1006" s="15" t="s">
        <v>1093</v>
      </c>
      <c r="H1006" s="15" t="s">
        <v>3456</v>
      </c>
      <c r="I1006" s="15" t="s">
        <v>6</v>
      </c>
      <c r="J1006" s="15" t="s">
        <v>172</v>
      </c>
      <c r="K1006" s="16">
        <v>58240</v>
      </c>
      <c r="L1006" s="16">
        <v>150880</v>
      </c>
      <c r="M1006" s="17">
        <f>Table1[[#This Row],[Billing Rate Charges]]-Table1[[#This Row],[ LORRY RATE ]]</f>
        <v>92640</v>
      </c>
      <c r="N1006" s="17">
        <v>58240</v>
      </c>
      <c r="O1006" s="17">
        <f>Table1[[#This Row],[ LORRY RATE ]]-Table1[[#This Row],[Adance Paid (INR)]]</f>
        <v>0</v>
      </c>
      <c r="P1006" s="17" t="s">
        <v>147</v>
      </c>
      <c r="Q1006" s="18" t="s">
        <v>2033</v>
      </c>
      <c r="R1006" s="17"/>
      <c r="S1006" s="18" t="s">
        <v>3403</v>
      </c>
      <c r="T1006" s="18" t="s">
        <v>3403</v>
      </c>
      <c r="U1006" s="15" t="s">
        <v>54</v>
      </c>
      <c r="V1006" s="15" t="s">
        <v>56</v>
      </c>
      <c r="W1006" s="15"/>
    </row>
    <row r="1007" spans="1:23" hidden="1" x14ac:dyDescent="0.3">
      <c r="A1007" s="15">
        <v>901</v>
      </c>
      <c r="B1007" s="15" t="s">
        <v>3343</v>
      </c>
      <c r="C1007" s="19">
        <v>46192</v>
      </c>
      <c r="D1007" s="19" t="s">
        <v>56</v>
      </c>
      <c r="E1007" s="15" t="s">
        <v>1635</v>
      </c>
      <c r="F1007" s="15">
        <v>9793531306</v>
      </c>
      <c r="G1007" s="15" t="s">
        <v>6</v>
      </c>
      <c r="H1007" s="15" t="s">
        <v>3416</v>
      </c>
      <c r="I1007" s="15" t="s">
        <v>3417</v>
      </c>
      <c r="J1007" s="15" t="s">
        <v>172</v>
      </c>
      <c r="K1007" s="16">
        <v>45630</v>
      </c>
      <c r="L1007" s="16">
        <v>66780</v>
      </c>
      <c r="M1007" s="17">
        <f>Table1[[#This Row],[Billing Rate Charges]]-Table1[[#This Row],[ LORRY RATE ]]</f>
        <v>21150</v>
      </c>
      <c r="N1007" s="17">
        <v>45630</v>
      </c>
      <c r="O1007" s="17">
        <f>Table1[[#This Row],[ LORRY RATE ]]-Table1[[#This Row],[Adance Paid (INR)]]</f>
        <v>0</v>
      </c>
      <c r="P1007" s="17" t="s">
        <v>147</v>
      </c>
      <c r="Q1007" s="18" t="s">
        <v>2034</v>
      </c>
      <c r="R1007" s="17"/>
      <c r="S1007" s="18" t="s">
        <v>3404</v>
      </c>
      <c r="T1007" s="18" t="s">
        <v>3404</v>
      </c>
      <c r="U1007" s="15" t="s">
        <v>54</v>
      </c>
      <c r="V1007" s="15" t="s">
        <v>56</v>
      </c>
      <c r="W1007" s="15"/>
    </row>
    <row r="1008" spans="1:23" hidden="1" x14ac:dyDescent="0.3">
      <c r="A1008" s="15">
        <v>902</v>
      </c>
      <c r="B1008" s="15" t="s">
        <v>3343</v>
      </c>
      <c r="C1008" s="19">
        <v>46192</v>
      </c>
      <c r="D1008" s="19" t="s">
        <v>56</v>
      </c>
      <c r="E1008" s="15" t="s">
        <v>3065</v>
      </c>
      <c r="F1008" s="15">
        <v>9068805165</v>
      </c>
      <c r="G1008" s="15" t="s">
        <v>6</v>
      </c>
      <c r="H1008" s="15" t="s">
        <v>3418</v>
      </c>
      <c r="I1008" s="15" t="s">
        <v>3419</v>
      </c>
      <c r="J1008" s="15" t="s">
        <v>172</v>
      </c>
      <c r="K1008" s="16">
        <v>45630</v>
      </c>
      <c r="L1008" s="16">
        <v>66780</v>
      </c>
      <c r="M1008" s="17">
        <f>Table1[[#This Row],[Billing Rate Charges]]-Table1[[#This Row],[ LORRY RATE ]]</f>
        <v>21150</v>
      </c>
      <c r="N1008" s="17">
        <v>45630</v>
      </c>
      <c r="O1008" s="17">
        <f>Table1[[#This Row],[ LORRY RATE ]]-Table1[[#This Row],[Adance Paid (INR)]]</f>
        <v>0</v>
      </c>
      <c r="P1008" s="17" t="s">
        <v>147</v>
      </c>
      <c r="Q1008" s="18" t="s">
        <v>2035</v>
      </c>
      <c r="R1008" s="17"/>
      <c r="S1008" s="18" t="s">
        <v>3404</v>
      </c>
      <c r="T1008" s="18" t="s">
        <v>3407</v>
      </c>
      <c r="U1008" s="15" t="s">
        <v>54</v>
      </c>
      <c r="V1008" s="15" t="s">
        <v>56</v>
      </c>
      <c r="W1008" s="15"/>
    </row>
    <row r="1009" spans="1:23" hidden="1" x14ac:dyDescent="0.3">
      <c r="A1009" s="15">
        <v>903</v>
      </c>
      <c r="B1009" s="15" t="s">
        <v>3343</v>
      </c>
      <c r="C1009" s="19">
        <v>46193</v>
      </c>
      <c r="D1009" s="19" t="s">
        <v>56</v>
      </c>
      <c r="E1009" s="15" t="s">
        <v>3114</v>
      </c>
      <c r="F1009" s="15">
        <v>9380803043</v>
      </c>
      <c r="G1009" s="15" t="s">
        <v>1093</v>
      </c>
      <c r="H1009" s="15" t="s">
        <v>3431</v>
      </c>
      <c r="I1009" s="15" t="s">
        <v>6</v>
      </c>
      <c r="J1009" s="15" t="s">
        <v>172</v>
      </c>
      <c r="K1009" s="16">
        <v>59190</v>
      </c>
      <c r="L1009" s="16">
        <v>157180</v>
      </c>
      <c r="M1009" s="17">
        <f>Table1[[#This Row],[Billing Rate Charges]]-Table1[[#This Row],[ LORRY RATE ]]</f>
        <v>97990</v>
      </c>
      <c r="N1009" s="17">
        <v>59190</v>
      </c>
      <c r="O1009" s="17">
        <f>Table1[[#This Row],[ LORRY RATE ]]-Table1[[#This Row],[Adance Paid (INR)]]</f>
        <v>0</v>
      </c>
      <c r="P1009" s="17" t="s">
        <v>147</v>
      </c>
      <c r="Q1009" s="18" t="s">
        <v>2026</v>
      </c>
      <c r="R1009" s="17"/>
      <c r="S1009" s="18" t="s">
        <v>3407</v>
      </c>
      <c r="T1009" s="18" t="s">
        <v>3407</v>
      </c>
      <c r="U1009" s="15" t="s">
        <v>54</v>
      </c>
      <c r="V1009" s="15" t="s">
        <v>56</v>
      </c>
      <c r="W1009" s="15"/>
    </row>
    <row r="1010" spans="1:23" hidden="1" x14ac:dyDescent="0.3">
      <c r="A1010" s="15">
        <v>904</v>
      </c>
      <c r="B1010" s="15" t="s">
        <v>3343</v>
      </c>
      <c r="C1010" s="19">
        <v>46193</v>
      </c>
      <c r="D1010" s="19" t="s">
        <v>56</v>
      </c>
      <c r="E1010" s="21" t="s">
        <v>38</v>
      </c>
      <c r="F1010" s="21">
        <v>9995059254</v>
      </c>
      <c r="G1010" s="15" t="s">
        <v>1093</v>
      </c>
      <c r="H1010" s="15" t="s">
        <v>3457</v>
      </c>
      <c r="I1010" s="15" t="s">
        <v>6</v>
      </c>
      <c r="J1010" s="15" t="s">
        <v>59</v>
      </c>
      <c r="K1010" s="16">
        <v>57110</v>
      </c>
      <c r="L1010" s="16">
        <v>143320</v>
      </c>
      <c r="M1010" s="17">
        <f>Table1[[#This Row],[Billing Rate Charges]]-Table1[[#This Row],[ LORRY RATE ]]</f>
        <v>86210</v>
      </c>
      <c r="N1010" s="17">
        <v>57110</v>
      </c>
      <c r="O1010" s="17">
        <f>Table1[[#This Row],[ LORRY RATE ]]-Table1[[#This Row],[Adance Paid (INR)]]</f>
        <v>0</v>
      </c>
      <c r="P1010" s="17" t="s">
        <v>147</v>
      </c>
      <c r="Q1010" s="18" t="s">
        <v>2036</v>
      </c>
      <c r="R1010" s="17"/>
      <c r="S1010" s="18" t="s">
        <v>3407</v>
      </c>
      <c r="T1010" s="18" t="s">
        <v>3407</v>
      </c>
      <c r="U1010" s="15" t="s">
        <v>54</v>
      </c>
      <c r="V1010" s="15" t="s">
        <v>56</v>
      </c>
      <c r="W1010" s="15"/>
    </row>
    <row r="1011" spans="1:23" hidden="1" x14ac:dyDescent="0.3">
      <c r="A1011" s="15">
        <v>905</v>
      </c>
      <c r="B1011" s="15" t="s">
        <v>3343</v>
      </c>
      <c r="C1011" s="19">
        <v>46194</v>
      </c>
      <c r="D1011" s="19" t="s">
        <v>56</v>
      </c>
      <c r="E1011" s="21" t="s">
        <v>60</v>
      </c>
      <c r="F1011" s="21">
        <v>9040208667</v>
      </c>
      <c r="G1011" s="15" t="s">
        <v>1093</v>
      </c>
      <c r="H1011" s="15" t="s">
        <v>3432</v>
      </c>
      <c r="I1011" s="15" t="s">
        <v>6</v>
      </c>
      <c r="J1011" s="15" t="s">
        <v>172</v>
      </c>
      <c r="K1011" s="16">
        <v>57300</v>
      </c>
      <c r="L1011" s="16">
        <v>144580</v>
      </c>
      <c r="M1011" s="17">
        <f>Table1[[#This Row],[Billing Rate Charges]]-Table1[[#This Row],[ LORRY RATE ]]</f>
        <v>87280</v>
      </c>
      <c r="N1011" s="17">
        <v>57300</v>
      </c>
      <c r="O1011" s="17">
        <f>Table1[[#This Row],[ LORRY RATE ]]-Table1[[#This Row],[Adance Paid (INR)]]</f>
        <v>0</v>
      </c>
      <c r="P1011" s="17" t="s">
        <v>147</v>
      </c>
      <c r="Q1011" s="18" t="s">
        <v>2037</v>
      </c>
      <c r="R1011" s="17"/>
      <c r="S1011" s="18" t="s">
        <v>3411</v>
      </c>
      <c r="T1011" s="18" t="s">
        <v>3411</v>
      </c>
      <c r="U1011" s="15" t="s">
        <v>54</v>
      </c>
      <c r="V1011" s="15" t="s">
        <v>56</v>
      </c>
      <c r="W1011" s="15"/>
    </row>
    <row r="1012" spans="1:23" hidden="1" x14ac:dyDescent="0.3">
      <c r="A1012" s="15">
        <v>906</v>
      </c>
      <c r="B1012" s="15" t="s">
        <v>3343</v>
      </c>
      <c r="C1012" s="19">
        <v>46194</v>
      </c>
      <c r="D1012" s="19" t="s">
        <v>56</v>
      </c>
      <c r="E1012" s="21" t="s">
        <v>1641</v>
      </c>
      <c r="F1012" s="21">
        <v>9486716172</v>
      </c>
      <c r="G1012" s="15" t="s">
        <v>6</v>
      </c>
      <c r="H1012" s="15" t="s">
        <v>1874</v>
      </c>
      <c r="I1012" s="15" t="s">
        <v>3420</v>
      </c>
      <c r="J1012" s="15" t="s">
        <v>172</v>
      </c>
      <c r="K1012" s="16">
        <v>44680</v>
      </c>
      <c r="L1012" s="16">
        <v>60480</v>
      </c>
      <c r="M1012" s="17">
        <f>Table1[[#This Row],[Billing Rate Charges]]-Table1[[#This Row],[ LORRY RATE ]]</f>
        <v>15800</v>
      </c>
      <c r="N1012" s="17">
        <v>44680</v>
      </c>
      <c r="O1012" s="17">
        <f>Table1[[#This Row],[ LORRY RATE ]]-Table1[[#This Row],[Adance Paid (INR)]]</f>
        <v>0</v>
      </c>
      <c r="P1012" s="17" t="s">
        <v>147</v>
      </c>
      <c r="Q1012" s="18" t="s">
        <v>2038</v>
      </c>
      <c r="R1012" s="17"/>
      <c r="S1012" s="18" t="s">
        <v>3407</v>
      </c>
      <c r="T1012" s="18" t="s">
        <v>3407</v>
      </c>
      <c r="U1012" s="15" t="s">
        <v>54</v>
      </c>
      <c r="V1012" s="15" t="s">
        <v>56</v>
      </c>
      <c r="W1012" s="15"/>
    </row>
    <row r="1013" spans="1:23" hidden="1" x14ac:dyDescent="0.3">
      <c r="A1013" s="15">
        <v>907</v>
      </c>
      <c r="B1013" s="15" t="s">
        <v>3343</v>
      </c>
      <c r="C1013" s="19">
        <v>46194</v>
      </c>
      <c r="D1013" s="19" t="s">
        <v>56</v>
      </c>
      <c r="E1013" s="21" t="s">
        <v>2859</v>
      </c>
      <c r="F1013" s="21">
        <v>9182842770</v>
      </c>
      <c r="G1013" s="15" t="s">
        <v>6</v>
      </c>
      <c r="H1013" s="15" t="s">
        <v>3421</v>
      </c>
      <c r="I1013" s="15" t="s">
        <v>3422</v>
      </c>
      <c r="J1013" s="15" t="s">
        <v>172</v>
      </c>
      <c r="K1013" s="16">
        <v>45630</v>
      </c>
      <c r="L1013" s="16">
        <v>66780</v>
      </c>
      <c r="M1013" s="17">
        <f>Table1[[#This Row],[Billing Rate Charges]]-Table1[[#This Row],[ LORRY RATE ]]</f>
        <v>21150</v>
      </c>
      <c r="N1013" s="17">
        <v>45630</v>
      </c>
      <c r="O1013" s="17">
        <f>Table1[[#This Row],[ LORRY RATE ]]-Table1[[#This Row],[Adance Paid (INR)]]</f>
        <v>0</v>
      </c>
      <c r="P1013" s="17" t="s">
        <v>147</v>
      </c>
      <c r="Q1013" s="18" t="s">
        <v>2039</v>
      </c>
      <c r="R1013" s="17"/>
      <c r="S1013" s="18" t="s">
        <v>3407</v>
      </c>
      <c r="T1013" s="18" t="s">
        <v>3411</v>
      </c>
      <c r="U1013" s="15" t="s">
        <v>54</v>
      </c>
      <c r="V1013" s="15" t="s">
        <v>56</v>
      </c>
      <c r="W1013" s="15"/>
    </row>
    <row r="1014" spans="1:23" hidden="1" x14ac:dyDescent="0.3">
      <c r="A1014" s="15">
        <v>910</v>
      </c>
      <c r="B1014" s="15" t="s">
        <v>3343</v>
      </c>
      <c r="C1014" s="19">
        <v>46196</v>
      </c>
      <c r="D1014" s="19" t="s">
        <v>56</v>
      </c>
      <c r="E1014" s="19" t="s">
        <v>1637</v>
      </c>
      <c r="F1014" s="15">
        <v>9025368773</v>
      </c>
      <c r="G1014" s="15" t="s">
        <v>6</v>
      </c>
      <c r="H1014" s="15" t="s">
        <v>3423</v>
      </c>
      <c r="I1014" s="15" t="s">
        <v>3424</v>
      </c>
      <c r="J1014" s="15" t="s">
        <v>172</v>
      </c>
      <c r="K1014" s="16">
        <v>45630</v>
      </c>
      <c r="L1014" s="16">
        <v>66780</v>
      </c>
      <c r="M1014" s="17">
        <f>Table1[[#This Row],[Billing Rate Charges]]-Table1[[#This Row],[ LORRY RATE ]]</f>
        <v>21150</v>
      </c>
      <c r="N1014" s="17">
        <v>45630</v>
      </c>
      <c r="O1014" s="17">
        <f>Table1[[#This Row],[ LORRY RATE ]]-Table1[[#This Row],[Adance Paid (INR)]]</f>
        <v>0</v>
      </c>
      <c r="P1014" s="17" t="s">
        <v>147</v>
      </c>
      <c r="Q1014" s="18" t="s">
        <v>2040</v>
      </c>
      <c r="R1014" s="17"/>
      <c r="S1014" s="18" t="s">
        <v>3412</v>
      </c>
      <c r="T1014" s="18" t="s">
        <v>3412</v>
      </c>
      <c r="U1014" s="15" t="s">
        <v>54</v>
      </c>
      <c r="V1014" s="15" t="s">
        <v>56</v>
      </c>
      <c r="W1014" s="15"/>
    </row>
    <row r="1015" spans="1:23" hidden="1" x14ac:dyDescent="0.3">
      <c r="A1015" s="15">
        <v>911</v>
      </c>
      <c r="B1015" s="15" t="s">
        <v>3343</v>
      </c>
      <c r="C1015" s="19">
        <v>46197</v>
      </c>
      <c r="D1015" s="19" t="s">
        <v>56</v>
      </c>
      <c r="E1015" s="15" t="s">
        <v>3122</v>
      </c>
      <c r="F1015" s="15">
        <v>9935813519</v>
      </c>
      <c r="G1015" s="15" t="s">
        <v>6</v>
      </c>
      <c r="H1015" s="15" t="s">
        <v>3425</v>
      </c>
      <c r="I1015" s="15" t="s">
        <v>3426</v>
      </c>
      <c r="J1015" s="15" t="s">
        <v>172</v>
      </c>
      <c r="K1015" s="16">
        <v>45630</v>
      </c>
      <c r="L1015" s="16">
        <v>66780</v>
      </c>
      <c r="M1015" s="17">
        <f>Table1[[#This Row],[Billing Rate Charges]]-Table1[[#This Row],[ LORRY RATE ]]</f>
        <v>21150</v>
      </c>
      <c r="N1015" s="17">
        <v>45630</v>
      </c>
      <c r="O1015" s="17">
        <f>Table1[[#This Row],[ LORRY RATE ]]-Table1[[#This Row],[Adance Paid (INR)]]</f>
        <v>0</v>
      </c>
      <c r="P1015" s="17" t="s">
        <v>147</v>
      </c>
      <c r="Q1015" s="18" t="s">
        <v>2041</v>
      </c>
      <c r="R1015" s="17"/>
      <c r="S1015" s="18" t="s">
        <v>3412</v>
      </c>
      <c r="T1015" s="18" t="s">
        <v>3412</v>
      </c>
      <c r="U1015" s="15" t="s">
        <v>54</v>
      </c>
      <c r="V1015" s="15" t="s">
        <v>56</v>
      </c>
      <c r="W1015" s="15"/>
    </row>
    <row r="1016" spans="1:23" hidden="1" x14ac:dyDescent="0.3">
      <c r="A1016" s="15">
        <v>912</v>
      </c>
      <c r="B1016" s="15" t="s">
        <v>3343</v>
      </c>
      <c r="C1016" s="19">
        <v>46197</v>
      </c>
      <c r="D1016" s="19" t="s">
        <v>56</v>
      </c>
      <c r="E1016" s="15" t="s">
        <v>38</v>
      </c>
      <c r="F1016" s="15">
        <v>9995059254</v>
      </c>
      <c r="G1016" s="15" t="s">
        <v>6</v>
      </c>
      <c r="H1016" s="15" t="s">
        <v>3427</v>
      </c>
      <c r="I1016" s="15" t="s">
        <v>3428</v>
      </c>
      <c r="J1016" s="15" t="s">
        <v>59</v>
      </c>
      <c r="K1016" s="16">
        <v>45270</v>
      </c>
      <c r="L1016" s="16">
        <v>64420</v>
      </c>
      <c r="M1016" s="17">
        <f>Table1[[#This Row],[Billing Rate Charges]]-Table1[[#This Row],[ LORRY RATE ]]</f>
        <v>19150</v>
      </c>
      <c r="N1016" s="17">
        <v>45270</v>
      </c>
      <c r="O1016" s="17">
        <f>Table1[[#This Row],[ LORRY RATE ]]-Table1[[#This Row],[Adance Paid (INR)]]</f>
        <v>0</v>
      </c>
      <c r="P1016" s="17" t="s">
        <v>147</v>
      </c>
      <c r="Q1016" s="18" t="s">
        <v>2083</v>
      </c>
      <c r="R1016" s="17"/>
      <c r="S1016" s="18" t="s">
        <v>3434</v>
      </c>
      <c r="T1016" s="18" t="s">
        <v>3434</v>
      </c>
      <c r="U1016" s="15" t="s">
        <v>54</v>
      </c>
      <c r="V1016" s="15" t="s">
        <v>56</v>
      </c>
      <c r="W1016" s="15"/>
    </row>
    <row r="1017" spans="1:23" hidden="1" x14ac:dyDescent="0.3">
      <c r="A1017" s="15">
        <v>913</v>
      </c>
      <c r="B1017" s="15" t="s">
        <v>3343</v>
      </c>
      <c r="C1017" s="19">
        <v>46197</v>
      </c>
      <c r="D1017" s="19" t="s">
        <v>56</v>
      </c>
      <c r="E1017" s="15" t="s">
        <v>1641</v>
      </c>
      <c r="F1017" s="15">
        <v>9486716172</v>
      </c>
      <c r="G1017" s="15" t="s">
        <v>1093</v>
      </c>
      <c r="H1017" s="15" t="s">
        <v>3450</v>
      </c>
      <c r="I1017" s="15" t="s">
        <v>6</v>
      </c>
      <c r="J1017" s="15" t="s">
        <v>172</v>
      </c>
      <c r="K1017" s="16">
        <v>57300</v>
      </c>
      <c r="L1017" s="16">
        <v>144580</v>
      </c>
      <c r="M1017" s="17">
        <f>Table1[[#This Row],[Billing Rate Charges]]-Table1[[#This Row],[ LORRY RATE ]]</f>
        <v>87280</v>
      </c>
      <c r="N1017" s="17">
        <v>57300</v>
      </c>
      <c r="O1017" s="17">
        <f>Table1[[#This Row],[ LORRY RATE ]]-Table1[[#This Row],[Adance Paid (INR)]]</f>
        <v>0</v>
      </c>
      <c r="P1017" s="17" t="s">
        <v>147</v>
      </c>
      <c r="Q1017" s="18" t="s">
        <v>2084</v>
      </c>
      <c r="R1017" s="17"/>
      <c r="S1017" s="18" t="s">
        <v>3434</v>
      </c>
      <c r="T1017" s="18" t="s">
        <v>3434</v>
      </c>
      <c r="U1017" s="15" t="s">
        <v>54</v>
      </c>
      <c r="V1017" s="15" t="s">
        <v>56</v>
      </c>
      <c r="W1017" s="15"/>
    </row>
    <row r="1018" spans="1:23" hidden="1" x14ac:dyDescent="0.3">
      <c r="A1018" s="15">
        <v>914</v>
      </c>
      <c r="B1018" s="15" t="s">
        <v>3343</v>
      </c>
      <c r="C1018" s="19">
        <v>46198</v>
      </c>
      <c r="D1018" s="19" t="s">
        <v>56</v>
      </c>
      <c r="E1018" s="15" t="s">
        <v>3065</v>
      </c>
      <c r="F1018" s="15">
        <v>9068805165</v>
      </c>
      <c r="G1018" s="15" t="s">
        <v>1093</v>
      </c>
      <c r="H1018" s="15" t="s">
        <v>3459</v>
      </c>
      <c r="I1018" s="15" t="s">
        <v>6</v>
      </c>
      <c r="J1018" s="15" t="s">
        <v>172</v>
      </c>
      <c r="K1018" s="16">
        <v>58240</v>
      </c>
      <c r="L1018" s="16">
        <v>150880</v>
      </c>
      <c r="M1018" s="17">
        <f>Table1[[#This Row],[Billing Rate Charges]]-Table1[[#This Row],[ LORRY RATE ]]</f>
        <v>92640</v>
      </c>
      <c r="N1018" s="17">
        <v>58240</v>
      </c>
      <c r="O1018" s="17">
        <f>Table1[[#This Row],[ LORRY RATE ]]-Table1[[#This Row],[Adance Paid (INR)]]</f>
        <v>0</v>
      </c>
      <c r="P1018" s="17" t="s">
        <v>147</v>
      </c>
      <c r="Q1018" s="18" t="s">
        <v>2085</v>
      </c>
      <c r="R1018" s="17"/>
      <c r="S1018" s="18" t="s">
        <v>3434</v>
      </c>
      <c r="T1018" s="18" t="s">
        <v>3434</v>
      </c>
      <c r="U1018" s="15" t="s">
        <v>54</v>
      </c>
      <c r="V1018" s="15" t="s">
        <v>56</v>
      </c>
      <c r="W1018" s="15"/>
    </row>
    <row r="1019" spans="1:23" hidden="1" x14ac:dyDescent="0.3">
      <c r="A1019" s="15">
        <v>915</v>
      </c>
      <c r="B1019" s="15" t="s">
        <v>3343</v>
      </c>
      <c r="C1019" s="19">
        <v>46198</v>
      </c>
      <c r="D1019" s="19" t="s">
        <v>56</v>
      </c>
      <c r="E1019" s="15" t="s">
        <v>60</v>
      </c>
      <c r="F1019" s="15">
        <v>9040208667</v>
      </c>
      <c r="G1019" s="15" t="s">
        <v>6</v>
      </c>
      <c r="H1019" s="15" t="s">
        <v>3429</v>
      </c>
      <c r="I1019" s="15" t="s">
        <v>3430</v>
      </c>
      <c r="J1019" s="15" t="s">
        <v>172</v>
      </c>
      <c r="K1019" s="16">
        <v>45630</v>
      </c>
      <c r="L1019" s="16">
        <v>66780</v>
      </c>
      <c r="M1019" s="17">
        <f>Table1[[#This Row],[Billing Rate Charges]]-Table1[[#This Row],[ LORRY RATE ]]</f>
        <v>21150</v>
      </c>
      <c r="N1019" s="17">
        <v>45630</v>
      </c>
      <c r="O1019" s="17">
        <f>Table1[[#This Row],[ LORRY RATE ]]-Table1[[#This Row],[Adance Paid (INR)]]</f>
        <v>0</v>
      </c>
      <c r="P1019" s="17" t="s">
        <v>147</v>
      </c>
      <c r="Q1019" s="18" t="s">
        <v>2086</v>
      </c>
      <c r="R1019" s="17"/>
      <c r="S1019" s="18" t="s">
        <v>3434</v>
      </c>
      <c r="T1019" s="18" t="s">
        <v>3434</v>
      </c>
      <c r="U1019" s="15" t="s">
        <v>54</v>
      </c>
      <c r="V1019" s="15" t="s">
        <v>56</v>
      </c>
      <c r="W1019" s="15"/>
    </row>
    <row r="1020" spans="1:23" hidden="1" x14ac:dyDescent="0.3">
      <c r="A1020" s="15">
        <v>916</v>
      </c>
      <c r="B1020" s="15" t="s">
        <v>3343</v>
      </c>
      <c r="C1020" s="19">
        <v>46198</v>
      </c>
      <c r="D1020" s="19" t="s">
        <v>56</v>
      </c>
      <c r="E1020" s="15" t="s">
        <v>1635</v>
      </c>
      <c r="F1020" s="15">
        <v>9793531306</v>
      </c>
      <c r="G1020" s="15" t="s">
        <v>1093</v>
      </c>
      <c r="H1020" s="15" t="s">
        <v>3451</v>
      </c>
      <c r="I1020" s="15" t="s">
        <v>6</v>
      </c>
      <c r="J1020" s="15" t="s">
        <v>172</v>
      </c>
      <c r="K1020" s="16">
        <v>57300</v>
      </c>
      <c r="L1020" s="16">
        <v>144580</v>
      </c>
      <c r="M1020" s="17">
        <f>Table1[[#This Row],[Billing Rate Charges]]-Table1[[#This Row],[ LORRY RATE ]]</f>
        <v>87280</v>
      </c>
      <c r="N1020" s="17">
        <v>57300</v>
      </c>
      <c r="O1020" s="17">
        <f>Table1[[#This Row],[ LORRY RATE ]]-Table1[[#This Row],[Adance Paid (INR)]]</f>
        <v>0</v>
      </c>
      <c r="P1020" s="17" t="s">
        <v>147</v>
      </c>
      <c r="Q1020" s="18" t="s">
        <v>2087</v>
      </c>
      <c r="R1020" s="17"/>
      <c r="S1020" s="18" t="s">
        <v>3436</v>
      </c>
      <c r="T1020" s="18" t="s">
        <v>3437</v>
      </c>
      <c r="U1020" s="15" t="s">
        <v>54</v>
      </c>
      <c r="V1020" s="15" t="s">
        <v>56</v>
      </c>
      <c r="W1020" s="15"/>
    </row>
    <row r="1021" spans="1:23" hidden="1" x14ac:dyDescent="0.3">
      <c r="A1021" s="15">
        <v>917</v>
      </c>
      <c r="B1021" s="15" t="s">
        <v>3343</v>
      </c>
      <c r="C1021" s="19">
        <v>46200</v>
      </c>
      <c r="D1021" s="19" t="s">
        <v>56</v>
      </c>
      <c r="E1021" s="21" t="s">
        <v>3065</v>
      </c>
      <c r="F1021" s="21">
        <v>9068805165</v>
      </c>
      <c r="G1021" s="15" t="s">
        <v>6</v>
      </c>
      <c r="H1021" s="15" t="s">
        <v>3453</v>
      </c>
      <c r="I1021" s="15" t="s">
        <v>3454</v>
      </c>
      <c r="J1021" s="15" t="s">
        <v>172</v>
      </c>
      <c r="K1021" s="16">
        <v>45630</v>
      </c>
      <c r="L1021" s="16">
        <v>66780</v>
      </c>
      <c r="M1021" s="17">
        <f>Table1[[#This Row],[Billing Rate Charges]]-Table1[[#This Row],[ LORRY RATE ]]</f>
        <v>21150</v>
      </c>
      <c r="N1021" s="17">
        <v>45630</v>
      </c>
      <c r="O1021" s="17">
        <f>Table1[[#This Row],[ LORRY RATE ]]-Table1[[#This Row],[Adance Paid (INR)]]</f>
        <v>0</v>
      </c>
      <c r="P1021" s="17" t="s">
        <v>147</v>
      </c>
      <c r="Q1021" s="18" t="s">
        <v>2090</v>
      </c>
      <c r="R1021" s="17"/>
      <c r="S1021" s="18" t="s">
        <v>3444</v>
      </c>
      <c r="T1021" s="18" t="s">
        <v>3444</v>
      </c>
      <c r="U1021" s="15" t="s">
        <v>54</v>
      </c>
      <c r="V1021" s="15" t="s">
        <v>56</v>
      </c>
      <c r="W1021" s="15"/>
    </row>
    <row r="1022" spans="1:23" hidden="1" x14ac:dyDescent="0.3">
      <c r="A1022" s="15">
        <v>918</v>
      </c>
      <c r="B1022" s="15" t="s">
        <v>3343</v>
      </c>
      <c r="C1022" s="19">
        <v>46200</v>
      </c>
      <c r="D1022" s="19" t="s">
        <v>56</v>
      </c>
      <c r="E1022" s="21" t="s">
        <v>1637</v>
      </c>
      <c r="F1022" s="21">
        <v>9025368773</v>
      </c>
      <c r="G1022" s="15" t="s">
        <v>1093</v>
      </c>
      <c r="H1022" s="15" t="s">
        <v>3452</v>
      </c>
      <c r="I1022" s="15" t="s">
        <v>6</v>
      </c>
      <c r="J1022" s="15" t="s">
        <v>172</v>
      </c>
      <c r="K1022" s="16">
        <v>58240</v>
      </c>
      <c r="L1022" s="16">
        <v>150880</v>
      </c>
      <c r="M1022" s="17">
        <f>Table1[[#This Row],[Billing Rate Charges]]-Table1[[#This Row],[ LORRY RATE ]]</f>
        <v>92640</v>
      </c>
      <c r="N1022" s="17">
        <v>58240</v>
      </c>
      <c r="O1022" s="17">
        <f>Table1[[#This Row],[ LORRY RATE ]]-Table1[[#This Row],[Adance Paid (INR)]]</f>
        <v>0</v>
      </c>
      <c r="P1022" s="17" t="s">
        <v>147</v>
      </c>
      <c r="Q1022" s="18" t="s">
        <v>504</v>
      </c>
      <c r="R1022" s="17"/>
      <c r="S1022" s="18" t="s">
        <v>3444</v>
      </c>
      <c r="T1022" s="18" t="s">
        <v>3444</v>
      </c>
      <c r="U1022" s="15" t="s">
        <v>54</v>
      </c>
      <c r="V1022" s="15" t="s">
        <v>56</v>
      </c>
      <c r="W1022" s="15"/>
    </row>
    <row r="1023" spans="1:23" hidden="1" x14ac:dyDescent="0.3">
      <c r="A1023" s="15">
        <v>919</v>
      </c>
      <c r="B1023" s="15" t="s">
        <v>3343</v>
      </c>
      <c r="C1023" s="19">
        <v>46201</v>
      </c>
      <c r="D1023" s="19" t="s">
        <v>56</v>
      </c>
      <c r="E1023" s="21" t="s">
        <v>3122</v>
      </c>
      <c r="F1023" s="21">
        <v>992309437</v>
      </c>
      <c r="G1023" s="15" t="s">
        <v>1093</v>
      </c>
      <c r="H1023" s="15" t="s">
        <v>3458</v>
      </c>
      <c r="I1023" s="15" t="s">
        <v>6</v>
      </c>
      <c r="J1023" s="15" t="s">
        <v>172</v>
      </c>
      <c r="K1023" s="16">
        <v>57300</v>
      </c>
      <c r="L1023" s="16">
        <v>144580</v>
      </c>
      <c r="M1023" s="17">
        <f>Table1[[#This Row],[Billing Rate Charges]]-Table1[[#This Row],[ LORRY RATE ]]</f>
        <v>87280</v>
      </c>
      <c r="N1023" s="17">
        <v>57300</v>
      </c>
      <c r="O1023" s="17">
        <f>Table1[[#This Row],[ LORRY RATE ]]-Table1[[#This Row],[Adance Paid (INR)]]</f>
        <v>0</v>
      </c>
      <c r="P1023" s="17" t="s">
        <v>147</v>
      </c>
      <c r="Q1023" s="18" t="s">
        <v>505</v>
      </c>
      <c r="R1023" s="17"/>
      <c r="S1023" s="18" t="s">
        <v>3444</v>
      </c>
      <c r="T1023" s="18" t="s">
        <v>3444</v>
      </c>
      <c r="U1023" s="15" t="s">
        <v>54</v>
      </c>
      <c r="V1023" s="15" t="s">
        <v>56</v>
      </c>
      <c r="W1023" s="15"/>
    </row>
    <row r="1024" spans="1:23" hidden="1" x14ac:dyDescent="0.3">
      <c r="A1024" s="15">
        <v>920</v>
      </c>
      <c r="B1024" s="15" t="s">
        <v>3343</v>
      </c>
      <c r="C1024" s="19">
        <v>46202</v>
      </c>
      <c r="D1024" s="19" t="s">
        <v>56</v>
      </c>
      <c r="E1024" s="15" t="s">
        <v>1635</v>
      </c>
      <c r="F1024" s="15">
        <v>9793531306</v>
      </c>
      <c r="G1024" s="15" t="s">
        <v>6</v>
      </c>
      <c r="H1024" s="15" t="s">
        <v>1874</v>
      </c>
      <c r="I1024" s="15" t="s">
        <v>3455</v>
      </c>
      <c r="J1024" s="15" t="s">
        <v>172</v>
      </c>
      <c r="K1024" s="16">
        <v>44680</v>
      </c>
      <c r="L1024" s="16">
        <v>60480</v>
      </c>
      <c r="M1024" s="17">
        <f>Table1[[#This Row],[Billing Rate Charges]]-Table1[[#This Row],[ LORRY RATE ]]</f>
        <v>15800</v>
      </c>
      <c r="N1024" s="17">
        <v>44680</v>
      </c>
      <c r="O1024" s="17">
        <f>Table1[[#This Row],[ LORRY RATE ]]-Table1[[#This Row],[Adance Paid (INR)]]</f>
        <v>0</v>
      </c>
      <c r="P1024" s="17" t="s">
        <v>147</v>
      </c>
      <c r="Q1024" s="18" t="s">
        <v>506</v>
      </c>
      <c r="R1024" s="17"/>
      <c r="S1024" s="18" t="s">
        <v>3445</v>
      </c>
      <c r="T1024" s="18" t="s">
        <v>3445</v>
      </c>
      <c r="U1024" s="15" t="s">
        <v>54</v>
      </c>
      <c r="V1024" s="15" t="s">
        <v>56</v>
      </c>
      <c r="W1024" s="15"/>
    </row>
    <row r="1025" spans="1:23" hidden="1" x14ac:dyDescent="0.3">
      <c r="A1025" s="15">
        <v>921</v>
      </c>
      <c r="B1025" s="15" t="s">
        <v>3443</v>
      </c>
      <c r="C1025" s="19">
        <v>46204</v>
      </c>
      <c r="D1025" s="19" t="s">
        <v>56</v>
      </c>
      <c r="E1025" s="21" t="s">
        <v>38</v>
      </c>
      <c r="F1025" s="21">
        <v>9995059254</v>
      </c>
      <c r="G1025" s="15" t="s">
        <v>6</v>
      </c>
      <c r="H1025" s="15" t="s">
        <v>3485</v>
      </c>
      <c r="I1025" s="15" t="s">
        <v>3486</v>
      </c>
      <c r="J1025" s="15" t="s">
        <v>59</v>
      </c>
      <c r="K1025" s="16">
        <v>45270</v>
      </c>
      <c r="L1025" s="16">
        <v>64420</v>
      </c>
      <c r="M1025" s="17">
        <f>Table1[[#This Row],[Billing Rate Charges]]-Table1[[#This Row],[ LORRY RATE ]]</f>
        <v>19150</v>
      </c>
      <c r="N1025" s="17">
        <v>45270</v>
      </c>
      <c r="O1025" s="17">
        <f>Table1[[#This Row],[ LORRY RATE ]]-Table1[[#This Row],[Adance Paid (INR)]]</f>
        <v>0</v>
      </c>
      <c r="P1025" s="17" t="s">
        <v>147</v>
      </c>
      <c r="Q1025" s="18" t="s">
        <v>507</v>
      </c>
      <c r="R1025" s="17"/>
      <c r="S1025" s="18" t="s">
        <v>3465</v>
      </c>
      <c r="T1025" s="18" t="s">
        <v>3465</v>
      </c>
      <c r="U1025" s="15" t="s">
        <v>54</v>
      </c>
      <c r="V1025" s="15" t="s">
        <v>56</v>
      </c>
      <c r="W1025" s="15"/>
    </row>
    <row r="1026" spans="1:23" hidden="1" x14ac:dyDescent="0.3">
      <c r="A1026" s="15">
        <v>922</v>
      </c>
      <c r="B1026" s="15" t="s">
        <v>3443</v>
      </c>
      <c r="C1026" s="19">
        <v>46205</v>
      </c>
      <c r="D1026" s="19" t="s">
        <v>56</v>
      </c>
      <c r="E1026" s="21" t="s">
        <v>1637</v>
      </c>
      <c r="F1026" s="21">
        <v>9025368773</v>
      </c>
      <c r="G1026" s="15" t="s">
        <v>6</v>
      </c>
      <c r="H1026" s="15" t="s">
        <v>3487</v>
      </c>
      <c r="I1026" s="15" t="s">
        <v>3488</v>
      </c>
      <c r="J1026" s="15" t="s">
        <v>172</v>
      </c>
      <c r="K1026" s="16">
        <v>45630</v>
      </c>
      <c r="L1026" s="16">
        <v>66780</v>
      </c>
      <c r="M1026" s="17">
        <f>Table1[[#This Row],[Billing Rate Charges]]-Table1[[#This Row],[ LORRY RATE ]]</f>
        <v>21150</v>
      </c>
      <c r="N1026" s="17">
        <v>45630</v>
      </c>
      <c r="O1026" s="17">
        <f>Table1[[#This Row],[ LORRY RATE ]]-Table1[[#This Row],[Adance Paid (INR)]]</f>
        <v>0</v>
      </c>
      <c r="P1026" s="17" t="s">
        <v>147</v>
      </c>
      <c r="Q1026" s="18" t="s">
        <v>508</v>
      </c>
      <c r="R1026" s="17"/>
      <c r="S1026" s="18" t="s">
        <v>3466</v>
      </c>
      <c r="T1026" s="18" t="s">
        <v>3466</v>
      </c>
      <c r="U1026" s="15" t="s">
        <v>54</v>
      </c>
      <c r="V1026" s="15" t="s">
        <v>56</v>
      </c>
      <c r="W1026" s="15"/>
    </row>
    <row r="1027" spans="1:23" hidden="1" x14ac:dyDescent="0.3">
      <c r="A1027" s="15">
        <v>923</v>
      </c>
      <c r="B1027" s="15" t="s">
        <v>3443</v>
      </c>
      <c r="C1027" s="19">
        <v>46205</v>
      </c>
      <c r="D1027" s="19" t="s">
        <v>56</v>
      </c>
      <c r="E1027" s="21" t="s">
        <v>1644</v>
      </c>
      <c r="F1027" s="21">
        <v>9220186371</v>
      </c>
      <c r="G1027" s="15" t="s">
        <v>1093</v>
      </c>
      <c r="H1027" s="15" t="s">
        <v>3498</v>
      </c>
      <c r="I1027" s="15" t="s">
        <v>6</v>
      </c>
      <c r="J1027" s="15" t="s">
        <v>172</v>
      </c>
      <c r="K1027" s="16">
        <v>57300</v>
      </c>
      <c r="L1027" s="16">
        <v>144580</v>
      </c>
      <c r="M1027" s="17">
        <f>Table1[[#This Row],[Billing Rate Charges]]-Table1[[#This Row],[ LORRY RATE ]]</f>
        <v>87280</v>
      </c>
      <c r="N1027" s="17">
        <v>57300</v>
      </c>
      <c r="O1027" s="17">
        <f>Table1[[#This Row],[ LORRY RATE ]]-Table1[[#This Row],[Adance Paid (INR)]]</f>
        <v>0</v>
      </c>
      <c r="P1027" s="17" t="s">
        <v>147</v>
      </c>
      <c r="Q1027" s="18" t="s">
        <v>509</v>
      </c>
      <c r="R1027" s="17"/>
      <c r="S1027" s="18" t="s">
        <v>3468</v>
      </c>
      <c r="T1027" s="18" t="s">
        <v>3468</v>
      </c>
      <c r="U1027" s="15" t="s">
        <v>54</v>
      </c>
      <c r="V1027" s="15" t="s">
        <v>56</v>
      </c>
      <c r="W1027" s="15"/>
    </row>
    <row r="1028" spans="1:23" hidden="1" x14ac:dyDescent="0.3">
      <c r="A1028" s="15">
        <v>924</v>
      </c>
      <c r="B1028" s="15" t="s">
        <v>3443</v>
      </c>
      <c r="C1028" s="19">
        <v>46208</v>
      </c>
      <c r="D1028" s="19" t="s">
        <v>56</v>
      </c>
      <c r="E1028" s="15" t="s">
        <v>1635</v>
      </c>
      <c r="F1028" s="15">
        <v>9793531306</v>
      </c>
      <c r="G1028" s="15" t="s">
        <v>1093</v>
      </c>
      <c r="H1028" s="15" t="s">
        <v>3497</v>
      </c>
      <c r="I1028" s="15" t="s">
        <v>6</v>
      </c>
      <c r="J1028" s="15" t="s">
        <v>172</v>
      </c>
      <c r="K1028" s="16">
        <v>58240</v>
      </c>
      <c r="L1028" s="16">
        <v>150880</v>
      </c>
      <c r="M1028" s="17">
        <f>Table1[[#This Row],[Billing Rate Charges]]-Table1[[#This Row],[ LORRY RATE ]]</f>
        <v>92640</v>
      </c>
      <c r="N1028" s="17">
        <v>58240</v>
      </c>
      <c r="O1028" s="17">
        <f>Table1[[#This Row],[ LORRY RATE ]]-Table1[[#This Row],[Adance Paid (INR)]]</f>
        <v>0</v>
      </c>
      <c r="P1028" s="17" t="s">
        <v>147</v>
      </c>
      <c r="Q1028" s="18" t="s">
        <v>510</v>
      </c>
      <c r="R1028" s="17"/>
      <c r="S1028" s="18" t="s">
        <v>3469</v>
      </c>
      <c r="T1028" s="18" t="s">
        <v>3469</v>
      </c>
      <c r="U1028" s="15" t="s">
        <v>54</v>
      </c>
      <c r="V1028" s="15" t="s">
        <v>56</v>
      </c>
      <c r="W1028" s="15"/>
    </row>
    <row r="1029" spans="1:23" hidden="1" x14ac:dyDescent="0.3">
      <c r="A1029" s="15">
        <v>925</v>
      </c>
      <c r="B1029" s="15" t="s">
        <v>3443</v>
      </c>
      <c r="C1029" s="19">
        <v>46209</v>
      </c>
      <c r="D1029" s="19" t="s">
        <v>56</v>
      </c>
      <c r="E1029" s="15" t="s">
        <v>1644</v>
      </c>
      <c r="F1029" s="15">
        <v>9220186371</v>
      </c>
      <c r="G1029" s="15" t="s">
        <v>6</v>
      </c>
      <c r="H1029" s="15" t="s">
        <v>3490</v>
      </c>
      <c r="I1029" s="15" t="s">
        <v>3489</v>
      </c>
      <c r="J1029" s="15" t="s">
        <v>172</v>
      </c>
      <c r="K1029" s="16">
        <v>48130</v>
      </c>
      <c r="L1029" s="16">
        <v>83480</v>
      </c>
      <c r="M1029" s="17">
        <f>Table1[[#This Row],[Billing Rate Charges]]-Table1[[#This Row],[ LORRY RATE ]]</f>
        <v>35350</v>
      </c>
      <c r="N1029" s="17">
        <v>48130</v>
      </c>
      <c r="O1029" s="17">
        <f>Table1[[#This Row],[ LORRY RATE ]]-Table1[[#This Row],[Adance Paid (INR)]]</f>
        <v>0</v>
      </c>
      <c r="P1029" s="17" t="s">
        <v>147</v>
      </c>
      <c r="Q1029" s="18" t="s">
        <v>511</v>
      </c>
      <c r="R1029" s="17"/>
      <c r="S1029" s="18" t="s">
        <v>3472</v>
      </c>
      <c r="T1029" s="18" t="s">
        <v>3472</v>
      </c>
      <c r="U1029" s="15" t="s">
        <v>54</v>
      </c>
      <c r="V1029" s="15" t="s">
        <v>56</v>
      </c>
      <c r="W1029" s="15" t="s">
        <v>3473</v>
      </c>
    </row>
    <row r="1030" spans="1:23" hidden="1" x14ac:dyDescent="0.3">
      <c r="A1030" s="15">
        <v>926</v>
      </c>
      <c r="B1030" s="15" t="s">
        <v>3443</v>
      </c>
      <c r="C1030" s="19">
        <v>46211</v>
      </c>
      <c r="D1030" s="19" t="s">
        <v>56</v>
      </c>
      <c r="E1030" s="15" t="s">
        <v>38</v>
      </c>
      <c r="F1030" s="15">
        <v>9995059254</v>
      </c>
      <c r="G1030" s="15" t="s">
        <v>1093</v>
      </c>
      <c r="H1030" s="15" t="s">
        <v>3501</v>
      </c>
      <c r="I1030" s="15" t="s">
        <v>6</v>
      </c>
      <c r="J1030" s="15" t="s">
        <v>59</v>
      </c>
      <c r="K1030" s="16">
        <v>56160</v>
      </c>
      <c r="L1030" s="16">
        <v>137020</v>
      </c>
      <c r="M1030" s="17">
        <f>Table1[[#This Row],[Billing Rate Charges]]-Table1[[#This Row],[ LORRY RATE ]]</f>
        <v>80860</v>
      </c>
      <c r="N1030" s="17">
        <v>56160</v>
      </c>
      <c r="O1030" s="17">
        <f>Table1[[#This Row],[ LORRY RATE ]]-Table1[[#This Row],[Adance Paid (INR)]]</f>
        <v>0</v>
      </c>
      <c r="P1030" s="17" t="s">
        <v>147</v>
      </c>
      <c r="Q1030" s="18" t="s">
        <v>512</v>
      </c>
      <c r="R1030" s="17"/>
      <c r="S1030" s="18" t="s">
        <v>3477</v>
      </c>
      <c r="T1030" s="18" t="s">
        <v>3477</v>
      </c>
      <c r="U1030" s="15" t="s">
        <v>54</v>
      </c>
      <c r="V1030" s="15" t="s">
        <v>56</v>
      </c>
      <c r="W1030" s="15"/>
    </row>
    <row r="1031" spans="1:23" hidden="1" x14ac:dyDescent="0.3">
      <c r="A1031" s="15">
        <v>927</v>
      </c>
      <c r="B1031" s="15" t="s">
        <v>3443</v>
      </c>
      <c r="C1031" s="19">
        <v>46211</v>
      </c>
      <c r="D1031" s="19" t="s">
        <v>56</v>
      </c>
      <c r="E1031" s="15" t="s">
        <v>1635</v>
      </c>
      <c r="F1031" s="15">
        <v>9793531306</v>
      </c>
      <c r="G1031" s="15" t="s">
        <v>6</v>
      </c>
      <c r="H1031" s="15" t="s">
        <v>1874</v>
      </c>
      <c r="I1031" s="15" t="s">
        <v>3491</v>
      </c>
      <c r="J1031" s="15" t="s">
        <v>172</v>
      </c>
      <c r="K1031" s="16">
        <v>44680</v>
      </c>
      <c r="L1031" s="16">
        <v>60480</v>
      </c>
      <c r="M1031" s="17">
        <f>Table1[[#This Row],[Billing Rate Charges]]-Table1[[#This Row],[ LORRY RATE ]]</f>
        <v>15800</v>
      </c>
      <c r="N1031" s="17">
        <v>44680</v>
      </c>
      <c r="O1031" s="17">
        <f>Table1[[#This Row],[ LORRY RATE ]]-Table1[[#This Row],[Adance Paid (INR)]]</f>
        <v>0</v>
      </c>
      <c r="P1031" s="17" t="s">
        <v>147</v>
      </c>
      <c r="Q1031" s="18" t="s">
        <v>513</v>
      </c>
      <c r="R1031" s="17"/>
      <c r="S1031" s="18" t="s">
        <v>3477</v>
      </c>
      <c r="T1031" s="18" t="s">
        <v>3477</v>
      </c>
      <c r="U1031" s="15" t="s">
        <v>54</v>
      </c>
      <c r="V1031" s="15" t="s">
        <v>56</v>
      </c>
      <c r="W1031" s="15"/>
    </row>
    <row r="1032" spans="1:23" hidden="1" x14ac:dyDescent="0.3">
      <c r="A1032" s="15">
        <v>928</v>
      </c>
      <c r="B1032" s="15" t="s">
        <v>3443</v>
      </c>
      <c r="C1032" s="19">
        <v>46212</v>
      </c>
      <c r="D1032" s="19" t="s">
        <v>56</v>
      </c>
      <c r="E1032" s="15" t="s">
        <v>2859</v>
      </c>
      <c r="F1032" s="15">
        <v>9902798068</v>
      </c>
      <c r="G1032" s="15" t="s">
        <v>1093</v>
      </c>
      <c r="H1032" s="15" t="s">
        <v>3502</v>
      </c>
      <c r="I1032" s="15" t="s">
        <v>6</v>
      </c>
      <c r="J1032" s="15" t="s">
        <v>172</v>
      </c>
      <c r="K1032" s="16">
        <v>58240</v>
      </c>
      <c r="L1032" s="16">
        <v>150880</v>
      </c>
      <c r="M1032" s="17">
        <f>Table1[[#This Row],[Billing Rate Charges]]-Table1[[#This Row],[ LORRY RATE ]]</f>
        <v>92640</v>
      </c>
      <c r="N1032" s="17">
        <v>58240</v>
      </c>
      <c r="O1032" s="17">
        <f>Table1[[#This Row],[ LORRY RATE ]]-Table1[[#This Row],[Adance Paid (INR)]]</f>
        <v>0</v>
      </c>
      <c r="P1032" s="17" t="s">
        <v>147</v>
      </c>
      <c r="Q1032" s="18" t="s">
        <v>514</v>
      </c>
      <c r="R1032" s="17"/>
      <c r="S1032" s="18" t="s">
        <v>3477</v>
      </c>
      <c r="T1032" s="18" t="s">
        <v>3478</v>
      </c>
      <c r="U1032" s="15" t="s">
        <v>54</v>
      </c>
      <c r="V1032" s="15" t="s">
        <v>56</v>
      </c>
      <c r="W1032" s="15"/>
    </row>
    <row r="1033" spans="1:23" hidden="1" x14ac:dyDescent="0.3">
      <c r="A1033" s="15">
        <v>929</v>
      </c>
      <c r="B1033" s="15" t="s">
        <v>3443</v>
      </c>
      <c r="C1033" s="19">
        <v>46213</v>
      </c>
      <c r="D1033" s="19" t="s">
        <v>56</v>
      </c>
      <c r="E1033" s="15" t="s">
        <v>3122</v>
      </c>
      <c r="F1033" s="15">
        <v>9281983602</v>
      </c>
      <c r="G1033" s="15" t="s">
        <v>1093</v>
      </c>
      <c r="H1033" s="15" t="s">
        <v>3503</v>
      </c>
      <c r="I1033" s="15" t="s">
        <v>6</v>
      </c>
      <c r="J1033" s="15" t="s">
        <v>172</v>
      </c>
      <c r="K1033" s="16">
        <v>57300</v>
      </c>
      <c r="L1033" s="16">
        <v>144580</v>
      </c>
      <c r="M1033" s="17">
        <f>Table1[[#This Row],[Billing Rate Charges]]-Table1[[#This Row],[ LORRY RATE ]]</f>
        <v>87280</v>
      </c>
      <c r="N1033" s="17">
        <v>57300</v>
      </c>
      <c r="O1033" s="17">
        <f>Table1[[#This Row],[ LORRY RATE ]]-Table1[[#This Row],[Adance Paid (INR)]]</f>
        <v>0</v>
      </c>
      <c r="P1033" s="17" t="s">
        <v>147</v>
      </c>
      <c r="Q1033" s="18" t="s">
        <v>2091</v>
      </c>
      <c r="R1033" s="17"/>
      <c r="S1033" s="18" t="s">
        <v>3478</v>
      </c>
      <c r="T1033" s="18" t="s">
        <v>3478</v>
      </c>
      <c r="U1033" s="15" t="s">
        <v>54</v>
      </c>
      <c r="V1033" s="15" t="s">
        <v>56</v>
      </c>
      <c r="W1033" s="15"/>
    </row>
    <row r="1034" spans="1:23" hidden="1" x14ac:dyDescent="0.3">
      <c r="A1034" s="15">
        <v>930</v>
      </c>
      <c r="B1034" s="15" t="s">
        <v>3443</v>
      </c>
      <c r="C1034" s="19">
        <v>46213</v>
      </c>
      <c r="D1034" s="19" t="s">
        <v>56</v>
      </c>
      <c r="E1034" s="15" t="s">
        <v>60</v>
      </c>
      <c r="F1034" s="15">
        <v>9040208667</v>
      </c>
      <c r="G1034" s="15" t="s">
        <v>2168</v>
      </c>
      <c r="H1034" s="15" t="s">
        <v>3500</v>
      </c>
      <c r="I1034" s="15" t="s">
        <v>6</v>
      </c>
      <c r="J1034" s="15" t="s">
        <v>172</v>
      </c>
      <c r="K1034" s="16">
        <v>56780</v>
      </c>
      <c r="L1034" s="16">
        <v>141120</v>
      </c>
      <c r="M1034" s="17">
        <f>Table1[[#This Row],[Billing Rate Charges]]-Table1[[#This Row],[ LORRY RATE ]]</f>
        <v>84340</v>
      </c>
      <c r="N1034" s="17">
        <v>56780</v>
      </c>
      <c r="O1034" s="17">
        <f>Table1[[#This Row],[ LORRY RATE ]]-Table1[[#This Row],[Adance Paid (INR)]]</f>
        <v>0</v>
      </c>
      <c r="P1034" s="17" t="s">
        <v>147</v>
      </c>
      <c r="Q1034" s="18" t="s">
        <v>3513</v>
      </c>
      <c r="R1034" s="17"/>
      <c r="S1034" s="18" t="s">
        <v>3479</v>
      </c>
      <c r="T1034" s="18" t="s">
        <v>3479</v>
      </c>
      <c r="U1034" s="15" t="s">
        <v>54</v>
      </c>
      <c r="V1034" s="15" t="s">
        <v>56</v>
      </c>
      <c r="W1034" s="15"/>
    </row>
    <row r="1035" spans="1:23" hidden="1" x14ac:dyDescent="0.3">
      <c r="A1035" s="15">
        <v>931</v>
      </c>
      <c r="B1035" s="15" t="s">
        <v>3443</v>
      </c>
      <c r="C1035" s="19">
        <v>46213</v>
      </c>
      <c r="D1035" s="19" t="s">
        <v>56</v>
      </c>
      <c r="E1035" s="21" t="s">
        <v>3065</v>
      </c>
      <c r="F1035" s="21">
        <v>9589264337</v>
      </c>
      <c r="G1035" s="15" t="s">
        <v>6</v>
      </c>
      <c r="H1035" s="15" t="s">
        <v>3493</v>
      </c>
      <c r="I1035" s="15" t="s">
        <v>3492</v>
      </c>
      <c r="J1035" s="15" t="s">
        <v>172</v>
      </c>
      <c r="K1035" s="16">
        <v>45630</v>
      </c>
      <c r="L1035" s="16">
        <v>66780</v>
      </c>
      <c r="M1035" s="17">
        <f>Table1[[#This Row],[Billing Rate Charges]]-Table1[[#This Row],[ LORRY RATE ]]</f>
        <v>21150</v>
      </c>
      <c r="N1035" s="17">
        <v>45630</v>
      </c>
      <c r="O1035" s="17">
        <f>Table1[[#This Row],[ LORRY RATE ]]-Table1[[#This Row],[Adance Paid (INR)]]</f>
        <v>0</v>
      </c>
      <c r="P1035" s="17" t="s">
        <v>147</v>
      </c>
      <c r="Q1035" s="18" t="s">
        <v>516</v>
      </c>
      <c r="R1035" s="17"/>
      <c r="S1035" s="18" t="s">
        <v>3479</v>
      </c>
      <c r="T1035" s="18" t="s">
        <v>3479</v>
      </c>
      <c r="U1035" s="15" t="s">
        <v>54</v>
      </c>
      <c r="V1035" s="15" t="s">
        <v>56</v>
      </c>
      <c r="W1035" s="15"/>
    </row>
    <row r="1036" spans="1:23" hidden="1" x14ac:dyDescent="0.3">
      <c r="A1036" s="15">
        <v>932</v>
      </c>
      <c r="B1036" s="15" t="s">
        <v>3443</v>
      </c>
      <c r="C1036" s="19">
        <v>46214</v>
      </c>
      <c r="D1036" s="19" t="s">
        <v>56</v>
      </c>
      <c r="E1036" s="21" t="s">
        <v>3114</v>
      </c>
      <c r="F1036" s="21">
        <v>9472230553</v>
      </c>
      <c r="G1036" s="15" t="s">
        <v>6</v>
      </c>
      <c r="H1036" s="15" t="s">
        <v>3495</v>
      </c>
      <c r="I1036" s="15" t="s">
        <v>3494</v>
      </c>
      <c r="J1036" s="15" t="s">
        <v>172</v>
      </c>
      <c r="K1036" s="16">
        <v>45630</v>
      </c>
      <c r="L1036" s="16">
        <v>66780</v>
      </c>
      <c r="M1036" s="17">
        <f>Table1[[#This Row],[Billing Rate Charges]]-Table1[[#This Row],[ LORRY RATE ]]</f>
        <v>21150</v>
      </c>
      <c r="N1036" s="17">
        <v>45630</v>
      </c>
      <c r="O1036" s="17">
        <f>Table1[[#This Row],[ LORRY RATE ]]-Table1[[#This Row],[Adance Paid (INR)]]</f>
        <v>0</v>
      </c>
      <c r="P1036" s="17" t="s">
        <v>147</v>
      </c>
      <c r="Q1036" s="18" t="s">
        <v>519</v>
      </c>
      <c r="R1036" s="17"/>
      <c r="S1036" s="18" t="s">
        <v>3484</v>
      </c>
      <c r="T1036" s="18" t="s">
        <v>3484</v>
      </c>
      <c r="U1036" s="15" t="s">
        <v>54</v>
      </c>
      <c r="V1036" s="15" t="s">
        <v>56</v>
      </c>
      <c r="W1036" s="15"/>
    </row>
    <row r="1037" spans="1:23" hidden="1" x14ac:dyDescent="0.3">
      <c r="A1037" s="15">
        <v>933</v>
      </c>
      <c r="B1037" s="15" t="s">
        <v>3443</v>
      </c>
      <c r="C1037" s="19">
        <v>46215</v>
      </c>
      <c r="D1037" s="19" t="s">
        <v>56</v>
      </c>
      <c r="E1037" s="21" t="s">
        <v>1644</v>
      </c>
      <c r="F1037" s="21">
        <v>9220186371</v>
      </c>
      <c r="G1037" s="15" t="s">
        <v>1093</v>
      </c>
      <c r="H1037" s="15" t="s">
        <v>3499</v>
      </c>
      <c r="I1037" s="15" t="s">
        <v>6</v>
      </c>
      <c r="J1037" s="15" t="s">
        <v>172</v>
      </c>
      <c r="K1037" s="16">
        <v>59190</v>
      </c>
      <c r="L1037" s="16">
        <v>157180</v>
      </c>
      <c r="M1037" s="17">
        <f>Table1[[#This Row],[Billing Rate Charges]]-Table1[[#This Row],[ LORRY RATE ]]</f>
        <v>97990</v>
      </c>
      <c r="N1037" s="17">
        <v>59190</v>
      </c>
      <c r="O1037" s="17">
        <f>Table1[[#This Row],[ LORRY RATE ]]-Table1[[#This Row],[Adance Paid (INR)]]</f>
        <v>0</v>
      </c>
      <c r="P1037" s="17" t="s">
        <v>147</v>
      </c>
      <c r="Q1037" s="18" t="s">
        <v>521</v>
      </c>
      <c r="R1037" s="17"/>
      <c r="S1037" s="18" t="s">
        <v>3504</v>
      </c>
      <c r="T1037" s="18" t="s">
        <v>3504</v>
      </c>
      <c r="U1037" s="15" t="s">
        <v>54</v>
      </c>
      <c r="V1037" s="15" t="s">
        <v>56</v>
      </c>
      <c r="W1037" s="15"/>
    </row>
    <row r="1038" spans="1:23" hidden="1" x14ac:dyDescent="0.3">
      <c r="A1038" s="15">
        <v>934</v>
      </c>
      <c r="B1038" s="15" t="s">
        <v>3443</v>
      </c>
      <c r="C1038" s="19">
        <v>46216</v>
      </c>
      <c r="D1038" s="19" t="s">
        <v>56</v>
      </c>
      <c r="E1038" s="15" t="s">
        <v>3065</v>
      </c>
      <c r="F1038" s="15">
        <v>9589264337</v>
      </c>
      <c r="G1038" s="15" t="s">
        <v>2168</v>
      </c>
      <c r="H1038" s="15" t="s">
        <v>3514</v>
      </c>
      <c r="I1038" s="15" t="s">
        <v>6</v>
      </c>
      <c r="J1038" s="15" t="s">
        <v>172</v>
      </c>
      <c r="K1038" s="16">
        <v>54890</v>
      </c>
      <c r="L1038" s="16">
        <v>128520</v>
      </c>
      <c r="M1038" s="17">
        <v>73630</v>
      </c>
      <c r="N1038" s="17">
        <v>54890</v>
      </c>
      <c r="O1038" s="17"/>
      <c r="P1038" s="17" t="s">
        <v>147</v>
      </c>
      <c r="Q1038" s="18" t="s">
        <v>520</v>
      </c>
      <c r="R1038" s="17"/>
      <c r="S1038" s="18" t="s">
        <v>3505</v>
      </c>
      <c r="T1038" s="18" t="s">
        <v>3505</v>
      </c>
      <c r="U1038" s="15" t="s">
        <v>54</v>
      </c>
      <c r="V1038" s="15" t="s">
        <v>56</v>
      </c>
      <c r="W1038" s="15"/>
    </row>
    <row r="1039" spans="1:23" hidden="1" x14ac:dyDescent="0.3">
      <c r="A1039" s="15">
        <v>935</v>
      </c>
      <c r="B1039" s="15" t="s">
        <v>3443</v>
      </c>
      <c r="C1039" s="19">
        <v>46217</v>
      </c>
      <c r="D1039" s="19" t="s">
        <v>56</v>
      </c>
      <c r="E1039" s="15" t="s">
        <v>1635</v>
      </c>
      <c r="F1039" s="15">
        <v>9793531306</v>
      </c>
      <c r="G1039" s="15" t="s">
        <v>1093</v>
      </c>
      <c r="H1039" s="15" t="s">
        <v>3515</v>
      </c>
      <c r="I1039" s="15" t="s">
        <v>6</v>
      </c>
      <c r="J1039" s="15" t="s">
        <v>172</v>
      </c>
      <c r="K1039" s="16">
        <v>58240</v>
      </c>
      <c r="L1039" s="16">
        <v>150880</v>
      </c>
      <c r="M1039" s="17">
        <f>Table1[[#This Row],[Billing Rate Charges]]-Table1[[#This Row],[ LORRY RATE ]]</f>
        <v>92640</v>
      </c>
      <c r="N1039" s="17">
        <v>58240</v>
      </c>
      <c r="O1039" s="17">
        <f>Table1[[#This Row],[ LORRY RATE ]]-Table1[[#This Row],[Adance Paid (INR)]]</f>
        <v>0</v>
      </c>
      <c r="P1039" s="17" t="s">
        <v>147</v>
      </c>
      <c r="Q1039" s="18" t="s">
        <v>517</v>
      </c>
      <c r="R1039" s="17"/>
      <c r="S1039" s="18" t="s">
        <v>3505</v>
      </c>
      <c r="T1039" s="18" t="s">
        <v>3505</v>
      </c>
      <c r="U1039" s="15" t="s">
        <v>54</v>
      </c>
      <c r="V1039" s="15" t="s">
        <v>56</v>
      </c>
      <c r="W1039" s="15"/>
    </row>
    <row r="1040" spans="1:23" hidden="1" x14ac:dyDescent="0.3">
      <c r="A1040" s="15">
        <v>936</v>
      </c>
      <c r="B1040" s="15" t="s">
        <v>3443</v>
      </c>
      <c r="C1040" s="19">
        <v>46217</v>
      </c>
      <c r="D1040" s="19" t="s">
        <v>56</v>
      </c>
      <c r="E1040" s="15" t="s">
        <v>38</v>
      </c>
      <c r="F1040" s="15">
        <v>9995059254</v>
      </c>
      <c r="G1040" s="15" t="s">
        <v>6</v>
      </c>
      <c r="H1040" s="15" t="s">
        <v>1874</v>
      </c>
      <c r="I1040" s="15" t="s">
        <v>3496</v>
      </c>
      <c r="J1040" s="15" t="s">
        <v>59</v>
      </c>
      <c r="K1040" s="16">
        <v>44330</v>
      </c>
      <c r="L1040" s="16">
        <v>58120</v>
      </c>
      <c r="M1040" s="17">
        <f>Table1[[#This Row],[Billing Rate Charges]]-Table1[[#This Row],[ LORRY RATE ]]</f>
        <v>13790</v>
      </c>
      <c r="N1040" s="17">
        <v>44330</v>
      </c>
      <c r="O1040" s="17">
        <f>Table1[[#This Row],[ LORRY RATE ]]-Table1[[#This Row],[Adance Paid (INR)]]</f>
        <v>0</v>
      </c>
      <c r="P1040" s="17" t="s">
        <v>147</v>
      </c>
      <c r="Q1040" s="18" t="s">
        <v>523</v>
      </c>
      <c r="R1040" s="17"/>
      <c r="S1040" s="18" t="s">
        <v>3505</v>
      </c>
      <c r="T1040" s="18" t="s">
        <v>3505</v>
      </c>
      <c r="U1040" s="15" t="s">
        <v>54</v>
      </c>
      <c r="V1040" s="15" t="s">
        <v>56</v>
      </c>
      <c r="W1040" s="15"/>
    </row>
    <row r="1041" spans="1:23" hidden="1" x14ac:dyDescent="0.3">
      <c r="A1041" s="15">
        <v>937</v>
      </c>
      <c r="B1041" s="15" t="s">
        <v>3443</v>
      </c>
      <c r="C1041" s="19">
        <v>46218</v>
      </c>
      <c r="D1041" s="19" t="s">
        <v>56</v>
      </c>
      <c r="E1041" s="15" t="s">
        <v>3122</v>
      </c>
      <c r="F1041" s="15">
        <v>9281983602</v>
      </c>
      <c r="G1041" s="15" t="s">
        <v>6</v>
      </c>
      <c r="H1041" s="15" t="s">
        <v>440</v>
      </c>
      <c r="I1041" s="15" t="s">
        <v>41</v>
      </c>
      <c r="J1041" s="15" t="s">
        <v>172</v>
      </c>
      <c r="K1041" s="16" t="s">
        <v>1874</v>
      </c>
      <c r="L1041" s="16" t="s">
        <v>1874</v>
      </c>
      <c r="M1041" s="17" t="s">
        <v>1874</v>
      </c>
      <c r="N1041" s="17" t="s">
        <v>1874</v>
      </c>
      <c r="O1041" s="17" t="s">
        <v>1874</v>
      </c>
      <c r="P1041" s="17" t="s">
        <v>1874</v>
      </c>
      <c r="Q1041" s="17" t="s">
        <v>1874</v>
      </c>
      <c r="R1041" s="17" t="s">
        <v>1874</v>
      </c>
      <c r="S1041" s="17" t="s">
        <v>1874</v>
      </c>
      <c r="T1041" s="17" t="s">
        <v>1874</v>
      </c>
      <c r="U1041" s="15" t="s">
        <v>1874</v>
      </c>
      <c r="V1041" s="15" t="s">
        <v>56</v>
      </c>
      <c r="W1041" s="15" t="s">
        <v>3506</v>
      </c>
    </row>
    <row r="1042" spans="1:23" hidden="1" x14ac:dyDescent="0.3">
      <c r="A1042" s="15">
        <v>938</v>
      </c>
      <c r="B1042" s="15" t="s">
        <v>3443</v>
      </c>
      <c r="C1042" s="19">
        <v>46218</v>
      </c>
      <c r="D1042" s="19" t="s">
        <v>56</v>
      </c>
      <c r="E1042" s="21" t="s">
        <v>1644</v>
      </c>
      <c r="F1042" s="21">
        <v>9935813519</v>
      </c>
      <c r="G1042" s="15" t="s">
        <v>6</v>
      </c>
      <c r="H1042" s="15" t="s">
        <v>1874</v>
      </c>
      <c r="I1042" s="15" t="s">
        <v>3530</v>
      </c>
      <c r="J1042" s="15" t="s">
        <v>172</v>
      </c>
      <c r="K1042" s="16">
        <v>44680</v>
      </c>
      <c r="L1042" s="16">
        <v>60480</v>
      </c>
      <c r="M1042" s="17">
        <f>Table1[[#This Row],[Billing Rate Charges]]-Table1[[#This Row],[ LORRY RATE ]]</f>
        <v>15800</v>
      </c>
      <c r="N1042" s="17">
        <v>44680</v>
      </c>
      <c r="O1042" s="17">
        <f>Table1[[#This Row],[ LORRY RATE ]]-Table1[[#This Row],[Adance Paid (INR)]]</f>
        <v>0</v>
      </c>
      <c r="P1042" s="17" t="s">
        <v>147</v>
      </c>
      <c r="Q1042" s="18" t="s">
        <v>524</v>
      </c>
      <c r="R1042" s="17"/>
      <c r="S1042" s="18" t="s">
        <v>3523</v>
      </c>
      <c r="T1042" s="18" t="s">
        <v>3524</v>
      </c>
      <c r="U1042" s="15" t="s">
        <v>54</v>
      </c>
      <c r="V1042" s="15" t="s">
        <v>56</v>
      </c>
      <c r="W1042" s="15"/>
    </row>
    <row r="1043" spans="1:23" hidden="1" x14ac:dyDescent="0.3">
      <c r="A1043" s="15">
        <v>939</v>
      </c>
      <c r="B1043" s="15" t="s">
        <v>3443</v>
      </c>
      <c r="C1043" s="19">
        <v>46220</v>
      </c>
      <c r="D1043" s="19" t="s">
        <v>56</v>
      </c>
      <c r="E1043" s="21" t="s">
        <v>3065</v>
      </c>
      <c r="F1043" s="21">
        <v>9589264337</v>
      </c>
      <c r="G1043" s="15" t="s">
        <v>6</v>
      </c>
      <c r="H1043" s="15" t="s">
        <v>1874</v>
      </c>
      <c r="I1043" s="15" t="s">
        <v>3531</v>
      </c>
      <c r="J1043" s="15" t="s">
        <v>172</v>
      </c>
      <c r="K1043" s="16">
        <v>44680</v>
      </c>
      <c r="L1043" s="16">
        <v>60480</v>
      </c>
      <c r="M1043" s="17">
        <f>Table1[[#This Row],[Billing Rate Charges]]-Table1[[#This Row],[ LORRY RATE ]]</f>
        <v>15800</v>
      </c>
      <c r="N1043" s="17">
        <v>44680</v>
      </c>
      <c r="O1043" s="17">
        <f>Table1[[#This Row],[ LORRY RATE ]]-Table1[[#This Row],[Adance Paid (INR)]]</f>
        <v>0</v>
      </c>
      <c r="P1043" s="17" t="s">
        <v>147</v>
      </c>
      <c r="Q1043" s="18" t="s">
        <v>2154</v>
      </c>
      <c r="R1043" s="17"/>
      <c r="S1043" s="18" t="s">
        <v>3523</v>
      </c>
      <c r="T1043" s="18" t="s">
        <v>3523</v>
      </c>
      <c r="U1043" s="15" t="s">
        <v>54</v>
      </c>
      <c r="V1043" s="15" t="s">
        <v>56</v>
      </c>
      <c r="W1043" s="15"/>
    </row>
    <row r="1044" spans="1:23" hidden="1" x14ac:dyDescent="0.3">
      <c r="A1044" s="15">
        <v>940</v>
      </c>
      <c r="B1044" s="15" t="s">
        <v>3443</v>
      </c>
      <c r="C1044" s="19">
        <v>46221</v>
      </c>
      <c r="D1044" s="19" t="s">
        <v>56</v>
      </c>
      <c r="E1044" s="21" t="s">
        <v>1635</v>
      </c>
      <c r="F1044" s="21">
        <v>9793531306</v>
      </c>
      <c r="G1044" s="15" t="s">
        <v>6</v>
      </c>
      <c r="H1044" s="15" t="s">
        <v>1874</v>
      </c>
      <c r="I1044" s="15" t="s">
        <v>3532</v>
      </c>
      <c r="J1044" s="15" t="s">
        <v>172</v>
      </c>
      <c r="K1044" s="16">
        <v>44680</v>
      </c>
      <c r="L1044" s="16">
        <v>60480</v>
      </c>
      <c r="M1044" s="17">
        <f>Table1[[#This Row],[Billing Rate Charges]]-Table1[[#This Row],[ LORRY RATE ]]</f>
        <v>15800</v>
      </c>
      <c r="N1044" s="17">
        <v>44680</v>
      </c>
      <c r="O1044" s="17">
        <f>Table1[[#This Row],[ LORRY RATE ]]-Table1[[#This Row],[Adance Paid (INR)]]</f>
        <v>0</v>
      </c>
      <c r="P1044" s="17" t="s">
        <v>147</v>
      </c>
      <c r="Q1044" s="18" t="s">
        <v>2155</v>
      </c>
      <c r="R1044" s="17"/>
      <c r="S1044" s="18" t="s">
        <v>3524</v>
      </c>
      <c r="T1044" s="18" t="s">
        <v>3524</v>
      </c>
      <c r="U1044" s="15" t="s">
        <v>54</v>
      </c>
      <c r="V1044" s="15" t="s">
        <v>56</v>
      </c>
      <c r="W1044" s="15"/>
    </row>
    <row r="1045" spans="1:23" hidden="1" x14ac:dyDescent="0.3">
      <c r="A1045" s="15">
        <v>941</v>
      </c>
      <c r="B1045" s="15" t="s">
        <v>3443</v>
      </c>
      <c r="C1045" s="19">
        <v>46221</v>
      </c>
      <c r="D1045" s="19" t="s">
        <v>56</v>
      </c>
      <c r="E1045" s="21" t="s">
        <v>38</v>
      </c>
      <c r="F1045" s="21">
        <v>9995059254</v>
      </c>
      <c r="G1045" s="15" t="s">
        <v>1093</v>
      </c>
      <c r="H1045" s="15" t="s">
        <v>3529</v>
      </c>
      <c r="I1045" s="15" t="s">
        <v>6</v>
      </c>
      <c r="J1045" s="15" t="s">
        <v>172</v>
      </c>
      <c r="K1045" s="16">
        <v>56160</v>
      </c>
      <c r="L1045" s="16">
        <v>137020</v>
      </c>
      <c r="M1045" s="17">
        <f>Table1[[#This Row],[Billing Rate Charges]]-Table1[[#This Row],[ LORRY RATE ]]</f>
        <v>80860</v>
      </c>
      <c r="N1045" s="17">
        <v>56160</v>
      </c>
      <c r="O1045" s="17">
        <f>Table1[[#This Row],[ LORRY RATE ]]-Table1[[#This Row],[Adance Paid (INR)]]</f>
        <v>0</v>
      </c>
      <c r="P1045" s="17" t="s">
        <v>147</v>
      </c>
      <c r="Q1045" s="18" t="s">
        <v>591</v>
      </c>
      <c r="R1045" s="17"/>
      <c r="S1045" s="18" t="s">
        <v>3524</v>
      </c>
      <c r="T1045" s="18" t="s">
        <v>3524</v>
      </c>
      <c r="U1045" s="15" t="s">
        <v>54</v>
      </c>
      <c r="V1045" s="15" t="s">
        <v>56</v>
      </c>
      <c r="W1045" s="15"/>
    </row>
    <row r="1046" spans="1:23" hidden="1" x14ac:dyDescent="0.3">
      <c r="A1046" s="15">
        <v>942</v>
      </c>
      <c r="B1046" s="15" t="s">
        <v>3443</v>
      </c>
      <c r="C1046" s="19">
        <v>46222</v>
      </c>
      <c r="D1046" s="19" t="s">
        <v>56</v>
      </c>
      <c r="E1046" s="21" t="s">
        <v>3114</v>
      </c>
      <c r="F1046" s="21">
        <v>9472230553</v>
      </c>
      <c r="G1046" s="15" t="s">
        <v>6</v>
      </c>
      <c r="H1046" s="15" t="s">
        <v>1874</v>
      </c>
      <c r="I1046" s="15" t="s">
        <v>3533</v>
      </c>
      <c r="J1046" s="15" t="s">
        <v>172</v>
      </c>
      <c r="K1046" s="16">
        <v>44680</v>
      </c>
      <c r="L1046" s="16">
        <v>60480</v>
      </c>
      <c r="M1046" s="17">
        <f>Table1[[#This Row],[Billing Rate Charges]]-Table1[[#This Row],[ LORRY RATE ]]</f>
        <v>15800</v>
      </c>
      <c r="N1046" s="17">
        <v>44680</v>
      </c>
      <c r="O1046" s="17">
        <f>Table1[[#This Row],[ LORRY RATE ]]-Table1[[#This Row],[Adance Paid (INR)]]</f>
        <v>0</v>
      </c>
      <c r="P1046" s="17" t="s">
        <v>147</v>
      </c>
      <c r="Q1046" s="18" t="s">
        <v>593</v>
      </c>
      <c r="R1046" s="17"/>
      <c r="S1046" s="18" t="s">
        <v>3524</v>
      </c>
      <c r="T1046" s="18" t="s">
        <v>3524</v>
      </c>
      <c r="U1046" s="15" t="s">
        <v>54</v>
      </c>
      <c r="V1046" s="15" t="s">
        <v>56</v>
      </c>
      <c r="W1046" s="15"/>
    </row>
    <row r="1047" spans="1:23" hidden="1" x14ac:dyDescent="0.3">
      <c r="A1047" s="15">
        <v>943</v>
      </c>
      <c r="B1047" s="15" t="s">
        <v>3443</v>
      </c>
      <c r="C1047" s="19">
        <v>46224</v>
      </c>
      <c r="D1047" s="19" t="s">
        <v>56</v>
      </c>
      <c r="E1047" s="21" t="s">
        <v>38</v>
      </c>
      <c r="F1047" s="21">
        <v>9995059254</v>
      </c>
      <c r="G1047" s="15" t="s">
        <v>6</v>
      </c>
      <c r="H1047" s="15" t="s">
        <v>3534</v>
      </c>
      <c r="I1047" s="15" t="s">
        <v>3535</v>
      </c>
      <c r="J1047" s="15" t="s">
        <v>59</v>
      </c>
      <c r="K1047" s="16">
        <v>45270</v>
      </c>
      <c r="L1047" s="16">
        <v>64420</v>
      </c>
      <c r="M1047" s="17">
        <f>Table1[[#This Row],[Billing Rate Charges]]-Table1[[#This Row],[ LORRY RATE ]]</f>
        <v>19150</v>
      </c>
      <c r="N1047" s="17">
        <v>45270</v>
      </c>
      <c r="O1047" s="17">
        <f>Table1[[#This Row],[ LORRY RATE ]]-Table1[[#This Row],[Adance Paid (INR)]]</f>
        <v>0</v>
      </c>
      <c r="P1047" s="17" t="s">
        <v>147</v>
      </c>
      <c r="Q1047" s="18" t="s">
        <v>2156</v>
      </c>
      <c r="R1047" s="17"/>
      <c r="S1047" s="18" t="s">
        <v>3537</v>
      </c>
      <c r="T1047" s="18" t="s">
        <v>3537</v>
      </c>
      <c r="U1047" s="15" t="s">
        <v>54</v>
      </c>
      <c r="V1047" s="15" t="s">
        <v>56</v>
      </c>
      <c r="W1047" s="15"/>
    </row>
    <row r="1048" spans="1:23" hidden="1" x14ac:dyDescent="0.3">
      <c r="A1048" s="15">
        <v>945</v>
      </c>
      <c r="B1048" s="15" t="s">
        <v>3443</v>
      </c>
      <c r="C1048" s="19">
        <v>46224</v>
      </c>
      <c r="D1048" s="19" t="s">
        <v>51</v>
      </c>
      <c r="E1048" s="21" t="s">
        <v>2092</v>
      </c>
      <c r="F1048" s="21">
        <v>9757919404</v>
      </c>
      <c r="G1048" s="15" t="s">
        <v>6</v>
      </c>
      <c r="H1048" s="15" t="s">
        <v>1874</v>
      </c>
      <c r="I1048" s="15" t="s">
        <v>3536</v>
      </c>
      <c r="J1048" s="15" t="s">
        <v>172</v>
      </c>
      <c r="K1048" s="16">
        <v>44680</v>
      </c>
      <c r="L1048" s="16">
        <v>60480</v>
      </c>
      <c r="M1048" s="17">
        <f>Table1[[#This Row],[Billing Rate Charges]]-Table1[[#This Row],[ LORRY RATE ]]</f>
        <v>15800</v>
      </c>
      <c r="N1048" s="17">
        <v>44680</v>
      </c>
      <c r="O1048" s="17">
        <f>Table1[[#This Row],[ LORRY RATE ]]-Table1[[#This Row],[Adance Paid (INR)]]</f>
        <v>0</v>
      </c>
      <c r="P1048" s="17" t="s">
        <v>147</v>
      </c>
      <c r="Q1048" s="18" t="s">
        <v>2157</v>
      </c>
      <c r="R1048" s="17"/>
      <c r="S1048" s="18" t="s">
        <v>3537</v>
      </c>
      <c r="T1048" s="18" t="s">
        <v>3537</v>
      </c>
      <c r="U1048" s="15" t="s">
        <v>54</v>
      </c>
      <c r="V1048" s="15" t="s">
        <v>3561</v>
      </c>
      <c r="W1048" s="15"/>
    </row>
    <row r="1049" spans="1:23" hidden="1" x14ac:dyDescent="0.3">
      <c r="A1049" s="15">
        <v>946</v>
      </c>
      <c r="B1049" s="15" t="s">
        <v>3443</v>
      </c>
      <c r="C1049" s="19">
        <v>46225</v>
      </c>
      <c r="D1049" s="19" t="s">
        <v>56</v>
      </c>
      <c r="E1049" s="15" t="s">
        <v>60</v>
      </c>
      <c r="F1049" s="15">
        <v>9040208667</v>
      </c>
      <c r="G1049" s="15" t="s">
        <v>1093</v>
      </c>
      <c r="H1049" s="15" t="s">
        <v>3575</v>
      </c>
      <c r="I1049" s="15" t="s">
        <v>6</v>
      </c>
      <c r="J1049" s="15" t="s">
        <v>172</v>
      </c>
      <c r="K1049" s="16">
        <v>58240</v>
      </c>
      <c r="L1049" s="16">
        <v>150880</v>
      </c>
      <c r="M1049" s="17">
        <f>Table1[[#This Row],[Billing Rate Charges]]-Table1[[#This Row],[ LORRY RATE ]]</f>
        <v>92640</v>
      </c>
      <c r="N1049" s="17">
        <v>58240</v>
      </c>
      <c r="O1049" s="17">
        <f>Table1[[#This Row],[ LORRY RATE ]]-Table1[[#This Row],[Adance Paid (INR)]]</f>
        <v>0</v>
      </c>
      <c r="P1049" s="17" t="s">
        <v>147</v>
      </c>
      <c r="Q1049" s="18" t="s">
        <v>595</v>
      </c>
      <c r="R1049" s="17"/>
      <c r="S1049" s="18" t="s">
        <v>3537</v>
      </c>
      <c r="T1049" s="18" t="s">
        <v>3538</v>
      </c>
      <c r="U1049" s="15" t="s">
        <v>54</v>
      </c>
      <c r="V1049" s="15" t="s">
        <v>56</v>
      </c>
      <c r="W1049" s="15"/>
    </row>
    <row r="1050" spans="1:23" hidden="1" x14ac:dyDescent="0.3">
      <c r="A1050" s="15">
        <v>947</v>
      </c>
      <c r="B1050" s="15" t="s">
        <v>3443</v>
      </c>
      <c r="C1050" s="19">
        <v>46226</v>
      </c>
      <c r="D1050" s="19" t="s">
        <v>56</v>
      </c>
      <c r="E1050" s="15" t="s">
        <v>2859</v>
      </c>
      <c r="F1050" s="15">
        <v>9902798068</v>
      </c>
      <c r="G1050" s="15" t="s">
        <v>6</v>
      </c>
      <c r="H1050" s="15" t="s">
        <v>3562</v>
      </c>
      <c r="I1050" s="15" t="s">
        <v>3563</v>
      </c>
      <c r="J1050" s="15" t="s">
        <v>172</v>
      </c>
      <c r="K1050" s="16">
        <v>45630</v>
      </c>
      <c r="L1050" s="16">
        <v>66780</v>
      </c>
      <c r="M1050" s="17">
        <f>Table1[[#This Row],[Billing Rate Charges]]-Table1[[#This Row],[ LORRY RATE ]]</f>
        <v>21150</v>
      </c>
      <c r="N1050" s="17">
        <v>45630</v>
      </c>
      <c r="O1050" s="17">
        <f>Table1[[#This Row],[ LORRY RATE ]]-Table1[[#This Row],[Adance Paid (INR)]]</f>
        <v>0</v>
      </c>
      <c r="P1050" s="17" t="s">
        <v>147</v>
      </c>
      <c r="Q1050" s="18" t="s">
        <v>596</v>
      </c>
      <c r="R1050" s="17"/>
      <c r="S1050" s="18" t="s">
        <v>3538</v>
      </c>
      <c r="T1050" s="18" t="s">
        <v>3538</v>
      </c>
      <c r="U1050" s="15" t="s">
        <v>54</v>
      </c>
      <c r="V1050" s="15" t="s">
        <v>56</v>
      </c>
      <c r="W1050" s="15"/>
    </row>
    <row r="1051" spans="1:23" hidden="1" x14ac:dyDescent="0.3">
      <c r="A1051" s="15">
        <v>948</v>
      </c>
      <c r="B1051" s="15" t="s">
        <v>3443</v>
      </c>
      <c r="C1051" s="19">
        <v>46226</v>
      </c>
      <c r="D1051" s="19" t="s">
        <v>56</v>
      </c>
      <c r="E1051" s="15" t="s">
        <v>1644</v>
      </c>
      <c r="F1051" s="15">
        <v>9935813519</v>
      </c>
      <c r="G1051" s="15" t="s">
        <v>1093</v>
      </c>
      <c r="H1051" s="15" t="s">
        <v>3577</v>
      </c>
      <c r="I1051" s="15" t="s">
        <v>6</v>
      </c>
      <c r="J1051" s="15" t="s">
        <v>172</v>
      </c>
      <c r="K1051" s="16">
        <v>57300</v>
      </c>
      <c r="L1051" s="16">
        <v>144580</v>
      </c>
      <c r="M1051" s="17">
        <f>Table1[[#This Row],[Billing Rate Charges]]-Table1[[#This Row],[ LORRY RATE ]]</f>
        <v>87280</v>
      </c>
      <c r="N1051" s="17">
        <v>57300</v>
      </c>
      <c r="O1051" s="17">
        <f>Table1[[#This Row],[ LORRY RATE ]]-Table1[[#This Row],[Adance Paid (INR)]]</f>
        <v>0</v>
      </c>
      <c r="P1051" s="17" t="s">
        <v>147</v>
      </c>
      <c r="Q1051" s="18" t="s">
        <v>597</v>
      </c>
      <c r="R1051" s="17"/>
      <c r="S1051" s="18" t="s">
        <v>3542</v>
      </c>
      <c r="T1051" s="18" t="s">
        <v>3543</v>
      </c>
      <c r="U1051" s="15" t="s">
        <v>54</v>
      </c>
      <c r="V1051" s="15" t="s">
        <v>56</v>
      </c>
      <c r="W1051" s="15"/>
    </row>
    <row r="1052" spans="1:23" hidden="1" x14ac:dyDescent="0.3">
      <c r="A1052" s="15">
        <v>949</v>
      </c>
      <c r="B1052" s="15" t="s">
        <v>3443</v>
      </c>
      <c r="C1052" s="19">
        <v>46227</v>
      </c>
      <c r="D1052" s="19" t="s">
        <v>56</v>
      </c>
      <c r="E1052" s="15" t="s">
        <v>1641</v>
      </c>
      <c r="F1052" s="15">
        <v>9486716172</v>
      </c>
      <c r="G1052" s="15" t="s">
        <v>6</v>
      </c>
      <c r="H1052" s="15" t="s">
        <v>1874</v>
      </c>
      <c r="I1052" s="15" t="s">
        <v>3564</v>
      </c>
      <c r="J1052" s="15" t="s">
        <v>172</v>
      </c>
      <c r="K1052" s="16">
        <v>44680</v>
      </c>
      <c r="L1052" s="16">
        <v>60480</v>
      </c>
      <c r="M1052" s="17">
        <f>Table1[[#This Row],[Billing Rate Charges]]-Table1[[#This Row],[ LORRY RATE ]]</f>
        <v>15800</v>
      </c>
      <c r="N1052" s="17">
        <v>44680</v>
      </c>
      <c r="O1052" s="17">
        <f>Table1[[#This Row],[ LORRY RATE ]]-Table1[[#This Row],[Adance Paid (INR)]]</f>
        <v>0</v>
      </c>
      <c r="P1052" s="17" t="s">
        <v>147</v>
      </c>
      <c r="Q1052" s="18" t="s">
        <v>598</v>
      </c>
      <c r="R1052" s="17"/>
      <c r="S1052" s="18" t="s">
        <v>3543</v>
      </c>
      <c r="T1052" s="18" t="s">
        <v>3543</v>
      </c>
      <c r="U1052" s="15" t="s">
        <v>54</v>
      </c>
      <c r="V1052" s="15" t="s">
        <v>56</v>
      </c>
      <c r="W1052" s="15"/>
    </row>
    <row r="1053" spans="1:23" hidden="1" x14ac:dyDescent="0.3">
      <c r="A1053" s="15">
        <v>950</v>
      </c>
      <c r="B1053" s="15" t="s">
        <v>3443</v>
      </c>
      <c r="C1053" s="19">
        <v>46228</v>
      </c>
      <c r="D1053" s="19" t="s">
        <v>56</v>
      </c>
      <c r="E1053" s="15" t="s">
        <v>60</v>
      </c>
      <c r="F1053" s="15">
        <v>9040208667</v>
      </c>
      <c r="G1053" s="15" t="s">
        <v>6</v>
      </c>
      <c r="H1053" s="15" t="s">
        <v>1874</v>
      </c>
      <c r="I1053" s="15" t="s">
        <v>3565</v>
      </c>
      <c r="J1053" s="15" t="s">
        <v>172</v>
      </c>
      <c r="K1053" s="16">
        <v>44680</v>
      </c>
      <c r="L1053" s="16">
        <v>60480</v>
      </c>
      <c r="M1053" s="17">
        <f>Table1[[#This Row],[Billing Rate Charges]]-Table1[[#This Row],[ LORRY RATE ]]</f>
        <v>15800</v>
      </c>
      <c r="N1053" s="17">
        <v>44680</v>
      </c>
      <c r="O1053" s="17">
        <f>Table1[[#This Row],[ LORRY RATE ]]-Table1[[#This Row],[Adance Paid (INR)]]</f>
        <v>0</v>
      </c>
      <c r="P1053" s="17" t="s">
        <v>147</v>
      </c>
      <c r="Q1053" s="18" t="s">
        <v>599</v>
      </c>
      <c r="R1053" s="17"/>
      <c r="S1053" s="18" t="s">
        <v>3545</v>
      </c>
      <c r="T1053" s="18" t="s">
        <v>3545</v>
      </c>
      <c r="U1053" s="15" t="s">
        <v>54</v>
      </c>
      <c r="V1053" s="15" t="s">
        <v>56</v>
      </c>
      <c r="W1053" s="15"/>
    </row>
    <row r="1054" spans="1:23" hidden="1" x14ac:dyDescent="0.3">
      <c r="A1054" s="15">
        <v>951</v>
      </c>
      <c r="B1054" s="15" t="s">
        <v>3443</v>
      </c>
      <c r="C1054" s="19">
        <v>46228</v>
      </c>
      <c r="D1054" s="19" t="s">
        <v>56</v>
      </c>
      <c r="E1054" s="15" t="s">
        <v>38</v>
      </c>
      <c r="F1054" s="15">
        <v>9995059254</v>
      </c>
      <c r="G1054" s="15" t="s">
        <v>1093</v>
      </c>
      <c r="H1054" s="15" t="s">
        <v>3579</v>
      </c>
      <c r="I1054" s="15" t="s">
        <v>6</v>
      </c>
      <c r="J1054" s="15" t="s">
        <v>59</v>
      </c>
      <c r="K1054" s="16">
        <v>56160</v>
      </c>
      <c r="L1054" s="16">
        <v>137020</v>
      </c>
      <c r="M1054" s="17">
        <f>Table1[[#This Row],[Billing Rate Charges]]-Table1[[#This Row],[ LORRY RATE ]]</f>
        <v>80860</v>
      </c>
      <c r="N1054" s="17">
        <v>56160</v>
      </c>
      <c r="O1054" s="17">
        <f>Table1[[#This Row],[ LORRY RATE ]]-Table1[[#This Row],[Adance Paid (INR)]]</f>
        <v>0</v>
      </c>
      <c r="P1054" s="17" t="s">
        <v>147</v>
      </c>
      <c r="Q1054" s="18" t="s">
        <v>592</v>
      </c>
      <c r="R1054" s="17"/>
      <c r="S1054" s="18" t="s">
        <v>3546</v>
      </c>
      <c r="T1054" s="18" t="s">
        <v>3546</v>
      </c>
      <c r="U1054" s="15" t="s">
        <v>54</v>
      </c>
      <c r="V1054" s="15" t="s">
        <v>56</v>
      </c>
      <c r="W1054" s="15"/>
    </row>
    <row r="1055" spans="1:23" hidden="1" x14ac:dyDescent="0.3">
      <c r="A1055" s="15">
        <v>952</v>
      </c>
      <c r="B1055" s="15" t="s">
        <v>3443</v>
      </c>
      <c r="C1055" s="19">
        <v>46228</v>
      </c>
      <c r="D1055" s="19" t="s">
        <v>56</v>
      </c>
      <c r="E1055" s="15" t="s">
        <v>1635</v>
      </c>
      <c r="F1055" s="15">
        <v>9793531306</v>
      </c>
      <c r="G1055" s="15" t="s">
        <v>1093</v>
      </c>
      <c r="H1055" s="15" t="s">
        <v>3580</v>
      </c>
      <c r="I1055" s="15" t="s">
        <v>6</v>
      </c>
      <c r="J1055" s="15" t="s">
        <v>172</v>
      </c>
      <c r="K1055" s="16">
        <v>59190</v>
      </c>
      <c r="L1055" s="16">
        <v>157180</v>
      </c>
      <c r="M1055" s="17">
        <f>Table1[[#This Row],[Billing Rate Charges]]-Table1[[#This Row],[ LORRY RATE ]]</f>
        <v>97990</v>
      </c>
      <c r="N1055" s="17">
        <v>59190</v>
      </c>
      <c r="O1055" s="17">
        <f>Table1[[#This Row],[ LORRY RATE ]]-Table1[[#This Row],[Adance Paid (INR)]]</f>
        <v>0</v>
      </c>
      <c r="P1055" s="17" t="s">
        <v>147</v>
      </c>
      <c r="Q1055" s="18" t="s">
        <v>600</v>
      </c>
      <c r="R1055" s="17"/>
      <c r="S1055" s="18" t="s">
        <v>3546</v>
      </c>
      <c r="T1055" s="18" t="s">
        <v>3546</v>
      </c>
      <c r="U1055" s="15" t="s">
        <v>54</v>
      </c>
      <c r="V1055" s="15" t="s">
        <v>56</v>
      </c>
      <c r="W1055" s="15"/>
    </row>
    <row r="1056" spans="1:23" hidden="1" x14ac:dyDescent="0.3">
      <c r="A1056" s="15">
        <v>953</v>
      </c>
      <c r="B1056" s="15" t="s">
        <v>3443</v>
      </c>
      <c r="C1056" s="19">
        <v>46230</v>
      </c>
      <c r="D1056" s="19" t="s">
        <v>56</v>
      </c>
      <c r="E1056" s="15" t="s">
        <v>3065</v>
      </c>
      <c r="F1056" s="15">
        <v>9589264337</v>
      </c>
      <c r="G1056" s="15" t="s">
        <v>6</v>
      </c>
      <c r="H1056" s="15" t="s">
        <v>3566</v>
      </c>
      <c r="I1056" s="15" t="s">
        <v>3567</v>
      </c>
      <c r="J1056" s="15" t="s">
        <v>172</v>
      </c>
      <c r="K1056" s="16">
        <v>45630</v>
      </c>
      <c r="L1056" s="16">
        <v>66780</v>
      </c>
      <c r="M1056" s="17">
        <f>Table1[[#This Row],[Billing Rate Charges]]-Table1[[#This Row],[ LORRY RATE ]]</f>
        <v>21150</v>
      </c>
      <c r="N1056" s="17">
        <v>45630</v>
      </c>
      <c r="O1056" s="17">
        <f>Table1[[#This Row],[ LORRY RATE ]]-Table1[[#This Row],[Adance Paid (INR)]]</f>
        <v>0</v>
      </c>
      <c r="P1056" s="17" t="s">
        <v>147</v>
      </c>
      <c r="Q1056" s="18" t="s">
        <v>601</v>
      </c>
      <c r="R1056" s="17"/>
      <c r="S1056" s="18" t="s">
        <v>3548</v>
      </c>
      <c r="T1056" s="18" t="s">
        <v>3548</v>
      </c>
      <c r="U1056" s="15" t="s">
        <v>54</v>
      </c>
      <c r="V1056" s="15" t="s">
        <v>56</v>
      </c>
      <c r="W1056" s="15"/>
    </row>
    <row r="1057" spans="1:23" hidden="1" x14ac:dyDescent="0.3">
      <c r="A1057" s="15">
        <v>954</v>
      </c>
      <c r="B1057" s="15" t="s">
        <v>3443</v>
      </c>
      <c r="C1057" s="19">
        <v>46230</v>
      </c>
      <c r="D1057" s="19" t="s">
        <v>56</v>
      </c>
      <c r="E1057" s="15" t="s">
        <v>1644</v>
      </c>
      <c r="F1057" s="15">
        <v>9935813519</v>
      </c>
      <c r="G1057" s="15" t="s">
        <v>6</v>
      </c>
      <c r="H1057" s="15" t="s">
        <v>1874</v>
      </c>
      <c r="I1057" s="15" t="s">
        <v>3568</v>
      </c>
      <c r="J1057" s="15" t="s">
        <v>172</v>
      </c>
      <c r="K1057" s="16">
        <v>44680</v>
      </c>
      <c r="L1057" s="16">
        <v>60480</v>
      </c>
      <c r="M1057" s="17">
        <f>Table1[[#This Row],[Billing Rate Charges]]-Table1[[#This Row],[ LORRY RATE ]]</f>
        <v>15800</v>
      </c>
      <c r="N1057" s="17">
        <v>44680</v>
      </c>
      <c r="O1057" s="17">
        <f>Table1[[#This Row],[ LORRY RATE ]]-Table1[[#This Row],[Adance Paid (INR)]]</f>
        <v>0</v>
      </c>
      <c r="P1057" s="17" t="s">
        <v>147</v>
      </c>
      <c r="Q1057" s="18" t="s">
        <v>602</v>
      </c>
      <c r="R1057" s="17"/>
      <c r="S1057" s="18" t="s">
        <v>3548</v>
      </c>
      <c r="T1057" s="18" t="s">
        <v>3548</v>
      </c>
      <c r="U1057" s="15" t="s">
        <v>54</v>
      </c>
      <c r="V1057" s="15" t="s">
        <v>56</v>
      </c>
      <c r="W1057" s="15"/>
    </row>
    <row r="1058" spans="1:23" hidden="1" x14ac:dyDescent="0.3">
      <c r="A1058" s="15">
        <v>955</v>
      </c>
      <c r="B1058" s="15" t="s">
        <v>3443</v>
      </c>
      <c r="C1058" s="19">
        <v>46231</v>
      </c>
      <c r="D1058" s="19" t="s">
        <v>56</v>
      </c>
      <c r="E1058" s="15" t="s">
        <v>1641</v>
      </c>
      <c r="F1058" s="15">
        <v>9486716172</v>
      </c>
      <c r="G1058" s="15" t="s">
        <v>1093</v>
      </c>
      <c r="H1058" s="15" t="s">
        <v>3581</v>
      </c>
      <c r="I1058" s="15" t="s">
        <v>6</v>
      </c>
      <c r="J1058" s="15" t="s">
        <v>172</v>
      </c>
      <c r="K1058" s="16">
        <v>57300</v>
      </c>
      <c r="L1058" s="16">
        <v>144580</v>
      </c>
      <c r="M1058" s="17">
        <f>Table1[[#This Row],[Billing Rate Charges]]-Table1[[#This Row],[ LORRY RATE ]]</f>
        <v>87280</v>
      </c>
      <c r="N1058" s="17">
        <v>57300</v>
      </c>
      <c r="O1058" s="17">
        <f>Table1[[#This Row],[ LORRY RATE ]]-Table1[[#This Row],[Adance Paid (INR)]]</f>
        <v>0</v>
      </c>
      <c r="P1058" s="17" t="s">
        <v>147</v>
      </c>
      <c r="Q1058" s="18" t="s">
        <v>603</v>
      </c>
      <c r="R1058" s="17"/>
      <c r="S1058" s="18" t="s">
        <v>3554</v>
      </c>
      <c r="T1058" s="18" t="s">
        <v>3554</v>
      </c>
      <c r="U1058" s="15" t="s">
        <v>54</v>
      </c>
      <c r="V1058" s="15"/>
      <c r="W1058" s="15"/>
    </row>
    <row r="1059" spans="1:23" hidden="1" x14ac:dyDescent="0.3">
      <c r="A1059" s="15">
        <v>956</v>
      </c>
      <c r="B1059" s="15" t="s">
        <v>3443</v>
      </c>
      <c r="C1059" s="19">
        <v>46231</v>
      </c>
      <c r="D1059" s="19" t="s">
        <v>56</v>
      </c>
      <c r="E1059" s="15" t="s">
        <v>2859</v>
      </c>
      <c r="F1059" s="15">
        <v>9902798068</v>
      </c>
      <c r="G1059" s="15" t="s">
        <v>1093</v>
      </c>
      <c r="H1059" s="15" t="s">
        <v>3582</v>
      </c>
      <c r="I1059" s="15" t="s">
        <v>6</v>
      </c>
      <c r="J1059" s="15" t="s">
        <v>172</v>
      </c>
      <c r="K1059" s="16">
        <v>57300</v>
      </c>
      <c r="L1059" s="16">
        <v>144580</v>
      </c>
      <c r="M1059" s="17">
        <f>Table1[[#This Row],[Billing Rate Charges]]-Table1[[#This Row],[ LORRY RATE ]]</f>
        <v>87280</v>
      </c>
      <c r="N1059" s="17">
        <v>57300</v>
      </c>
      <c r="O1059" s="17">
        <f>Table1[[#This Row],[ LORRY RATE ]]-Table1[[#This Row],[Adance Paid (INR)]]</f>
        <v>0</v>
      </c>
      <c r="P1059" s="17" t="s">
        <v>147</v>
      </c>
      <c r="Q1059" s="18" t="s">
        <v>2194</v>
      </c>
      <c r="R1059" s="17"/>
      <c r="S1059" s="18" t="s">
        <v>3548</v>
      </c>
      <c r="T1059" s="18" t="s">
        <v>3548</v>
      </c>
      <c r="U1059" s="15" t="s">
        <v>54</v>
      </c>
      <c r="V1059" s="15" t="s">
        <v>56</v>
      </c>
      <c r="W1059" s="15"/>
    </row>
    <row r="1060" spans="1:23" hidden="1" x14ac:dyDescent="0.3">
      <c r="A1060" s="15">
        <v>957</v>
      </c>
      <c r="B1060" s="15" t="s">
        <v>3443</v>
      </c>
      <c r="C1060" s="19">
        <v>46232</v>
      </c>
      <c r="D1060" s="19" t="s">
        <v>56</v>
      </c>
      <c r="E1060" s="15" t="s">
        <v>1635</v>
      </c>
      <c r="F1060" s="15">
        <v>9793531306</v>
      </c>
      <c r="G1060" s="15" t="s">
        <v>6</v>
      </c>
      <c r="H1060" s="15" t="s">
        <v>3569</v>
      </c>
      <c r="I1060" s="15" t="s">
        <v>3570</v>
      </c>
      <c r="J1060" s="15" t="s">
        <v>172</v>
      </c>
      <c r="K1060" s="16">
        <v>45630</v>
      </c>
      <c r="L1060" s="16">
        <v>66780</v>
      </c>
      <c r="M1060" s="17">
        <f>Table1[[#This Row],[Billing Rate Charges]]-Table1[[#This Row],[ LORRY RATE ]]</f>
        <v>21150</v>
      </c>
      <c r="N1060" s="17">
        <v>45630</v>
      </c>
      <c r="O1060" s="17">
        <f>Table1[[#This Row],[ LORRY RATE ]]-Table1[[#This Row],[Adance Paid (INR)]]</f>
        <v>0</v>
      </c>
      <c r="P1060" s="17" t="s">
        <v>147</v>
      </c>
      <c r="Q1060" s="18" t="s">
        <v>665</v>
      </c>
      <c r="R1060" s="17"/>
      <c r="S1060" s="18" t="s">
        <v>3559</v>
      </c>
      <c r="T1060" s="18" t="s">
        <v>3560</v>
      </c>
      <c r="U1060" s="15" t="s">
        <v>54</v>
      </c>
      <c r="V1060" s="15" t="s">
        <v>56</v>
      </c>
      <c r="W1060" s="15"/>
    </row>
    <row r="1061" spans="1:23" hidden="1" x14ac:dyDescent="0.3">
      <c r="A1061" s="15">
        <v>958</v>
      </c>
      <c r="B1061" s="15" t="s">
        <v>3443</v>
      </c>
      <c r="C1061" s="19">
        <v>46233</v>
      </c>
      <c r="D1061" s="19" t="s">
        <v>56</v>
      </c>
      <c r="E1061" s="15" t="s">
        <v>38</v>
      </c>
      <c r="F1061" s="15">
        <v>9995059254</v>
      </c>
      <c r="G1061" s="15" t="s">
        <v>6</v>
      </c>
      <c r="H1061" s="15" t="s">
        <v>1874</v>
      </c>
      <c r="I1061" s="15" t="s">
        <v>3571</v>
      </c>
      <c r="J1061" s="15" t="s">
        <v>59</v>
      </c>
      <c r="K1061" s="16">
        <v>44330</v>
      </c>
      <c r="L1061" s="16">
        <v>58120</v>
      </c>
      <c r="M1061" s="17">
        <f>Table1[[#This Row],[Billing Rate Charges]]-Table1[[#This Row],[ LORRY RATE ]]</f>
        <v>13790</v>
      </c>
      <c r="N1061" s="17">
        <v>44330</v>
      </c>
      <c r="O1061" s="17">
        <f>Table1[[#This Row],[ LORRY RATE ]]-Table1[[#This Row],[Adance Paid (INR)]]</f>
        <v>0</v>
      </c>
      <c r="P1061" s="17" t="s">
        <v>147</v>
      </c>
      <c r="Q1061" s="18" t="s">
        <v>667</v>
      </c>
      <c r="R1061" s="17"/>
      <c r="S1061" s="18" t="s">
        <v>3560</v>
      </c>
      <c r="T1061" s="18" t="s">
        <v>3560</v>
      </c>
      <c r="U1061" s="15" t="s">
        <v>54</v>
      </c>
      <c r="V1061" s="15" t="s">
        <v>56</v>
      </c>
      <c r="W1061" s="15"/>
    </row>
    <row r="1062" spans="1:23" hidden="1" x14ac:dyDescent="0.3">
      <c r="A1062" s="15">
        <v>959</v>
      </c>
      <c r="B1062" s="15" t="s">
        <v>3443</v>
      </c>
      <c r="C1062" s="19">
        <v>46234</v>
      </c>
      <c r="D1062" s="19" t="s">
        <v>56</v>
      </c>
      <c r="E1062" s="15" t="s">
        <v>60</v>
      </c>
      <c r="F1062" s="15">
        <v>9040208667</v>
      </c>
      <c r="G1062" s="15" t="s">
        <v>1093</v>
      </c>
      <c r="H1062" s="15" t="s">
        <v>3576</v>
      </c>
      <c r="I1062" s="15" t="s">
        <v>6</v>
      </c>
      <c r="J1062" s="15" t="s">
        <v>172</v>
      </c>
      <c r="K1062" s="16">
        <v>58240</v>
      </c>
      <c r="L1062" s="16">
        <v>150880</v>
      </c>
      <c r="M1062" s="17">
        <f>Table1[[#This Row],[Billing Rate Charges]]-Table1[[#This Row],[ LORRY RATE ]]</f>
        <v>92640</v>
      </c>
      <c r="N1062" s="17">
        <v>58240</v>
      </c>
      <c r="O1062" s="17">
        <f>Table1[[#This Row],[ LORRY RATE ]]-Table1[[#This Row],[Adance Paid (INR)]]</f>
        <v>0</v>
      </c>
      <c r="P1062" s="17" t="s">
        <v>147</v>
      </c>
      <c r="Q1062" s="18" t="s">
        <v>669</v>
      </c>
      <c r="R1062" s="17"/>
      <c r="S1062" s="18" t="s">
        <v>3560</v>
      </c>
      <c r="T1062" s="18" t="s">
        <v>3560</v>
      </c>
      <c r="U1062" s="15" t="s">
        <v>54</v>
      </c>
      <c r="V1062" s="15" t="s">
        <v>56</v>
      </c>
      <c r="W1062" s="15"/>
    </row>
    <row r="1063" spans="1:23" hidden="1" x14ac:dyDescent="0.3">
      <c r="A1063" s="15">
        <v>960</v>
      </c>
      <c r="B1063" s="15" t="s">
        <v>3443</v>
      </c>
      <c r="C1063" s="19">
        <v>46234</v>
      </c>
      <c r="D1063" s="19" t="s">
        <v>56</v>
      </c>
      <c r="E1063" s="15" t="s">
        <v>3065</v>
      </c>
      <c r="F1063" s="15">
        <v>9589264337</v>
      </c>
      <c r="G1063" s="15" t="s">
        <v>1093</v>
      </c>
      <c r="H1063" s="15" t="s">
        <v>3583</v>
      </c>
      <c r="I1063" s="15" t="s">
        <v>6</v>
      </c>
      <c r="J1063" s="15" t="s">
        <v>172</v>
      </c>
      <c r="K1063" s="16">
        <v>57300</v>
      </c>
      <c r="L1063" s="16">
        <v>144580</v>
      </c>
      <c r="M1063" s="17">
        <f>Table1[[#This Row],[Billing Rate Charges]]-Table1[[#This Row],[ LORRY RATE ]]</f>
        <v>87280</v>
      </c>
      <c r="N1063" s="17">
        <v>57300</v>
      </c>
      <c r="O1063" s="17">
        <f>Table1[[#This Row],[ LORRY RATE ]]-Table1[[#This Row],[Adance Paid (INR)]]</f>
        <v>0</v>
      </c>
      <c r="P1063" s="17" t="s">
        <v>147</v>
      </c>
      <c r="Q1063" s="18" t="s">
        <v>670</v>
      </c>
      <c r="R1063" s="17"/>
      <c r="S1063" s="18" t="s">
        <v>3560</v>
      </c>
      <c r="T1063" s="18" t="s">
        <v>3560</v>
      </c>
      <c r="U1063" s="15" t="s">
        <v>54</v>
      </c>
      <c r="V1063" s="15" t="s">
        <v>56</v>
      </c>
      <c r="W1063" s="15"/>
    </row>
    <row r="1064" spans="1:23" hidden="1" x14ac:dyDescent="0.3">
      <c r="A1064" s="15">
        <v>961</v>
      </c>
      <c r="B1064" s="15" t="s">
        <v>3443</v>
      </c>
      <c r="C1064" s="19">
        <v>46234</v>
      </c>
      <c r="D1064" s="19" t="s">
        <v>56</v>
      </c>
      <c r="E1064" s="15" t="s">
        <v>1644</v>
      </c>
      <c r="F1064" s="15">
        <v>9935813519</v>
      </c>
      <c r="G1064" s="15" t="s">
        <v>2168</v>
      </c>
      <c r="H1064" s="15" t="s">
        <v>3578</v>
      </c>
      <c r="I1064" s="15" t="s">
        <v>6</v>
      </c>
      <c r="J1064" s="15" t="s">
        <v>172</v>
      </c>
      <c r="K1064" s="16">
        <v>55830</v>
      </c>
      <c r="L1064" s="16">
        <v>134820</v>
      </c>
      <c r="M1064" s="17">
        <f>Table1[[#This Row],[Billing Rate Charges]]-Table1[[#This Row],[ LORRY RATE ]]</f>
        <v>78990</v>
      </c>
      <c r="N1064" s="17">
        <v>55830</v>
      </c>
      <c r="O1064" s="17">
        <f>Table1[[#This Row],[ LORRY RATE ]]-Table1[[#This Row],[Adance Paid (INR)]]</f>
        <v>0</v>
      </c>
      <c r="P1064" s="17" t="s">
        <v>147</v>
      </c>
      <c r="Q1064" s="18" t="s">
        <v>674</v>
      </c>
      <c r="R1064" s="17"/>
      <c r="S1064" s="18" t="s">
        <v>3560</v>
      </c>
      <c r="T1064" s="18" t="s">
        <v>3560</v>
      </c>
      <c r="U1064" s="15" t="s">
        <v>54</v>
      </c>
      <c r="V1064" s="15" t="s">
        <v>56</v>
      </c>
      <c r="W1064" s="15"/>
    </row>
    <row r="1065" spans="1:23" hidden="1" x14ac:dyDescent="0.3">
      <c r="A1065" s="15">
        <v>962</v>
      </c>
      <c r="B1065" s="15" t="s">
        <v>3443</v>
      </c>
      <c r="C1065" s="19">
        <v>46234</v>
      </c>
      <c r="D1065" s="19" t="s">
        <v>56</v>
      </c>
      <c r="E1065" s="15" t="s">
        <v>1641</v>
      </c>
      <c r="F1065" s="15">
        <v>9486716172</v>
      </c>
      <c r="G1065" s="15" t="s">
        <v>6</v>
      </c>
      <c r="H1065" s="15"/>
      <c r="I1065" s="15" t="s">
        <v>3572</v>
      </c>
      <c r="J1065" s="15" t="s">
        <v>172</v>
      </c>
      <c r="K1065" s="16">
        <v>44680</v>
      </c>
      <c r="L1065" s="16">
        <v>60480</v>
      </c>
      <c r="M1065" s="17">
        <f>Table1[[#This Row],[Billing Rate Charges]]-Table1[[#This Row],[ LORRY RATE ]]</f>
        <v>15800</v>
      </c>
      <c r="N1065" s="17">
        <v>44680</v>
      </c>
      <c r="O1065" s="17">
        <f>Table1[[#This Row],[ LORRY RATE ]]-Table1[[#This Row],[Adance Paid (INR)]]</f>
        <v>0</v>
      </c>
      <c r="P1065" s="17" t="s">
        <v>147</v>
      </c>
      <c r="Q1065" s="18" t="s">
        <v>676</v>
      </c>
      <c r="R1065" s="17"/>
      <c r="S1065" s="18" t="s">
        <v>3560</v>
      </c>
      <c r="T1065" s="18" t="s">
        <v>3560</v>
      </c>
      <c r="U1065" s="15" t="s">
        <v>54</v>
      </c>
      <c r="V1065" s="15" t="s">
        <v>56</v>
      </c>
      <c r="W1065" s="15"/>
    </row>
    <row r="1066" spans="1:23" hidden="1" x14ac:dyDescent="0.3">
      <c r="A1066" s="15">
        <v>963</v>
      </c>
      <c r="B1066" s="15" t="s">
        <v>3443</v>
      </c>
      <c r="C1066" s="19">
        <v>46234</v>
      </c>
      <c r="D1066" s="19" t="s">
        <v>56</v>
      </c>
      <c r="E1066" s="15" t="s">
        <v>2859</v>
      </c>
      <c r="F1066" s="15">
        <v>9902798068</v>
      </c>
      <c r="G1066" s="15" t="s">
        <v>6</v>
      </c>
      <c r="H1066" s="15" t="s">
        <v>3573</v>
      </c>
      <c r="I1066" s="15" t="s">
        <v>3574</v>
      </c>
      <c r="J1066" s="15" t="s">
        <v>172</v>
      </c>
      <c r="K1066" s="16">
        <v>45630</v>
      </c>
      <c r="L1066" s="16">
        <v>66780</v>
      </c>
      <c r="M1066" s="17">
        <f>Table1[[#This Row],[Billing Rate Charges]]-Table1[[#This Row],[ LORRY RATE ]]</f>
        <v>21150</v>
      </c>
      <c r="N1066" s="17">
        <v>45630</v>
      </c>
      <c r="O1066" s="17">
        <f>Table1[[#This Row],[ LORRY RATE ]]-Table1[[#This Row],[Adance Paid (INR)]]</f>
        <v>0</v>
      </c>
      <c r="P1066" s="17" t="s">
        <v>147</v>
      </c>
      <c r="Q1066" s="18" t="s">
        <v>678</v>
      </c>
      <c r="R1066" s="17"/>
      <c r="S1066" s="18" t="s">
        <v>3560</v>
      </c>
      <c r="T1066" s="18" t="s">
        <v>3560</v>
      </c>
      <c r="U1066" s="15" t="s">
        <v>54</v>
      </c>
      <c r="V1066" s="15" t="s">
        <v>56</v>
      </c>
      <c r="W1066" s="15"/>
    </row>
    <row r="1067" spans="1:23" hidden="1" x14ac:dyDescent="0.3">
      <c r="A1067" s="15">
        <v>964</v>
      </c>
      <c r="B1067" s="15" t="s">
        <v>3555</v>
      </c>
      <c r="C1067" s="19">
        <v>46235</v>
      </c>
      <c r="D1067" s="19" t="s">
        <v>56</v>
      </c>
      <c r="E1067" s="15" t="s">
        <v>1637</v>
      </c>
      <c r="F1067" s="15">
        <v>9025368773</v>
      </c>
      <c r="G1067" s="15" t="s">
        <v>1093</v>
      </c>
      <c r="H1067" s="15" t="s">
        <v>3627</v>
      </c>
      <c r="I1067" s="15" t="s">
        <v>6</v>
      </c>
      <c r="J1067" s="15" t="s">
        <v>172</v>
      </c>
      <c r="K1067" s="16">
        <v>58240</v>
      </c>
      <c r="L1067" s="16">
        <v>150880</v>
      </c>
      <c r="M1067" s="17">
        <f>Table1[[#This Row],[Billing Rate Charges]]-Table1[[#This Row],[ LORRY RATE ]]</f>
        <v>92640</v>
      </c>
      <c r="N1067" s="17">
        <v>58240</v>
      </c>
      <c r="O1067" s="17">
        <f>Table1[[#This Row],[ LORRY RATE ]]-Table1[[#This Row],[Adance Paid (INR)]]</f>
        <v>0</v>
      </c>
      <c r="P1067" s="17" t="s">
        <v>147</v>
      </c>
      <c r="Q1067" s="18" t="s">
        <v>679</v>
      </c>
      <c r="R1067" s="17"/>
      <c r="S1067" s="18" t="s">
        <v>3593</v>
      </c>
      <c r="T1067" s="18" t="s">
        <v>3593</v>
      </c>
      <c r="U1067" s="15" t="s">
        <v>54</v>
      </c>
      <c r="V1067" s="15" t="s">
        <v>56</v>
      </c>
      <c r="W1067" s="15"/>
    </row>
    <row r="1068" spans="1:23" hidden="1" x14ac:dyDescent="0.3">
      <c r="A1068" s="15">
        <v>965</v>
      </c>
      <c r="B1068" s="15" t="s">
        <v>3555</v>
      </c>
      <c r="C1068" s="19">
        <v>46236</v>
      </c>
      <c r="D1068" s="19" t="s">
        <v>51</v>
      </c>
      <c r="E1068" s="21" t="s">
        <v>3556</v>
      </c>
      <c r="F1068" s="21">
        <v>9531183035</v>
      </c>
      <c r="G1068" s="15" t="s">
        <v>6</v>
      </c>
      <c r="H1068" s="15" t="s">
        <v>1874</v>
      </c>
      <c r="I1068" s="15" t="s">
        <v>3609</v>
      </c>
      <c r="J1068" s="15" t="s">
        <v>172</v>
      </c>
      <c r="K1068" s="16">
        <v>35850</v>
      </c>
      <c r="L1068" s="16">
        <v>60480</v>
      </c>
      <c r="M1068" s="17">
        <f>Table1[[#This Row],[Billing Rate Charges]]-Table1[[#This Row],[ LORRY RATE ]]</f>
        <v>24630</v>
      </c>
      <c r="N1068" s="17">
        <v>34420</v>
      </c>
      <c r="O1068" s="17">
        <v>1430</v>
      </c>
      <c r="P1068" s="17" t="s">
        <v>147</v>
      </c>
      <c r="Q1068" s="18" t="s">
        <v>680</v>
      </c>
      <c r="R1068" s="17"/>
      <c r="S1068" s="18" t="s">
        <v>3593</v>
      </c>
      <c r="T1068" s="18" t="s">
        <v>3593</v>
      </c>
      <c r="U1068" s="15" t="s">
        <v>54</v>
      </c>
      <c r="V1068" s="15" t="s">
        <v>3557</v>
      </c>
      <c r="W1068" s="15"/>
    </row>
    <row r="1069" spans="1:23" hidden="1" x14ac:dyDescent="0.3">
      <c r="A1069" s="15">
        <v>966</v>
      </c>
      <c r="B1069" s="15" t="s">
        <v>3555</v>
      </c>
      <c r="C1069" s="19">
        <v>46239</v>
      </c>
      <c r="D1069" s="19" t="s">
        <v>56</v>
      </c>
      <c r="E1069" s="15" t="s">
        <v>60</v>
      </c>
      <c r="F1069" s="15">
        <v>9040208667</v>
      </c>
      <c r="G1069" s="15" t="s">
        <v>6</v>
      </c>
      <c r="H1069" s="15" t="s">
        <v>3610</v>
      </c>
      <c r="I1069" s="15" t="s">
        <v>3611</v>
      </c>
      <c r="J1069" s="15" t="s">
        <v>172</v>
      </c>
      <c r="K1069" s="16">
        <v>45630</v>
      </c>
      <c r="L1069" s="16">
        <v>66780</v>
      </c>
      <c r="M1069" s="17">
        <f>Table1[[#This Row],[Billing Rate Charges]]-Table1[[#This Row],[ LORRY RATE ]]</f>
        <v>21150</v>
      </c>
      <c r="N1069" s="17">
        <v>45630</v>
      </c>
      <c r="O1069" s="17">
        <f>Table1[[#This Row],[ LORRY RATE ]]-Table1[[#This Row],[Adance Paid (INR)]]</f>
        <v>0</v>
      </c>
      <c r="P1069" s="17" t="s">
        <v>147</v>
      </c>
      <c r="Q1069" s="18" t="s">
        <v>681</v>
      </c>
      <c r="R1069" s="17"/>
      <c r="S1069" s="18" t="s">
        <v>3598</v>
      </c>
      <c r="T1069" s="18" t="s">
        <v>3598</v>
      </c>
      <c r="U1069" s="15" t="s">
        <v>54</v>
      </c>
      <c r="V1069" s="15" t="s">
        <v>56</v>
      </c>
      <c r="W1069" s="15"/>
    </row>
    <row r="1070" spans="1:23" hidden="1" x14ac:dyDescent="0.3">
      <c r="A1070" s="15">
        <v>967</v>
      </c>
      <c r="B1070" s="15" t="s">
        <v>3555</v>
      </c>
      <c r="C1070" s="19">
        <v>46240</v>
      </c>
      <c r="D1070" s="19" t="s">
        <v>56</v>
      </c>
      <c r="E1070" s="15" t="s">
        <v>1637</v>
      </c>
      <c r="F1070" s="15">
        <v>9025368773</v>
      </c>
      <c r="G1070" s="15" t="s">
        <v>6</v>
      </c>
      <c r="H1070" s="15" t="s">
        <v>1874</v>
      </c>
      <c r="I1070" s="15" t="s">
        <v>3612</v>
      </c>
      <c r="J1070" s="15" t="s">
        <v>172</v>
      </c>
      <c r="K1070" s="16">
        <v>44680</v>
      </c>
      <c r="L1070" s="16">
        <v>60480</v>
      </c>
      <c r="M1070" s="17">
        <f>Table1[[#This Row],[Billing Rate Charges]]-Table1[[#This Row],[ LORRY RATE ]]</f>
        <v>15800</v>
      </c>
      <c r="N1070" s="17">
        <v>44680</v>
      </c>
      <c r="O1070" s="17">
        <f>Table1[[#This Row],[ LORRY RATE ]]-Table1[[#This Row],[Adance Paid (INR)]]</f>
        <v>0</v>
      </c>
      <c r="P1070" s="17" t="s">
        <v>147</v>
      </c>
      <c r="Q1070" s="18" t="s">
        <v>673</v>
      </c>
      <c r="R1070" s="17"/>
      <c r="S1070" s="18" t="s">
        <v>3597</v>
      </c>
      <c r="T1070" s="18" t="s">
        <v>3598</v>
      </c>
      <c r="U1070" s="15" t="s">
        <v>54</v>
      </c>
      <c r="V1070" s="15" t="s">
        <v>56</v>
      </c>
      <c r="W1070" s="15"/>
    </row>
    <row r="1071" spans="1:23" hidden="1" x14ac:dyDescent="0.3">
      <c r="A1071" s="15">
        <v>968</v>
      </c>
      <c r="B1071" s="15" t="s">
        <v>3555</v>
      </c>
      <c r="C1071" s="19">
        <v>46240</v>
      </c>
      <c r="D1071" s="19" t="s">
        <v>56</v>
      </c>
      <c r="E1071" s="15" t="s">
        <v>38</v>
      </c>
      <c r="F1071" s="15">
        <v>9995059254</v>
      </c>
      <c r="G1071" s="15" t="s">
        <v>1093</v>
      </c>
      <c r="H1071" s="15" t="s">
        <v>3625</v>
      </c>
      <c r="I1071" s="15" t="s">
        <v>6</v>
      </c>
      <c r="J1071" s="15" t="s">
        <v>59</v>
      </c>
      <c r="K1071" s="16">
        <v>56160</v>
      </c>
      <c r="L1071" s="16">
        <v>137020</v>
      </c>
      <c r="M1071" s="17">
        <f>Table1[[#This Row],[Billing Rate Charges]]-Table1[[#This Row],[ LORRY RATE ]]</f>
        <v>80860</v>
      </c>
      <c r="N1071" s="17">
        <v>56160</v>
      </c>
      <c r="O1071" s="17">
        <f>Table1[[#This Row],[ LORRY RATE ]]-Table1[[#This Row],[Adance Paid (INR)]]</f>
        <v>0</v>
      </c>
      <c r="P1071" s="17" t="s">
        <v>147</v>
      </c>
      <c r="Q1071" s="18" t="s">
        <v>668</v>
      </c>
      <c r="R1071" s="17"/>
      <c r="S1071" s="18" t="s">
        <v>3599</v>
      </c>
      <c r="T1071" s="18" t="s">
        <v>3599</v>
      </c>
      <c r="U1071" s="15" t="s">
        <v>54</v>
      </c>
      <c r="V1071" s="15" t="s">
        <v>56</v>
      </c>
      <c r="W1071" s="15" t="s">
        <v>3600</v>
      </c>
    </row>
    <row r="1072" spans="1:23" hidden="1" x14ac:dyDescent="0.3">
      <c r="A1072" s="15">
        <v>969</v>
      </c>
      <c r="B1072" s="15" t="s">
        <v>3555</v>
      </c>
      <c r="C1072" s="19">
        <v>46241</v>
      </c>
      <c r="D1072" s="19" t="s">
        <v>51</v>
      </c>
      <c r="E1072" s="15" t="s">
        <v>3592</v>
      </c>
      <c r="F1072" s="15">
        <v>9364520221</v>
      </c>
      <c r="G1072" s="15" t="s">
        <v>6</v>
      </c>
      <c r="H1072" s="15" t="s">
        <v>3613</v>
      </c>
      <c r="I1072" s="15" t="s">
        <v>3614</v>
      </c>
      <c r="J1072" s="15" t="s">
        <v>172</v>
      </c>
      <c r="K1072" s="16">
        <v>37330</v>
      </c>
      <c r="L1072" s="16">
        <v>66780</v>
      </c>
      <c r="M1072" s="17">
        <f>Table1[[#This Row],[Billing Rate Charges]]-Table1[[#This Row],[ LORRY RATE ]]</f>
        <v>29450</v>
      </c>
      <c r="N1072" s="17"/>
      <c r="O1072" s="17">
        <f>Table1[[#This Row],[ LORRY RATE ]]-Table1[[#This Row],[Adance Paid (INR)]]</f>
        <v>37330</v>
      </c>
      <c r="P1072" s="17" t="s">
        <v>147</v>
      </c>
      <c r="Q1072" s="18" t="s">
        <v>682</v>
      </c>
      <c r="R1072" s="17"/>
      <c r="S1072" s="18" t="s">
        <v>3599</v>
      </c>
      <c r="T1072" s="18" t="s">
        <v>3601</v>
      </c>
      <c r="U1072" s="15" t="s">
        <v>54</v>
      </c>
      <c r="V1072" s="15" t="s">
        <v>3561</v>
      </c>
      <c r="W1072" s="15"/>
    </row>
    <row r="1073" spans="1:23" hidden="1" x14ac:dyDescent="0.3">
      <c r="A1073" s="15">
        <v>970</v>
      </c>
      <c r="B1073" s="15" t="s">
        <v>3555</v>
      </c>
      <c r="C1073" s="19">
        <v>46241</v>
      </c>
      <c r="D1073" s="19" t="s">
        <v>51</v>
      </c>
      <c r="E1073" s="21" t="s">
        <v>3594</v>
      </c>
      <c r="F1073" s="21">
        <v>9093304663</v>
      </c>
      <c r="G1073" s="15" t="s">
        <v>6</v>
      </c>
      <c r="H1073" s="15" t="s">
        <v>3615</v>
      </c>
      <c r="I1073" s="15" t="s">
        <v>3616</v>
      </c>
      <c r="J1073" s="15" t="s">
        <v>168</v>
      </c>
      <c r="K1073" s="16">
        <v>30910</v>
      </c>
      <c r="L1073" s="16">
        <v>59690</v>
      </c>
      <c r="M1073" s="17">
        <f>Table1[[#This Row],[Billing Rate Charges]]-Table1[[#This Row],[ LORRY RATE ]]</f>
        <v>28780</v>
      </c>
      <c r="N1073" s="17"/>
      <c r="O1073" s="17">
        <f>Table1[[#This Row],[ LORRY RATE ]]-Table1[[#This Row],[Adance Paid (INR)]]</f>
        <v>30910</v>
      </c>
      <c r="P1073" s="17" t="s">
        <v>147</v>
      </c>
      <c r="Q1073" s="18" t="s">
        <v>683</v>
      </c>
      <c r="R1073" s="17"/>
      <c r="S1073" s="18" t="s">
        <v>3599</v>
      </c>
      <c r="T1073" s="18" t="s">
        <v>3601</v>
      </c>
      <c r="U1073" s="15" t="s">
        <v>54</v>
      </c>
      <c r="V1073" s="15" t="s">
        <v>3561</v>
      </c>
      <c r="W1073" s="15"/>
    </row>
    <row r="1074" spans="1:23" hidden="1" x14ac:dyDescent="0.3">
      <c r="A1074" s="15">
        <v>971</v>
      </c>
      <c r="B1074" s="15" t="s">
        <v>3555</v>
      </c>
      <c r="C1074" s="19">
        <v>46241</v>
      </c>
      <c r="D1074" s="19" t="s">
        <v>56</v>
      </c>
      <c r="E1074" s="21" t="s">
        <v>2859</v>
      </c>
      <c r="F1074" s="21">
        <v>9902798068</v>
      </c>
      <c r="G1074" s="15" t="s">
        <v>6</v>
      </c>
      <c r="H1074" s="15" t="s">
        <v>1874</v>
      </c>
      <c r="I1074" s="15" t="s">
        <v>3617</v>
      </c>
      <c r="J1074" s="15" t="s">
        <v>172</v>
      </c>
      <c r="K1074" s="16">
        <v>44680</v>
      </c>
      <c r="L1074" s="16">
        <v>60480</v>
      </c>
      <c r="M1074" s="17">
        <f>Table1[[#This Row],[Billing Rate Charges]]-Table1[[#This Row],[ LORRY RATE ]]</f>
        <v>15800</v>
      </c>
      <c r="N1074" s="17">
        <v>44680</v>
      </c>
      <c r="O1074" s="17">
        <f>Table1[[#This Row],[ LORRY RATE ]]-Table1[[#This Row],[Adance Paid (INR)]]</f>
        <v>0</v>
      </c>
      <c r="P1074" s="17" t="s">
        <v>147</v>
      </c>
      <c r="Q1074" s="18" t="s">
        <v>684</v>
      </c>
      <c r="R1074" s="17"/>
      <c r="S1074" s="18" t="s">
        <v>3599</v>
      </c>
      <c r="T1074" s="18" t="s">
        <v>3601</v>
      </c>
      <c r="U1074" s="15" t="s">
        <v>54</v>
      </c>
      <c r="V1074" s="15" t="s">
        <v>56</v>
      </c>
      <c r="W1074" s="15"/>
    </row>
    <row r="1075" spans="1:23" hidden="1" x14ac:dyDescent="0.3">
      <c r="A1075" s="15">
        <v>972</v>
      </c>
      <c r="B1075" s="15" t="s">
        <v>3555</v>
      </c>
      <c r="C1075" s="19">
        <v>46241</v>
      </c>
      <c r="D1075" s="19" t="s">
        <v>56</v>
      </c>
      <c r="E1075" s="21" t="s">
        <v>1644</v>
      </c>
      <c r="F1075" s="21">
        <v>9935813519</v>
      </c>
      <c r="G1075" s="15" t="s">
        <v>1093</v>
      </c>
      <c r="H1075" s="15" t="s">
        <v>3626</v>
      </c>
      <c r="I1075" s="15" t="s">
        <v>46</v>
      </c>
      <c r="J1075" s="15" t="s">
        <v>172</v>
      </c>
      <c r="K1075" s="16">
        <v>57300</v>
      </c>
      <c r="L1075" s="16">
        <v>144580</v>
      </c>
      <c r="M1075" s="17">
        <f>Table1[[#This Row],[Billing Rate Charges]]-Table1[[#This Row],[ LORRY RATE ]]</f>
        <v>87280</v>
      </c>
      <c r="N1075" s="17">
        <v>57300</v>
      </c>
      <c r="O1075" s="17">
        <f>Table1[[#This Row],[ LORRY RATE ]]-Table1[[#This Row],[Adance Paid (INR)]]</f>
        <v>0</v>
      </c>
      <c r="P1075" s="17" t="s">
        <v>147</v>
      </c>
      <c r="Q1075" s="18" t="s">
        <v>675</v>
      </c>
      <c r="R1075" s="17"/>
      <c r="S1075" s="18" t="s">
        <v>3599</v>
      </c>
      <c r="T1075" s="18" t="s">
        <v>3599</v>
      </c>
      <c r="U1075" s="15" t="s">
        <v>54</v>
      </c>
      <c r="V1075" s="15" t="s">
        <v>56</v>
      </c>
      <c r="W1075" s="15"/>
    </row>
    <row r="1076" spans="1:23" hidden="1" x14ac:dyDescent="0.3">
      <c r="A1076" s="15">
        <v>973</v>
      </c>
      <c r="B1076" s="15" t="s">
        <v>3555</v>
      </c>
      <c r="C1076" s="19">
        <v>46243</v>
      </c>
      <c r="D1076" s="19" t="s">
        <v>56</v>
      </c>
      <c r="E1076" s="21" t="s">
        <v>60</v>
      </c>
      <c r="F1076" s="21">
        <v>9040208667</v>
      </c>
      <c r="G1076" s="15" t="s">
        <v>1093</v>
      </c>
      <c r="H1076" s="15" t="s">
        <v>3629</v>
      </c>
      <c r="I1076" s="15" t="s">
        <v>6</v>
      </c>
      <c r="J1076" s="15" t="s">
        <v>172</v>
      </c>
      <c r="K1076" s="16">
        <v>57300</v>
      </c>
      <c r="L1076" s="16">
        <v>144580</v>
      </c>
      <c r="M1076" s="17">
        <f>Table1[[#This Row],[Billing Rate Charges]]-Table1[[#This Row],[ LORRY RATE ]]</f>
        <v>87280</v>
      </c>
      <c r="N1076" s="17">
        <v>57300</v>
      </c>
      <c r="O1076" s="17">
        <f>Table1[[#This Row],[ LORRY RATE ]]-Table1[[#This Row],[Adance Paid (INR)]]</f>
        <v>0</v>
      </c>
      <c r="P1076" s="17" t="s">
        <v>147</v>
      </c>
      <c r="Q1076" s="18" t="s">
        <v>677</v>
      </c>
      <c r="R1076" s="17"/>
      <c r="S1076" s="18" t="s">
        <v>3602</v>
      </c>
      <c r="T1076" s="18" t="s">
        <v>3602</v>
      </c>
      <c r="U1076" s="15" t="s">
        <v>54</v>
      </c>
      <c r="V1076" s="15" t="s">
        <v>56</v>
      </c>
      <c r="W1076" s="15"/>
    </row>
    <row r="1077" spans="1:23" hidden="1" x14ac:dyDescent="0.3">
      <c r="A1077" s="15">
        <v>974</v>
      </c>
      <c r="B1077" s="15" t="s">
        <v>3555</v>
      </c>
      <c r="C1077" s="19">
        <v>46243</v>
      </c>
      <c r="D1077" s="19" t="s">
        <v>51</v>
      </c>
      <c r="E1077" s="21" t="s">
        <v>1108</v>
      </c>
      <c r="F1077" s="21">
        <v>9299677001</v>
      </c>
      <c r="G1077" s="15" t="s">
        <v>6</v>
      </c>
      <c r="H1077" s="15" t="s">
        <v>1874</v>
      </c>
      <c r="I1077" s="15" t="s">
        <v>3618</v>
      </c>
      <c r="J1077" s="15" t="s">
        <v>172</v>
      </c>
      <c r="K1077" s="16">
        <v>49940</v>
      </c>
      <c r="L1077" s="16">
        <v>150880</v>
      </c>
      <c r="M1077" s="17">
        <f>Table1[[#This Row],[Billing Rate Charges]]-Table1[[#This Row],[ LORRY RATE ]]</f>
        <v>100940</v>
      </c>
      <c r="N1077" s="17"/>
      <c r="O1077" s="17">
        <f>Table1[[#This Row],[ LORRY RATE ]]-Table1[[#This Row],[Adance Paid (INR)]]</f>
        <v>49940</v>
      </c>
      <c r="P1077" s="17" t="s">
        <v>147</v>
      </c>
      <c r="Q1077" s="18" t="s">
        <v>685</v>
      </c>
      <c r="R1077" s="17"/>
      <c r="S1077" s="18" t="s">
        <v>3602</v>
      </c>
      <c r="T1077" s="18" t="s">
        <v>3602</v>
      </c>
      <c r="U1077" s="15" t="s">
        <v>54</v>
      </c>
      <c r="V1077" s="15" t="s">
        <v>3561</v>
      </c>
      <c r="W1077" s="15"/>
    </row>
    <row r="1078" spans="1:23" hidden="1" x14ac:dyDescent="0.3">
      <c r="A1078" s="15">
        <v>975</v>
      </c>
      <c r="B1078" s="15" t="s">
        <v>3555</v>
      </c>
      <c r="C1078" s="19">
        <v>46244</v>
      </c>
      <c r="D1078" s="19" t="s">
        <v>56</v>
      </c>
      <c r="E1078" s="21" t="s">
        <v>1644</v>
      </c>
      <c r="F1078" s="21">
        <v>9935813519</v>
      </c>
      <c r="G1078" s="15" t="s">
        <v>6</v>
      </c>
      <c r="H1078" s="15" t="s">
        <v>1874</v>
      </c>
      <c r="I1078" s="15" t="s">
        <v>3619</v>
      </c>
      <c r="J1078" s="15" t="s">
        <v>172</v>
      </c>
      <c r="K1078" s="16">
        <v>44680</v>
      </c>
      <c r="L1078" s="16">
        <v>60480</v>
      </c>
      <c r="M1078" s="17">
        <f>Table1[[#This Row],[Billing Rate Charges]]-Table1[[#This Row],[ LORRY RATE ]]</f>
        <v>15800</v>
      </c>
      <c r="N1078" s="17">
        <v>44680</v>
      </c>
      <c r="O1078" s="17">
        <f>Table1[[#This Row],[ LORRY RATE ]]-Table1[[#This Row],[Adance Paid (INR)]]</f>
        <v>0</v>
      </c>
      <c r="P1078" s="17" t="s">
        <v>147</v>
      </c>
      <c r="Q1078" s="18" t="s">
        <v>686</v>
      </c>
      <c r="R1078" s="17"/>
      <c r="S1078" s="18" t="s">
        <v>3607</v>
      </c>
      <c r="T1078" s="18" t="s">
        <v>3607</v>
      </c>
      <c r="U1078" s="15" t="s">
        <v>54</v>
      </c>
      <c r="V1078" s="15" t="s">
        <v>56</v>
      </c>
      <c r="W1078" s="15"/>
    </row>
    <row r="1079" spans="1:23" hidden="1" x14ac:dyDescent="0.3">
      <c r="A1079" s="15">
        <v>976</v>
      </c>
      <c r="B1079" s="15" t="s">
        <v>3555</v>
      </c>
      <c r="C1079" s="19">
        <v>46245</v>
      </c>
      <c r="D1079" s="19" t="s">
        <v>56</v>
      </c>
      <c r="E1079" s="15" t="s">
        <v>3114</v>
      </c>
      <c r="F1079" s="15">
        <v>9472230553</v>
      </c>
      <c r="G1079" s="15" t="s">
        <v>6</v>
      </c>
      <c r="H1079" s="15" t="s">
        <v>3620</v>
      </c>
      <c r="I1079" s="15" t="s">
        <v>3621</v>
      </c>
      <c r="J1079" s="15" t="s">
        <v>172</v>
      </c>
      <c r="K1079" s="16">
        <v>45630</v>
      </c>
      <c r="L1079" s="16">
        <v>66780</v>
      </c>
      <c r="M1079" s="17">
        <f>Table1[[#This Row],[Billing Rate Charges]]-Table1[[#This Row],[ LORRY RATE ]]</f>
        <v>21150</v>
      </c>
      <c r="N1079" s="17">
        <v>45630</v>
      </c>
      <c r="O1079" s="17">
        <f>Table1[[#This Row],[ LORRY RATE ]]-Table1[[#This Row],[Adance Paid (INR)]]</f>
        <v>0</v>
      </c>
      <c r="P1079" s="17" t="s">
        <v>147</v>
      </c>
      <c r="Q1079" s="18" t="s">
        <v>687</v>
      </c>
      <c r="R1079" s="17"/>
      <c r="S1079" s="18" t="s">
        <v>3607</v>
      </c>
      <c r="T1079" s="18" t="s">
        <v>3607</v>
      </c>
      <c r="U1079" s="15" t="s">
        <v>54</v>
      </c>
      <c r="V1079" s="15" t="s">
        <v>56</v>
      </c>
      <c r="W1079" s="15"/>
    </row>
    <row r="1080" spans="1:23" hidden="1" x14ac:dyDescent="0.3">
      <c r="A1080" s="15">
        <v>977</v>
      </c>
      <c r="B1080" s="15" t="s">
        <v>3555</v>
      </c>
      <c r="C1080" s="19">
        <v>46246</v>
      </c>
      <c r="D1080" s="19" t="s">
        <v>56</v>
      </c>
      <c r="E1080" s="15" t="s">
        <v>1637</v>
      </c>
      <c r="F1080" s="15">
        <v>9025368773</v>
      </c>
      <c r="G1080" s="15" t="s">
        <v>1537</v>
      </c>
      <c r="H1080" s="15" t="s">
        <v>3628</v>
      </c>
      <c r="I1080" s="15" t="s">
        <v>6</v>
      </c>
      <c r="J1080" s="15" t="s">
        <v>172</v>
      </c>
      <c r="K1080" s="16">
        <v>55830</v>
      </c>
      <c r="L1080" s="16">
        <v>134820</v>
      </c>
      <c r="M1080" s="17">
        <f>Table1[[#This Row],[Billing Rate Charges]]-Table1[[#This Row],[ LORRY RATE ]]</f>
        <v>78990</v>
      </c>
      <c r="N1080" s="17">
        <v>55830</v>
      </c>
      <c r="O1080" s="17">
        <f>Table1[[#This Row],[ LORRY RATE ]]-Table1[[#This Row],[Adance Paid (INR)]]</f>
        <v>0</v>
      </c>
      <c r="P1080" s="17" t="s">
        <v>147</v>
      </c>
      <c r="Q1080" s="18" t="s">
        <v>672</v>
      </c>
      <c r="R1080" s="17"/>
      <c r="S1080" s="18" t="s">
        <v>3608</v>
      </c>
      <c r="T1080" s="18" t="s">
        <v>3608</v>
      </c>
      <c r="U1080" s="15" t="s">
        <v>54</v>
      </c>
      <c r="V1080" s="15" t="s">
        <v>56</v>
      </c>
      <c r="W1080" s="15"/>
    </row>
    <row r="1081" spans="1:23" hidden="1" x14ac:dyDescent="0.3">
      <c r="A1081" s="15">
        <v>978</v>
      </c>
      <c r="B1081" s="15" t="s">
        <v>3555</v>
      </c>
      <c r="C1081" s="19">
        <v>46246</v>
      </c>
      <c r="D1081" s="19" t="s">
        <v>56</v>
      </c>
      <c r="E1081" s="15" t="s">
        <v>3065</v>
      </c>
      <c r="F1081" s="15">
        <v>9589264337</v>
      </c>
      <c r="G1081" s="15" t="s">
        <v>1093</v>
      </c>
      <c r="H1081" s="15" t="s">
        <v>3630</v>
      </c>
      <c r="I1081" s="15" t="s">
        <v>6</v>
      </c>
      <c r="J1081" s="15" t="s">
        <v>172</v>
      </c>
      <c r="K1081" s="16">
        <v>57300</v>
      </c>
      <c r="L1081" s="16">
        <v>144580</v>
      </c>
      <c r="M1081" s="17">
        <f>Table1[[#This Row],[Billing Rate Charges]]-Table1[[#This Row],[ LORRY RATE ]]</f>
        <v>87280</v>
      </c>
      <c r="N1081" s="17">
        <v>57300</v>
      </c>
      <c r="O1081" s="17">
        <f>Table1[[#This Row],[ LORRY RATE ]]-Table1[[#This Row],[Adance Paid (INR)]]</f>
        <v>0</v>
      </c>
      <c r="P1081" s="17" t="s">
        <v>147</v>
      </c>
      <c r="Q1081" s="18" t="s">
        <v>666</v>
      </c>
      <c r="R1081" s="17"/>
      <c r="S1081" s="18" t="s">
        <v>3648</v>
      </c>
      <c r="T1081" s="18" t="s">
        <v>3648</v>
      </c>
      <c r="U1081" s="15" t="s">
        <v>54</v>
      </c>
      <c r="V1081" s="15" t="s">
        <v>56</v>
      </c>
      <c r="W1081" s="15"/>
    </row>
    <row r="1082" spans="1:23" hidden="1" x14ac:dyDescent="0.3">
      <c r="A1082" s="15">
        <v>979</v>
      </c>
      <c r="B1082" s="15" t="s">
        <v>3555</v>
      </c>
      <c r="C1082" s="19">
        <v>46246</v>
      </c>
      <c r="D1082" s="19" t="s">
        <v>56</v>
      </c>
      <c r="E1082" s="15" t="s">
        <v>1635</v>
      </c>
      <c r="F1082" s="15">
        <v>9995059254</v>
      </c>
      <c r="G1082" s="15" t="s">
        <v>6</v>
      </c>
      <c r="H1082" s="15" t="s">
        <v>1874</v>
      </c>
      <c r="I1082" s="15" t="s">
        <v>3622</v>
      </c>
      <c r="J1082" s="15" t="s">
        <v>172</v>
      </c>
      <c r="K1082" s="16">
        <v>44680</v>
      </c>
      <c r="L1082" s="16">
        <v>60480</v>
      </c>
      <c r="M1082" s="17">
        <f>Table1[[#This Row],[Billing Rate Charges]]-Table1[[#This Row],[ LORRY RATE ]]</f>
        <v>15800</v>
      </c>
      <c r="N1082" s="17">
        <v>44680</v>
      </c>
      <c r="O1082" s="17">
        <f>Table1[[#This Row],[ LORRY RATE ]]-Table1[[#This Row],[Adance Paid (INR)]]</f>
        <v>0</v>
      </c>
      <c r="P1082" s="17" t="s">
        <v>147</v>
      </c>
      <c r="Q1082" s="18" t="s">
        <v>688</v>
      </c>
      <c r="R1082" s="17"/>
      <c r="S1082" s="18" t="s">
        <v>3608</v>
      </c>
      <c r="T1082" s="18" t="s">
        <v>3608</v>
      </c>
      <c r="U1082" s="15" t="s">
        <v>54</v>
      </c>
      <c r="V1082" s="15" t="s">
        <v>56</v>
      </c>
      <c r="W1082" s="15"/>
    </row>
    <row r="1083" spans="1:23" hidden="1" x14ac:dyDescent="0.3">
      <c r="A1083" s="15">
        <v>980</v>
      </c>
      <c r="B1083" s="15" t="s">
        <v>3555</v>
      </c>
      <c r="C1083" s="19">
        <v>46246</v>
      </c>
      <c r="D1083" s="19" t="s">
        <v>56</v>
      </c>
      <c r="E1083" s="15" t="s">
        <v>1641</v>
      </c>
      <c r="F1083" s="15">
        <v>9486716172</v>
      </c>
      <c r="G1083" s="15" t="s">
        <v>6</v>
      </c>
      <c r="H1083" s="15" t="s">
        <v>3623</v>
      </c>
      <c r="I1083" s="15" t="s">
        <v>3624</v>
      </c>
      <c r="J1083" s="15" t="s">
        <v>172</v>
      </c>
      <c r="K1083" s="16">
        <v>45630</v>
      </c>
      <c r="L1083" s="16">
        <v>66780</v>
      </c>
      <c r="M1083" s="17">
        <f>Table1[[#This Row],[Billing Rate Charges]]-Table1[[#This Row],[ LORRY RATE ]]</f>
        <v>21150</v>
      </c>
      <c r="N1083" s="17">
        <v>45630</v>
      </c>
      <c r="O1083" s="17">
        <f>Table1[[#This Row],[ LORRY RATE ]]-Table1[[#This Row],[Adance Paid (INR)]]</f>
        <v>0</v>
      </c>
      <c r="P1083" s="17" t="s">
        <v>147</v>
      </c>
      <c r="Q1083" s="18" t="s">
        <v>671</v>
      </c>
      <c r="R1083" s="17"/>
      <c r="S1083" s="18" t="s">
        <v>3648</v>
      </c>
      <c r="T1083" s="18" t="s">
        <v>3648</v>
      </c>
      <c r="U1083" s="15" t="s">
        <v>54</v>
      </c>
      <c r="V1083" s="15" t="s">
        <v>56</v>
      </c>
      <c r="W1083" s="15"/>
    </row>
    <row r="1084" spans="1:23" hidden="1" x14ac:dyDescent="0.3">
      <c r="A1084" s="15">
        <v>981</v>
      </c>
      <c r="B1084" s="15" t="s">
        <v>3555</v>
      </c>
      <c r="C1084" s="19">
        <v>46248</v>
      </c>
      <c r="D1084" s="19" t="s">
        <v>56</v>
      </c>
      <c r="E1084" s="15" t="s">
        <v>2859</v>
      </c>
      <c r="F1084" s="15">
        <v>9902798068</v>
      </c>
      <c r="G1084" s="15" t="s">
        <v>1093</v>
      </c>
      <c r="H1084" s="15" t="s">
        <v>3631</v>
      </c>
      <c r="I1084" s="15" t="s">
        <v>6</v>
      </c>
      <c r="J1084" s="15" t="s">
        <v>172</v>
      </c>
      <c r="K1084" s="16">
        <v>58240</v>
      </c>
      <c r="L1084" s="16">
        <v>150880</v>
      </c>
      <c r="M1084" s="17">
        <f>Table1[[#This Row],[Billing Rate Charges]]-Table1[[#This Row],[ LORRY RATE ]]</f>
        <v>92640</v>
      </c>
      <c r="N1084" s="17">
        <v>58240</v>
      </c>
      <c r="O1084" s="17">
        <f>Table1[[#This Row],[ LORRY RATE ]]-Table1[[#This Row],[Adance Paid (INR)]]</f>
        <v>0</v>
      </c>
      <c r="P1084" s="17" t="s">
        <v>147</v>
      </c>
      <c r="Q1084" s="18" t="s">
        <v>693</v>
      </c>
      <c r="R1084" s="17"/>
      <c r="S1084" s="18" t="s">
        <v>3649</v>
      </c>
      <c r="T1084" s="18" t="s">
        <v>3650</v>
      </c>
      <c r="U1084" s="15" t="s">
        <v>54</v>
      </c>
      <c r="V1084" s="15" t="s">
        <v>56</v>
      </c>
      <c r="W1084" s="15"/>
    </row>
    <row r="1085" spans="1:23" hidden="1" x14ac:dyDescent="0.3">
      <c r="A1085" s="15">
        <v>982</v>
      </c>
      <c r="B1085" s="15" t="s">
        <v>3555</v>
      </c>
      <c r="C1085" s="19">
        <v>46248</v>
      </c>
      <c r="D1085" s="19" t="s">
        <v>56</v>
      </c>
      <c r="E1085" s="21" t="s">
        <v>3114</v>
      </c>
      <c r="F1085" s="21">
        <v>9472230553</v>
      </c>
      <c r="G1085" s="15" t="s">
        <v>1093</v>
      </c>
      <c r="H1085" s="15" t="s">
        <v>3634</v>
      </c>
      <c r="I1085" s="15" t="s">
        <v>6</v>
      </c>
      <c r="J1085" s="15" t="s">
        <v>172</v>
      </c>
      <c r="K1085" s="16">
        <v>57300</v>
      </c>
      <c r="L1085" s="16">
        <v>144580</v>
      </c>
      <c r="M1085" s="17">
        <f>Table1[[#This Row],[Billing Rate Charges]]-Table1[[#This Row],[ LORRY RATE ]]</f>
        <v>87280</v>
      </c>
      <c r="N1085" s="17">
        <v>57300</v>
      </c>
      <c r="O1085" s="17">
        <f>Table1[[#This Row],[ LORRY RATE ]]-Table1[[#This Row],[Adance Paid (INR)]]</f>
        <v>0</v>
      </c>
      <c r="P1085" s="17" t="s">
        <v>147</v>
      </c>
      <c r="Q1085" s="18" t="s">
        <v>742</v>
      </c>
      <c r="R1085" s="17"/>
      <c r="S1085" s="18" t="s">
        <v>3652</v>
      </c>
      <c r="T1085" s="18" t="s">
        <v>3652</v>
      </c>
      <c r="U1085" s="15" t="s">
        <v>54</v>
      </c>
      <c r="V1085" s="15" t="s">
        <v>56</v>
      </c>
      <c r="W1085" s="15"/>
    </row>
    <row r="1086" spans="1:23" hidden="1" x14ac:dyDescent="0.3">
      <c r="A1086" s="15">
        <v>983</v>
      </c>
      <c r="B1086" s="15" t="s">
        <v>3555</v>
      </c>
      <c r="C1086" s="19">
        <v>46248</v>
      </c>
      <c r="D1086" s="19" t="s">
        <v>56</v>
      </c>
      <c r="E1086" s="21" t="s">
        <v>1644</v>
      </c>
      <c r="F1086" s="21">
        <v>9935813519</v>
      </c>
      <c r="G1086" s="15" t="s">
        <v>1537</v>
      </c>
      <c r="H1086" s="15" t="s">
        <v>3633</v>
      </c>
      <c r="I1086" s="15" t="s">
        <v>6</v>
      </c>
      <c r="J1086" s="15" t="s">
        <v>172</v>
      </c>
      <c r="K1086" s="16">
        <v>54890</v>
      </c>
      <c r="L1086" s="16">
        <v>128520</v>
      </c>
      <c r="M1086" s="17">
        <f>Table1[[#This Row],[Billing Rate Charges]]-Table1[[#This Row],[ LORRY RATE ]]</f>
        <v>73630</v>
      </c>
      <c r="N1086" s="17">
        <v>54890</v>
      </c>
      <c r="O1086" s="17">
        <f>Table1[[#This Row],[ LORRY RATE ]]-Table1[[#This Row],[Adance Paid (INR)]]</f>
        <v>0</v>
      </c>
      <c r="P1086" s="17" t="s">
        <v>147</v>
      </c>
      <c r="Q1086" s="18" t="s">
        <v>744</v>
      </c>
      <c r="R1086" s="17"/>
      <c r="S1086" s="18" t="s">
        <v>3652</v>
      </c>
      <c r="T1086" s="18" t="s">
        <v>3652</v>
      </c>
      <c r="U1086" s="15" t="s">
        <v>54</v>
      </c>
      <c r="V1086" s="15" t="s">
        <v>56</v>
      </c>
      <c r="W1086" s="15"/>
    </row>
    <row r="1087" spans="1:23" hidden="1" x14ac:dyDescent="0.3">
      <c r="A1087" s="15">
        <v>984</v>
      </c>
      <c r="B1087" s="15" t="s">
        <v>3555</v>
      </c>
      <c r="C1087" s="19">
        <v>46248</v>
      </c>
      <c r="D1087" s="19" t="s">
        <v>56</v>
      </c>
      <c r="E1087" s="21" t="s">
        <v>60</v>
      </c>
      <c r="F1087" s="21">
        <v>9040208667</v>
      </c>
      <c r="G1087" s="15" t="s">
        <v>6</v>
      </c>
      <c r="H1087" s="15" t="s">
        <v>3637</v>
      </c>
      <c r="I1087" s="15" t="s">
        <v>3638</v>
      </c>
      <c r="J1087" s="15" t="s">
        <v>172</v>
      </c>
      <c r="K1087" s="16">
        <v>45630</v>
      </c>
      <c r="L1087" s="16">
        <v>66780</v>
      </c>
      <c r="M1087" s="17">
        <f>Table1[[#This Row],[Billing Rate Charges]]-Table1[[#This Row],[ LORRY RATE ]]</f>
        <v>21150</v>
      </c>
      <c r="N1087" s="17">
        <v>45630</v>
      </c>
      <c r="O1087" s="17">
        <f>Table1[[#This Row],[ LORRY RATE ]]-Table1[[#This Row],[Adance Paid (INR)]]</f>
        <v>0</v>
      </c>
      <c r="P1087" s="17" t="s">
        <v>147</v>
      </c>
      <c r="Q1087" s="18" t="s">
        <v>745</v>
      </c>
      <c r="R1087" s="17"/>
      <c r="S1087" s="18" t="s">
        <v>3651</v>
      </c>
      <c r="T1087" s="18" t="s">
        <v>3651</v>
      </c>
      <c r="U1087" s="15" t="s">
        <v>54</v>
      </c>
      <c r="V1087" s="15" t="s">
        <v>56</v>
      </c>
      <c r="W1087" s="15"/>
    </row>
    <row r="1088" spans="1:23" hidden="1" x14ac:dyDescent="0.3">
      <c r="A1088" s="15">
        <v>985</v>
      </c>
      <c r="B1088" s="15" t="s">
        <v>3555</v>
      </c>
      <c r="C1088" s="19">
        <v>46248</v>
      </c>
      <c r="D1088" s="19" t="s">
        <v>56</v>
      </c>
      <c r="E1088" s="21" t="s">
        <v>1637</v>
      </c>
      <c r="F1088" s="21">
        <v>9025368773</v>
      </c>
      <c r="G1088" s="15" t="s">
        <v>6</v>
      </c>
      <c r="H1088" s="15" t="s">
        <v>3642</v>
      </c>
      <c r="I1088" s="15" t="s">
        <v>6</v>
      </c>
      <c r="J1088" s="15" t="s">
        <v>172</v>
      </c>
      <c r="K1088" s="16">
        <v>48130</v>
      </c>
      <c r="L1088" s="16">
        <v>83480</v>
      </c>
      <c r="M1088" s="17">
        <f>Table1[[#This Row],[Billing Rate Charges]]-Table1[[#This Row],[ LORRY RATE ]]</f>
        <v>35350</v>
      </c>
      <c r="N1088" s="17">
        <v>48130</v>
      </c>
      <c r="O1088" s="17">
        <f>Table1[[#This Row],[ LORRY RATE ]]-Table1[[#This Row],[Adance Paid (INR)]]</f>
        <v>0</v>
      </c>
      <c r="P1088" s="17" t="s">
        <v>147</v>
      </c>
      <c r="Q1088" s="18" t="s">
        <v>746</v>
      </c>
      <c r="R1088" s="17"/>
      <c r="S1088" s="18" t="s">
        <v>3651</v>
      </c>
      <c r="T1088" s="18" t="s">
        <v>3651</v>
      </c>
      <c r="U1088" s="15" t="s">
        <v>54</v>
      </c>
      <c r="V1088" s="15" t="s">
        <v>56</v>
      </c>
      <c r="W1088" s="15"/>
    </row>
    <row r="1089" spans="1:23" hidden="1" x14ac:dyDescent="0.3">
      <c r="A1089" s="15">
        <v>986</v>
      </c>
      <c r="B1089" s="15" t="s">
        <v>3555</v>
      </c>
      <c r="C1089" s="19">
        <v>46251</v>
      </c>
      <c r="D1089" s="19" t="s">
        <v>56</v>
      </c>
      <c r="E1089" s="21" t="s">
        <v>3065</v>
      </c>
      <c r="F1089" s="21">
        <v>9589264337</v>
      </c>
      <c r="G1089" s="15" t="s">
        <v>6</v>
      </c>
      <c r="H1089" s="15" t="s">
        <v>3636</v>
      </c>
      <c r="I1089" s="15" t="s">
        <v>3639</v>
      </c>
      <c r="J1089" s="15" t="s">
        <v>172</v>
      </c>
      <c r="K1089" s="16">
        <v>45630</v>
      </c>
      <c r="L1089" s="16">
        <v>66780</v>
      </c>
      <c r="M1089" s="17">
        <f>Table1[[#This Row],[Billing Rate Charges]]-Table1[[#This Row],[ LORRY RATE ]]</f>
        <v>21150</v>
      </c>
      <c r="N1089" s="17">
        <v>45630</v>
      </c>
      <c r="O1089" s="17">
        <f>Table1[[#This Row],[ LORRY RATE ]]-Table1[[#This Row],[Adance Paid (INR)]]</f>
        <v>0</v>
      </c>
      <c r="P1089" s="17" t="s">
        <v>147</v>
      </c>
      <c r="Q1089" s="18" t="s">
        <v>747</v>
      </c>
      <c r="R1089" s="17"/>
      <c r="S1089" s="18" t="s">
        <v>3649</v>
      </c>
      <c r="T1089" s="18" t="s">
        <v>3650</v>
      </c>
      <c r="U1089" s="15" t="s">
        <v>54</v>
      </c>
      <c r="V1089" s="15" t="s">
        <v>56</v>
      </c>
      <c r="W1089" s="15"/>
    </row>
    <row r="1090" spans="1:23" hidden="1" x14ac:dyDescent="0.3">
      <c r="A1090" s="15">
        <v>987</v>
      </c>
      <c r="B1090" s="15" t="s">
        <v>3555</v>
      </c>
      <c r="C1090" s="19">
        <v>46251</v>
      </c>
      <c r="D1090" s="19" t="s">
        <v>56</v>
      </c>
      <c r="E1090" s="21" t="s">
        <v>3112</v>
      </c>
      <c r="F1090" s="21">
        <v>9902798068</v>
      </c>
      <c r="G1090" s="15" t="s">
        <v>6</v>
      </c>
      <c r="H1090" s="15" t="s">
        <v>1874</v>
      </c>
      <c r="I1090" s="15" t="s">
        <v>3640</v>
      </c>
      <c r="J1090" s="15" t="s">
        <v>172</v>
      </c>
      <c r="K1090" s="16">
        <v>44680</v>
      </c>
      <c r="L1090" s="16">
        <v>60480</v>
      </c>
      <c r="M1090" s="17">
        <f>Table1[[#This Row],[Billing Rate Charges]]-Table1[[#This Row],[ LORRY RATE ]]</f>
        <v>15800</v>
      </c>
      <c r="N1090" s="17">
        <v>44680</v>
      </c>
      <c r="O1090" s="17">
        <f>Table1[[#This Row],[ LORRY RATE ]]-Table1[[#This Row],[Adance Paid (INR)]]</f>
        <v>0</v>
      </c>
      <c r="P1090" s="17" t="s">
        <v>147</v>
      </c>
      <c r="Q1090" s="18" t="s">
        <v>748</v>
      </c>
      <c r="R1090" s="17"/>
      <c r="S1090" s="18" t="s">
        <v>3649</v>
      </c>
      <c r="T1090" s="18" t="s">
        <v>3650</v>
      </c>
      <c r="U1090" s="15" t="s">
        <v>54</v>
      </c>
      <c r="V1090" s="15" t="s">
        <v>56</v>
      </c>
      <c r="W1090" s="15"/>
    </row>
    <row r="1091" spans="1:23" hidden="1" x14ac:dyDescent="0.3">
      <c r="A1091" s="15">
        <v>988</v>
      </c>
      <c r="B1091" s="15" t="s">
        <v>3555</v>
      </c>
      <c r="C1091" s="19">
        <v>46252</v>
      </c>
      <c r="D1091" s="19" t="s">
        <v>56</v>
      </c>
      <c r="E1091" s="21" t="s">
        <v>3114</v>
      </c>
      <c r="F1091" s="21">
        <v>9472230553</v>
      </c>
      <c r="G1091" s="15" t="s">
        <v>6</v>
      </c>
      <c r="H1091" s="15" t="s">
        <v>3641</v>
      </c>
      <c r="I1091" s="15" t="s">
        <v>3643</v>
      </c>
      <c r="J1091" s="15" t="s">
        <v>172</v>
      </c>
      <c r="K1091" s="16">
        <v>45630</v>
      </c>
      <c r="L1091" s="16">
        <v>66780</v>
      </c>
      <c r="M1091" s="17">
        <f>Table1[[#This Row],[Billing Rate Charges]]-Table1[[#This Row],[ LORRY RATE ]]</f>
        <v>21150</v>
      </c>
      <c r="N1091" s="17">
        <v>45630</v>
      </c>
      <c r="O1091" s="17">
        <f>Table1[[#This Row],[ LORRY RATE ]]-Table1[[#This Row],[Adance Paid (INR)]]</f>
        <v>0</v>
      </c>
      <c r="P1091" s="17" t="s">
        <v>147</v>
      </c>
      <c r="Q1091" s="18" t="s">
        <v>750</v>
      </c>
      <c r="R1091" s="17"/>
      <c r="S1091" s="18" t="s">
        <v>3649</v>
      </c>
      <c r="T1091" s="18" t="s">
        <v>3649</v>
      </c>
      <c r="U1091" s="15" t="s">
        <v>54</v>
      </c>
      <c r="V1091" s="15" t="s">
        <v>56</v>
      </c>
      <c r="W1091" s="15"/>
    </row>
    <row r="1092" spans="1:23" hidden="1" x14ac:dyDescent="0.3">
      <c r="A1092" s="15">
        <v>989</v>
      </c>
      <c r="B1092" s="15" t="s">
        <v>3555</v>
      </c>
      <c r="C1092" s="19">
        <v>46252</v>
      </c>
      <c r="D1092" s="19" t="s">
        <v>56</v>
      </c>
      <c r="E1092" s="21" t="s">
        <v>1635</v>
      </c>
      <c r="F1092" s="21">
        <v>9793531306</v>
      </c>
      <c r="G1092" s="15" t="s">
        <v>1093</v>
      </c>
      <c r="H1092" s="15" t="s">
        <v>3632</v>
      </c>
      <c r="I1092" s="15" t="s">
        <v>6</v>
      </c>
      <c r="J1092" s="15" t="s">
        <v>172</v>
      </c>
      <c r="K1092" s="16">
        <v>57300</v>
      </c>
      <c r="L1092" s="16">
        <v>144580</v>
      </c>
      <c r="M1092" s="17">
        <f>Table1[[#This Row],[Billing Rate Charges]]-Table1[[#This Row],[ LORRY RATE ]]</f>
        <v>87280</v>
      </c>
      <c r="N1092" s="17">
        <v>57300</v>
      </c>
      <c r="O1092" s="17">
        <f>Table1[[#This Row],[ LORRY RATE ]]-Table1[[#This Row],[Adance Paid (INR)]]</f>
        <v>0</v>
      </c>
      <c r="P1092" s="17" t="s">
        <v>147</v>
      </c>
      <c r="Q1092" s="18" t="s">
        <v>743</v>
      </c>
      <c r="R1092" s="17"/>
      <c r="S1092" s="18" t="s">
        <v>3650</v>
      </c>
      <c r="T1092" s="18" t="s">
        <v>3650</v>
      </c>
      <c r="U1092" s="15" t="s">
        <v>54</v>
      </c>
      <c r="V1092" s="15" t="s">
        <v>56</v>
      </c>
      <c r="W1092" s="15"/>
    </row>
    <row r="1093" spans="1:23" hidden="1" x14ac:dyDescent="0.3">
      <c r="A1093" s="15">
        <v>990</v>
      </c>
      <c r="B1093" s="15" t="s">
        <v>3555</v>
      </c>
      <c r="C1093" s="19">
        <v>46253</v>
      </c>
      <c r="D1093" s="19" t="s">
        <v>56</v>
      </c>
      <c r="E1093" s="21" t="s">
        <v>3122</v>
      </c>
      <c r="F1093" s="21">
        <v>9281983602</v>
      </c>
      <c r="G1093" s="15" t="s">
        <v>6</v>
      </c>
      <c r="H1093" s="15" t="s">
        <v>3644</v>
      </c>
      <c r="I1093" s="15" t="s">
        <v>3645</v>
      </c>
      <c r="J1093" s="15" t="s">
        <v>172</v>
      </c>
      <c r="K1093" s="16">
        <v>45630</v>
      </c>
      <c r="L1093" s="16">
        <v>66780</v>
      </c>
      <c r="M1093" s="17">
        <f>Table1[[#This Row],[Billing Rate Charges]]-Table1[[#This Row],[ LORRY RATE ]]</f>
        <v>21150</v>
      </c>
      <c r="N1093" s="17">
        <v>45630</v>
      </c>
      <c r="O1093" s="17">
        <f>Table1[[#This Row],[ LORRY RATE ]]-Table1[[#This Row],[Adance Paid (INR)]]</f>
        <v>0</v>
      </c>
      <c r="P1093" s="17" t="s">
        <v>147</v>
      </c>
      <c r="Q1093" s="18" t="s">
        <v>751</v>
      </c>
      <c r="R1093" s="17"/>
      <c r="S1093" s="18" t="s">
        <v>3650</v>
      </c>
      <c r="T1093" s="18" t="s">
        <v>3653</v>
      </c>
      <c r="U1093" s="15" t="s">
        <v>54</v>
      </c>
      <c r="V1093" s="15" t="s">
        <v>56</v>
      </c>
      <c r="W1093" s="15"/>
    </row>
    <row r="1094" spans="1:23" hidden="1" x14ac:dyDescent="0.3">
      <c r="A1094" s="15">
        <v>991</v>
      </c>
      <c r="B1094" s="15" t="s">
        <v>3555</v>
      </c>
      <c r="C1094" s="19">
        <v>46254</v>
      </c>
      <c r="D1094" s="19" t="s">
        <v>56</v>
      </c>
      <c r="E1094" s="21" t="s">
        <v>1644</v>
      </c>
      <c r="F1094" s="21">
        <v>9935813519</v>
      </c>
      <c r="G1094" s="15" t="s">
        <v>6</v>
      </c>
      <c r="H1094" s="15" t="s">
        <v>3646</v>
      </c>
      <c r="I1094" s="15" t="s">
        <v>3647</v>
      </c>
      <c r="J1094" s="15" t="s">
        <v>172</v>
      </c>
      <c r="K1094" s="16">
        <v>45630</v>
      </c>
      <c r="L1094" s="16">
        <v>66780</v>
      </c>
      <c r="M1094" s="17">
        <f>Table1[[#This Row],[Billing Rate Charges]]-Table1[[#This Row],[ LORRY RATE ]]</f>
        <v>21150</v>
      </c>
      <c r="N1094" s="17">
        <v>45630</v>
      </c>
      <c r="O1094" s="17">
        <f>Table1[[#This Row],[ LORRY RATE ]]-Table1[[#This Row],[Adance Paid (INR)]]</f>
        <v>0</v>
      </c>
      <c r="P1094" s="17" t="s">
        <v>147</v>
      </c>
      <c r="Q1094" s="18" t="s">
        <v>752</v>
      </c>
      <c r="R1094" s="17"/>
      <c r="S1094" s="18" t="s">
        <v>3653</v>
      </c>
      <c r="T1094" s="18" t="s">
        <v>3653</v>
      </c>
      <c r="U1094" s="15" t="s">
        <v>54</v>
      </c>
      <c r="V1094" s="15" t="s">
        <v>56</v>
      </c>
      <c r="W1094" s="15"/>
    </row>
    <row r="1095" spans="1:23" hidden="1" x14ac:dyDescent="0.3">
      <c r="A1095" s="15">
        <v>992</v>
      </c>
      <c r="B1095" s="15" t="s">
        <v>3555</v>
      </c>
      <c r="C1095" s="19">
        <v>46255</v>
      </c>
      <c r="D1095" s="19" t="s">
        <v>56</v>
      </c>
      <c r="E1095" s="21" t="s">
        <v>1641</v>
      </c>
      <c r="F1095" s="21">
        <v>9486716172</v>
      </c>
      <c r="G1095" s="15" t="s">
        <v>1093</v>
      </c>
      <c r="H1095" s="15" t="s">
        <v>3635</v>
      </c>
      <c r="I1095" s="15" t="s">
        <v>6</v>
      </c>
      <c r="J1095" s="15" t="s">
        <v>172</v>
      </c>
      <c r="K1095" s="16">
        <v>59190</v>
      </c>
      <c r="L1095" s="16">
        <v>157180</v>
      </c>
      <c r="M1095" s="17">
        <f>Table1[[#This Row],[Billing Rate Charges]]-Table1[[#This Row],[ LORRY RATE ]]</f>
        <v>97990</v>
      </c>
      <c r="N1095" s="17">
        <v>59190</v>
      </c>
      <c r="O1095" s="17">
        <f>Table1[[#This Row],[ LORRY RATE ]]-Table1[[#This Row],[Adance Paid (INR)]]</f>
        <v>0</v>
      </c>
      <c r="P1095" s="17" t="s">
        <v>147</v>
      </c>
      <c r="Q1095" s="18" t="s">
        <v>753</v>
      </c>
      <c r="R1095" s="17"/>
      <c r="S1095" s="18" t="s">
        <v>3654</v>
      </c>
      <c r="T1095" s="18" t="s">
        <v>3654</v>
      </c>
      <c r="U1095" s="15" t="s">
        <v>54</v>
      </c>
      <c r="V1095" s="15" t="s">
        <v>56</v>
      </c>
      <c r="W1095" s="15"/>
    </row>
    <row r="1096" spans="1:23" hidden="1" x14ac:dyDescent="0.3">
      <c r="A1096" s="15">
        <v>993</v>
      </c>
      <c r="B1096" s="15" t="s">
        <v>3555</v>
      </c>
      <c r="C1096" s="19">
        <v>46256</v>
      </c>
      <c r="D1096" s="19" t="s">
        <v>56</v>
      </c>
      <c r="E1096" s="21" t="s">
        <v>1635</v>
      </c>
      <c r="F1096" s="21">
        <v>9995059254</v>
      </c>
      <c r="G1096" s="15" t="s">
        <v>6</v>
      </c>
      <c r="H1096" s="15" t="s">
        <v>3671</v>
      </c>
      <c r="I1096" s="15" t="s">
        <v>3672</v>
      </c>
      <c r="J1096" s="15" t="s">
        <v>172</v>
      </c>
      <c r="K1096" s="16">
        <v>45630</v>
      </c>
      <c r="L1096" s="16">
        <v>66780</v>
      </c>
      <c r="M1096" s="17">
        <f>Table1[[#This Row],[Billing Rate Charges]]-Table1[[#This Row],[ LORRY RATE ]]</f>
        <v>21150</v>
      </c>
      <c r="N1096" s="17">
        <v>45630</v>
      </c>
      <c r="O1096" s="17">
        <f>Table1[[#This Row],[ LORRY RATE ]]-Table1[[#This Row],[Adance Paid (INR)]]</f>
        <v>0</v>
      </c>
      <c r="P1096" s="17" t="s">
        <v>147</v>
      </c>
      <c r="Q1096" s="18" t="s">
        <v>816</v>
      </c>
      <c r="R1096" s="17"/>
      <c r="S1096" s="18" t="s">
        <v>3655</v>
      </c>
      <c r="T1096" s="18" t="s">
        <v>3655</v>
      </c>
      <c r="U1096" s="15" t="s">
        <v>54</v>
      </c>
      <c r="V1096" s="15" t="s">
        <v>56</v>
      </c>
      <c r="W1096" s="15"/>
    </row>
    <row r="1097" spans="1:23" hidden="1" x14ac:dyDescent="0.3">
      <c r="A1097" s="15">
        <v>994</v>
      </c>
      <c r="B1097" s="15" t="s">
        <v>3555</v>
      </c>
      <c r="C1097" s="19">
        <v>46257</v>
      </c>
      <c r="D1097" s="19" t="s">
        <v>56</v>
      </c>
      <c r="E1097" s="21" t="s">
        <v>3114</v>
      </c>
      <c r="F1097" s="21">
        <v>9902798068</v>
      </c>
      <c r="G1097" s="15" t="s">
        <v>1093</v>
      </c>
      <c r="H1097" s="15" t="s">
        <v>3685</v>
      </c>
      <c r="I1097" s="15" t="s">
        <v>6</v>
      </c>
      <c r="J1097" s="15" t="s">
        <v>172</v>
      </c>
      <c r="K1097" s="16">
        <v>57300</v>
      </c>
      <c r="L1097" s="16">
        <v>144580</v>
      </c>
      <c r="M1097" s="17">
        <f>Table1[[#This Row],[Billing Rate Charges]]-Table1[[#This Row],[ LORRY RATE ]]</f>
        <v>87280</v>
      </c>
      <c r="N1097" s="17">
        <v>57300</v>
      </c>
      <c r="O1097" s="17">
        <f>Table1[[#This Row],[ LORRY RATE ]]-Table1[[#This Row],[Adance Paid (INR)]]</f>
        <v>0</v>
      </c>
      <c r="P1097" s="17" t="s">
        <v>147</v>
      </c>
      <c r="Q1097" s="18" t="s">
        <v>813</v>
      </c>
      <c r="R1097" s="17"/>
      <c r="S1097" s="18" t="s">
        <v>3655</v>
      </c>
      <c r="T1097" s="18" t="s">
        <v>3655</v>
      </c>
      <c r="U1097" s="15" t="s">
        <v>54</v>
      </c>
      <c r="V1097" s="15" t="s">
        <v>56</v>
      </c>
      <c r="W1097" s="15"/>
    </row>
    <row r="1098" spans="1:23" hidden="1" x14ac:dyDescent="0.3">
      <c r="A1098" s="15">
        <v>995</v>
      </c>
      <c r="B1098" s="15" t="s">
        <v>3555</v>
      </c>
      <c r="C1098" s="19">
        <v>46257</v>
      </c>
      <c r="D1098" s="19" t="s">
        <v>56</v>
      </c>
      <c r="E1098" s="21" t="s">
        <v>60</v>
      </c>
      <c r="F1098" s="21">
        <v>9040208667</v>
      </c>
      <c r="G1098" s="15" t="s">
        <v>1093</v>
      </c>
      <c r="H1098" s="15" t="s">
        <v>3684</v>
      </c>
      <c r="I1098" s="15" t="s">
        <v>6</v>
      </c>
      <c r="J1098" s="15" t="s">
        <v>172</v>
      </c>
      <c r="K1098" s="16">
        <v>58240</v>
      </c>
      <c r="L1098" s="16">
        <v>150880</v>
      </c>
      <c r="M1098" s="17">
        <f>Table1[[#This Row],[Billing Rate Charges]]-Table1[[#This Row],[ LORRY RATE ]]</f>
        <v>92640</v>
      </c>
      <c r="N1098" s="17">
        <v>58240</v>
      </c>
      <c r="O1098" s="17">
        <f>Table1[[#This Row],[ LORRY RATE ]]-Table1[[#This Row],[Adance Paid (INR)]]</f>
        <v>0</v>
      </c>
      <c r="P1098" s="17" t="s">
        <v>147</v>
      </c>
      <c r="Q1098" s="18" t="s">
        <v>814</v>
      </c>
      <c r="R1098" s="17"/>
      <c r="S1098" s="18" t="s">
        <v>3655</v>
      </c>
      <c r="T1098" s="18" t="s">
        <v>3655</v>
      </c>
      <c r="U1098" s="15" t="s">
        <v>54</v>
      </c>
      <c r="V1098" s="15" t="s">
        <v>56</v>
      </c>
      <c r="W1098" s="15"/>
    </row>
    <row r="1099" spans="1:23" hidden="1" x14ac:dyDescent="0.3">
      <c r="A1099" s="15">
        <v>996</v>
      </c>
      <c r="B1099" s="15" t="s">
        <v>3555</v>
      </c>
      <c r="C1099" s="19">
        <v>46257</v>
      </c>
      <c r="D1099" s="19" t="s">
        <v>56</v>
      </c>
      <c r="E1099" s="21" t="s">
        <v>1637</v>
      </c>
      <c r="F1099" s="21">
        <v>9025368773</v>
      </c>
      <c r="G1099" s="15" t="s">
        <v>6</v>
      </c>
      <c r="H1099" s="15" t="s">
        <v>3673</v>
      </c>
      <c r="I1099" s="15" t="s">
        <v>3674</v>
      </c>
      <c r="J1099" s="15" t="s">
        <v>172</v>
      </c>
      <c r="K1099" s="16">
        <v>45630</v>
      </c>
      <c r="L1099" s="16">
        <v>66780</v>
      </c>
      <c r="M1099" s="17">
        <f>Table1[[#This Row],[Billing Rate Charges]]-Table1[[#This Row],[ LORRY RATE ]]</f>
        <v>21150</v>
      </c>
      <c r="N1099" s="17">
        <v>45630</v>
      </c>
      <c r="O1099" s="17">
        <f>Table1[[#This Row],[ LORRY RATE ]]-Table1[[#This Row],[Adance Paid (INR)]]</f>
        <v>0</v>
      </c>
      <c r="P1099" s="17" t="s">
        <v>147</v>
      </c>
      <c r="Q1099" s="18" t="s">
        <v>817</v>
      </c>
      <c r="R1099" s="17"/>
      <c r="S1099" s="18" t="s">
        <v>3656</v>
      </c>
      <c r="T1099" s="18" t="s">
        <v>3656</v>
      </c>
      <c r="U1099" s="15" t="s">
        <v>54</v>
      </c>
      <c r="V1099" s="15" t="s">
        <v>56</v>
      </c>
      <c r="W1099" s="15"/>
    </row>
    <row r="1100" spans="1:23" hidden="1" x14ac:dyDescent="0.3">
      <c r="A1100" s="15">
        <v>997</v>
      </c>
      <c r="B1100" s="15" t="s">
        <v>3555</v>
      </c>
      <c r="C1100" s="19">
        <v>46258</v>
      </c>
      <c r="D1100" s="19" t="s">
        <v>56</v>
      </c>
      <c r="E1100" s="21" t="s">
        <v>1641</v>
      </c>
      <c r="F1100" s="21">
        <v>9486716172</v>
      </c>
      <c r="G1100" s="15" t="s">
        <v>6</v>
      </c>
      <c r="H1100" s="15" t="s">
        <v>1874</v>
      </c>
      <c r="I1100" s="15" t="s">
        <v>3675</v>
      </c>
      <c r="J1100" s="15" t="s">
        <v>172</v>
      </c>
      <c r="K1100" s="16">
        <v>44680</v>
      </c>
      <c r="L1100" s="16">
        <v>60480</v>
      </c>
      <c r="M1100" s="17">
        <f>Table1[[#This Row],[Billing Rate Charges]]-Table1[[#This Row],[ LORRY RATE ]]</f>
        <v>15800</v>
      </c>
      <c r="N1100" s="17">
        <v>44680</v>
      </c>
      <c r="O1100" s="17">
        <f>Table1[[#This Row],[ LORRY RATE ]]-Table1[[#This Row],[Adance Paid (INR)]]</f>
        <v>0</v>
      </c>
      <c r="P1100" s="17" t="s">
        <v>147</v>
      </c>
      <c r="Q1100" s="18" t="s">
        <v>818</v>
      </c>
      <c r="R1100" s="17"/>
      <c r="S1100" s="18" t="s">
        <v>3657</v>
      </c>
      <c r="T1100" s="18" t="s">
        <v>3657</v>
      </c>
      <c r="U1100" s="15" t="s">
        <v>54</v>
      </c>
      <c r="V1100" s="15" t="s">
        <v>56</v>
      </c>
      <c r="W1100" s="15"/>
    </row>
    <row r="1101" spans="1:23" hidden="1" x14ac:dyDescent="0.3">
      <c r="A1101" s="15">
        <v>998</v>
      </c>
      <c r="B1101" s="15" t="s">
        <v>3555</v>
      </c>
      <c r="C1101" s="19">
        <v>46259</v>
      </c>
      <c r="D1101" s="19" t="s">
        <v>56</v>
      </c>
      <c r="E1101" s="21" t="s">
        <v>3065</v>
      </c>
      <c r="F1101" s="21">
        <v>9589264337</v>
      </c>
      <c r="G1101" s="15" t="s">
        <v>1093</v>
      </c>
      <c r="H1101" s="15" t="s">
        <v>3686</v>
      </c>
      <c r="I1101" s="15" t="s">
        <v>6</v>
      </c>
      <c r="J1101" s="15" t="s">
        <v>172</v>
      </c>
      <c r="K1101" s="16">
        <v>58240</v>
      </c>
      <c r="L1101" s="16">
        <v>150880</v>
      </c>
      <c r="M1101" s="17">
        <f>Table1[[#This Row],[Billing Rate Charges]]-Table1[[#This Row],[ LORRY RATE ]]</f>
        <v>92640</v>
      </c>
      <c r="N1101" s="17">
        <v>58240</v>
      </c>
      <c r="O1101" s="17">
        <f>Table1[[#This Row],[ LORRY RATE ]]-Table1[[#This Row],[Adance Paid (INR)]]</f>
        <v>0</v>
      </c>
      <c r="P1101" s="17" t="s">
        <v>147</v>
      </c>
      <c r="Q1101" s="18" t="s">
        <v>819</v>
      </c>
      <c r="R1101" s="17"/>
      <c r="S1101" s="18" t="s">
        <v>3658</v>
      </c>
      <c r="T1101" s="18" t="s">
        <v>3658</v>
      </c>
      <c r="U1101" s="15" t="s">
        <v>54</v>
      </c>
      <c r="V1101" s="15" t="s">
        <v>56</v>
      </c>
      <c r="W1101" s="15"/>
    </row>
    <row r="1102" spans="1:23" hidden="1" x14ac:dyDescent="0.3">
      <c r="A1102" s="15">
        <v>999</v>
      </c>
      <c r="B1102" s="15" t="s">
        <v>3555</v>
      </c>
      <c r="C1102" s="19">
        <v>46260</v>
      </c>
      <c r="D1102" s="19" t="s">
        <v>56</v>
      </c>
      <c r="E1102" s="21" t="s">
        <v>3114</v>
      </c>
      <c r="F1102" s="21">
        <v>9472230553</v>
      </c>
      <c r="G1102" s="15" t="s">
        <v>6</v>
      </c>
      <c r="H1102" s="15" t="s">
        <v>3676</v>
      </c>
      <c r="I1102" s="15" t="s">
        <v>3677</v>
      </c>
      <c r="J1102" s="15" t="s">
        <v>172</v>
      </c>
      <c r="K1102" s="16">
        <v>45630</v>
      </c>
      <c r="L1102" s="16">
        <v>66780</v>
      </c>
      <c r="M1102" s="17">
        <f>Table1[[#This Row],[Billing Rate Charges]]-Table1[[#This Row],[ LORRY RATE ]]</f>
        <v>21150</v>
      </c>
      <c r="N1102" s="17">
        <v>45630</v>
      </c>
      <c r="O1102" s="17">
        <f>Table1[[#This Row],[ LORRY RATE ]]-Table1[[#This Row],[Adance Paid (INR)]]</f>
        <v>0</v>
      </c>
      <c r="P1102" s="17" t="s">
        <v>147</v>
      </c>
      <c r="Q1102" s="18" t="s">
        <v>820</v>
      </c>
      <c r="R1102" s="17"/>
      <c r="S1102" s="18" t="s">
        <v>3659</v>
      </c>
      <c r="T1102" s="18" t="s">
        <v>3659</v>
      </c>
      <c r="U1102" s="15" t="s">
        <v>54</v>
      </c>
      <c r="V1102" s="15" t="s">
        <v>56</v>
      </c>
      <c r="W1102" s="15"/>
    </row>
    <row r="1103" spans="1:23" hidden="1" x14ac:dyDescent="0.3">
      <c r="A1103" s="15">
        <v>1000</v>
      </c>
      <c r="B1103" s="15" t="s">
        <v>3555</v>
      </c>
      <c r="C1103" s="19">
        <v>46260</v>
      </c>
      <c r="D1103" s="19" t="s">
        <v>56</v>
      </c>
      <c r="E1103" s="21" t="s">
        <v>2859</v>
      </c>
      <c r="F1103" s="21">
        <v>9902798068</v>
      </c>
      <c r="G1103" s="15" t="s">
        <v>6</v>
      </c>
      <c r="H1103" s="15" t="s">
        <v>1874</v>
      </c>
      <c r="I1103" s="15" t="s">
        <v>3678</v>
      </c>
      <c r="J1103" s="15" t="s">
        <v>172</v>
      </c>
      <c r="K1103" s="16">
        <v>44680</v>
      </c>
      <c r="L1103" s="16">
        <v>60480</v>
      </c>
      <c r="M1103" s="17">
        <f>Table1[[#This Row],[Billing Rate Charges]]-Table1[[#This Row],[ LORRY RATE ]]</f>
        <v>15800</v>
      </c>
      <c r="N1103" s="17">
        <v>44680</v>
      </c>
      <c r="O1103" s="17">
        <f>Table1[[#This Row],[ LORRY RATE ]]-Table1[[#This Row],[Adance Paid (INR)]]</f>
        <v>0</v>
      </c>
      <c r="P1103" s="17" t="s">
        <v>147</v>
      </c>
      <c r="Q1103" s="18" t="s">
        <v>821</v>
      </c>
      <c r="R1103" s="17"/>
      <c r="S1103" s="18" t="s">
        <v>3659</v>
      </c>
      <c r="T1103" s="18" t="s">
        <v>3659</v>
      </c>
      <c r="U1103" s="15" t="s">
        <v>54</v>
      </c>
      <c r="V1103" s="15" t="s">
        <v>56</v>
      </c>
      <c r="W1103" s="15"/>
    </row>
    <row r="1104" spans="1:23" hidden="1" x14ac:dyDescent="0.3">
      <c r="A1104" s="15">
        <v>1001</v>
      </c>
      <c r="B1104" s="15" t="s">
        <v>3555</v>
      </c>
      <c r="C1104" s="19">
        <v>46260</v>
      </c>
      <c r="D1104" s="19" t="s">
        <v>56</v>
      </c>
      <c r="E1104" s="21" t="s">
        <v>60</v>
      </c>
      <c r="F1104" s="21">
        <v>9040208667</v>
      </c>
      <c r="G1104" s="15" t="s">
        <v>6</v>
      </c>
      <c r="H1104" s="15" t="s">
        <v>3679</v>
      </c>
      <c r="I1104" s="15" t="s">
        <v>3680</v>
      </c>
      <c r="J1104" s="15" t="s">
        <v>172</v>
      </c>
      <c r="K1104" s="16">
        <v>45630</v>
      </c>
      <c r="L1104" s="16">
        <v>66780</v>
      </c>
      <c r="M1104" s="17">
        <f>Table1[[#This Row],[Billing Rate Charges]]-Table1[[#This Row],[ LORRY RATE ]]</f>
        <v>21150</v>
      </c>
      <c r="N1104" s="17">
        <v>45630</v>
      </c>
      <c r="O1104" s="17">
        <f>Table1[[#This Row],[ LORRY RATE ]]-Table1[[#This Row],[Adance Paid (INR)]]</f>
        <v>0</v>
      </c>
      <c r="P1104" s="17" t="s">
        <v>147</v>
      </c>
      <c r="Q1104" s="18" t="s">
        <v>822</v>
      </c>
      <c r="R1104" s="17"/>
      <c r="S1104" s="18" t="s">
        <v>3659</v>
      </c>
      <c r="T1104" s="18" t="s">
        <v>3659</v>
      </c>
      <c r="U1104" s="15" t="s">
        <v>54</v>
      </c>
      <c r="V1104" s="15" t="s">
        <v>56</v>
      </c>
      <c r="W1104" s="15"/>
    </row>
    <row r="1105" spans="1:23" hidden="1" x14ac:dyDescent="0.3">
      <c r="A1105" s="15">
        <v>1002</v>
      </c>
      <c r="B1105" s="15" t="s">
        <v>3555</v>
      </c>
      <c r="C1105" s="19">
        <v>46262</v>
      </c>
      <c r="D1105" s="19" t="s">
        <v>56</v>
      </c>
      <c r="E1105" s="46" t="s">
        <v>1637</v>
      </c>
      <c r="F1105" s="46">
        <v>9025368773</v>
      </c>
      <c r="G1105" s="15" t="s">
        <v>1093</v>
      </c>
      <c r="H1105" s="15" t="s">
        <v>3687</v>
      </c>
      <c r="I1105" s="15" t="s">
        <v>6</v>
      </c>
      <c r="J1105" s="15" t="s">
        <v>172</v>
      </c>
      <c r="K1105" s="16">
        <v>58240</v>
      </c>
      <c r="L1105" s="16">
        <v>150880</v>
      </c>
      <c r="M1105" s="17">
        <f>Table1[[#This Row],[Billing Rate Charges]]-Table1[[#This Row],[ LORRY RATE ]]</f>
        <v>92640</v>
      </c>
      <c r="N1105" s="17">
        <v>58240</v>
      </c>
      <c r="O1105" s="17">
        <f>Table1[[#This Row],[ LORRY RATE ]]-Table1[[#This Row],[Adance Paid (INR)]]</f>
        <v>0</v>
      </c>
      <c r="P1105" s="17" t="s">
        <v>147</v>
      </c>
      <c r="Q1105" s="18" t="s">
        <v>823</v>
      </c>
      <c r="R1105" s="17"/>
      <c r="S1105" s="18" t="s">
        <v>3660</v>
      </c>
      <c r="T1105" s="18" t="s">
        <v>3660</v>
      </c>
      <c r="U1105" s="15" t="s">
        <v>54</v>
      </c>
      <c r="V1105" s="15" t="s">
        <v>56</v>
      </c>
      <c r="W1105" s="15"/>
    </row>
    <row r="1106" spans="1:23" hidden="1" x14ac:dyDescent="0.3">
      <c r="A1106" s="15">
        <v>1003</v>
      </c>
      <c r="B1106" s="15" t="s">
        <v>3555</v>
      </c>
      <c r="C1106" s="19">
        <v>46263</v>
      </c>
      <c r="D1106" s="19" t="s">
        <v>56</v>
      </c>
      <c r="E1106" s="21" t="s">
        <v>1641</v>
      </c>
      <c r="F1106" s="21">
        <v>9486716172</v>
      </c>
      <c r="G1106" s="15" t="s">
        <v>1093</v>
      </c>
      <c r="H1106" s="15" t="s">
        <v>3688</v>
      </c>
      <c r="I1106" s="15" t="s">
        <v>6</v>
      </c>
      <c r="J1106" s="15" t="s">
        <v>172</v>
      </c>
      <c r="K1106" s="16">
        <v>57300</v>
      </c>
      <c r="L1106" s="16">
        <v>144580</v>
      </c>
      <c r="M1106" s="17">
        <f>Table1[[#This Row],[Billing Rate Charges]]-Table1[[#This Row],[ LORRY RATE ]]</f>
        <v>87280</v>
      </c>
      <c r="N1106" s="17">
        <v>57300</v>
      </c>
      <c r="O1106" s="17">
        <f>Table1[[#This Row],[ LORRY RATE ]]-Table1[[#This Row],[Adance Paid (INR)]]</f>
        <v>0</v>
      </c>
      <c r="P1106" s="17" t="s">
        <v>147</v>
      </c>
      <c r="Q1106" s="18" t="s">
        <v>825</v>
      </c>
      <c r="R1106" s="17"/>
      <c r="S1106" s="18" t="s">
        <v>3692</v>
      </c>
      <c r="T1106" s="18" t="s">
        <v>3692</v>
      </c>
      <c r="U1106" s="15" t="s">
        <v>54</v>
      </c>
      <c r="V1106" s="15" t="s">
        <v>56</v>
      </c>
      <c r="W1106" s="15"/>
    </row>
    <row r="1107" spans="1:23" hidden="1" x14ac:dyDescent="0.3">
      <c r="A1107" s="15">
        <v>1004</v>
      </c>
      <c r="B1107" s="15" t="s">
        <v>3555</v>
      </c>
      <c r="C1107" s="19">
        <v>46263</v>
      </c>
      <c r="D1107" s="19" t="s">
        <v>56</v>
      </c>
      <c r="E1107" s="21" t="s">
        <v>3122</v>
      </c>
      <c r="F1107" s="21">
        <v>9281983602</v>
      </c>
      <c r="G1107" s="15" t="s">
        <v>6</v>
      </c>
      <c r="H1107" s="15" t="s">
        <v>3681</v>
      </c>
      <c r="I1107" s="15" t="s">
        <v>3682</v>
      </c>
      <c r="J1107" s="15" t="s">
        <v>172</v>
      </c>
      <c r="K1107" s="16">
        <v>45630</v>
      </c>
      <c r="L1107" s="16">
        <v>66780</v>
      </c>
      <c r="M1107" s="17">
        <f>Table1[[#This Row],[Billing Rate Charges]]-Table1[[#This Row],[ LORRY RATE ]]</f>
        <v>21150</v>
      </c>
      <c r="N1107" s="17">
        <v>45630</v>
      </c>
      <c r="O1107" s="17">
        <f>Table1[[#This Row],[ LORRY RATE ]]-Table1[[#This Row],[Adance Paid (INR)]]</f>
        <v>0</v>
      </c>
      <c r="P1107" s="17" t="s">
        <v>147</v>
      </c>
      <c r="Q1107" s="18" t="s">
        <v>826</v>
      </c>
      <c r="R1107" s="17"/>
      <c r="S1107" s="18" t="s">
        <v>3693</v>
      </c>
      <c r="T1107" s="18" t="s">
        <v>3692</v>
      </c>
      <c r="U1107" s="15" t="s">
        <v>54</v>
      </c>
      <c r="V1107" s="15" t="s">
        <v>56</v>
      </c>
      <c r="W1107" s="15"/>
    </row>
    <row r="1108" spans="1:23" hidden="1" x14ac:dyDescent="0.3">
      <c r="A1108" s="15">
        <v>1005</v>
      </c>
      <c r="B1108" s="15" t="s">
        <v>3555</v>
      </c>
      <c r="C1108" s="19">
        <v>46265</v>
      </c>
      <c r="D1108" s="19" t="s">
        <v>56</v>
      </c>
      <c r="E1108" s="21" t="s">
        <v>3065</v>
      </c>
      <c r="F1108" s="21">
        <v>9589264337</v>
      </c>
      <c r="G1108" s="15" t="s">
        <v>6</v>
      </c>
      <c r="H1108" s="15" t="s">
        <v>1874</v>
      </c>
      <c r="I1108" s="15" t="s">
        <v>3683</v>
      </c>
      <c r="J1108" s="15" t="s">
        <v>172</v>
      </c>
      <c r="K1108" s="16">
        <v>44680</v>
      </c>
      <c r="L1108" s="16">
        <v>60480</v>
      </c>
      <c r="M1108" s="17">
        <f>Table1[[#This Row],[Billing Rate Charges]]-Table1[[#This Row],[ LORRY RATE ]]</f>
        <v>15800</v>
      </c>
      <c r="N1108" s="17">
        <v>44680</v>
      </c>
      <c r="O1108" s="17">
        <f>Table1[[#This Row],[ LORRY RATE ]]-Table1[[#This Row],[Adance Paid (INR)]]</f>
        <v>0</v>
      </c>
      <c r="P1108" s="17" t="s">
        <v>147</v>
      </c>
      <c r="Q1108" s="18" t="s">
        <v>824</v>
      </c>
      <c r="R1108" s="17"/>
      <c r="S1108" s="18" t="s">
        <v>3696</v>
      </c>
      <c r="T1108" s="18" t="s">
        <v>3696</v>
      </c>
      <c r="U1108" s="15" t="s">
        <v>54</v>
      </c>
      <c r="V1108" s="15" t="s">
        <v>56</v>
      </c>
      <c r="W1108" s="15"/>
    </row>
    <row r="1109" spans="1:23" hidden="1" x14ac:dyDescent="0.3">
      <c r="A1109" s="15">
        <v>1006</v>
      </c>
      <c r="B1109" s="15" t="s">
        <v>3689</v>
      </c>
      <c r="C1109" s="19">
        <v>46266</v>
      </c>
      <c r="D1109" s="19" t="s">
        <v>56</v>
      </c>
      <c r="E1109" s="21" t="s">
        <v>1637</v>
      </c>
      <c r="F1109" s="21">
        <v>9025368773</v>
      </c>
      <c r="G1109" s="15" t="s">
        <v>6</v>
      </c>
      <c r="H1109" s="15" t="s">
        <v>440</v>
      </c>
      <c r="I1109" s="15" t="s">
        <v>41</v>
      </c>
      <c r="J1109" s="15" t="s">
        <v>172</v>
      </c>
      <c r="K1109" s="16">
        <v>45630</v>
      </c>
      <c r="L1109" s="16">
        <v>66780</v>
      </c>
      <c r="M1109" s="17">
        <f>Table1[[#This Row],[Billing Rate Charges]]-Table1[[#This Row],[ LORRY RATE ]]</f>
        <v>21150</v>
      </c>
      <c r="N1109" s="17">
        <v>45630</v>
      </c>
      <c r="O1109" s="17">
        <f>Table1[[#This Row],[ LORRY RATE ]]-Table1[[#This Row],[Adance Paid (INR)]]</f>
        <v>0</v>
      </c>
      <c r="P1109" s="17" t="s">
        <v>267</v>
      </c>
      <c r="Q1109" s="17"/>
      <c r="R1109" s="17"/>
      <c r="S1109" s="18" t="s">
        <v>3697</v>
      </c>
      <c r="T1109" s="18" t="s">
        <v>3697</v>
      </c>
      <c r="U1109" s="15" t="s">
        <v>54</v>
      </c>
      <c r="V1109" s="15" t="s">
        <v>56</v>
      </c>
      <c r="W1109" s="15"/>
    </row>
    <row r="1110" spans="1:23" hidden="1" x14ac:dyDescent="0.3">
      <c r="A1110" s="15">
        <v>1007</v>
      </c>
      <c r="B1110" s="15" t="s">
        <v>3689</v>
      </c>
      <c r="C1110" s="19">
        <v>46266</v>
      </c>
      <c r="D1110" s="19" t="s">
        <v>56</v>
      </c>
      <c r="E1110" s="21" t="s">
        <v>60</v>
      </c>
      <c r="F1110" s="21">
        <v>9040208667</v>
      </c>
      <c r="G1110" s="15" t="s">
        <v>2168</v>
      </c>
      <c r="H1110" s="15" t="s">
        <v>3690</v>
      </c>
      <c r="I1110" s="15" t="s">
        <v>6</v>
      </c>
      <c r="J1110" s="15" t="s">
        <v>172</v>
      </c>
      <c r="K1110" s="16">
        <v>55830</v>
      </c>
      <c r="L1110" s="16">
        <v>134820</v>
      </c>
      <c r="M1110" s="17">
        <f>Table1[[#This Row],[Billing Rate Charges]]-Table1[[#This Row],[ LORRY RATE ]]</f>
        <v>78990</v>
      </c>
      <c r="N1110" s="17">
        <v>55830</v>
      </c>
      <c r="O1110" s="17">
        <f>Table1[[#This Row],[ LORRY RATE ]]-Table1[[#This Row],[Adance Paid (INR)]]</f>
        <v>0</v>
      </c>
      <c r="P1110" s="17" t="s">
        <v>267</v>
      </c>
      <c r="Q1110" s="17"/>
      <c r="R1110" s="17"/>
      <c r="S1110" s="18" t="s">
        <v>3697</v>
      </c>
      <c r="T1110" s="18" t="s">
        <v>3697</v>
      </c>
      <c r="U1110" s="15" t="s">
        <v>54</v>
      </c>
      <c r="V1110" s="15" t="s">
        <v>56</v>
      </c>
      <c r="W1110" s="15"/>
    </row>
    <row r="1111" spans="1:23" hidden="1" x14ac:dyDescent="0.3">
      <c r="A1111" s="15">
        <v>1008</v>
      </c>
      <c r="B1111" s="15" t="s">
        <v>3689</v>
      </c>
      <c r="C1111" s="19">
        <v>46268</v>
      </c>
      <c r="D1111" s="19" t="s">
        <v>56</v>
      </c>
      <c r="E1111" s="21" t="s">
        <v>2859</v>
      </c>
      <c r="F1111" s="21">
        <v>9902798068</v>
      </c>
      <c r="G1111" s="15" t="s">
        <v>1093</v>
      </c>
      <c r="H1111" s="15" t="s">
        <v>3691</v>
      </c>
      <c r="I1111" s="15" t="s">
        <v>6</v>
      </c>
      <c r="J1111" s="15" t="s">
        <v>172</v>
      </c>
      <c r="K1111" s="16">
        <v>58240</v>
      </c>
      <c r="L1111" s="16">
        <v>150880</v>
      </c>
      <c r="M1111" s="17">
        <f>Table1[[#This Row],[Billing Rate Charges]]-Table1[[#This Row],[ LORRY RATE ]]</f>
        <v>92640</v>
      </c>
      <c r="N1111" s="17">
        <v>58240</v>
      </c>
      <c r="O1111" s="17">
        <f>Table1[[#This Row],[ LORRY RATE ]]-Table1[[#This Row],[Adance Paid (INR)]]</f>
        <v>0</v>
      </c>
      <c r="P1111" s="17" t="s">
        <v>267</v>
      </c>
      <c r="Q1111" s="17"/>
      <c r="R1111" s="17"/>
      <c r="S1111" s="18" t="s">
        <v>3698</v>
      </c>
      <c r="T1111" s="18" t="s">
        <v>3698</v>
      </c>
      <c r="U1111" s="15" t="s">
        <v>54</v>
      </c>
      <c r="V1111" s="15" t="s">
        <v>56</v>
      </c>
      <c r="W1111" s="15"/>
    </row>
    <row r="1112" spans="1:23" hidden="1" x14ac:dyDescent="0.3">
      <c r="A1112" s="15">
        <v>1009</v>
      </c>
      <c r="B1112" s="15" t="s">
        <v>3689</v>
      </c>
      <c r="C1112" s="19">
        <v>46268</v>
      </c>
      <c r="D1112" s="19" t="s">
        <v>56</v>
      </c>
      <c r="E1112" s="21" t="s">
        <v>1641</v>
      </c>
      <c r="F1112" s="21">
        <v>9486716172</v>
      </c>
      <c r="G1112" s="15" t="s">
        <v>6</v>
      </c>
      <c r="H1112" s="15" t="s">
        <v>440</v>
      </c>
      <c r="I1112" s="15" t="s">
        <v>41</v>
      </c>
      <c r="J1112" s="15" t="s">
        <v>172</v>
      </c>
      <c r="K1112" s="16">
        <v>45630</v>
      </c>
      <c r="L1112" s="16">
        <v>66780</v>
      </c>
      <c r="M1112" s="17">
        <f>Table1[[#This Row],[Billing Rate Charges]]-Table1[[#This Row],[ LORRY RATE ]]</f>
        <v>21150</v>
      </c>
      <c r="N1112" s="17">
        <v>45630</v>
      </c>
      <c r="O1112" s="17">
        <f>Table1[[#This Row],[ LORRY RATE ]]-Table1[[#This Row],[Adance Paid (INR)]]</f>
        <v>0</v>
      </c>
      <c r="P1112" s="17" t="s">
        <v>267</v>
      </c>
      <c r="Q1112" s="17"/>
      <c r="R1112" s="17"/>
      <c r="S1112" s="17"/>
      <c r="T1112" s="17"/>
      <c r="U1112" s="15" t="s">
        <v>3364</v>
      </c>
      <c r="V1112" s="15" t="s">
        <v>56</v>
      </c>
      <c r="W1112" s="15"/>
    </row>
    <row r="1113" spans="1:23" hidden="1" x14ac:dyDescent="0.3">
      <c r="A1113" s="15">
        <v>1010</v>
      </c>
      <c r="B1113" s="15" t="s">
        <v>3689</v>
      </c>
      <c r="C1113" s="19">
        <v>46268</v>
      </c>
      <c r="D1113" s="19" t="s">
        <v>56</v>
      </c>
      <c r="E1113" s="21" t="s">
        <v>3114</v>
      </c>
      <c r="F1113" s="21">
        <v>9902798068</v>
      </c>
      <c r="G1113" s="15" t="s">
        <v>1093</v>
      </c>
      <c r="H1113" s="15" t="s">
        <v>3695</v>
      </c>
      <c r="I1113" s="15" t="s">
        <v>6</v>
      </c>
      <c r="J1113" s="15" t="s">
        <v>172</v>
      </c>
      <c r="K1113" s="16">
        <v>57300</v>
      </c>
      <c r="L1113" s="16">
        <v>144580</v>
      </c>
      <c r="M1113" s="17">
        <f>Table1[[#This Row],[Billing Rate Charges]]-Table1[[#This Row],[ LORRY RATE ]]</f>
        <v>87280</v>
      </c>
      <c r="N1113" s="17">
        <v>57300</v>
      </c>
      <c r="O1113" s="17">
        <f>Table1[[#This Row],[ LORRY RATE ]]-Table1[[#This Row],[Adance Paid (INR)]]</f>
        <v>0</v>
      </c>
      <c r="P1113" s="17" t="s">
        <v>267</v>
      </c>
      <c r="Q1113" s="17"/>
      <c r="R1113" s="17"/>
      <c r="S1113" s="17"/>
      <c r="T1113" s="17"/>
      <c r="U1113" s="15" t="s">
        <v>3364</v>
      </c>
      <c r="V1113" s="15" t="s">
        <v>56</v>
      </c>
      <c r="W1113" s="15"/>
    </row>
    <row r="1114" spans="1:23" hidden="1" x14ac:dyDescent="0.3">
      <c r="A1114" s="15">
        <v>1011</v>
      </c>
      <c r="B1114" s="15" t="s">
        <v>3689</v>
      </c>
      <c r="C1114" s="19">
        <v>46269</v>
      </c>
      <c r="D1114" s="19" t="s">
        <v>56</v>
      </c>
      <c r="E1114" s="21" t="s">
        <v>1635</v>
      </c>
      <c r="F1114" s="21">
        <v>9380803043</v>
      </c>
      <c r="G1114" s="15" t="s">
        <v>6</v>
      </c>
      <c r="H1114" s="15" t="s">
        <v>440</v>
      </c>
      <c r="I1114" s="15" t="s">
        <v>41</v>
      </c>
      <c r="J1114" s="15" t="s">
        <v>172</v>
      </c>
      <c r="K1114" s="16">
        <v>45630</v>
      </c>
      <c r="L1114" s="16">
        <v>66780</v>
      </c>
      <c r="M1114" s="17">
        <f>Table1[[#This Row],[Billing Rate Charges]]-Table1[[#This Row],[ LORRY RATE ]]</f>
        <v>21150</v>
      </c>
      <c r="N1114" s="17">
        <v>45630</v>
      </c>
      <c r="O1114" s="17">
        <f>Table1[[#This Row],[ LORRY RATE ]]-Table1[[#This Row],[Adance Paid (INR)]]</f>
        <v>0</v>
      </c>
      <c r="P1114" s="17" t="s">
        <v>267</v>
      </c>
      <c r="Q1114" s="17"/>
      <c r="R1114" s="17"/>
      <c r="S1114" s="17"/>
      <c r="T1114" s="17"/>
      <c r="U1114" s="15" t="s">
        <v>3364</v>
      </c>
      <c r="V1114" s="15" t="s">
        <v>56</v>
      </c>
      <c r="W1114" s="15"/>
    </row>
    <row r="1115" spans="1:23" hidden="1" x14ac:dyDescent="0.3">
      <c r="A1115" s="15">
        <v>1012</v>
      </c>
      <c r="B1115" s="15" t="s">
        <v>3689</v>
      </c>
      <c r="C1115" s="19">
        <v>46270</v>
      </c>
      <c r="D1115" s="19" t="s">
        <v>56</v>
      </c>
      <c r="E1115" s="21" t="s">
        <v>3065</v>
      </c>
      <c r="F1115" s="21">
        <v>9589264337</v>
      </c>
      <c r="G1115" s="15" t="s">
        <v>1093</v>
      </c>
      <c r="H1115" s="15" t="s">
        <v>2327</v>
      </c>
      <c r="I1115" s="15" t="s">
        <v>6</v>
      </c>
      <c r="J1115" s="15" t="s">
        <v>172</v>
      </c>
      <c r="K1115" s="16">
        <v>57300</v>
      </c>
      <c r="L1115" s="16">
        <v>144580</v>
      </c>
      <c r="M1115" s="17">
        <f>Table1[[#This Row],[Billing Rate Charges]]-Table1[[#This Row],[ LORRY RATE ]]</f>
        <v>87280</v>
      </c>
      <c r="N1115" s="17">
        <v>57300</v>
      </c>
      <c r="O1115" s="17">
        <f>Table1[[#This Row],[ LORRY RATE ]]-Table1[[#This Row],[Adance Paid (INR)]]</f>
        <v>0</v>
      </c>
      <c r="P1115" s="17" t="s">
        <v>267</v>
      </c>
      <c r="Q1115" s="17"/>
      <c r="R1115" s="17"/>
      <c r="S1115" s="17"/>
      <c r="T1115" s="17"/>
      <c r="U1115" s="15" t="s">
        <v>3364</v>
      </c>
      <c r="V1115" s="15" t="s">
        <v>56</v>
      </c>
      <c r="W1115" s="15"/>
    </row>
    <row r="1116" spans="1:23" hidden="1" x14ac:dyDescent="0.3">
      <c r="A1116" s="15"/>
      <c r="B1116" s="15"/>
      <c r="C1116" s="15"/>
      <c r="D1116" s="19"/>
      <c r="E1116" s="15"/>
      <c r="F1116" s="15"/>
      <c r="G1116" s="15"/>
      <c r="H1116" s="15"/>
      <c r="I1116" s="15"/>
      <c r="J1116" s="15"/>
      <c r="K1116" s="16"/>
      <c r="L1116" s="16"/>
      <c r="M1116" s="17">
        <f>Table1[[#This Row],[Billing Rate Charges]]-Table1[[#This Row],[ LORRY RATE ]]</f>
        <v>0</v>
      </c>
      <c r="N1116" s="17"/>
      <c r="O1116" s="17">
        <f>Table1[[#This Row],[ LORRY RATE ]]-Table1[[#This Row],[Adance Paid (INR)]]</f>
        <v>0</v>
      </c>
      <c r="P1116" s="17"/>
      <c r="Q1116" s="17"/>
      <c r="R1116" s="17"/>
      <c r="S1116" s="17"/>
      <c r="T1116" s="17"/>
      <c r="V1116" s="15"/>
      <c r="W1116" s="15"/>
    </row>
    <row r="1117" spans="1:23" hidden="1" x14ac:dyDescent="0.3">
      <c r="A1117" s="15"/>
      <c r="B1117" s="15"/>
      <c r="C1117" s="15"/>
      <c r="D1117" s="19"/>
      <c r="E1117" s="15"/>
      <c r="F1117" s="15"/>
      <c r="G1117" s="15"/>
      <c r="H1117" s="15"/>
      <c r="I1117" s="15"/>
      <c r="J1117" s="15"/>
      <c r="K1117" s="16"/>
      <c r="L1117" s="16"/>
      <c r="M1117" s="17">
        <f>Table1[[#This Row],[Billing Rate Charges]]-Table1[[#This Row],[ LORRY RATE ]]</f>
        <v>0</v>
      </c>
      <c r="N1117" s="17"/>
      <c r="O1117" s="17">
        <f>Table1[[#This Row],[ LORRY RATE ]]-Table1[[#This Row],[Adance Paid (INR)]]</f>
        <v>0</v>
      </c>
      <c r="P1117" s="17"/>
      <c r="Q1117" s="17"/>
      <c r="R1117" s="17"/>
      <c r="S1117" s="17"/>
      <c r="T1117" s="17"/>
      <c r="V1117" s="15"/>
      <c r="W1117" s="15"/>
    </row>
    <row r="1118" spans="1:23" hidden="1" x14ac:dyDescent="0.3">
      <c r="A1118" s="15"/>
      <c r="B1118" s="15"/>
      <c r="C1118" s="15"/>
      <c r="D1118" s="19"/>
      <c r="E1118" s="15"/>
      <c r="F1118" s="15"/>
      <c r="G1118" s="15"/>
      <c r="H1118" s="15"/>
      <c r="I1118" s="15"/>
      <c r="J1118" s="15"/>
      <c r="K1118" s="16"/>
      <c r="L1118" s="16"/>
      <c r="M1118" s="17">
        <f>Table1[[#This Row],[Billing Rate Charges]]-Table1[[#This Row],[ LORRY RATE ]]</f>
        <v>0</v>
      </c>
      <c r="N1118" s="17"/>
      <c r="O1118" s="17">
        <f>Table1[[#This Row],[ LORRY RATE ]]-Table1[[#This Row],[Adance Paid (INR)]]</f>
        <v>0</v>
      </c>
      <c r="P1118" s="17"/>
      <c r="Q1118" s="17"/>
      <c r="R1118" s="17"/>
      <c r="S1118" s="17"/>
      <c r="T1118" s="17"/>
      <c r="V1118" s="15"/>
      <c r="W1118" s="15"/>
    </row>
    <row r="1119" spans="1:23" hidden="1" x14ac:dyDescent="0.3">
      <c r="A1119" s="15"/>
      <c r="B1119" s="15"/>
      <c r="C1119" s="15"/>
      <c r="D1119" s="19"/>
      <c r="E1119" s="15"/>
      <c r="F1119" s="15"/>
      <c r="G1119" s="15"/>
      <c r="H1119" s="15"/>
      <c r="I1119" s="15"/>
      <c r="J1119" s="15"/>
      <c r="K1119" s="16"/>
      <c r="L1119" s="16"/>
      <c r="M1119" s="17">
        <f>Table1[[#This Row],[Billing Rate Charges]]-Table1[[#This Row],[ LORRY RATE ]]</f>
        <v>0</v>
      </c>
      <c r="N1119" s="17"/>
      <c r="O1119" s="17">
        <f>Table1[[#This Row],[ LORRY RATE ]]-Table1[[#This Row],[Adance Paid (INR)]]</f>
        <v>0</v>
      </c>
      <c r="P1119" s="17"/>
      <c r="Q1119" s="17"/>
      <c r="R1119" s="17"/>
      <c r="S1119" s="17"/>
      <c r="T1119" s="17"/>
      <c r="V1119" s="15"/>
      <c r="W1119" s="15"/>
    </row>
    <row r="1120" spans="1:23" hidden="1" x14ac:dyDescent="0.3">
      <c r="A1120" s="15"/>
      <c r="B1120" s="15"/>
      <c r="C1120" s="15"/>
      <c r="D1120" s="19"/>
      <c r="E1120" s="15"/>
      <c r="F1120" s="15"/>
      <c r="G1120" s="15"/>
      <c r="H1120" s="15"/>
      <c r="I1120" s="15"/>
      <c r="J1120" s="15"/>
      <c r="K1120" s="16"/>
      <c r="L1120" s="16"/>
      <c r="M1120" s="17">
        <f>Table1[[#This Row],[Billing Rate Charges]]-Table1[[#This Row],[ LORRY RATE ]]</f>
        <v>0</v>
      </c>
      <c r="N1120" s="17"/>
      <c r="O1120" s="17">
        <f>Table1[[#This Row],[ LORRY RATE ]]-Table1[[#This Row],[Adance Paid (INR)]]</f>
        <v>0</v>
      </c>
      <c r="P1120" s="17"/>
      <c r="Q1120" s="17"/>
      <c r="R1120" s="17"/>
      <c r="S1120" s="17"/>
      <c r="T1120" s="17"/>
      <c r="V1120" s="15"/>
      <c r="W1120" s="15"/>
    </row>
    <row r="1121" spans="1:23" hidden="1" x14ac:dyDescent="0.3">
      <c r="A1121" s="15"/>
      <c r="B1121" s="15"/>
      <c r="C1121" s="15"/>
      <c r="D1121" s="19"/>
      <c r="E1121" s="15"/>
      <c r="F1121" s="15"/>
      <c r="G1121" s="15"/>
      <c r="H1121" s="15"/>
      <c r="I1121" s="15"/>
      <c r="J1121" s="15"/>
      <c r="K1121" s="16"/>
      <c r="L1121" s="16"/>
      <c r="M1121" s="17">
        <f>Table1[[#This Row],[Billing Rate Charges]]-Table1[[#This Row],[ LORRY RATE ]]</f>
        <v>0</v>
      </c>
      <c r="N1121" s="17"/>
      <c r="O1121" s="17">
        <f>Table1[[#This Row],[ LORRY RATE ]]-Table1[[#This Row],[Adance Paid (INR)]]</f>
        <v>0</v>
      </c>
      <c r="P1121" s="17"/>
      <c r="Q1121" s="17"/>
      <c r="R1121" s="17"/>
      <c r="S1121" s="17"/>
      <c r="T1121" s="17"/>
      <c r="V1121" s="15"/>
      <c r="W1121" s="15"/>
    </row>
    <row r="1122" spans="1:23" hidden="1" x14ac:dyDescent="0.3">
      <c r="A1122" s="15"/>
      <c r="B1122" s="15"/>
      <c r="C1122" s="15"/>
      <c r="D1122" s="19"/>
      <c r="E1122" s="15"/>
      <c r="F1122" s="15"/>
      <c r="G1122" s="15"/>
      <c r="H1122" s="15"/>
      <c r="I1122" s="15"/>
      <c r="J1122" s="15"/>
      <c r="K1122" s="16"/>
      <c r="L1122" s="16"/>
      <c r="M1122" s="17">
        <f>Table1[[#This Row],[Billing Rate Charges]]-Table1[[#This Row],[ LORRY RATE ]]</f>
        <v>0</v>
      </c>
      <c r="N1122" s="17"/>
      <c r="O1122" s="17">
        <f>Table1[[#This Row],[ LORRY RATE ]]-Table1[[#This Row],[Adance Paid (INR)]]</f>
        <v>0</v>
      </c>
      <c r="P1122" s="17"/>
      <c r="Q1122" s="17"/>
      <c r="R1122" s="17"/>
      <c r="S1122" s="17"/>
      <c r="T1122" s="17"/>
      <c r="V1122" s="15"/>
      <c r="W1122" s="15"/>
    </row>
    <row r="1123" spans="1:23" hidden="1" x14ac:dyDescent="0.3">
      <c r="A1123" s="15"/>
      <c r="B1123" s="15"/>
      <c r="C1123" s="15"/>
      <c r="D1123" s="19"/>
      <c r="E1123" s="15"/>
      <c r="F1123" s="15"/>
      <c r="G1123" s="15"/>
      <c r="H1123" s="15"/>
      <c r="I1123" s="15"/>
      <c r="J1123" s="15"/>
      <c r="K1123" s="16"/>
      <c r="L1123" s="16"/>
      <c r="M1123" s="17">
        <f>Table1[[#This Row],[Billing Rate Charges]]-Table1[[#This Row],[ LORRY RATE ]]</f>
        <v>0</v>
      </c>
      <c r="N1123" s="17"/>
      <c r="O1123" s="17">
        <f>Table1[[#This Row],[ LORRY RATE ]]-Table1[[#This Row],[Adance Paid (INR)]]</f>
        <v>0</v>
      </c>
      <c r="P1123" s="17"/>
      <c r="Q1123" s="17"/>
      <c r="R1123" s="17"/>
      <c r="S1123" s="17"/>
      <c r="T1123" s="17"/>
      <c r="V1123" s="15"/>
      <c r="W1123" s="15"/>
    </row>
    <row r="1124" spans="1:23" hidden="1" x14ac:dyDescent="0.3">
      <c r="A1124" s="15"/>
      <c r="B1124" s="15"/>
      <c r="C1124" s="15"/>
      <c r="D1124" s="19"/>
      <c r="E1124" s="15"/>
      <c r="F1124" s="15"/>
      <c r="G1124" s="15"/>
      <c r="H1124" s="15"/>
      <c r="I1124" s="15"/>
      <c r="J1124" s="15"/>
      <c r="K1124" s="16"/>
      <c r="L1124" s="16"/>
      <c r="M1124" s="17">
        <f>Table1[[#This Row],[Billing Rate Charges]]-Table1[[#This Row],[ LORRY RATE ]]</f>
        <v>0</v>
      </c>
      <c r="N1124" s="17"/>
      <c r="O1124" s="17">
        <f>Table1[[#This Row],[ LORRY RATE ]]-Table1[[#This Row],[Adance Paid (INR)]]</f>
        <v>0</v>
      </c>
      <c r="P1124" s="17"/>
      <c r="Q1124" s="17"/>
      <c r="R1124" s="17"/>
      <c r="S1124" s="17"/>
      <c r="T1124" s="17"/>
      <c r="V1124" s="15"/>
      <c r="W1124" s="15"/>
    </row>
    <row r="1125" spans="1:23" hidden="1" x14ac:dyDescent="0.3">
      <c r="A1125" s="15"/>
      <c r="B1125" s="15"/>
      <c r="C1125" s="15"/>
      <c r="D1125" s="19"/>
      <c r="E1125" s="15"/>
      <c r="F1125" s="15"/>
      <c r="G1125" s="15"/>
      <c r="H1125" s="15"/>
      <c r="I1125" s="15"/>
      <c r="J1125" s="15"/>
      <c r="K1125" s="16"/>
      <c r="L1125" s="16"/>
      <c r="M1125" s="17">
        <f>Table1[[#This Row],[Billing Rate Charges]]-Table1[[#This Row],[ LORRY RATE ]]</f>
        <v>0</v>
      </c>
      <c r="N1125" s="17"/>
      <c r="O1125" s="17">
        <f>Table1[[#This Row],[ LORRY RATE ]]-Table1[[#This Row],[Adance Paid (INR)]]</f>
        <v>0</v>
      </c>
      <c r="P1125" s="17"/>
      <c r="Q1125" s="17"/>
      <c r="R1125" s="17"/>
      <c r="S1125" s="17"/>
      <c r="T1125" s="17"/>
      <c r="V1125" s="15"/>
      <c r="W1125" s="15"/>
    </row>
    <row r="1126" spans="1:23" hidden="1" x14ac:dyDescent="0.3">
      <c r="A1126" s="15"/>
      <c r="B1126" s="15"/>
      <c r="C1126" s="15"/>
      <c r="D1126" s="19"/>
      <c r="E1126" s="15"/>
      <c r="F1126" s="15"/>
      <c r="G1126" s="15"/>
      <c r="H1126" s="15"/>
      <c r="I1126" s="15"/>
      <c r="J1126" s="15"/>
      <c r="K1126" s="16"/>
      <c r="L1126" s="16"/>
      <c r="M1126" s="17">
        <f>Table1[[#This Row],[Billing Rate Charges]]-Table1[[#This Row],[ LORRY RATE ]]</f>
        <v>0</v>
      </c>
      <c r="N1126" s="17"/>
      <c r="O1126" s="17">
        <f>Table1[[#This Row],[ LORRY RATE ]]-Table1[[#This Row],[Adance Paid (INR)]]</f>
        <v>0</v>
      </c>
      <c r="P1126" s="17"/>
      <c r="Q1126" s="17"/>
      <c r="R1126" s="17"/>
      <c r="S1126" s="17"/>
      <c r="T1126" s="17"/>
      <c r="V1126" s="15"/>
      <c r="W1126" s="15"/>
    </row>
    <row r="1127" spans="1:23" hidden="1" x14ac:dyDescent="0.3">
      <c r="A1127" s="15"/>
      <c r="B1127" s="15"/>
      <c r="C1127" s="15"/>
      <c r="D1127" s="19"/>
      <c r="E1127" s="15"/>
      <c r="F1127" s="15"/>
      <c r="G1127" s="15"/>
      <c r="H1127" s="15"/>
      <c r="I1127" s="15"/>
      <c r="J1127" s="15"/>
      <c r="K1127" s="16"/>
      <c r="L1127" s="16"/>
      <c r="M1127" s="17">
        <f>Table1[[#This Row],[Billing Rate Charges]]-Table1[[#This Row],[ LORRY RATE ]]</f>
        <v>0</v>
      </c>
      <c r="N1127" s="17"/>
      <c r="O1127" s="17">
        <f>Table1[[#This Row],[ LORRY RATE ]]-Table1[[#This Row],[Adance Paid (INR)]]</f>
        <v>0</v>
      </c>
      <c r="P1127" s="17"/>
      <c r="Q1127" s="17"/>
      <c r="R1127" s="17"/>
      <c r="S1127" s="17"/>
      <c r="T1127" s="17"/>
      <c r="V1127" s="15"/>
      <c r="W1127" s="15"/>
    </row>
    <row r="1128" spans="1:23" hidden="1" x14ac:dyDescent="0.3">
      <c r="A1128" s="15"/>
      <c r="B1128" s="15"/>
      <c r="C1128" s="15"/>
      <c r="D1128" s="19"/>
      <c r="E1128" s="15"/>
      <c r="F1128" s="15"/>
      <c r="G1128" s="15"/>
      <c r="H1128" s="15"/>
      <c r="I1128" s="15"/>
      <c r="J1128" s="15"/>
      <c r="K1128" s="16"/>
      <c r="L1128" s="16"/>
      <c r="M1128" s="17">
        <f>Table1[[#This Row],[Billing Rate Charges]]-Table1[[#This Row],[ LORRY RATE ]]</f>
        <v>0</v>
      </c>
      <c r="N1128" s="17"/>
      <c r="O1128" s="17">
        <f>Table1[[#This Row],[ LORRY RATE ]]-Table1[[#This Row],[Adance Paid (INR)]]</f>
        <v>0</v>
      </c>
      <c r="P1128" s="17"/>
      <c r="Q1128" s="17"/>
      <c r="R1128" s="17"/>
      <c r="S1128" s="17"/>
      <c r="T1128" s="17"/>
      <c r="V1128" s="15"/>
      <c r="W1128" s="15"/>
    </row>
    <row r="1129" spans="1:23" hidden="1" x14ac:dyDescent="0.3">
      <c r="A1129" s="15"/>
      <c r="B1129" s="15"/>
      <c r="C1129" s="15"/>
      <c r="D1129" s="19"/>
      <c r="E1129" s="15"/>
      <c r="F1129" s="15"/>
      <c r="G1129" s="15"/>
      <c r="H1129" s="15"/>
      <c r="I1129" s="15"/>
      <c r="J1129" s="15"/>
      <c r="K1129" s="16"/>
      <c r="L1129" s="16"/>
      <c r="M1129" s="17">
        <f>Table1[[#This Row],[Billing Rate Charges]]-Table1[[#This Row],[ LORRY RATE ]]</f>
        <v>0</v>
      </c>
      <c r="N1129" s="17"/>
      <c r="O1129" s="17">
        <f>Table1[[#This Row],[ LORRY RATE ]]-Table1[[#This Row],[Adance Paid (INR)]]</f>
        <v>0</v>
      </c>
      <c r="P1129" s="17"/>
      <c r="Q1129" s="17"/>
      <c r="R1129" s="17"/>
      <c r="S1129" s="17"/>
      <c r="T1129" s="17"/>
      <c r="V1129" s="15"/>
      <c r="W1129" s="15"/>
    </row>
    <row r="1130" spans="1:23" hidden="1" x14ac:dyDescent="0.3">
      <c r="A1130" s="15"/>
      <c r="B1130" s="15"/>
      <c r="C1130" s="15"/>
      <c r="D1130" s="19"/>
      <c r="E1130" s="15"/>
      <c r="F1130" s="15"/>
      <c r="G1130" s="15"/>
      <c r="H1130" s="15"/>
      <c r="I1130" s="15"/>
      <c r="J1130" s="15"/>
      <c r="K1130" s="16"/>
      <c r="L1130" s="16"/>
      <c r="M1130" s="17">
        <f>Table1[[#This Row],[Billing Rate Charges]]-Table1[[#This Row],[ LORRY RATE ]]</f>
        <v>0</v>
      </c>
      <c r="N1130" s="17"/>
      <c r="O1130" s="17">
        <f>Table1[[#This Row],[ LORRY RATE ]]-Table1[[#This Row],[Adance Paid (INR)]]</f>
        <v>0</v>
      </c>
      <c r="P1130" s="17"/>
      <c r="Q1130" s="17"/>
      <c r="R1130" s="17"/>
      <c r="S1130" s="17"/>
      <c r="T1130" s="17"/>
      <c r="V1130" s="15"/>
      <c r="W1130" s="15"/>
    </row>
    <row r="1131" spans="1:23" hidden="1" x14ac:dyDescent="0.3">
      <c r="A1131" s="15"/>
      <c r="B1131" s="15"/>
      <c r="C1131" s="15"/>
      <c r="D1131" s="19"/>
      <c r="E1131" s="15"/>
      <c r="F1131" s="15"/>
      <c r="G1131" s="15"/>
      <c r="H1131" s="15"/>
      <c r="I1131" s="15"/>
      <c r="J1131" s="15"/>
      <c r="K1131" s="16"/>
      <c r="L1131" s="16"/>
      <c r="M1131" s="17">
        <f>Table1[[#This Row],[Billing Rate Charges]]-Table1[[#This Row],[ LORRY RATE ]]</f>
        <v>0</v>
      </c>
      <c r="N1131" s="17"/>
      <c r="O1131" s="17">
        <f>Table1[[#This Row],[ LORRY RATE ]]-Table1[[#This Row],[Adance Paid (INR)]]</f>
        <v>0</v>
      </c>
      <c r="P1131" s="17"/>
      <c r="Q1131" s="17"/>
      <c r="R1131" s="17"/>
      <c r="S1131" s="17"/>
      <c r="T1131" s="17"/>
      <c r="V1131" s="15"/>
      <c r="W1131" s="15"/>
    </row>
    <row r="1132" spans="1:23" hidden="1" x14ac:dyDescent="0.3">
      <c r="A1132" s="15"/>
      <c r="B1132" s="15"/>
      <c r="C1132" s="15"/>
      <c r="D1132" s="19"/>
      <c r="E1132" s="15"/>
      <c r="F1132" s="15"/>
      <c r="G1132" s="15"/>
      <c r="H1132" s="15"/>
      <c r="I1132" s="15"/>
      <c r="J1132" s="15"/>
      <c r="K1132" s="16"/>
      <c r="L1132" s="16"/>
      <c r="M1132" s="17">
        <f>Table1[[#This Row],[Billing Rate Charges]]-Table1[[#This Row],[ LORRY RATE ]]</f>
        <v>0</v>
      </c>
      <c r="N1132" s="17"/>
      <c r="O1132" s="17">
        <f>Table1[[#This Row],[ LORRY RATE ]]-Table1[[#This Row],[Adance Paid (INR)]]</f>
        <v>0</v>
      </c>
      <c r="P1132" s="17"/>
      <c r="Q1132" s="17"/>
      <c r="R1132" s="17"/>
      <c r="S1132" s="17"/>
      <c r="T1132" s="17"/>
      <c r="V1132" s="15"/>
      <c r="W1132" s="15"/>
    </row>
    <row r="1133" spans="1:23" hidden="1" x14ac:dyDescent="0.3">
      <c r="A1133" s="15"/>
      <c r="B1133" s="15"/>
      <c r="C1133" s="15"/>
      <c r="D1133" s="19"/>
      <c r="E1133" s="15"/>
      <c r="F1133" s="15"/>
      <c r="G1133" s="15"/>
      <c r="H1133" s="15"/>
      <c r="I1133" s="15"/>
      <c r="J1133" s="15"/>
      <c r="K1133" s="16"/>
      <c r="L1133" s="16"/>
      <c r="M1133" s="17">
        <f>Table1[[#This Row],[Billing Rate Charges]]-Table1[[#This Row],[ LORRY RATE ]]</f>
        <v>0</v>
      </c>
      <c r="N1133" s="17"/>
      <c r="O1133" s="17">
        <f>Table1[[#This Row],[ LORRY RATE ]]-Table1[[#This Row],[Adance Paid (INR)]]</f>
        <v>0</v>
      </c>
      <c r="P1133" s="17"/>
      <c r="Q1133" s="17"/>
      <c r="R1133" s="17"/>
      <c r="S1133" s="17"/>
      <c r="T1133" s="17"/>
      <c r="V1133" s="15"/>
      <c r="W1133" s="15"/>
    </row>
    <row r="1134" spans="1:23" hidden="1" x14ac:dyDescent="0.3">
      <c r="A1134" s="15"/>
      <c r="B1134" s="15"/>
      <c r="C1134" s="15"/>
      <c r="D1134" s="19"/>
      <c r="E1134" s="15"/>
      <c r="F1134" s="15"/>
      <c r="G1134" s="15"/>
      <c r="H1134" s="15"/>
      <c r="I1134" s="15"/>
      <c r="J1134" s="15"/>
      <c r="K1134" s="16"/>
      <c r="L1134" s="16"/>
      <c r="M1134" s="17">
        <f>Table1[[#This Row],[Billing Rate Charges]]-Table1[[#This Row],[ LORRY RATE ]]</f>
        <v>0</v>
      </c>
      <c r="N1134" s="17"/>
      <c r="O1134" s="17">
        <f>Table1[[#This Row],[ LORRY RATE ]]-Table1[[#This Row],[Adance Paid (INR)]]</f>
        <v>0</v>
      </c>
      <c r="P1134" s="17"/>
      <c r="Q1134" s="17"/>
      <c r="R1134" s="17"/>
      <c r="S1134" s="17"/>
      <c r="T1134" s="17"/>
      <c r="V1134" s="15"/>
      <c r="W1134" s="15"/>
    </row>
    <row r="1135" spans="1:23" hidden="1" x14ac:dyDescent="0.3">
      <c r="A1135" s="15"/>
      <c r="B1135" s="15"/>
      <c r="C1135" s="15"/>
      <c r="D1135" s="19"/>
      <c r="E1135" s="15"/>
      <c r="F1135" s="15"/>
      <c r="G1135" s="15"/>
      <c r="H1135" s="15"/>
      <c r="I1135" s="15"/>
      <c r="J1135" s="15"/>
      <c r="K1135" s="16"/>
      <c r="L1135" s="16"/>
      <c r="M1135" s="17">
        <f>Table1[[#This Row],[Billing Rate Charges]]-Table1[[#This Row],[ LORRY RATE ]]</f>
        <v>0</v>
      </c>
      <c r="N1135" s="17"/>
      <c r="O1135" s="17">
        <f>Table1[[#This Row],[ LORRY RATE ]]-Table1[[#This Row],[Adance Paid (INR)]]</f>
        <v>0</v>
      </c>
      <c r="P1135" s="17"/>
      <c r="Q1135" s="17"/>
      <c r="R1135" s="17"/>
      <c r="S1135" s="17"/>
      <c r="T1135" s="17"/>
      <c r="V1135" s="15"/>
      <c r="W1135" s="15"/>
    </row>
    <row r="1136" spans="1:23" hidden="1" x14ac:dyDescent="0.3">
      <c r="A1136" s="15"/>
      <c r="B1136" s="15"/>
      <c r="C1136" s="15"/>
      <c r="D1136" s="19"/>
      <c r="E1136" s="15"/>
      <c r="F1136" s="15"/>
      <c r="G1136" s="15"/>
      <c r="H1136" s="15"/>
      <c r="I1136" s="15"/>
      <c r="J1136" s="15"/>
      <c r="K1136" s="16"/>
      <c r="L1136" s="16"/>
      <c r="M1136" s="17">
        <f>Table1[[#This Row],[Billing Rate Charges]]-Table1[[#This Row],[ LORRY RATE ]]</f>
        <v>0</v>
      </c>
      <c r="N1136" s="17"/>
      <c r="O1136" s="17">
        <f>Table1[[#This Row],[ LORRY RATE ]]-Table1[[#This Row],[Adance Paid (INR)]]</f>
        <v>0</v>
      </c>
      <c r="P1136" s="17"/>
      <c r="Q1136" s="17"/>
      <c r="R1136" s="17"/>
      <c r="S1136" s="17"/>
      <c r="T1136" s="17"/>
      <c r="V1136" s="15"/>
      <c r="W1136" s="15"/>
    </row>
    <row r="1137" spans="1:23" hidden="1" x14ac:dyDescent="0.3">
      <c r="A1137" s="15"/>
      <c r="B1137" s="15"/>
      <c r="C1137" s="15"/>
      <c r="D1137" s="19"/>
      <c r="E1137" s="15"/>
      <c r="F1137" s="15"/>
      <c r="G1137" s="15"/>
      <c r="H1137" s="15"/>
      <c r="I1137" s="15"/>
      <c r="J1137" s="15"/>
      <c r="K1137" s="16"/>
      <c r="L1137" s="16"/>
      <c r="M1137" s="17">
        <f>Table1[[#This Row],[Billing Rate Charges]]-Table1[[#This Row],[ LORRY RATE ]]</f>
        <v>0</v>
      </c>
      <c r="N1137" s="17"/>
      <c r="O1137" s="17">
        <f>Table1[[#This Row],[ LORRY RATE ]]-Table1[[#This Row],[Adance Paid (INR)]]</f>
        <v>0</v>
      </c>
      <c r="P1137" s="17"/>
      <c r="Q1137" s="17"/>
      <c r="R1137" s="17"/>
      <c r="S1137" s="17"/>
      <c r="T1137" s="17"/>
      <c r="V1137" s="15"/>
      <c r="W1137" s="15"/>
    </row>
    <row r="1138" spans="1:23" hidden="1" x14ac:dyDescent="0.3">
      <c r="A1138" s="15"/>
      <c r="B1138" s="15"/>
      <c r="C1138" s="15"/>
      <c r="D1138" s="19"/>
      <c r="E1138" s="15"/>
      <c r="F1138" s="15"/>
      <c r="G1138" s="15"/>
      <c r="H1138" s="15"/>
      <c r="I1138" s="15"/>
      <c r="J1138" s="15"/>
      <c r="K1138" s="16"/>
      <c r="L1138" s="16"/>
      <c r="M1138" s="17">
        <f>Table1[[#This Row],[Billing Rate Charges]]-Table1[[#This Row],[ LORRY RATE ]]</f>
        <v>0</v>
      </c>
      <c r="N1138" s="17"/>
      <c r="O1138" s="17">
        <f>Table1[[#This Row],[ LORRY RATE ]]-Table1[[#This Row],[Adance Paid (INR)]]</f>
        <v>0</v>
      </c>
      <c r="P1138" s="17"/>
      <c r="Q1138" s="17"/>
      <c r="R1138" s="17"/>
      <c r="S1138" s="17"/>
      <c r="T1138" s="17"/>
      <c r="V1138" s="15"/>
      <c r="W1138" s="15"/>
    </row>
    <row r="1139" spans="1:23" hidden="1" x14ac:dyDescent="0.3">
      <c r="A1139" s="15"/>
      <c r="B1139" s="15"/>
      <c r="C1139" s="15"/>
      <c r="D1139" s="19"/>
      <c r="E1139" s="15"/>
      <c r="F1139" s="15"/>
      <c r="G1139" s="15"/>
      <c r="H1139" s="15"/>
      <c r="I1139" s="15"/>
      <c r="J1139" s="15"/>
      <c r="K1139" s="16"/>
      <c r="L1139" s="16"/>
      <c r="M1139" s="17">
        <f>Table1[[#This Row],[Billing Rate Charges]]-Table1[[#This Row],[ LORRY RATE ]]</f>
        <v>0</v>
      </c>
      <c r="N1139" s="17"/>
      <c r="O1139" s="17">
        <f>Table1[[#This Row],[ LORRY RATE ]]-Table1[[#This Row],[Adance Paid (INR)]]</f>
        <v>0</v>
      </c>
      <c r="P1139" s="17"/>
      <c r="Q1139" s="17"/>
      <c r="R1139" s="17"/>
      <c r="S1139" s="17"/>
      <c r="T1139" s="17"/>
      <c r="V1139" s="15"/>
      <c r="W1139" s="15"/>
    </row>
    <row r="1140" spans="1:23" hidden="1" x14ac:dyDescent="0.3">
      <c r="A1140" s="15"/>
      <c r="B1140" s="15"/>
      <c r="C1140" s="15"/>
      <c r="D1140" s="19"/>
      <c r="E1140" s="15"/>
      <c r="F1140" s="15"/>
      <c r="G1140" s="15"/>
      <c r="H1140" s="15"/>
      <c r="I1140" s="15"/>
      <c r="J1140" s="15"/>
      <c r="K1140" s="16"/>
      <c r="L1140" s="16"/>
      <c r="M1140" s="17">
        <f>Table1[[#This Row],[Billing Rate Charges]]-Table1[[#This Row],[ LORRY RATE ]]</f>
        <v>0</v>
      </c>
      <c r="N1140" s="17"/>
      <c r="O1140" s="17">
        <f>Table1[[#This Row],[ LORRY RATE ]]-Table1[[#This Row],[Adance Paid (INR)]]</f>
        <v>0</v>
      </c>
      <c r="P1140" s="17"/>
      <c r="Q1140" s="17"/>
      <c r="R1140" s="17"/>
      <c r="S1140" s="17"/>
      <c r="T1140" s="17"/>
      <c r="V1140" s="15"/>
      <c r="W1140" s="15"/>
    </row>
    <row r="1141" spans="1:23" hidden="1" x14ac:dyDescent="0.3">
      <c r="A1141" s="15"/>
      <c r="B1141" s="15"/>
      <c r="C1141" s="15"/>
      <c r="D1141" s="19"/>
      <c r="E1141" s="15"/>
      <c r="F1141" s="15"/>
      <c r="G1141" s="15"/>
      <c r="H1141" s="15"/>
      <c r="I1141" s="15"/>
      <c r="J1141" s="15"/>
      <c r="K1141" s="16"/>
      <c r="L1141" s="16"/>
      <c r="M1141" s="17">
        <f>Table1[[#This Row],[Billing Rate Charges]]-Table1[[#This Row],[ LORRY RATE ]]</f>
        <v>0</v>
      </c>
      <c r="N1141" s="17"/>
      <c r="O1141" s="17">
        <f>Table1[[#This Row],[ LORRY RATE ]]-Table1[[#This Row],[Adance Paid (INR)]]</f>
        <v>0</v>
      </c>
      <c r="P1141" s="17"/>
      <c r="Q1141" s="17"/>
      <c r="R1141" s="17"/>
      <c r="S1141" s="17"/>
      <c r="T1141" s="17"/>
      <c r="V1141" s="15"/>
      <c r="W1141" s="15"/>
    </row>
    <row r="1142" spans="1:23" hidden="1" x14ac:dyDescent="0.3">
      <c r="A1142" s="15"/>
      <c r="B1142" s="15"/>
      <c r="C1142" s="15"/>
      <c r="D1142" s="19"/>
      <c r="E1142" s="15"/>
      <c r="F1142" s="15"/>
      <c r="G1142" s="15"/>
      <c r="H1142" s="15"/>
      <c r="I1142" s="15"/>
      <c r="J1142" s="15"/>
      <c r="K1142" s="16"/>
      <c r="L1142" s="16"/>
      <c r="M1142" s="17">
        <f>Table1[[#This Row],[Billing Rate Charges]]-Table1[[#This Row],[ LORRY RATE ]]</f>
        <v>0</v>
      </c>
      <c r="N1142" s="17"/>
      <c r="O1142" s="17">
        <f>Table1[[#This Row],[ LORRY RATE ]]-Table1[[#This Row],[Adance Paid (INR)]]</f>
        <v>0</v>
      </c>
      <c r="P1142" s="17"/>
      <c r="Q1142" s="17"/>
      <c r="R1142" s="17"/>
      <c r="S1142" s="17"/>
      <c r="T1142" s="17"/>
      <c r="V1142" s="15"/>
      <c r="W1142" s="15"/>
    </row>
    <row r="1143" spans="1:23" hidden="1" x14ac:dyDescent="0.3">
      <c r="A1143" s="15"/>
      <c r="B1143" s="15"/>
      <c r="C1143" s="15"/>
      <c r="D1143" s="19"/>
      <c r="E1143" s="15"/>
      <c r="F1143" s="15"/>
      <c r="G1143" s="15"/>
      <c r="H1143" s="15"/>
      <c r="I1143" s="15"/>
      <c r="J1143" s="15"/>
      <c r="K1143" s="16"/>
      <c r="L1143" s="16"/>
      <c r="M1143" s="17">
        <f>Table1[[#This Row],[Billing Rate Charges]]-Table1[[#This Row],[ LORRY RATE ]]</f>
        <v>0</v>
      </c>
      <c r="N1143" s="17"/>
      <c r="O1143" s="17">
        <f>Table1[[#This Row],[ LORRY RATE ]]-Table1[[#This Row],[Adance Paid (INR)]]</f>
        <v>0</v>
      </c>
      <c r="P1143" s="17"/>
      <c r="Q1143" s="17"/>
      <c r="R1143" s="17"/>
      <c r="S1143" s="17"/>
      <c r="T1143" s="17"/>
      <c r="V1143" s="15"/>
      <c r="W1143" s="15"/>
    </row>
    <row r="1144" spans="1:23" hidden="1" x14ac:dyDescent="0.3">
      <c r="A1144" s="15"/>
      <c r="B1144" s="15"/>
      <c r="C1144" s="15"/>
      <c r="D1144" s="19"/>
      <c r="E1144" s="15"/>
      <c r="F1144" s="15"/>
      <c r="G1144" s="15"/>
      <c r="H1144" s="15"/>
      <c r="I1144" s="15"/>
      <c r="J1144" s="15"/>
      <c r="K1144" s="16"/>
      <c r="L1144" s="16"/>
      <c r="M1144" s="17">
        <f>Table1[[#This Row],[Billing Rate Charges]]-Table1[[#This Row],[ LORRY RATE ]]</f>
        <v>0</v>
      </c>
      <c r="N1144" s="17"/>
      <c r="O1144" s="17">
        <f>Table1[[#This Row],[ LORRY RATE ]]-Table1[[#This Row],[Adance Paid (INR)]]</f>
        <v>0</v>
      </c>
      <c r="P1144" s="17"/>
      <c r="Q1144" s="17"/>
      <c r="R1144" s="17"/>
      <c r="S1144" s="17"/>
      <c r="T1144" s="17"/>
      <c r="V1144" s="15"/>
      <c r="W1144" s="15"/>
    </row>
    <row r="1145" spans="1:23" hidden="1" x14ac:dyDescent="0.3">
      <c r="A1145" s="15"/>
      <c r="B1145" s="15"/>
      <c r="C1145" s="15"/>
      <c r="D1145" s="19"/>
      <c r="E1145" s="15"/>
      <c r="F1145" s="15"/>
      <c r="G1145" s="15"/>
      <c r="H1145" s="15"/>
      <c r="I1145" s="15"/>
      <c r="J1145" s="15"/>
      <c r="K1145" s="16"/>
      <c r="L1145" s="16"/>
      <c r="M1145" s="17">
        <f>Table1[[#This Row],[Billing Rate Charges]]-Table1[[#This Row],[ LORRY RATE ]]</f>
        <v>0</v>
      </c>
      <c r="N1145" s="17"/>
      <c r="O1145" s="17">
        <f>Table1[[#This Row],[ LORRY RATE ]]-Table1[[#This Row],[Adance Paid (INR)]]</f>
        <v>0</v>
      </c>
      <c r="P1145" s="17"/>
      <c r="Q1145" s="17"/>
      <c r="R1145" s="17"/>
      <c r="S1145" s="17"/>
      <c r="T1145" s="17"/>
      <c r="V1145" s="15"/>
      <c r="W1145" s="15"/>
    </row>
    <row r="1146" spans="1:23" hidden="1" x14ac:dyDescent="0.3">
      <c r="A1146" s="15"/>
      <c r="B1146" s="15"/>
      <c r="C1146" s="15"/>
      <c r="D1146" s="19"/>
      <c r="E1146" s="15"/>
      <c r="F1146" s="15"/>
      <c r="G1146" s="15"/>
      <c r="H1146" s="15"/>
      <c r="I1146" s="15"/>
      <c r="J1146" s="15"/>
      <c r="K1146" s="16"/>
      <c r="L1146" s="16"/>
      <c r="M1146" s="17">
        <f>Table1[[#This Row],[Billing Rate Charges]]-Table1[[#This Row],[ LORRY RATE ]]</f>
        <v>0</v>
      </c>
      <c r="N1146" s="17"/>
      <c r="O1146" s="17">
        <f>Table1[[#This Row],[ LORRY RATE ]]-Table1[[#This Row],[Adance Paid (INR)]]</f>
        <v>0</v>
      </c>
      <c r="P1146" s="17"/>
      <c r="Q1146" s="17"/>
      <c r="R1146" s="17"/>
      <c r="S1146" s="17"/>
      <c r="T1146" s="17"/>
      <c r="V1146" s="15"/>
      <c r="W1146" s="15"/>
    </row>
    <row r="1147" spans="1:23" hidden="1" x14ac:dyDescent="0.3">
      <c r="A1147" s="15"/>
      <c r="B1147" s="15"/>
      <c r="C1147" s="15"/>
      <c r="D1147" s="19"/>
      <c r="E1147" s="15"/>
      <c r="F1147" s="15"/>
      <c r="G1147" s="15"/>
      <c r="H1147" s="15"/>
      <c r="I1147" s="15"/>
      <c r="J1147" s="15"/>
      <c r="K1147" s="16"/>
      <c r="L1147" s="16"/>
      <c r="M1147" s="17">
        <f>Table1[[#This Row],[Billing Rate Charges]]-Table1[[#This Row],[ LORRY RATE ]]</f>
        <v>0</v>
      </c>
      <c r="N1147" s="17"/>
      <c r="O1147" s="17">
        <f>Table1[[#This Row],[ LORRY RATE ]]-Table1[[#This Row],[Adance Paid (INR)]]</f>
        <v>0</v>
      </c>
      <c r="P1147" s="17"/>
      <c r="Q1147" s="17"/>
      <c r="R1147" s="17"/>
      <c r="S1147" s="17"/>
      <c r="T1147" s="17"/>
      <c r="V1147" s="15"/>
      <c r="W1147" s="15"/>
    </row>
    <row r="1148" spans="1:23" hidden="1" x14ac:dyDescent="0.3">
      <c r="A1148" s="15"/>
      <c r="B1148" s="15"/>
      <c r="C1148" s="15"/>
      <c r="D1148" s="19"/>
      <c r="E1148" s="15"/>
      <c r="F1148" s="15"/>
      <c r="G1148" s="15"/>
      <c r="H1148" s="15"/>
      <c r="I1148" s="15"/>
      <c r="J1148" s="15"/>
      <c r="K1148" s="16"/>
      <c r="L1148" s="16"/>
      <c r="M1148" s="17">
        <f>Table1[[#This Row],[Billing Rate Charges]]-Table1[[#This Row],[ LORRY RATE ]]</f>
        <v>0</v>
      </c>
      <c r="N1148" s="17"/>
      <c r="O1148" s="17">
        <f>Table1[[#This Row],[ LORRY RATE ]]-Table1[[#This Row],[Adance Paid (INR)]]</f>
        <v>0</v>
      </c>
      <c r="P1148" s="17"/>
      <c r="Q1148" s="17"/>
      <c r="R1148" s="17"/>
      <c r="S1148" s="17"/>
      <c r="T1148" s="17"/>
      <c r="V1148" s="15"/>
      <c r="W1148" s="15"/>
    </row>
    <row r="1149" spans="1:23" hidden="1" x14ac:dyDescent="0.3">
      <c r="A1149" s="15"/>
      <c r="B1149" s="15"/>
      <c r="C1149" s="15"/>
      <c r="D1149" s="19"/>
      <c r="E1149" s="15"/>
      <c r="F1149" s="15"/>
      <c r="G1149" s="15"/>
      <c r="H1149" s="15"/>
      <c r="I1149" s="15"/>
      <c r="J1149" s="15"/>
      <c r="K1149" s="16"/>
      <c r="L1149" s="16"/>
      <c r="M1149" s="17">
        <f>Table1[[#This Row],[Billing Rate Charges]]-Table1[[#This Row],[ LORRY RATE ]]</f>
        <v>0</v>
      </c>
      <c r="N1149" s="17"/>
      <c r="O1149" s="17">
        <f>Table1[[#This Row],[ LORRY RATE ]]-Table1[[#This Row],[Adance Paid (INR)]]</f>
        <v>0</v>
      </c>
      <c r="P1149" s="17"/>
      <c r="Q1149" s="17"/>
      <c r="R1149" s="17"/>
      <c r="S1149" s="17"/>
      <c r="T1149" s="17"/>
      <c r="V1149" s="15"/>
      <c r="W1149" s="15"/>
    </row>
    <row r="1150" spans="1:23" hidden="1" x14ac:dyDescent="0.3">
      <c r="A1150" s="15"/>
      <c r="B1150" s="15"/>
      <c r="C1150" s="15"/>
      <c r="D1150" s="19"/>
      <c r="E1150" s="15"/>
      <c r="F1150" s="15"/>
      <c r="G1150" s="15"/>
      <c r="H1150" s="15"/>
      <c r="I1150" s="15"/>
      <c r="J1150" s="15"/>
      <c r="K1150" s="16"/>
      <c r="L1150" s="16"/>
      <c r="M1150" s="17">
        <f>Table1[[#This Row],[Billing Rate Charges]]-Table1[[#This Row],[ LORRY RATE ]]</f>
        <v>0</v>
      </c>
      <c r="N1150" s="17"/>
      <c r="O1150" s="17">
        <f>Table1[[#This Row],[ LORRY RATE ]]-Table1[[#This Row],[Adance Paid (INR)]]</f>
        <v>0</v>
      </c>
      <c r="P1150" s="17"/>
      <c r="Q1150" s="17"/>
      <c r="R1150" s="17"/>
      <c r="S1150" s="17"/>
      <c r="T1150" s="17"/>
      <c r="V1150" s="15"/>
      <c r="W1150" s="15"/>
    </row>
    <row r="1151" spans="1:23" hidden="1" x14ac:dyDescent="0.3">
      <c r="A1151" s="15"/>
      <c r="B1151" s="15"/>
      <c r="C1151" s="15"/>
      <c r="D1151" s="19"/>
      <c r="E1151" s="15"/>
      <c r="F1151" s="15"/>
      <c r="G1151" s="15"/>
      <c r="H1151" s="15"/>
      <c r="I1151" s="15"/>
      <c r="J1151" s="15"/>
      <c r="K1151" s="16"/>
      <c r="L1151" s="16"/>
      <c r="M1151" s="17">
        <f>Table1[[#This Row],[Billing Rate Charges]]-Table1[[#This Row],[ LORRY RATE ]]</f>
        <v>0</v>
      </c>
      <c r="N1151" s="17"/>
      <c r="O1151" s="17">
        <f>Table1[[#This Row],[ LORRY RATE ]]-Table1[[#This Row],[Adance Paid (INR)]]</f>
        <v>0</v>
      </c>
      <c r="P1151" s="17"/>
      <c r="Q1151" s="17"/>
      <c r="R1151" s="17"/>
      <c r="S1151" s="17"/>
      <c r="T1151" s="17"/>
      <c r="V1151" s="15"/>
      <c r="W1151" s="15"/>
    </row>
    <row r="1152" spans="1:23" hidden="1" x14ac:dyDescent="0.3">
      <c r="A1152" s="15"/>
      <c r="B1152" s="15"/>
      <c r="C1152" s="15"/>
      <c r="D1152" s="19"/>
      <c r="E1152" s="15"/>
      <c r="F1152" s="15"/>
      <c r="G1152" s="15"/>
      <c r="H1152" s="15"/>
      <c r="I1152" s="15"/>
      <c r="J1152" s="15"/>
      <c r="K1152" s="16"/>
      <c r="L1152" s="16"/>
      <c r="M1152" s="17">
        <f>Table1[[#This Row],[Billing Rate Charges]]-Table1[[#This Row],[ LORRY RATE ]]</f>
        <v>0</v>
      </c>
      <c r="N1152" s="17"/>
      <c r="O1152" s="17">
        <f>Table1[[#This Row],[ LORRY RATE ]]-Table1[[#This Row],[Adance Paid (INR)]]</f>
        <v>0</v>
      </c>
      <c r="P1152" s="17"/>
      <c r="Q1152" s="17"/>
      <c r="R1152" s="17"/>
      <c r="S1152" s="17"/>
      <c r="T1152" s="17"/>
      <c r="V1152" s="15"/>
      <c r="W1152" s="15"/>
    </row>
    <row r="1153" spans="1:23" hidden="1" x14ac:dyDescent="0.3">
      <c r="A1153" s="15"/>
      <c r="B1153" s="15"/>
      <c r="C1153" s="15"/>
      <c r="D1153" s="19"/>
      <c r="E1153" s="15"/>
      <c r="F1153" s="15"/>
      <c r="G1153" s="15"/>
      <c r="H1153" s="15"/>
      <c r="I1153" s="15"/>
      <c r="J1153" s="15"/>
      <c r="K1153" s="16"/>
      <c r="L1153" s="16"/>
      <c r="M1153" s="17">
        <f>Table1[[#This Row],[Billing Rate Charges]]-Table1[[#This Row],[ LORRY RATE ]]</f>
        <v>0</v>
      </c>
      <c r="N1153" s="17"/>
      <c r="O1153" s="17">
        <f>Table1[[#This Row],[ LORRY RATE ]]-Table1[[#This Row],[Adance Paid (INR)]]</f>
        <v>0</v>
      </c>
      <c r="P1153" s="17"/>
      <c r="Q1153" s="17"/>
      <c r="R1153" s="17"/>
      <c r="S1153" s="17"/>
      <c r="T1153" s="17"/>
      <c r="V1153" s="15"/>
      <c r="W1153" s="15"/>
    </row>
    <row r="1154" spans="1:23" hidden="1" x14ac:dyDescent="0.3">
      <c r="A1154" s="15"/>
      <c r="B1154" s="15"/>
      <c r="C1154" s="15"/>
      <c r="D1154" s="19"/>
      <c r="E1154" s="15"/>
      <c r="F1154" s="15"/>
      <c r="G1154" s="15"/>
      <c r="H1154" s="15"/>
      <c r="I1154" s="15"/>
      <c r="J1154" s="15"/>
      <c r="K1154" s="16"/>
      <c r="L1154" s="16"/>
      <c r="M1154" s="17">
        <f>Table1[[#This Row],[Billing Rate Charges]]-Table1[[#This Row],[ LORRY RATE ]]</f>
        <v>0</v>
      </c>
      <c r="N1154" s="17"/>
      <c r="O1154" s="17">
        <f>Table1[[#This Row],[ LORRY RATE ]]-Table1[[#This Row],[Adance Paid (INR)]]</f>
        <v>0</v>
      </c>
      <c r="P1154" s="17"/>
      <c r="Q1154" s="17"/>
      <c r="R1154" s="17"/>
      <c r="S1154" s="17"/>
      <c r="T1154" s="17"/>
      <c r="V1154" s="15"/>
      <c r="W1154" s="15"/>
    </row>
    <row r="1155" spans="1:23" hidden="1" x14ac:dyDescent="0.3">
      <c r="A1155" s="15"/>
      <c r="B1155" s="15"/>
      <c r="C1155" s="15"/>
      <c r="D1155" s="19"/>
      <c r="E1155" s="15"/>
      <c r="F1155" s="15"/>
      <c r="G1155" s="15"/>
      <c r="H1155" s="15"/>
      <c r="I1155" s="15"/>
      <c r="J1155" s="15"/>
      <c r="K1155" s="16"/>
      <c r="L1155" s="16"/>
      <c r="M1155" s="17">
        <f>Table1[[#This Row],[Billing Rate Charges]]-Table1[[#This Row],[ LORRY RATE ]]</f>
        <v>0</v>
      </c>
      <c r="N1155" s="17"/>
      <c r="O1155" s="17">
        <f>Table1[[#This Row],[ LORRY RATE ]]-Table1[[#This Row],[Adance Paid (INR)]]</f>
        <v>0</v>
      </c>
      <c r="P1155" s="17"/>
      <c r="Q1155" s="17"/>
      <c r="R1155" s="17"/>
      <c r="S1155" s="17"/>
      <c r="T1155" s="17"/>
      <c r="V1155" s="15"/>
      <c r="W1155" s="15"/>
    </row>
    <row r="1156" spans="1:23" hidden="1" x14ac:dyDescent="0.3">
      <c r="A1156" s="15"/>
      <c r="B1156" s="15"/>
      <c r="C1156" s="15"/>
      <c r="D1156" s="19"/>
      <c r="E1156" s="15"/>
      <c r="F1156" s="15"/>
      <c r="G1156" s="15"/>
      <c r="H1156" s="15"/>
      <c r="I1156" s="15"/>
      <c r="J1156" s="15"/>
      <c r="K1156" s="16"/>
      <c r="L1156" s="16"/>
      <c r="M1156" s="17">
        <f>Table1[[#This Row],[Billing Rate Charges]]-Table1[[#This Row],[ LORRY RATE ]]</f>
        <v>0</v>
      </c>
      <c r="N1156" s="17"/>
      <c r="O1156" s="17">
        <f>Table1[[#This Row],[ LORRY RATE ]]-Table1[[#This Row],[Adance Paid (INR)]]</f>
        <v>0</v>
      </c>
      <c r="P1156" s="17"/>
      <c r="Q1156" s="17"/>
      <c r="R1156" s="17"/>
      <c r="S1156" s="17"/>
      <c r="T1156" s="17"/>
      <c r="V1156" s="15"/>
      <c r="W1156" s="15"/>
    </row>
    <row r="1157" spans="1:23" hidden="1" x14ac:dyDescent="0.3">
      <c r="A1157" s="15"/>
      <c r="B1157" s="15"/>
      <c r="C1157" s="15"/>
      <c r="D1157" s="19"/>
      <c r="E1157" s="15"/>
      <c r="F1157" s="15"/>
      <c r="G1157" s="15"/>
      <c r="H1157" s="15"/>
      <c r="I1157" s="15"/>
      <c r="J1157" s="15"/>
      <c r="K1157" s="16"/>
      <c r="L1157" s="16"/>
      <c r="M1157" s="17">
        <f>Table1[[#This Row],[Billing Rate Charges]]-Table1[[#This Row],[ LORRY RATE ]]</f>
        <v>0</v>
      </c>
      <c r="N1157" s="17"/>
      <c r="O1157" s="17">
        <f>Table1[[#This Row],[ LORRY RATE ]]-Table1[[#This Row],[Adance Paid (INR)]]</f>
        <v>0</v>
      </c>
      <c r="P1157" s="17"/>
      <c r="Q1157" s="17"/>
      <c r="R1157" s="17"/>
      <c r="S1157" s="17"/>
      <c r="T1157" s="17"/>
      <c r="V1157" s="15"/>
      <c r="W1157" s="15"/>
    </row>
    <row r="1158" spans="1:23" hidden="1" x14ac:dyDescent="0.3">
      <c r="A1158" s="15"/>
      <c r="B1158" s="15"/>
      <c r="C1158" s="15"/>
      <c r="D1158" s="19"/>
      <c r="E1158" s="15"/>
      <c r="F1158" s="15"/>
      <c r="G1158" s="15"/>
      <c r="H1158" s="15"/>
      <c r="I1158" s="15"/>
      <c r="J1158" s="15"/>
      <c r="K1158" s="16"/>
      <c r="L1158" s="16"/>
      <c r="M1158" s="17">
        <f>Table1[[#This Row],[Billing Rate Charges]]-Table1[[#This Row],[ LORRY RATE ]]</f>
        <v>0</v>
      </c>
      <c r="N1158" s="17"/>
      <c r="O1158" s="17">
        <f>Table1[[#This Row],[ LORRY RATE ]]-Table1[[#This Row],[Adance Paid (INR)]]</f>
        <v>0</v>
      </c>
      <c r="P1158" s="17"/>
      <c r="Q1158" s="17"/>
      <c r="R1158" s="17"/>
      <c r="S1158" s="17"/>
      <c r="T1158" s="17"/>
      <c r="V1158" s="15"/>
      <c r="W1158" s="15"/>
    </row>
    <row r="1159" spans="1:23" hidden="1" x14ac:dyDescent="0.3">
      <c r="A1159" s="15"/>
      <c r="B1159" s="15"/>
      <c r="C1159" s="15"/>
      <c r="D1159" s="19"/>
      <c r="E1159" s="15"/>
      <c r="F1159" s="15"/>
      <c r="G1159" s="15"/>
      <c r="H1159" s="15"/>
      <c r="I1159" s="15"/>
      <c r="J1159" s="15"/>
      <c r="K1159" s="16"/>
      <c r="L1159" s="16"/>
      <c r="M1159" s="17">
        <f>Table1[[#This Row],[Billing Rate Charges]]-Table1[[#This Row],[ LORRY RATE ]]</f>
        <v>0</v>
      </c>
      <c r="N1159" s="17"/>
      <c r="O1159" s="17">
        <f>Table1[[#This Row],[ LORRY RATE ]]-Table1[[#This Row],[Adance Paid (INR)]]</f>
        <v>0</v>
      </c>
      <c r="P1159" s="17"/>
      <c r="Q1159" s="17"/>
      <c r="R1159" s="17"/>
      <c r="S1159" s="17"/>
      <c r="T1159" s="17"/>
      <c r="V1159" s="15"/>
      <c r="W1159" s="15"/>
    </row>
    <row r="1160" spans="1:23" hidden="1" x14ac:dyDescent="0.3">
      <c r="A1160" s="15"/>
      <c r="B1160" s="15"/>
      <c r="C1160" s="15"/>
      <c r="D1160" s="19"/>
      <c r="E1160" s="15"/>
      <c r="F1160" s="15"/>
      <c r="G1160" s="15"/>
      <c r="H1160" s="15"/>
      <c r="I1160" s="15"/>
      <c r="J1160" s="15"/>
      <c r="K1160" s="16"/>
      <c r="L1160" s="16"/>
      <c r="M1160" s="17">
        <f>Table1[[#This Row],[Billing Rate Charges]]-Table1[[#This Row],[ LORRY RATE ]]</f>
        <v>0</v>
      </c>
      <c r="N1160" s="17"/>
      <c r="O1160" s="17">
        <f>Table1[[#This Row],[ LORRY RATE ]]-Table1[[#This Row],[Adance Paid (INR)]]</f>
        <v>0</v>
      </c>
      <c r="P1160" s="17"/>
      <c r="Q1160" s="17"/>
      <c r="R1160" s="17"/>
      <c r="S1160" s="17"/>
      <c r="T1160" s="17"/>
      <c r="V1160" s="15"/>
      <c r="W1160" s="15"/>
    </row>
    <row r="1161" spans="1:23" hidden="1" x14ac:dyDescent="0.3">
      <c r="A1161" s="15"/>
      <c r="B1161" s="15"/>
      <c r="C1161" s="15"/>
      <c r="D1161" s="19"/>
      <c r="E1161" s="15"/>
      <c r="F1161" s="15"/>
      <c r="G1161" s="15"/>
      <c r="H1161" s="15"/>
      <c r="I1161" s="15"/>
      <c r="J1161" s="15"/>
      <c r="K1161" s="16"/>
      <c r="L1161" s="16"/>
      <c r="M1161" s="17">
        <f>Table1[[#This Row],[Billing Rate Charges]]-Table1[[#This Row],[ LORRY RATE ]]</f>
        <v>0</v>
      </c>
      <c r="N1161" s="17"/>
      <c r="O1161" s="17">
        <f>Table1[[#This Row],[ LORRY RATE ]]-Table1[[#This Row],[Adance Paid (INR)]]</f>
        <v>0</v>
      </c>
      <c r="P1161" s="17"/>
      <c r="Q1161" s="17"/>
      <c r="R1161" s="17"/>
      <c r="S1161" s="17"/>
      <c r="T1161" s="17"/>
      <c r="V1161" s="15"/>
      <c r="W1161" s="15"/>
    </row>
    <row r="1162" spans="1:23" hidden="1" x14ac:dyDescent="0.3">
      <c r="A1162" s="15"/>
      <c r="B1162" s="15"/>
      <c r="C1162" s="15"/>
      <c r="D1162" s="19"/>
      <c r="E1162" s="15"/>
      <c r="F1162" s="15"/>
      <c r="G1162" s="15"/>
      <c r="H1162" s="15"/>
      <c r="I1162" s="15"/>
      <c r="J1162" s="15"/>
      <c r="K1162" s="16"/>
      <c r="L1162" s="16"/>
      <c r="M1162" s="17">
        <f>Table1[[#This Row],[Billing Rate Charges]]-Table1[[#This Row],[ LORRY RATE ]]</f>
        <v>0</v>
      </c>
      <c r="N1162" s="17"/>
      <c r="O1162" s="17">
        <f>Table1[[#This Row],[ LORRY RATE ]]-Table1[[#This Row],[Adance Paid (INR)]]</f>
        <v>0</v>
      </c>
      <c r="P1162" s="17"/>
      <c r="Q1162" s="17"/>
      <c r="R1162" s="17"/>
      <c r="S1162" s="17"/>
      <c r="T1162" s="17"/>
      <c r="V1162" s="15"/>
      <c r="W1162" s="15"/>
    </row>
    <row r="1163" spans="1:23" hidden="1" x14ac:dyDescent="0.3">
      <c r="A1163" s="15"/>
      <c r="B1163" s="15"/>
      <c r="C1163" s="15"/>
      <c r="D1163" s="19"/>
      <c r="E1163" s="15"/>
      <c r="F1163" s="15"/>
      <c r="G1163" s="15"/>
      <c r="H1163" s="15"/>
      <c r="I1163" s="15"/>
      <c r="J1163" s="15"/>
      <c r="K1163" s="16"/>
      <c r="L1163" s="16"/>
      <c r="M1163" s="17">
        <f>Table1[[#This Row],[Billing Rate Charges]]-Table1[[#This Row],[ LORRY RATE ]]</f>
        <v>0</v>
      </c>
      <c r="N1163" s="17"/>
      <c r="O1163" s="17">
        <f>Table1[[#This Row],[ LORRY RATE ]]-Table1[[#This Row],[Adance Paid (INR)]]</f>
        <v>0</v>
      </c>
      <c r="P1163" s="17"/>
      <c r="Q1163" s="17"/>
      <c r="R1163" s="17"/>
      <c r="S1163" s="17"/>
      <c r="T1163" s="17"/>
      <c r="V1163" s="15"/>
      <c r="W1163" s="15"/>
    </row>
    <row r="1164" spans="1:23" hidden="1" x14ac:dyDescent="0.3">
      <c r="A1164" s="15"/>
      <c r="B1164" s="15"/>
      <c r="C1164" s="15"/>
      <c r="D1164" s="19"/>
      <c r="E1164" s="15"/>
      <c r="F1164" s="15"/>
      <c r="G1164" s="15"/>
      <c r="H1164" s="15"/>
      <c r="I1164" s="15"/>
      <c r="J1164" s="15"/>
      <c r="K1164" s="16"/>
      <c r="L1164" s="16"/>
      <c r="M1164" s="17">
        <f>Table1[[#This Row],[Billing Rate Charges]]-Table1[[#This Row],[ LORRY RATE ]]</f>
        <v>0</v>
      </c>
      <c r="N1164" s="17"/>
      <c r="O1164" s="17">
        <f>Table1[[#This Row],[ LORRY RATE ]]-Table1[[#This Row],[Adance Paid (INR)]]</f>
        <v>0</v>
      </c>
      <c r="P1164" s="17"/>
      <c r="Q1164" s="17"/>
      <c r="R1164" s="17"/>
      <c r="S1164" s="17"/>
      <c r="T1164" s="17"/>
      <c r="V1164" s="15"/>
      <c r="W1164" s="15"/>
    </row>
    <row r="1165" spans="1:23" hidden="1" x14ac:dyDescent="0.3">
      <c r="A1165" s="15"/>
      <c r="B1165" s="15"/>
      <c r="C1165" s="15"/>
      <c r="D1165" s="19"/>
      <c r="E1165" s="15"/>
      <c r="F1165" s="15"/>
      <c r="G1165" s="15"/>
      <c r="H1165" s="15"/>
      <c r="I1165" s="15"/>
      <c r="J1165" s="15"/>
      <c r="K1165" s="16"/>
      <c r="L1165" s="16"/>
      <c r="M1165" s="17">
        <f>Table1[[#This Row],[Billing Rate Charges]]-Table1[[#This Row],[ LORRY RATE ]]</f>
        <v>0</v>
      </c>
      <c r="N1165" s="17"/>
      <c r="O1165" s="17">
        <f>Table1[[#This Row],[ LORRY RATE ]]-Table1[[#This Row],[Adance Paid (INR)]]</f>
        <v>0</v>
      </c>
      <c r="P1165" s="17"/>
      <c r="Q1165" s="17"/>
      <c r="R1165" s="17"/>
      <c r="S1165" s="17"/>
      <c r="T1165" s="17"/>
      <c r="V1165" s="15"/>
      <c r="W1165" s="15"/>
    </row>
    <row r="1166" spans="1:23" hidden="1" x14ac:dyDescent="0.3">
      <c r="A1166" s="15"/>
      <c r="B1166" s="15"/>
      <c r="C1166" s="15"/>
      <c r="D1166" s="19"/>
      <c r="E1166" s="15"/>
      <c r="F1166" s="15"/>
      <c r="G1166" s="15"/>
      <c r="H1166" s="15"/>
      <c r="I1166" s="15"/>
      <c r="J1166" s="15"/>
      <c r="K1166" s="16"/>
      <c r="L1166" s="16"/>
      <c r="M1166" s="17">
        <f>Table1[[#This Row],[Billing Rate Charges]]-Table1[[#This Row],[ LORRY RATE ]]</f>
        <v>0</v>
      </c>
      <c r="N1166" s="17"/>
      <c r="O1166" s="17">
        <f>Table1[[#This Row],[ LORRY RATE ]]-Table1[[#This Row],[Adance Paid (INR)]]</f>
        <v>0</v>
      </c>
      <c r="P1166" s="17"/>
      <c r="Q1166" s="17"/>
      <c r="R1166" s="17"/>
      <c r="S1166" s="17"/>
      <c r="T1166" s="17"/>
      <c r="V1166" s="15"/>
      <c r="W1166" s="15"/>
    </row>
    <row r="1167" spans="1:23" hidden="1" x14ac:dyDescent="0.3">
      <c r="A1167" s="15"/>
      <c r="B1167" s="15"/>
      <c r="C1167" s="15"/>
      <c r="D1167" s="19"/>
      <c r="E1167" s="15"/>
      <c r="F1167" s="15"/>
      <c r="G1167" s="15"/>
      <c r="H1167" s="15"/>
      <c r="I1167" s="15"/>
      <c r="J1167" s="15"/>
      <c r="K1167" s="16"/>
      <c r="L1167" s="16"/>
      <c r="M1167" s="17">
        <f>Table1[[#This Row],[Billing Rate Charges]]-Table1[[#This Row],[ LORRY RATE ]]</f>
        <v>0</v>
      </c>
      <c r="N1167" s="17"/>
      <c r="O1167" s="17">
        <f>Table1[[#This Row],[ LORRY RATE ]]-Table1[[#This Row],[Adance Paid (INR)]]</f>
        <v>0</v>
      </c>
      <c r="P1167" s="17"/>
      <c r="Q1167" s="17"/>
      <c r="R1167" s="17"/>
      <c r="S1167" s="17"/>
      <c r="T1167" s="17"/>
      <c r="V1167" s="15"/>
      <c r="W1167" s="15"/>
    </row>
    <row r="1168" spans="1:23" hidden="1" x14ac:dyDescent="0.3">
      <c r="A1168" s="15"/>
      <c r="B1168" s="15"/>
      <c r="C1168" s="15"/>
      <c r="D1168" s="19"/>
      <c r="E1168" s="15"/>
      <c r="F1168" s="15"/>
      <c r="G1168" s="15"/>
      <c r="H1168" s="15"/>
      <c r="I1168" s="15"/>
      <c r="J1168" s="15"/>
      <c r="K1168" s="16"/>
      <c r="L1168" s="16"/>
      <c r="M1168" s="17">
        <f>Table1[[#This Row],[Billing Rate Charges]]-Table1[[#This Row],[ LORRY RATE ]]</f>
        <v>0</v>
      </c>
      <c r="N1168" s="17"/>
      <c r="O1168" s="17">
        <f>Table1[[#This Row],[ LORRY RATE ]]-Table1[[#This Row],[Adance Paid (INR)]]</f>
        <v>0</v>
      </c>
      <c r="P1168" s="17"/>
      <c r="Q1168" s="17"/>
      <c r="R1168" s="17"/>
      <c r="S1168" s="17"/>
      <c r="T1168" s="17"/>
      <c r="V1168" s="15"/>
      <c r="W1168" s="15"/>
    </row>
    <row r="1169" spans="1:23" hidden="1" x14ac:dyDescent="0.3">
      <c r="A1169" s="15"/>
      <c r="B1169" s="15"/>
      <c r="C1169" s="15"/>
      <c r="D1169" s="19"/>
      <c r="E1169" s="15"/>
      <c r="F1169" s="15"/>
      <c r="G1169" s="15"/>
      <c r="H1169" s="15"/>
      <c r="I1169" s="15"/>
      <c r="J1169" s="15"/>
      <c r="K1169" s="16"/>
      <c r="L1169" s="16"/>
      <c r="M1169" s="17">
        <f>Table1[[#This Row],[Billing Rate Charges]]-Table1[[#This Row],[ LORRY RATE ]]</f>
        <v>0</v>
      </c>
      <c r="N1169" s="17"/>
      <c r="O1169" s="17">
        <f>Table1[[#This Row],[ LORRY RATE ]]-Table1[[#This Row],[Adance Paid (INR)]]</f>
        <v>0</v>
      </c>
      <c r="P1169" s="17"/>
      <c r="Q1169" s="17"/>
      <c r="R1169" s="17"/>
      <c r="S1169" s="17"/>
      <c r="T1169" s="17"/>
      <c r="V1169" s="15"/>
      <c r="W1169" s="15"/>
    </row>
    <row r="1170" spans="1:23" hidden="1" x14ac:dyDescent="0.3">
      <c r="A1170" s="15"/>
      <c r="B1170" s="15"/>
      <c r="C1170" s="15"/>
      <c r="D1170" s="19"/>
      <c r="E1170" s="15"/>
      <c r="F1170" s="15"/>
      <c r="G1170" s="15"/>
      <c r="H1170" s="15"/>
      <c r="I1170" s="15"/>
      <c r="J1170" s="15"/>
      <c r="K1170" s="16"/>
      <c r="L1170" s="16"/>
      <c r="M1170" s="17">
        <f>Table1[[#This Row],[Billing Rate Charges]]-Table1[[#This Row],[ LORRY RATE ]]</f>
        <v>0</v>
      </c>
      <c r="N1170" s="17"/>
      <c r="O1170" s="17">
        <f>Table1[[#This Row],[ LORRY RATE ]]-Table1[[#This Row],[Adance Paid (INR)]]</f>
        <v>0</v>
      </c>
      <c r="P1170" s="17"/>
      <c r="Q1170" s="17"/>
      <c r="R1170" s="17"/>
      <c r="S1170" s="17"/>
      <c r="T1170" s="17"/>
      <c r="V1170" s="15"/>
      <c r="W1170" s="15"/>
    </row>
    <row r="1171" spans="1:23" hidden="1" x14ac:dyDescent="0.3">
      <c r="A1171" s="15"/>
      <c r="B1171" s="15"/>
      <c r="C1171" s="15"/>
      <c r="D1171" s="19"/>
      <c r="E1171" s="15"/>
      <c r="F1171" s="15"/>
      <c r="G1171" s="15"/>
      <c r="H1171" s="15"/>
      <c r="I1171" s="15"/>
      <c r="J1171" s="15"/>
      <c r="K1171" s="16"/>
      <c r="L1171" s="16"/>
      <c r="M1171" s="17">
        <f>Table1[[#This Row],[Billing Rate Charges]]-Table1[[#This Row],[ LORRY RATE ]]</f>
        <v>0</v>
      </c>
      <c r="N1171" s="17"/>
      <c r="O1171" s="17">
        <f>Table1[[#This Row],[ LORRY RATE ]]-Table1[[#This Row],[Adance Paid (INR)]]</f>
        <v>0</v>
      </c>
      <c r="P1171" s="17"/>
      <c r="Q1171" s="17"/>
      <c r="R1171" s="17"/>
      <c r="S1171" s="17"/>
      <c r="T1171" s="17"/>
      <c r="V1171" s="15"/>
      <c r="W1171" s="15"/>
    </row>
    <row r="1172" spans="1:23" hidden="1" x14ac:dyDescent="0.3">
      <c r="A1172" s="15"/>
      <c r="B1172" s="15"/>
      <c r="C1172" s="15"/>
      <c r="D1172" s="19"/>
      <c r="E1172" s="15"/>
      <c r="F1172" s="15"/>
      <c r="G1172" s="15"/>
      <c r="H1172" s="15"/>
      <c r="I1172" s="15"/>
      <c r="J1172" s="15"/>
      <c r="K1172" s="16"/>
      <c r="L1172" s="16"/>
      <c r="M1172" s="17">
        <f>Table1[[#This Row],[Billing Rate Charges]]-Table1[[#This Row],[ LORRY RATE ]]</f>
        <v>0</v>
      </c>
      <c r="N1172" s="17"/>
      <c r="O1172" s="17">
        <f>Table1[[#This Row],[ LORRY RATE ]]-Table1[[#This Row],[Adance Paid (INR)]]</f>
        <v>0</v>
      </c>
      <c r="P1172" s="17"/>
      <c r="Q1172" s="17"/>
      <c r="R1172" s="17"/>
      <c r="S1172" s="17"/>
      <c r="T1172" s="17"/>
      <c r="V1172" s="15"/>
      <c r="W1172" s="15"/>
    </row>
    <row r="1173" spans="1:23" hidden="1" x14ac:dyDescent="0.3">
      <c r="A1173" s="15"/>
      <c r="B1173" s="15"/>
      <c r="C1173" s="15"/>
      <c r="D1173" s="19"/>
      <c r="E1173" s="15"/>
      <c r="F1173" s="15"/>
      <c r="G1173" s="15"/>
      <c r="H1173" s="15"/>
      <c r="I1173" s="15"/>
      <c r="J1173" s="15"/>
      <c r="K1173" s="16"/>
      <c r="L1173" s="16"/>
      <c r="M1173" s="17">
        <f>Table1[[#This Row],[Billing Rate Charges]]-Table1[[#This Row],[ LORRY RATE ]]</f>
        <v>0</v>
      </c>
      <c r="N1173" s="17"/>
      <c r="O1173" s="17">
        <f>Table1[[#This Row],[ LORRY RATE ]]-Table1[[#This Row],[Adance Paid (INR)]]</f>
        <v>0</v>
      </c>
      <c r="P1173" s="17"/>
      <c r="Q1173" s="17"/>
      <c r="R1173" s="17"/>
      <c r="S1173" s="17"/>
      <c r="T1173" s="17"/>
      <c r="V1173" s="15"/>
      <c r="W1173" s="15"/>
    </row>
    <row r="1174" spans="1:23" hidden="1" x14ac:dyDescent="0.3">
      <c r="A1174" s="15"/>
      <c r="B1174" s="15"/>
      <c r="C1174" s="15"/>
      <c r="D1174" s="19"/>
      <c r="E1174" s="15"/>
      <c r="F1174" s="15"/>
      <c r="G1174" s="15"/>
      <c r="H1174" s="15"/>
      <c r="I1174" s="15"/>
      <c r="J1174" s="15"/>
      <c r="K1174" s="16"/>
      <c r="L1174" s="16"/>
      <c r="M1174" s="17">
        <f>Table1[[#This Row],[Billing Rate Charges]]-Table1[[#This Row],[ LORRY RATE ]]</f>
        <v>0</v>
      </c>
      <c r="N1174" s="17"/>
      <c r="O1174" s="17">
        <f>Table1[[#This Row],[ LORRY RATE ]]-Table1[[#This Row],[Adance Paid (INR)]]</f>
        <v>0</v>
      </c>
      <c r="P1174" s="17"/>
      <c r="Q1174" s="17"/>
      <c r="R1174" s="17"/>
      <c r="S1174" s="17"/>
      <c r="T1174" s="17"/>
      <c r="V1174" s="15"/>
      <c r="W1174" s="15"/>
    </row>
    <row r="1175" spans="1:23" hidden="1" x14ac:dyDescent="0.3">
      <c r="A1175" s="15"/>
      <c r="B1175" s="15"/>
      <c r="C1175" s="15"/>
      <c r="D1175" s="19"/>
      <c r="E1175" s="15"/>
      <c r="F1175" s="15"/>
      <c r="G1175" s="15"/>
      <c r="H1175" s="15"/>
      <c r="I1175" s="15"/>
      <c r="J1175" s="15"/>
      <c r="K1175" s="16"/>
      <c r="L1175" s="16"/>
      <c r="M1175" s="17">
        <f>Table1[[#This Row],[Billing Rate Charges]]-Table1[[#This Row],[ LORRY RATE ]]</f>
        <v>0</v>
      </c>
      <c r="N1175" s="17"/>
      <c r="O1175" s="17">
        <f>Table1[[#This Row],[ LORRY RATE ]]-Table1[[#This Row],[Adance Paid (INR)]]</f>
        <v>0</v>
      </c>
      <c r="P1175" s="17"/>
      <c r="Q1175" s="17"/>
      <c r="R1175" s="17"/>
      <c r="S1175" s="17"/>
      <c r="T1175" s="17"/>
      <c r="V1175" s="15"/>
      <c r="W1175" s="15"/>
    </row>
    <row r="1176" spans="1:23" hidden="1" x14ac:dyDescent="0.3">
      <c r="A1176" s="15"/>
      <c r="B1176" s="15"/>
      <c r="C1176" s="15"/>
      <c r="D1176" s="19"/>
      <c r="E1176" s="15"/>
      <c r="F1176" s="15"/>
      <c r="G1176" s="15"/>
      <c r="H1176" s="15"/>
      <c r="I1176" s="15"/>
      <c r="J1176" s="15"/>
      <c r="K1176" s="16"/>
      <c r="L1176" s="16"/>
      <c r="M1176" s="17">
        <f>Table1[[#This Row],[Billing Rate Charges]]-Table1[[#This Row],[ LORRY RATE ]]</f>
        <v>0</v>
      </c>
      <c r="N1176" s="17"/>
      <c r="O1176" s="17">
        <f>Table1[[#This Row],[ LORRY RATE ]]-Table1[[#This Row],[Adance Paid (INR)]]</f>
        <v>0</v>
      </c>
      <c r="P1176" s="17"/>
      <c r="Q1176" s="17"/>
      <c r="R1176" s="17"/>
      <c r="S1176" s="17"/>
      <c r="T1176" s="17"/>
      <c r="V1176" s="15"/>
      <c r="W1176" s="15"/>
    </row>
    <row r="1177" spans="1:23" hidden="1" x14ac:dyDescent="0.3">
      <c r="A1177" s="15"/>
      <c r="B1177" s="15"/>
      <c r="C1177" s="15"/>
      <c r="D1177" s="19"/>
      <c r="E1177" s="15"/>
      <c r="F1177" s="15"/>
      <c r="G1177" s="15"/>
      <c r="H1177" s="15"/>
      <c r="I1177" s="15"/>
      <c r="J1177" s="15"/>
      <c r="K1177" s="16"/>
      <c r="L1177" s="16"/>
      <c r="M1177" s="17">
        <f>Table1[[#This Row],[Billing Rate Charges]]-Table1[[#This Row],[ LORRY RATE ]]</f>
        <v>0</v>
      </c>
      <c r="N1177" s="17"/>
      <c r="O1177" s="17">
        <f>Table1[[#This Row],[ LORRY RATE ]]-Table1[[#This Row],[Adance Paid (INR)]]</f>
        <v>0</v>
      </c>
      <c r="P1177" s="17"/>
      <c r="Q1177" s="17"/>
      <c r="R1177" s="17"/>
      <c r="S1177" s="17"/>
      <c r="T1177" s="17"/>
      <c r="V1177" s="15"/>
      <c r="W1177" s="15"/>
    </row>
    <row r="1178" spans="1:23" hidden="1" x14ac:dyDescent="0.3">
      <c r="A1178" s="15"/>
      <c r="B1178" s="15"/>
      <c r="C1178" s="15"/>
      <c r="D1178" s="19"/>
      <c r="E1178" s="15"/>
      <c r="F1178" s="15"/>
      <c r="G1178" s="15"/>
      <c r="H1178" s="15"/>
      <c r="I1178" s="15"/>
      <c r="J1178" s="15"/>
      <c r="K1178" s="16"/>
      <c r="L1178" s="16"/>
      <c r="M1178" s="17">
        <f>Table1[[#This Row],[Billing Rate Charges]]-Table1[[#This Row],[ LORRY RATE ]]</f>
        <v>0</v>
      </c>
      <c r="N1178" s="17"/>
      <c r="O1178" s="17">
        <f>Table1[[#This Row],[ LORRY RATE ]]-Table1[[#This Row],[Adance Paid (INR)]]</f>
        <v>0</v>
      </c>
      <c r="P1178" s="17"/>
      <c r="Q1178" s="17"/>
      <c r="R1178" s="17"/>
      <c r="S1178" s="17"/>
      <c r="T1178" s="17"/>
      <c r="V1178" s="15"/>
      <c r="W1178" s="15"/>
    </row>
    <row r="1179" spans="1:23" hidden="1" x14ac:dyDescent="0.3">
      <c r="A1179" s="15"/>
      <c r="B1179" s="15"/>
      <c r="C1179" s="15"/>
      <c r="D1179" s="19"/>
      <c r="E1179" s="15"/>
      <c r="F1179" s="15"/>
      <c r="G1179" s="15"/>
      <c r="H1179" s="15"/>
      <c r="I1179" s="15"/>
      <c r="J1179" s="15"/>
      <c r="K1179" s="16"/>
      <c r="L1179" s="16"/>
      <c r="M1179" s="17">
        <f>Table1[[#This Row],[Billing Rate Charges]]-Table1[[#This Row],[ LORRY RATE ]]</f>
        <v>0</v>
      </c>
      <c r="N1179" s="17"/>
      <c r="O1179" s="17">
        <f>Table1[[#This Row],[ LORRY RATE ]]-Table1[[#This Row],[Adance Paid (INR)]]</f>
        <v>0</v>
      </c>
      <c r="P1179" s="17"/>
      <c r="Q1179" s="17"/>
      <c r="R1179" s="17"/>
      <c r="S1179" s="17"/>
      <c r="T1179" s="17"/>
      <c r="V1179" s="15"/>
      <c r="W1179" s="15"/>
    </row>
    <row r="1180" spans="1:23" hidden="1" x14ac:dyDescent="0.3">
      <c r="A1180" s="15"/>
      <c r="B1180" s="15"/>
      <c r="C1180" s="15"/>
      <c r="D1180" s="19"/>
      <c r="E1180" s="15"/>
      <c r="F1180" s="15"/>
      <c r="G1180" s="15"/>
      <c r="H1180" s="15"/>
      <c r="I1180" s="15"/>
      <c r="J1180" s="15"/>
      <c r="K1180" s="16"/>
      <c r="L1180" s="16"/>
      <c r="M1180" s="17">
        <f>Table1[[#This Row],[Billing Rate Charges]]-Table1[[#This Row],[ LORRY RATE ]]</f>
        <v>0</v>
      </c>
      <c r="N1180" s="17"/>
      <c r="O1180" s="17">
        <f>Table1[[#This Row],[ LORRY RATE ]]-Table1[[#This Row],[Adance Paid (INR)]]</f>
        <v>0</v>
      </c>
      <c r="P1180" s="17"/>
      <c r="Q1180" s="17"/>
      <c r="R1180" s="17"/>
      <c r="S1180" s="17"/>
      <c r="T1180" s="17"/>
      <c r="V1180" s="15"/>
      <c r="W1180" s="15"/>
    </row>
    <row r="1181" spans="1:23" hidden="1" x14ac:dyDescent="0.3">
      <c r="A1181" s="15"/>
      <c r="B1181" s="15"/>
      <c r="C1181" s="15"/>
      <c r="D1181" s="19"/>
      <c r="E1181" s="15"/>
      <c r="F1181" s="15"/>
      <c r="G1181" s="15"/>
      <c r="H1181" s="15"/>
      <c r="I1181" s="15"/>
      <c r="J1181" s="15"/>
      <c r="K1181" s="16"/>
      <c r="L1181" s="16"/>
      <c r="M1181" s="17">
        <f>Table1[[#This Row],[Billing Rate Charges]]-Table1[[#This Row],[ LORRY RATE ]]</f>
        <v>0</v>
      </c>
      <c r="N1181" s="17"/>
      <c r="O1181" s="17">
        <f>Table1[[#This Row],[ LORRY RATE ]]-Table1[[#This Row],[Adance Paid (INR)]]</f>
        <v>0</v>
      </c>
      <c r="P1181" s="17"/>
      <c r="Q1181" s="17"/>
      <c r="R1181" s="17"/>
      <c r="S1181" s="17"/>
      <c r="T1181" s="17"/>
      <c r="V1181" s="15"/>
      <c r="W1181" s="15"/>
    </row>
    <row r="1182" spans="1:23" hidden="1" x14ac:dyDescent="0.3">
      <c r="A1182" s="15"/>
      <c r="B1182" s="15"/>
      <c r="C1182" s="15"/>
      <c r="D1182" s="19"/>
      <c r="E1182" s="15"/>
      <c r="F1182" s="15"/>
      <c r="G1182" s="15"/>
      <c r="H1182" s="15"/>
      <c r="I1182" s="15"/>
      <c r="J1182" s="15"/>
      <c r="K1182" s="16"/>
      <c r="L1182" s="16"/>
      <c r="M1182" s="17">
        <f>Table1[[#This Row],[Billing Rate Charges]]-Table1[[#This Row],[ LORRY RATE ]]</f>
        <v>0</v>
      </c>
      <c r="N1182" s="17"/>
      <c r="O1182" s="17">
        <f>Table1[[#This Row],[ LORRY RATE ]]-Table1[[#This Row],[Adance Paid (INR)]]</f>
        <v>0</v>
      </c>
      <c r="P1182" s="17"/>
      <c r="Q1182" s="17"/>
      <c r="R1182" s="17"/>
      <c r="S1182" s="17"/>
      <c r="T1182" s="17"/>
      <c r="V1182" s="15"/>
      <c r="W1182" s="15"/>
    </row>
    <row r="1183" spans="1:23" hidden="1" x14ac:dyDescent="0.3">
      <c r="A1183" s="15"/>
      <c r="B1183" s="15"/>
      <c r="C1183" s="15"/>
      <c r="D1183" s="19"/>
      <c r="E1183" s="15"/>
      <c r="F1183" s="15"/>
      <c r="G1183" s="15"/>
      <c r="H1183" s="15"/>
      <c r="I1183" s="15"/>
      <c r="J1183" s="15"/>
      <c r="K1183" s="16"/>
      <c r="L1183" s="16"/>
      <c r="M1183" s="17">
        <f>Table1[[#This Row],[Billing Rate Charges]]-Table1[[#This Row],[ LORRY RATE ]]</f>
        <v>0</v>
      </c>
      <c r="N1183" s="17"/>
      <c r="O1183" s="17">
        <f>Table1[[#This Row],[ LORRY RATE ]]-Table1[[#This Row],[Adance Paid (INR)]]</f>
        <v>0</v>
      </c>
      <c r="P1183" s="17"/>
      <c r="Q1183" s="17"/>
      <c r="R1183" s="17"/>
      <c r="S1183" s="17"/>
      <c r="T1183" s="17"/>
      <c r="V1183" s="15"/>
      <c r="W1183" s="15"/>
    </row>
    <row r="1184" spans="1:23" hidden="1" x14ac:dyDescent="0.3">
      <c r="A1184" s="15"/>
      <c r="B1184" s="15"/>
      <c r="C1184" s="15"/>
      <c r="D1184" s="19"/>
      <c r="E1184" s="15"/>
      <c r="F1184" s="15"/>
      <c r="G1184" s="15"/>
      <c r="H1184" s="15"/>
      <c r="I1184" s="15"/>
      <c r="J1184" s="15"/>
      <c r="K1184" s="16"/>
      <c r="L1184" s="16"/>
      <c r="M1184" s="17">
        <f>Table1[[#This Row],[Billing Rate Charges]]-Table1[[#This Row],[ LORRY RATE ]]</f>
        <v>0</v>
      </c>
      <c r="N1184" s="17"/>
      <c r="O1184" s="17">
        <f>Table1[[#This Row],[ LORRY RATE ]]-Table1[[#This Row],[Adance Paid (INR)]]</f>
        <v>0</v>
      </c>
      <c r="P1184" s="17"/>
      <c r="Q1184" s="17"/>
      <c r="R1184" s="17"/>
      <c r="S1184" s="17"/>
      <c r="T1184" s="17"/>
      <c r="V1184" s="15"/>
      <c r="W1184" s="15"/>
    </row>
    <row r="1185" spans="1:23" hidden="1" x14ac:dyDescent="0.3">
      <c r="A1185" s="15"/>
      <c r="B1185" s="15"/>
      <c r="C1185" s="15"/>
      <c r="D1185" s="19"/>
      <c r="E1185" s="15"/>
      <c r="F1185" s="15"/>
      <c r="G1185" s="15"/>
      <c r="H1185" s="15"/>
      <c r="I1185" s="15"/>
      <c r="J1185" s="15"/>
      <c r="K1185" s="16"/>
      <c r="L1185" s="16"/>
      <c r="M1185" s="17">
        <f>Table1[[#This Row],[Billing Rate Charges]]-Table1[[#This Row],[ LORRY RATE ]]</f>
        <v>0</v>
      </c>
      <c r="N1185" s="17"/>
      <c r="O1185" s="17">
        <f>Table1[[#This Row],[ LORRY RATE ]]-Table1[[#This Row],[Adance Paid (INR)]]</f>
        <v>0</v>
      </c>
      <c r="P1185" s="17"/>
      <c r="Q1185" s="17"/>
      <c r="R1185" s="17"/>
      <c r="S1185" s="17"/>
      <c r="T1185" s="17"/>
      <c r="V1185" s="15"/>
      <c r="W1185" s="15"/>
    </row>
    <row r="1186" spans="1:23" hidden="1" x14ac:dyDescent="0.3">
      <c r="A1186" s="15"/>
      <c r="B1186" s="15"/>
      <c r="C1186" s="15"/>
      <c r="D1186" s="19"/>
      <c r="E1186" s="15"/>
      <c r="F1186" s="15"/>
      <c r="G1186" s="15"/>
      <c r="H1186" s="15"/>
      <c r="I1186" s="15"/>
      <c r="J1186" s="15"/>
      <c r="K1186" s="16"/>
      <c r="L1186" s="16"/>
      <c r="M1186" s="17">
        <f>Table1[[#This Row],[Billing Rate Charges]]-Table1[[#This Row],[ LORRY RATE ]]</f>
        <v>0</v>
      </c>
      <c r="N1186" s="17"/>
      <c r="O1186" s="17">
        <f>Table1[[#This Row],[ LORRY RATE ]]-Table1[[#This Row],[Adance Paid (INR)]]</f>
        <v>0</v>
      </c>
      <c r="P1186" s="17"/>
      <c r="Q1186" s="17"/>
      <c r="R1186" s="17"/>
      <c r="S1186" s="17"/>
      <c r="T1186" s="17"/>
      <c r="V1186" s="15"/>
      <c r="W1186" s="15"/>
    </row>
    <row r="1187" spans="1:23" hidden="1" x14ac:dyDescent="0.3">
      <c r="A1187" s="15"/>
      <c r="B1187" s="15"/>
      <c r="C1187" s="15"/>
      <c r="D1187" s="19"/>
      <c r="E1187" s="15"/>
      <c r="F1187" s="15"/>
      <c r="G1187" s="15"/>
      <c r="H1187" s="15"/>
      <c r="I1187" s="15"/>
      <c r="J1187" s="15"/>
      <c r="K1187" s="16"/>
      <c r="L1187" s="16"/>
      <c r="M1187" s="17">
        <f>Table1[[#This Row],[Billing Rate Charges]]-Table1[[#This Row],[ LORRY RATE ]]</f>
        <v>0</v>
      </c>
      <c r="N1187" s="17"/>
      <c r="O1187" s="17">
        <f>Table1[[#This Row],[ LORRY RATE ]]-Table1[[#This Row],[Adance Paid (INR)]]</f>
        <v>0</v>
      </c>
      <c r="P1187" s="17"/>
      <c r="Q1187" s="17"/>
      <c r="R1187" s="17"/>
      <c r="S1187" s="17"/>
      <c r="T1187" s="17"/>
      <c r="V1187" s="15"/>
      <c r="W1187" s="15"/>
    </row>
    <row r="1188" spans="1:23" hidden="1" x14ac:dyDescent="0.3">
      <c r="A1188" s="15"/>
      <c r="B1188" s="15"/>
      <c r="C1188" s="15"/>
      <c r="D1188" s="19"/>
      <c r="E1188" s="15"/>
      <c r="F1188" s="15"/>
      <c r="G1188" s="15"/>
      <c r="H1188" s="15"/>
      <c r="I1188" s="15"/>
      <c r="J1188" s="15"/>
      <c r="K1188" s="16"/>
      <c r="L1188" s="16"/>
      <c r="M1188" s="17">
        <f>Table1[[#This Row],[Billing Rate Charges]]-Table1[[#This Row],[ LORRY RATE ]]</f>
        <v>0</v>
      </c>
      <c r="N1188" s="17"/>
      <c r="O1188" s="17">
        <f>Table1[[#This Row],[ LORRY RATE ]]-Table1[[#This Row],[Adance Paid (INR)]]</f>
        <v>0</v>
      </c>
      <c r="P1188" s="17"/>
      <c r="Q1188" s="17"/>
      <c r="R1188" s="17"/>
      <c r="S1188" s="17"/>
      <c r="T1188" s="17"/>
      <c r="V1188" s="15"/>
      <c r="W1188" s="15"/>
    </row>
    <row r="1189" spans="1:23" hidden="1" x14ac:dyDescent="0.3">
      <c r="A1189" s="15"/>
      <c r="B1189" s="15"/>
      <c r="C1189" s="15"/>
      <c r="D1189" s="19"/>
      <c r="E1189" s="15"/>
      <c r="F1189" s="15"/>
      <c r="G1189" s="15"/>
      <c r="H1189" s="15"/>
      <c r="I1189" s="15"/>
      <c r="J1189" s="15"/>
      <c r="K1189" s="16"/>
      <c r="L1189" s="16"/>
      <c r="M1189" s="17">
        <f>Table1[[#This Row],[Billing Rate Charges]]-Table1[[#This Row],[ LORRY RATE ]]</f>
        <v>0</v>
      </c>
      <c r="N1189" s="17"/>
      <c r="O1189" s="17">
        <f>Table1[[#This Row],[ LORRY RATE ]]-Table1[[#This Row],[Adance Paid (INR)]]</f>
        <v>0</v>
      </c>
      <c r="P1189" s="17"/>
      <c r="Q1189" s="17"/>
      <c r="R1189" s="17"/>
      <c r="S1189" s="17"/>
      <c r="T1189" s="17"/>
      <c r="V1189" s="15"/>
      <c r="W1189" s="15"/>
    </row>
    <row r="1190" spans="1:23" hidden="1" x14ac:dyDescent="0.3">
      <c r="A1190" s="15"/>
      <c r="B1190" s="15"/>
      <c r="C1190" s="15"/>
      <c r="D1190" s="19"/>
      <c r="E1190" s="15"/>
      <c r="F1190" s="15"/>
      <c r="G1190" s="15"/>
      <c r="H1190" s="15"/>
      <c r="I1190" s="15"/>
      <c r="J1190" s="15"/>
      <c r="K1190" s="16"/>
      <c r="L1190" s="16"/>
      <c r="M1190" s="17">
        <f>Table1[[#This Row],[Billing Rate Charges]]-Table1[[#This Row],[ LORRY RATE ]]</f>
        <v>0</v>
      </c>
      <c r="N1190" s="17"/>
      <c r="O1190" s="17">
        <f>Table1[[#This Row],[ LORRY RATE ]]-Table1[[#This Row],[Adance Paid (INR)]]</f>
        <v>0</v>
      </c>
      <c r="P1190" s="17"/>
      <c r="Q1190" s="17"/>
      <c r="R1190" s="17"/>
      <c r="S1190" s="17"/>
      <c r="T1190" s="17"/>
      <c r="V1190" s="15"/>
      <c r="W1190" s="15"/>
    </row>
    <row r="1191" spans="1:23" hidden="1" x14ac:dyDescent="0.3">
      <c r="A1191" s="15"/>
      <c r="B1191" s="15"/>
      <c r="C1191" s="15"/>
      <c r="D1191" s="19"/>
      <c r="E1191" s="15"/>
      <c r="F1191" s="15"/>
      <c r="G1191" s="15"/>
      <c r="H1191" s="15"/>
      <c r="I1191" s="15"/>
      <c r="J1191" s="15"/>
      <c r="K1191" s="16"/>
      <c r="L1191" s="16"/>
      <c r="M1191" s="17">
        <f>Table1[[#This Row],[Billing Rate Charges]]-Table1[[#This Row],[ LORRY RATE ]]</f>
        <v>0</v>
      </c>
      <c r="N1191" s="17"/>
      <c r="O1191" s="17">
        <f>Table1[[#This Row],[ LORRY RATE ]]-Table1[[#This Row],[Adance Paid (INR)]]</f>
        <v>0</v>
      </c>
      <c r="P1191" s="17"/>
      <c r="Q1191" s="17"/>
      <c r="R1191" s="17"/>
      <c r="S1191" s="17"/>
      <c r="T1191" s="17"/>
      <c r="V1191" s="15"/>
      <c r="W1191" s="15"/>
    </row>
    <row r="1192" spans="1:23" hidden="1" x14ac:dyDescent="0.3">
      <c r="A1192" s="15"/>
      <c r="B1192" s="15"/>
      <c r="C1192" s="15"/>
      <c r="D1192" s="19"/>
      <c r="E1192" s="15"/>
      <c r="F1192" s="15"/>
      <c r="G1192" s="15"/>
      <c r="H1192" s="15"/>
      <c r="I1192" s="15"/>
      <c r="J1192" s="15"/>
      <c r="K1192" s="16"/>
      <c r="L1192" s="16"/>
      <c r="M1192" s="17">
        <f>Table1[[#This Row],[Billing Rate Charges]]-Table1[[#This Row],[ LORRY RATE ]]</f>
        <v>0</v>
      </c>
      <c r="N1192" s="17"/>
      <c r="O1192" s="17">
        <f>Table1[[#This Row],[ LORRY RATE ]]-Table1[[#This Row],[Adance Paid (INR)]]</f>
        <v>0</v>
      </c>
      <c r="P1192" s="17"/>
      <c r="Q1192" s="17"/>
      <c r="R1192" s="17"/>
      <c r="S1192" s="17"/>
      <c r="T1192" s="17"/>
      <c r="V1192" s="15"/>
      <c r="W1192" s="15"/>
    </row>
    <row r="1193" spans="1:23" hidden="1" x14ac:dyDescent="0.3">
      <c r="A1193" s="15"/>
      <c r="B1193" s="15"/>
      <c r="C1193" s="15"/>
      <c r="D1193" s="19"/>
      <c r="E1193" s="15"/>
      <c r="F1193" s="15"/>
      <c r="G1193" s="15"/>
      <c r="H1193" s="15"/>
      <c r="I1193" s="15"/>
      <c r="J1193" s="15"/>
      <c r="K1193" s="16"/>
      <c r="L1193" s="16"/>
      <c r="M1193" s="17">
        <f>Table1[[#This Row],[Billing Rate Charges]]-Table1[[#This Row],[ LORRY RATE ]]</f>
        <v>0</v>
      </c>
      <c r="N1193" s="17"/>
      <c r="O1193" s="17">
        <f>Table1[[#This Row],[ LORRY RATE ]]-Table1[[#This Row],[Adance Paid (INR)]]</f>
        <v>0</v>
      </c>
      <c r="P1193" s="17"/>
      <c r="Q1193" s="17"/>
      <c r="R1193" s="17"/>
      <c r="S1193" s="17"/>
      <c r="T1193" s="17"/>
      <c r="V1193" s="15"/>
      <c r="W1193" s="15"/>
    </row>
    <row r="1194" spans="1:23" hidden="1" x14ac:dyDescent="0.3">
      <c r="A1194" s="15"/>
      <c r="B1194" s="15"/>
      <c r="C1194" s="15"/>
      <c r="D1194" s="19"/>
      <c r="E1194" s="15"/>
      <c r="F1194" s="15"/>
      <c r="G1194" s="15"/>
      <c r="H1194" s="15"/>
      <c r="I1194" s="15"/>
      <c r="J1194" s="15"/>
      <c r="K1194" s="16"/>
      <c r="L1194" s="16"/>
      <c r="M1194" s="17">
        <f>Table1[[#This Row],[Billing Rate Charges]]-Table1[[#This Row],[ LORRY RATE ]]</f>
        <v>0</v>
      </c>
      <c r="N1194" s="17"/>
      <c r="O1194" s="17">
        <f>Table1[[#This Row],[ LORRY RATE ]]-Table1[[#This Row],[Adance Paid (INR)]]</f>
        <v>0</v>
      </c>
      <c r="P1194" s="17"/>
      <c r="Q1194" s="17"/>
      <c r="R1194" s="17"/>
      <c r="S1194" s="17"/>
      <c r="T1194" s="17"/>
      <c r="V1194" s="15"/>
      <c r="W1194" s="15"/>
    </row>
    <row r="1195" spans="1:23" hidden="1" x14ac:dyDescent="0.3">
      <c r="A1195" s="15"/>
      <c r="B1195" s="15"/>
      <c r="C1195" s="15"/>
      <c r="D1195" s="19"/>
      <c r="E1195" s="15"/>
      <c r="F1195" s="15"/>
      <c r="G1195" s="15"/>
      <c r="H1195" s="15"/>
      <c r="I1195" s="15"/>
      <c r="J1195" s="15"/>
      <c r="K1195" s="16"/>
      <c r="L1195" s="16"/>
      <c r="M1195" s="17">
        <f>Table1[[#This Row],[Billing Rate Charges]]-Table1[[#This Row],[ LORRY RATE ]]</f>
        <v>0</v>
      </c>
      <c r="N1195" s="17"/>
      <c r="O1195" s="17">
        <f>Table1[[#This Row],[ LORRY RATE ]]-Table1[[#This Row],[Adance Paid (INR)]]</f>
        <v>0</v>
      </c>
      <c r="P1195" s="17"/>
      <c r="Q1195" s="17"/>
      <c r="R1195" s="17"/>
      <c r="S1195" s="17"/>
      <c r="T1195" s="17"/>
      <c r="V1195" s="15"/>
      <c r="W1195" s="15"/>
    </row>
    <row r="1196" spans="1:23" hidden="1" x14ac:dyDescent="0.3">
      <c r="A1196" s="15"/>
      <c r="B1196" s="15"/>
      <c r="C1196" s="15"/>
      <c r="D1196" s="19"/>
      <c r="E1196" s="15"/>
      <c r="F1196" s="15"/>
      <c r="G1196" s="15"/>
      <c r="H1196" s="15"/>
      <c r="I1196" s="15"/>
      <c r="J1196" s="15"/>
      <c r="K1196" s="16"/>
      <c r="L1196" s="16"/>
      <c r="M1196" s="17">
        <f>Table1[[#This Row],[Billing Rate Charges]]-Table1[[#This Row],[ LORRY RATE ]]</f>
        <v>0</v>
      </c>
      <c r="N1196" s="17"/>
      <c r="O1196" s="17">
        <f>Table1[[#This Row],[ LORRY RATE ]]-Table1[[#This Row],[Adance Paid (INR)]]</f>
        <v>0</v>
      </c>
      <c r="P1196" s="17"/>
      <c r="Q1196" s="17"/>
      <c r="R1196" s="17"/>
      <c r="S1196" s="17"/>
      <c r="T1196" s="17"/>
      <c r="V1196" s="15"/>
      <c r="W1196" s="15"/>
    </row>
    <row r="1197" spans="1:23" hidden="1" x14ac:dyDescent="0.3">
      <c r="A1197" s="15"/>
      <c r="B1197" s="15"/>
      <c r="C1197" s="15"/>
      <c r="D1197" s="19"/>
      <c r="E1197" s="15"/>
      <c r="F1197" s="15"/>
      <c r="G1197" s="15"/>
      <c r="H1197" s="15"/>
      <c r="I1197" s="15"/>
      <c r="J1197" s="15"/>
      <c r="K1197" s="16"/>
      <c r="L1197" s="16"/>
      <c r="M1197" s="17">
        <f>Table1[[#This Row],[Billing Rate Charges]]-Table1[[#This Row],[ LORRY RATE ]]</f>
        <v>0</v>
      </c>
      <c r="N1197" s="17"/>
      <c r="O1197" s="17">
        <f>Table1[[#This Row],[ LORRY RATE ]]-Table1[[#This Row],[Adance Paid (INR)]]</f>
        <v>0</v>
      </c>
      <c r="P1197" s="17"/>
      <c r="Q1197" s="17"/>
      <c r="R1197" s="17"/>
      <c r="S1197" s="17"/>
      <c r="T1197" s="17"/>
      <c r="V1197" s="15"/>
      <c r="W1197" s="15"/>
    </row>
    <row r="1198" spans="1:23" hidden="1" x14ac:dyDescent="0.3">
      <c r="A1198" s="15"/>
      <c r="B1198" s="15"/>
      <c r="C1198" s="15"/>
      <c r="D1198" s="19"/>
      <c r="E1198" s="15"/>
      <c r="F1198" s="15"/>
      <c r="G1198" s="15"/>
      <c r="H1198" s="15"/>
      <c r="I1198" s="15"/>
      <c r="J1198" s="15"/>
      <c r="K1198" s="16"/>
      <c r="L1198" s="16"/>
      <c r="M1198" s="17">
        <f>Table1[[#This Row],[Billing Rate Charges]]-Table1[[#This Row],[ LORRY RATE ]]</f>
        <v>0</v>
      </c>
      <c r="N1198" s="17"/>
      <c r="O1198" s="17">
        <f>Table1[[#This Row],[ LORRY RATE ]]-Table1[[#This Row],[Adance Paid (INR)]]</f>
        <v>0</v>
      </c>
      <c r="P1198" s="17"/>
      <c r="Q1198" s="17"/>
      <c r="R1198" s="17"/>
      <c r="S1198" s="17"/>
      <c r="T1198" s="17"/>
      <c r="V1198" s="15"/>
      <c r="W1198" s="15"/>
    </row>
    <row r="1199" spans="1:23" hidden="1" x14ac:dyDescent="0.3">
      <c r="A1199" s="15"/>
      <c r="B1199" s="15"/>
      <c r="C1199" s="15"/>
      <c r="D1199" s="19"/>
      <c r="E1199" s="15"/>
      <c r="F1199" s="15"/>
      <c r="G1199" s="15"/>
      <c r="H1199" s="15"/>
      <c r="I1199" s="15"/>
      <c r="J1199" s="15"/>
      <c r="K1199" s="16"/>
      <c r="L1199" s="16"/>
      <c r="M1199" s="17">
        <f>Table1[[#This Row],[Billing Rate Charges]]-Table1[[#This Row],[ LORRY RATE ]]</f>
        <v>0</v>
      </c>
      <c r="N1199" s="17"/>
      <c r="O1199" s="17">
        <f>Table1[[#This Row],[ LORRY RATE ]]-Table1[[#This Row],[Adance Paid (INR)]]</f>
        <v>0</v>
      </c>
      <c r="P1199" s="17"/>
      <c r="Q1199" s="17"/>
      <c r="R1199" s="17"/>
      <c r="S1199" s="17"/>
      <c r="T1199" s="17"/>
      <c r="V1199" s="15"/>
      <c r="W1199" s="15"/>
    </row>
    <row r="1200" spans="1:23" hidden="1" x14ac:dyDescent="0.3">
      <c r="A1200" s="15"/>
      <c r="B1200" s="15"/>
      <c r="C1200" s="15"/>
      <c r="D1200" s="19"/>
      <c r="E1200" s="15"/>
      <c r="F1200" s="15"/>
      <c r="G1200" s="15"/>
      <c r="H1200" s="15"/>
      <c r="I1200" s="15"/>
      <c r="J1200" s="15"/>
      <c r="K1200" s="16"/>
      <c r="L1200" s="16"/>
      <c r="M1200" s="17">
        <f>Table1[[#This Row],[Billing Rate Charges]]-Table1[[#This Row],[ LORRY RATE ]]</f>
        <v>0</v>
      </c>
      <c r="N1200" s="17"/>
      <c r="O1200" s="17">
        <f>Table1[[#This Row],[ LORRY RATE ]]-Table1[[#This Row],[Adance Paid (INR)]]</f>
        <v>0</v>
      </c>
      <c r="P1200" s="17"/>
      <c r="Q1200" s="17"/>
      <c r="R1200" s="17"/>
      <c r="S1200" s="17"/>
      <c r="T1200" s="17"/>
      <c r="V1200" s="15"/>
      <c r="W1200" s="15"/>
    </row>
    <row r="1201" spans="1:23" hidden="1" x14ac:dyDescent="0.3">
      <c r="A1201" s="15"/>
      <c r="B1201" s="15"/>
      <c r="C1201" s="15"/>
      <c r="D1201" s="19"/>
      <c r="E1201" s="15"/>
      <c r="F1201" s="15"/>
      <c r="G1201" s="15"/>
      <c r="H1201" s="15"/>
      <c r="I1201" s="15"/>
      <c r="J1201" s="15"/>
      <c r="K1201" s="16"/>
      <c r="L1201" s="16"/>
      <c r="M1201" s="17">
        <f>Table1[[#This Row],[Billing Rate Charges]]-Table1[[#This Row],[ LORRY RATE ]]</f>
        <v>0</v>
      </c>
      <c r="N1201" s="17"/>
      <c r="O1201" s="17">
        <f>Table1[[#This Row],[ LORRY RATE ]]-Table1[[#This Row],[Adance Paid (INR)]]</f>
        <v>0</v>
      </c>
      <c r="P1201" s="17"/>
      <c r="Q1201" s="17"/>
      <c r="R1201" s="17"/>
      <c r="S1201" s="17"/>
      <c r="T1201" s="17"/>
      <c r="V1201" s="15"/>
      <c r="W1201" s="15"/>
    </row>
    <row r="1202" spans="1:23" hidden="1" x14ac:dyDescent="0.3">
      <c r="A1202" s="15"/>
      <c r="B1202" s="15"/>
      <c r="C1202" s="15"/>
      <c r="D1202" s="19"/>
      <c r="E1202" s="15"/>
      <c r="F1202" s="15"/>
      <c r="G1202" s="15"/>
      <c r="H1202" s="15"/>
      <c r="I1202" s="15"/>
      <c r="J1202" s="15"/>
      <c r="K1202" s="16"/>
      <c r="L1202" s="16"/>
      <c r="M1202" s="17">
        <f>Table1[[#This Row],[Billing Rate Charges]]-Table1[[#This Row],[ LORRY RATE ]]</f>
        <v>0</v>
      </c>
      <c r="N1202" s="17"/>
      <c r="O1202" s="17">
        <f>Table1[[#This Row],[ LORRY RATE ]]-Table1[[#This Row],[Adance Paid (INR)]]</f>
        <v>0</v>
      </c>
      <c r="P1202" s="17"/>
      <c r="Q1202" s="17"/>
      <c r="R1202" s="17"/>
      <c r="S1202" s="17"/>
      <c r="T1202" s="17"/>
      <c r="V1202" s="15"/>
      <c r="W1202" s="15"/>
    </row>
    <row r="1203" spans="1:23" hidden="1" x14ac:dyDescent="0.3">
      <c r="A1203" s="15"/>
      <c r="B1203" s="15"/>
      <c r="C1203" s="15"/>
      <c r="D1203" s="19"/>
      <c r="E1203" s="15"/>
      <c r="F1203" s="15"/>
      <c r="G1203" s="15"/>
      <c r="H1203" s="15"/>
      <c r="I1203" s="15"/>
      <c r="J1203" s="15"/>
      <c r="K1203" s="16"/>
      <c r="L1203" s="16"/>
      <c r="M1203" s="17">
        <f>Table1[[#This Row],[Billing Rate Charges]]-Table1[[#This Row],[ LORRY RATE ]]</f>
        <v>0</v>
      </c>
      <c r="N1203" s="17"/>
      <c r="O1203" s="17">
        <f>Table1[[#This Row],[ LORRY RATE ]]-Table1[[#This Row],[Adance Paid (INR)]]</f>
        <v>0</v>
      </c>
      <c r="P1203" s="17"/>
      <c r="Q1203" s="17"/>
      <c r="R1203" s="17"/>
      <c r="S1203" s="17"/>
      <c r="T1203" s="17"/>
      <c r="V1203" s="15"/>
      <c r="W1203" s="15"/>
    </row>
    <row r="1204" spans="1:23" hidden="1" x14ac:dyDescent="0.3">
      <c r="A1204" s="15"/>
      <c r="B1204" s="15"/>
      <c r="C1204" s="15"/>
      <c r="D1204" s="19"/>
      <c r="E1204" s="15"/>
      <c r="F1204" s="15"/>
      <c r="G1204" s="15"/>
      <c r="H1204" s="15"/>
      <c r="I1204" s="15"/>
      <c r="J1204" s="15"/>
      <c r="K1204" s="16"/>
      <c r="L1204" s="16"/>
      <c r="M1204" s="17">
        <f>Table1[[#This Row],[Billing Rate Charges]]-Table1[[#This Row],[ LORRY RATE ]]</f>
        <v>0</v>
      </c>
      <c r="N1204" s="17"/>
      <c r="O1204" s="17">
        <f>Table1[[#This Row],[ LORRY RATE ]]-Table1[[#This Row],[Adance Paid (INR)]]</f>
        <v>0</v>
      </c>
      <c r="P1204" s="17"/>
      <c r="Q1204" s="17"/>
      <c r="R1204" s="17"/>
      <c r="S1204" s="17"/>
      <c r="T1204" s="17"/>
      <c r="V1204" s="15"/>
      <c r="W1204" s="15"/>
    </row>
    <row r="1205" spans="1:23" hidden="1" x14ac:dyDescent="0.3">
      <c r="A1205" s="15"/>
      <c r="B1205" s="15"/>
      <c r="C1205" s="15"/>
      <c r="D1205" s="19"/>
      <c r="E1205" s="15"/>
      <c r="F1205" s="15"/>
      <c r="G1205" s="15"/>
      <c r="H1205" s="15"/>
      <c r="I1205" s="15"/>
      <c r="J1205" s="15"/>
      <c r="K1205" s="16"/>
      <c r="L1205" s="16"/>
      <c r="M1205" s="17">
        <f>Table1[[#This Row],[Billing Rate Charges]]-Table1[[#This Row],[ LORRY RATE ]]</f>
        <v>0</v>
      </c>
      <c r="N1205" s="17"/>
      <c r="O1205" s="17">
        <f>Table1[[#This Row],[ LORRY RATE ]]-Table1[[#This Row],[Adance Paid (INR)]]</f>
        <v>0</v>
      </c>
      <c r="P1205" s="17"/>
      <c r="Q1205" s="17"/>
      <c r="R1205" s="17"/>
      <c r="S1205" s="17"/>
      <c r="T1205" s="17"/>
      <c r="V1205" s="15"/>
      <c r="W1205" s="15"/>
    </row>
    <row r="1206" spans="1:23" hidden="1" x14ac:dyDescent="0.3">
      <c r="A1206" s="15"/>
      <c r="B1206" s="15"/>
      <c r="C1206" s="15"/>
      <c r="D1206" s="19"/>
      <c r="E1206" s="15"/>
      <c r="F1206" s="15"/>
      <c r="G1206" s="15"/>
      <c r="H1206" s="15"/>
      <c r="I1206" s="15"/>
      <c r="J1206" s="15"/>
      <c r="K1206" s="16"/>
      <c r="L1206" s="16"/>
      <c r="M1206" s="17">
        <f>Table1[[#This Row],[Billing Rate Charges]]-Table1[[#This Row],[ LORRY RATE ]]</f>
        <v>0</v>
      </c>
      <c r="N1206" s="17"/>
      <c r="O1206" s="17">
        <f>Table1[[#This Row],[ LORRY RATE ]]-Table1[[#This Row],[Adance Paid (INR)]]</f>
        <v>0</v>
      </c>
      <c r="P1206" s="17"/>
      <c r="Q1206" s="17"/>
      <c r="R1206" s="17"/>
      <c r="S1206" s="17"/>
      <c r="T1206" s="17"/>
      <c r="V1206" s="15"/>
      <c r="W1206" s="15"/>
    </row>
    <row r="1207" spans="1:23" hidden="1" x14ac:dyDescent="0.3">
      <c r="A1207" s="15"/>
      <c r="B1207" s="15"/>
      <c r="C1207" s="15"/>
      <c r="D1207" s="19"/>
      <c r="E1207" s="15"/>
      <c r="F1207" s="15"/>
      <c r="G1207" s="15"/>
      <c r="H1207" s="15"/>
      <c r="I1207" s="15"/>
      <c r="J1207" s="15"/>
      <c r="K1207" s="16"/>
      <c r="L1207" s="16"/>
      <c r="M1207" s="17">
        <f>Table1[[#This Row],[Billing Rate Charges]]-Table1[[#This Row],[ LORRY RATE ]]</f>
        <v>0</v>
      </c>
      <c r="N1207" s="17"/>
      <c r="O1207" s="17">
        <f>Table1[[#This Row],[ LORRY RATE ]]-Table1[[#This Row],[Adance Paid (INR)]]</f>
        <v>0</v>
      </c>
      <c r="P1207" s="17"/>
      <c r="Q1207" s="17"/>
      <c r="R1207" s="17"/>
      <c r="S1207" s="17"/>
      <c r="T1207" s="17"/>
      <c r="V1207" s="15"/>
      <c r="W1207" s="15"/>
    </row>
    <row r="1208" spans="1:23" hidden="1" x14ac:dyDescent="0.3">
      <c r="A1208" s="15"/>
      <c r="B1208" s="15"/>
      <c r="C1208" s="15"/>
      <c r="D1208" s="19"/>
      <c r="E1208" s="15"/>
      <c r="F1208" s="15"/>
      <c r="G1208" s="15"/>
      <c r="H1208" s="15"/>
      <c r="I1208" s="15"/>
      <c r="J1208" s="15"/>
      <c r="K1208" s="16"/>
      <c r="L1208" s="16"/>
      <c r="M1208" s="17">
        <f>Table1[[#This Row],[Billing Rate Charges]]-Table1[[#This Row],[ LORRY RATE ]]</f>
        <v>0</v>
      </c>
      <c r="N1208" s="17"/>
      <c r="O1208" s="17">
        <f>Table1[[#This Row],[ LORRY RATE ]]-Table1[[#This Row],[Adance Paid (INR)]]</f>
        <v>0</v>
      </c>
      <c r="P1208" s="17"/>
      <c r="Q1208" s="17"/>
      <c r="R1208" s="17"/>
      <c r="S1208" s="17"/>
      <c r="T1208" s="17"/>
      <c r="V1208" s="15"/>
      <c r="W1208" s="15"/>
    </row>
    <row r="1209" spans="1:23" hidden="1" x14ac:dyDescent="0.3">
      <c r="A1209" s="15"/>
      <c r="B1209" s="15"/>
      <c r="C1209" s="15"/>
      <c r="D1209" s="19"/>
      <c r="E1209" s="15"/>
      <c r="F1209" s="15"/>
      <c r="G1209" s="15"/>
      <c r="H1209" s="15"/>
      <c r="I1209" s="15"/>
      <c r="J1209" s="15"/>
      <c r="K1209" s="16"/>
      <c r="L1209" s="16"/>
      <c r="M1209" s="17">
        <f>Table1[[#This Row],[Billing Rate Charges]]-Table1[[#This Row],[ LORRY RATE ]]</f>
        <v>0</v>
      </c>
      <c r="N1209" s="17"/>
      <c r="O1209" s="17">
        <f>Table1[[#This Row],[ LORRY RATE ]]-Table1[[#This Row],[Adance Paid (INR)]]</f>
        <v>0</v>
      </c>
      <c r="P1209" s="17"/>
      <c r="Q1209" s="17"/>
      <c r="R1209" s="17"/>
      <c r="S1209" s="17"/>
      <c r="T1209" s="17"/>
      <c r="V1209" s="15"/>
      <c r="W1209" s="15"/>
    </row>
    <row r="1210" spans="1:23" hidden="1" x14ac:dyDescent="0.3">
      <c r="A1210" s="15"/>
      <c r="B1210" s="15"/>
      <c r="C1210" s="15"/>
      <c r="D1210" s="19"/>
      <c r="E1210" s="15"/>
      <c r="F1210" s="15"/>
      <c r="G1210" s="15"/>
      <c r="H1210" s="15"/>
      <c r="I1210" s="15"/>
      <c r="J1210" s="15"/>
      <c r="K1210" s="16"/>
      <c r="L1210" s="16"/>
      <c r="M1210" s="17">
        <f>Table1[[#This Row],[Billing Rate Charges]]-Table1[[#This Row],[ LORRY RATE ]]</f>
        <v>0</v>
      </c>
      <c r="N1210" s="17"/>
      <c r="O1210" s="17">
        <f>Table1[[#This Row],[ LORRY RATE ]]-Table1[[#This Row],[Adance Paid (INR)]]</f>
        <v>0</v>
      </c>
      <c r="P1210" s="17"/>
      <c r="Q1210" s="17"/>
      <c r="R1210" s="17"/>
      <c r="S1210" s="17"/>
      <c r="T1210" s="17"/>
      <c r="V1210" s="15"/>
      <c r="W1210" s="15"/>
    </row>
    <row r="1211" spans="1:23" hidden="1" x14ac:dyDescent="0.3">
      <c r="A1211" s="15"/>
      <c r="B1211" s="15"/>
      <c r="C1211" s="15"/>
      <c r="D1211" s="19"/>
      <c r="E1211" s="15"/>
      <c r="F1211" s="15"/>
      <c r="G1211" s="15"/>
      <c r="H1211" s="15"/>
      <c r="I1211" s="15"/>
      <c r="J1211" s="15"/>
      <c r="K1211" s="16"/>
      <c r="L1211" s="16"/>
      <c r="M1211" s="17">
        <f>Table1[[#This Row],[Billing Rate Charges]]-Table1[[#This Row],[ LORRY RATE ]]</f>
        <v>0</v>
      </c>
      <c r="N1211" s="17"/>
      <c r="O1211" s="17">
        <f>Table1[[#This Row],[ LORRY RATE ]]-Table1[[#This Row],[Adance Paid (INR)]]</f>
        <v>0</v>
      </c>
      <c r="P1211" s="17"/>
      <c r="Q1211" s="17"/>
      <c r="R1211" s="17"/>
      <c r="S1211" s="17"/>
      <c r="T1211" s="17"/>
      <c r="V1211" s="15"/>
      <c r="W1211" s="15"/>
    </row>
    <row r="1212" spans="1:23" hidden="1" x14ac:dyDescent="0.3">
      <c r="A1212" s="15"/>
      <c r="B1212" s="15"/>
      <c r="C1212" s="15"/>
      <c r="D1212" s="19"/>
      <c r="E1212" s="15"/>
      <c r="F1212" s="15"/>
      <c r="G1212" s="15"/>
      <c r="H1212" s="15"/>
      <c r="I1212" s="15"/>
      <c r="J1212" s="15"/>
      <c r="K1212" s="16"/>
      <c r="L1212" s="16"/>
      <c r="M1212" s="17">
        <f>Table1[[#This Row],[Billing Rate Charges]]-Table1[[#This Row],[ LORRY RATE ]]</f>
        <v>0</v>
      </c>
      <c r="N1212" s="17"/>
      <c r="O1212" s="17">
        <f>Table1[[#This Row],[ LORRY RATE ]]-Table1[[#This Row],[Adance Paid (INR)]]</f>
        <v>0</v>
      </c>
      <c r="P1212" s="17"/>
      <c r="Q1212" s="17"/>
      <c r="R1212" s="17"/>
      <c r="S1212" s="17"/>
      <c r="T1212" s="17"/>
      <c r="V1212" s="15"/>
      <c r="W1212" s="15"/>
    </row>
    <row r="1213" spans="1:23" hidden="1" x14ac:dyDescent="0.3">
      <c r="A1213" s="15"/>
      <c r="B1213" s="15"/>
      <c r="C1213" s="15"/>
      <c r="D1213" s="19"/>
      <c r="E1213" s="15"/>
      <c r="F1213" s="15"/>
      <c r="G1213" s="15"/>
      <c r="H1213" s="15"/>
      <c r="I1213" s="15"/>
      <c r="J1213" s="15"/>
      <c r="K1213" s="16"/>
      <c r="L1213" s="16"/>
      <c r="M1213" s="17">
        <f>Table1[[#This Row],[Billing Rate Charges]]-Table1[[#This Row],[ LORRY RATE ]]</f>
        <v>0</v>
      </c>
      <c r="N1213" s="17"/>
      <c r="O1213" s="17">
        <f>Table1[[#This Row],[ LORRY RATE ]]-Table1[[#This Row],[Adance Paid (INR)]]</f>
        <v>0</v>
      </c>
      <c r="P1213" s="17"/>
      <c r="Q1213" s="17"/>
      <c r="R1213" s="17"/>
      <c r="S1213" s="17"/>
      <c r="T1213" s="17"/>
      <c r="V1213" s="15"/>
      <c r="W1213" s="15"/>
    </row>
    <row r="1214" spans="1:23" hidden="1" x14ac:dyDescent="0.3">
      <c r="A1214" s="15"/>
      <c r="B1214" s="15"/>
      <c r="C1214" s="15"/>
      <c r="D1214" s="19"/>
      <c r="E1214" s="15"/>
      <c r="F1214" s="15"/>
      <c r="G1214" s="15"/>
      <c r="H1214" s="15"/>
      <c r="I1214" s="15"/>
      <c r="J1214" s="15"/>
      <c r="K1214" s="16"/>
      <c r="L1214" s="16"/>
      <c r="M1214" s="17">
        <f>Table1[[#This Row],[Billing Rate Charges]]-Table1[[#This Row],[ LORRY RATE ]]</f>
        <v>0</v>
      </c>
      <c r="N1214" s="17"/>
      <c r="O1214" s="17">
        <f>Table1[[#This Row],[ LORRY RATE ]]-Table1[[#This Row],[Adance Paid (INR)]]</f>
        <v>0</v>
      </c>
      <c r="P1214" s="17"/>
      <c r="Q1214" s="17"/>
      <c r="R1214" s="17"/>
      <c r="S1214" s="17"/>
      <c r="T1214" s="17"/>
      <c r="V1214" s="15"/>
      <c r="W1214" s="15"/>
    </row>
    <row r="1215" spans="1:23" hidden="1" x14ac:dyDescent="0.3">
      <c r="A1215" s="15"/>
      <c r="B1215" s="15"/>
      <c r="C1215" s="15"/>
      <c r="D1215" s="19"/>
      <c r="E1215" s="15"/>
      <c r="F1215" s="15"/>
      <c r="G1215" s="15"/>
      <c r="H1215" s="15"/>
      <c r="I1215" s="15"/>
      <c r="J1215" s="15"/>
      <c r="K1215" s="16"/>
      <c r="L1215" s="16"/>
      <c r="M1215" s="17">
        <f>Table1[[#This Row],[Billing Rate Charges]]-Table1[[#This Row],[ LORRY RATE ]]</f>
        <v>0</v>
      </c>
      <c r="N1215" s="17"/>
      <c r="O1215" s="17">
        <f>Table1[[#This Row],[ LORRY RATE ]]-Table1[[#This Row],[Adance Paid (INR)]]</f>
        <v>0</v>
      </c>
      <c r="P1215" s="17"/>
      <c r="Q1215" s="17"/>
      <c r="R1215" s="17"/>
      <c r="S1215" s="17"/>
      <c r="T1215" s="17"/>
      <c r="V1215" s="15"/>
      <c r="W1215" s="15"/>
    </row>
    <row r="1216" spans="1:23" hidden="1" x14ac:dyDescent="0.3">
      <c r="A1216" s="15"/>
      <c r="B1216" s="15"/>
      <c r="C1216" s="15"/>
      <c r="D1216" s="19"/>
      <c r="E1216" s="15"/>
      <c r="F1216" s="15"/>
      <c r="G1216" s="15"/>
      <c r="H1216" s="15"/>
      <c r="I1216" s="15"/>
      <c r="J1216" s="15"/>
      <c r="K1216" s="16"/>
      <c r="L1216" s="16"/>
      <c r="M1216" s="17">
        <f>Table1[[#This Row],[Billing Rate Charges]]-Table1[[#This Row],[ LORRY RATE ]]</f>
        <v>0</v>
      </c>
      <c r="N1216" s="17"/>
      <c r="O1216" s="17">
        <f>Table1[[#This Row],[ LORRY RATE ]]-Table1[[#This Row],[Adance Paid (INR)]]</f>
        <v>0</v>
      </c>
      <c r="P1216" s="17"/>
      <c r="Q1216" s="17"/>
      <c r="R1216" s="17"/>
      <c r="S1216" s="17"/>
      <c r="T1216" s="17"/>
      <c r="V1216" s="15"/>
      <c r="W1216" s="15"/>
    </row>
    <row r="1217" spans="1:23" hidden="1" x14ac:dyDescent="0.3">
      <c r="A1217" s="15"/>
      <c r="B1217" s="15"/>
      <c r="C1217" s="15"/>
      <c r="D1217" s="19"/>
      <c r="E1217" s="15"/>
      <c r="F1217" s="15"/>
      <c r="G1217" s="15"/>
      <c r="H1217" s="15"/>
      <c r="I1217" s="15"/>
      <c r="J1217" s="15"/>
      <c r="K1217" s="16"/>
      <c r="L1217" s="16"/>
      <c r="M1217" s="17">
        <f>Table1[[#This Row],[Billing Rate Charges]]-Table1[[#This Row],[ LORRY RATE ]]</f>
        <v>0</v>
      </c>
      <c r="N1217" s="17"/>
      <c r="O1217" s="17">
        <f>Table1[[#This Row],[ LORRY RATE ]]-Table1[[#This Row],[Adance Paid (INR)]]</f>
        <v>0</v>
      </c>
      <c r="P1217" s="17"/>
      <c r="Q1217" s="17"/>
      <c r="R1217" s="17"/>
      <c r="S1217" s="17"/>
      <c r="T1217" s="17"/>
      <c r="V1217" s="15"/>
      <c r="W1217" s="15"/>
    </row>
    <row r="1218" spans="1:23" hidden="1" x14ac:dyDescent="0.3">
      <c r="A1218" s="15"/>
      <c r="B1218" s="15"/>
      <c r="C1218" s="15"/>
      <c r="D1218" s="19"/>
      <c r="E1218" s="15"/>
      <c r="F1218" s="15"/>
      <c r="G1218" s="15"/>
      <c r="H1218" s="15"/>
      <c r="I1218" s="15"/>
      <c r="J1218" s="15"/>
      <c r="K1218" s="16"/>
      <c r="L1218" s="16"/>
      <c r="M1218" s="17">
        <f>Table1[[#This Row],[Billing Rate Charges]]-Table1[[#This Row],[ LORRY RATE ]]</f>
        <v>0</v>
      </c>
      <c r="N1218" s="17"/>
      <c r="O1218" s="17">
        <f>Table1[[#This Row],[ LORRY RATE ]]-Table1[[#This Row],[Adance Paid (INR)]]</f>
        <v>0</v>
      </c>
      <c r="P1218" s="17"/>
      <c r="Q1218" s="17"/>
      <c r="R1218" s="17"/>
      <c r="S1218" s="17"/>
      <c r="T1218" s="17"/>
      <c r="V1218" s="15"/>
      <c r="W1218" s="15"/>
    </row>
    <row r="1219" spans="1:23" hidden="1" x14ac:dyDescent="0.3">
      <c r="A1219" s="15"/>
      <c r="B1219" s="15"/>
      <c r="C1219" s="15"/>
      <c r="D1219" s="19"/>
      <c r="E1219" s="15"/>
      <c r="F1219" s="15"/>
      <c r="G1219" s="15"/>
      <c r="H1219" s="15"/>
      <c r="I1219" s="15"/>
      <c r="J1219" s="15"/>
      <c r="K1219" s="16"/>
      <c r="L1219" s="16"/>
      <c r="M1219" s="17">
        <f>Table1[[#This Row],[Billing Rate Charges]]-Table1[[#This Row],[ LORRY RATE ]]</f>
        <v>0</v>
      </c>
      <c r="N1219" s="17"/>
      <c r="O1219" s="17">
        <f>Table1[[#This Row],[ LORRY RATE ]]-Table1[[#This Row],[Adance Paid (INR)]]</f>
        <v>0</v>
      </c>
      <c r="P1219" s="17"/>
      <c r="Q1219" s="17"/>
      <c r="R1219" s="17"/>
      <c r="S1219" s="17"/>
      <c r="T1219" s="17"/>
      <c r="V1219" s="15"/>
      <c r="W1219" s="15"/>
    </row>
    <row r="1220" spans="1:23" hidden="1" x14ac:dyDescent="0.3">
      <c r="A1220" s="15"/>
      <c r="B1220" s="15"/>
      <c r="C1220" s="15"/>
      <c r="D1220" s="19"/>
      <c r="E1220" s="15"/>
      <c r="F1220" s="15"/>
      <c r="G1220" s="15"/>
      <c r="H1220" s="15"/>
      <c r="I1220" s="15"/>
      <c r="J1220" s="15"/>
      <c r="K1220" s="16"/>
      <c r="L1220" s="16"/>
      <c r="M1220" s="17">
        <f>Table1[[#This Row],[Billing Rate Charges]]-Table1[[#This Row],[ LORRY RATE ]]</f>
        <v>0</v>
      </c>
      <c r="N1220" s="17"/>
      <c r="O1220" s="17">
        <f>Table1[[#This Row],[ LORRY RATE ]]-Table1[[#This Row],[Adance Paid (INR)]]</f>
        <v>0</v>
      </c>
      <c r="P1220" s="17"/>
      <c r="Q1220" s="17"/>
      <c r="R1220" s="17"/>
      <c r="S1220" s="17"/>
      <c r="T1220" s="17"/>
      <c r="V1220" s="15"/>
      <c r="W1220" s="15"/>
    </row>
    <row r="1221" spans="1:23" hidden="1" x14ac:dyDescent="0.3">
      <c r="A1221" s="15"/>
      <c r="B1221" s="15"/>
      <c r="C1221" s="15"/>
      <c r="D1221" s="19"/>
      <c r="E1221" s="15"/>
      <c r="F1221" s="15"/>
      <c r="G1221" s="15"/>
      <c r="H1221" s="15"/>
      <c r="I1221" s="15"/>
      <c r="J1221" s="15"/>
      <c r="K1221" s="16"/>
      <c r="L1221" s="16"/>
      <c r="M1221" s="17">
        <f>Table1[[#This Row],[Billing Rate Charges]]-Table1[[#This Row],[ LORRY RATE ]]</f>
        <v>0</v>
      </c>
      <c r="N1221" s="17"/>
      <c r="O1221" s="17">
        <f>Table1[[#This Row],[ LORRY RATE ]]-Table1[[#This Row],[Adance Paid (INR)]]</f>
        <v>0</v>
      </c>
      <c r="P1221" s="17"/>
      <c r="Q1221" s="17"/>
      <c r="R1221" s="17"/>
      <c r="S1221" s="17"/>
      <c r="T1221" s="17"/>
      <c r="V1221" s="15"/>
      <c r="W1221" s="15"/>
    </row>
    <row r="1222" spans="1:23" hidden="1" x14ac:dyDescent="0.3">
      <c r="A1222" s="15"/>
      <c r="B1222" s="15"/>
      <c r="C1222" s="15"/>
      <c r="D1222" s="19"/>
      <c r="E1222" s="15"/>
      <c r="F1222" s="15"/>
      <c r="G1222" s="15"/>
      <c r="H1222" s="15"/>
      <c r="I1222" s="15"/>
      <c r="J1222" s="15"/>
      <c r="K1222" s="16"/>
      <c r="L1222" s="16"/>
      <c r="M1222" s="17">
        <f>Table1[[#This Row],[Billing Rate Charges]]-Table1[[#This Row],[ LORRY RATE ]]</f>
        <v>0</v>
      </c>
      <c r="N1222" s="17"/>
      <c r="O1222" s="17">
        <f>Table1[[#This Row],[ LORRY RATE ]]-Table1[[#This Row],[Adance Paid (INR)]]</f>
        <v>0</v>
      </c>
      <c r="P1222" s="17"/>
      <c r="Q1222" s="17"/>
      <c r="R1222" s="17"/>
      <c r="S1222" s="17"/>
      <c r="T1222" s="17"/>
      <c r="V1222" s="15"/>
      <c r="W1222" s="15"/>
    </row>
    <row r="1223" spans="1:23" hidden="1" x14ac:dyDescent="0.3">
      <c r="A1223" s="15"/>
      <c r="B1223" s="15"/>
      <c r="C1223" s="15"/>
      <c r="D1223" s="19"/>
      <c r="E1223" s="15"/>
      <c r="F1223" s="15"/>
      <c r="G1223" s="15"/>
      <c r="H1223" s="15"/>
      <c r="I1223" s="15"/>
      <c r="J1223" s="15"/>
      <c r="K1223" s="16"/>
      <c r="L1223" s="16"/>
      <c r="M1223" s="17">
        <f>Table1[[#This Row],[Billing Rate Charges]]-Table1[[#This Row],[ LORRY RATE ]]</f>
        <v>0</v>
      </c>
      <c r="N1223" s="17"/>
      <c r="O1223" s="17">
        <f>Table1[[#This Row],[ LORRY RATE ]]-Table1[[#This Row],[Adance Paid (INR)]]</f>
        <v>0</v>
      </c>
      <c r="P1223" s="17"/>
      <c r="Q1223" s="17"/>
      <c r="R1223" s="17"/>
      <c r="S1223" s="17"/>
      <c r="T1223" s="17"/>
      <c r="V1223" s="15"/>
      <c r="W1223" s="15"/>
    </row>
    <row r="1224" spans="1:23" hidden="1" x14ac:dyDescent="0.3">
      <c r="A1224" s="15"/>
      <c r="B1224" s="15"/>
      <c r="C1224" s="15"/>
      <c r="D1224" s="19"/>
      <c r="E1224" s="15"/>
      <c r="F1224" s="15"/>
      <c r="G1224" s="15"/>
      <c r="H1224" s="15"/>
      <c r="I1224" s="15"/>
      <c r="J1224" s="15"/>
      <c r="K1224" s="16"/>
      <c r="L1224" s="16"/>
      <c r="M1224" s="17">
        <f>Table1[[#This Row],[Billing Rate Charges]]-Table1[[#This Row],[ LORRY RATE ]]</f>
        <v>0</v>
      </c>
      <c r="N1224" s="17"/>
      <c r="O1224" s="17">
        <f>Table1[[#This Row],[ LORRY RATE ]]-Table1[[#This Row],[Adance Paid (INR)]]</f>
        <v>0</v>
      </c>
      <c r="P1224" s="17"/>
      <c r="Q1224" s="17"/>
      <c r="R1224" s="17"/>
      <c r="S1224" s="17"/>
      <c r="T1224" s="17"/>
      <c r="V1224" s="15"/>
      <c r="W1224" s="15"/>
    </row>
    <row r="1225" spans="1:23" hidden="1" x14ac:dyDescent="0.3">
      <c r="A1225" s="15"/>
      <c r="B1225" s="15"/>
      <c r="C1225" s="15"/>
      <c r="D1225" s="19"/>
      <c r="E1225" s="15"/>
      <c r="F1225" s="15"/>
      <c r="G1225" s="15"/>
      <c r="H1225" s="15"/>
      <c r="I1225" s="15"/>
      <c r="J1225" s="15"/>
      <c r="K1225" s="16"/>
      <c r="L1225" s="16"/>
      <c r="M1225" s="17">
        <f>Table1[[#This Row],[Billing Rate Charges]]-Table1[[#This Row],[ LORRY RATE ]]</f>
        <v>0</v>
      </c>
      <c r="N1225" s="17"/>
      <c r="O1225" s="17">
        <f>Table1[[#This Row],[ LORRY RATE ]]-Table1[[#This Row],[Adance Paid (INR)]]</f>
        <v>0</v>
      </c>
      <c r="P1225" s="17"/>
      <c r="Q1225" s="17"/>
      <c r="R1225" s="17"/>
      <c r="S1225" s="17"/>
      <c r="T1225" s="17"/>
      <c r="V1225" s="15"/>
      <c r="W1225" s="15"/>
    </row>
    <row r="1226" spans="1:23" hidden="1" x14ac:dyDescent="0.3">
      <c r="A1226" s="15"/>
      <c r="B1226" s="15"/>
      <c r="C1226" s="15"/>
      <c r="D1226" s="19"/>
      <c r="E1226" s="15"/>
      <c r="F1226" s="15"/>
      <c r="G1226" s="15"/>
      <c r="H1226" s="15"/>
      <c r="I1226" s="15"/>
      <c r="J1226" s="15"/>
      <c r="K1226" s="16"/>
      <c r="L1226" s="16"/>
      <c r="M1226" s="17">
        <f>Table1[[#This Row],[Billing Rate Charges]]-Table1[[#This Row],[ LORRY RATE ]]</f>
        <v>0</v>
      </c>
      <c r="N1226" s="17"/>
      <c r="O1226" s="17">
        <f>Table1[[#This Row],[ LORRY RATE ]]-Table1[[#This Row],[Adance Paid (INR)]]</f>
        <v>0</v>
      </c>
      <c r="P1226" s="17"/>
      <c r="Q1226" s="17"/>
      <c r="R1226" s="17"/>
      <c r="S1226" s="17"/>
      <c r="T1226" s="17"/>
      <c r="V1226" s="15"/>
      <c r="W1226" s="15"/>
    </row>
    <row r="1227" spans="1:23" hidden="1" x14ac:dyDescent="0.3">
      <c r="A1227" s="15"/>
      <c r="B1227" s="15"/>
      <c r="C1227" s="15"/>
      <c r="D1227" s="19"/>
      <c r="E1227" s="15"/>
      <c r="F1227" s="15"/>
      <c r="G1227" s="15"/>
      <c r="H1227" s="15"/>
      <c r="I1227" s="15"/>
      <c r="J1227" s="15"/>
      <c r="K1227" s="16"/>
      <c r="L1227" s="16"/>
      <c r="M1227" s="17">
        <f>Table1[[#This Row],[Billing Rate Charges]]-Table1[[#This Row],[ LORRY RATE ]]</f>
        <v>0</v>
      </c>
      <c r="N1227" s="17"/>
      <c r="O1227" s="17">
        <f>Table1[[#This Row],[ LORRY RATE ]]-Table1[[#This Row],[Adance Paid (INR)]]</f>
        <v>0</v>
      </c>
      <c r="P1227" s="17"/>
      <c r="Q1227" s="17"/>
      <c r="R1227" s="17"/>
      <c r="S1227" s="17"/>
      <c r="T1227" s="17"/>
      <c r="V1227" s="15"/>
      <c r="W1227" s="15"/>
    </row>
    <row r="1228" spans="1:23" hidden="1" x14ac:dyDescent="0.3">
      <c r="A1228" s="15"/>
      <c r="B1228" s="15"/>
      <c r="C1228" s="15"/>
      <c r="D1228" s="19"/>
      <c r="E1228" s="15"/>
      <c r="F1228" s="15"/>
      <c r="G1228" s="15"/>
      <c r="H1228" s="15"/>
      <c r="I1228" s="15"/>
      <c r="J1228" s="15"/>
      <c r="K1228" s="16"/>
      <c r="L1228" s="16"/>
      <c r="M1228" s="17">
        <f>Table1[[#This Row],[Billing Rate Charges]]-Table1[[#This Row],[ LORRY RATE ]]</f>
        <v>0</v>
      </c>
      <c r="N1228" s="17"/>
      <c r="O1228" s="17">
        <f>Table1[[#This Row],[ LORRY RATE ]]-Table1[[#This Row],[Adance Paid (INR)]]</f>
        <v>0</v>
      </c>
      <c r="P1228" s="17"/>
      <c r="Q1228" s="17"/>
      <c r="R1228" s="17"/>
      <c r="S1228" s="17"/>
      <c r="T1228" s="17"/>
      <c r="V1228" s="15"/>
      <c r="W1228" s="15"/>
    </row>
    <row r="1229" spans="1:23" hidden="1" x14ac:dyDescent="0.3">
      <c r="A1229" s="15"/>
      <c r="B1229" s="15"/>
      <c r="C1229" s="15"/>
      <c r="D1229" s="19"/>
      <c r="E1229" s="15"/>
      <c r="F1229" s="15"/>
      <c r="G1229" s="15"/>
      <c r="H1229" s="15"/>
      <c r="I1229" s="15"/>
      <c r="J1229" s="15"/>
      <c r="K1229" s="16"/>
      <c r="L1229" s="16"/>
      <c r="M1229" s="17">
        <f>Table1[[#This Row],[Billing Rate Charges]]-Table1[[#This Row],[ LORRY RATE ]]</f>
        <v>0</v>
      </c>
      <c r="N1229" s="17"/>
      <c r="O1229" s="17">
        <f>Table1[[#This Row],[ LORRY RATE ]]-Table1[[#This Row],[Adance Paid (INR)]]</f>
        <v>0</v>
      </c>
      <c r="P1229" s="17"/>
      <c r="Q1229" s="17"/>
      <c r="R1229" s="17"/>
      <c r="S1229" s="17"/>
      <c r="T1229" s="17"/>
      <c r="V1229" s="15"/>
      <c r="W1229" s="15"/>
    </row>
    <row r="1230" spans="1:23" hidden="1" x14ac:dyDescent="0.3">
      <c r="A1230" s="15"/>
      <c r="B1230" s="15"/>
      <c r="C1230" s="15"/>
      <c r="D1230" s="19"/>
      <c r="E1230" s="15"/>
      <c r="F1230" s="15"/>
      <c r="G1230" s="15"/>
      <c r="H1230" s="15"/>
      <c r="I1230" s="15"/>
      <c r="J1230" s="15"/>
      <c r="K1230" s="16"/>
      <c r="L1230" s="16"/>
      <c r="M1230" s="17">
        <f>Table1[[#This Row],[Billing Rate Charges]]-Table1[[#This Row],[ LORRY RATE ]]</f>
        <v>0</v>
      </c>
      <c r="N1230" s="17"/>
      <c r="O1230" s="17">
        <f>Table1[[#This Row],[ LORRY RATE ]]-Table1[[#This Row],[Adance Paid (INR)]]</f>
        <v>0</v>
      </c>
      <c r="P1230" s="17"/>
      <c r="Q1230" s="17"/>
      <c r="R1230" s="17"/>
      <c r="S1230" s="17"/>
      <c r="T1230" s="17"/>
      <c r="V1230" s="15"/>
      <c r="W1230" s="15"/>
    </row>
    <row r="1231" spans="1:23" hidden="1" x14ac:dyDescent="0.3">
      <c r="A1231" s="15"/>
      <c r="B1231" s="15"/>
      <c r="C1231" s="15"/>
      <c r="D1231" s="19"/>
      <c r="E1231" s="15"/>
      <c r="F1231" s="15"/>
      <c r="G1231" s="15"/>
      <c r="H1231" s="15"/>
      <c r="I1231" s="15"/>
      <c r="J1231" s="15"/>
      <c r="K1231" s="16"/>
      <c r="L1231" s="16"/>
      <c r="M1231" s="17">
        <f>Table1[[#This Row],[Billing Rate Charges]]-Table1[[#This Row],[ LORRY RATE ]]</f>
        <v>0</v>
      </c>
      <c r="N1231" s="17"/>
      <c r="O1231" s="17">
        <f>Table1[[#This Row],[ LORRY RATE ]]-Table1[[#This Row],[Adance Paid (INR)]]</f>
        <v>0</v>
      </c>
      <c r="P1231" s="17"/>
      <c r="Q1231" s="17"/>
      <c r="R1231" s="17"/>
      <c r="S1231" s="17"/>
      <c r="T1231" s="17"/>
      <c r="V1231" s="15"/>
      <c r="W1231" s="15"/>
    </row>
    <row r="1232" spans="1:23" hidden="1" x14ac:dyDescent="0.3">
      <c r="A1232" s="15"/>
      <c r="B1232" s="15"/>
      <c r="C1232" s="15"/>
      <c r="D1232" s="19"/>
      <c r="E1232" s="15"/>
      <c r="F1232" s="15"/>
      <c r="G1232" s="15"/>
      <c r="H1232" s="15"/>
      <c r="I1232" s="15"/>
      <c r="J1232" s="15"/>
      <c r="K1232" s="16"/>
      <c r="L1232" s="16"/>
      <c r="M1232" s="17">
        <f>Table1[[#This Row],[Billing Rate Charges]]-Table1[[#This Row],[ LORRY RATE ]]</f>
        <v>0</v>
      </c>
      <c r="N1232" s="17"/>
      <c r="O1232" s="17">
        <f>Table1[[#This Row],[ LORRY RATE ]]-Table1[[#This Row],[Adance Paid (INR)]]</f>
        <v>0</v>
      </c>
      <c r="P1232" s="17"/>
      <c r="Q1232" s="17"/>
      <c r="R1232" s="17"/>
      <c r="S1232" s="17"/>
      <c r="T1232" s="17"/>
      <c r="V1232" s="15"/>
      <c r="W1232" s="15"/>
    </row>
    <row r="1233" spans="1:23" hidden="1" x14ac:dyDescent="0.3">
      <c r="A1233" s="15"/>
      <c r="B1233" s="15"/>
      <c r="C1233" s="15"/>
      <c r="D1233" s="19"/>
      <c r="E1233" s="15"/>
      <c r="F1233" s="15"/>
      <c r="G1233" s="15"/>
      <c r="H1233" s="15"/>
      <c r="I1233" s="15"/>
      <c r="J1233" s="15"/>
      <c r="K1233" s="16"/>
      <c r="L1233" s="16"/>
      <c r="M1233" s="17">
        <f>Table1[[#This Row],[Billing Rate Charges]]-Table1[[#This Row],[ LORRY RATE ]]</f>
        <v>0</v>
      </c>
      <c r="N1233" s="17"/>
      <c r="O1233" s="17">
        <f>Table1[[#This Row],[ LORRY RATE ]]-Table1[[#This Row],[Adance Paid (INR)]]</f>
        <v>0</v>
      </c>
      <c r="P1233" s="17"/>
      <c r="Q1233" s="17"/>
      <c r="R1233" s="17"/>
      <c r="S1233" s="17"/>
      <c r="T1233" s="17"/>
      <c r="V1233" s="15"/>
      <c r="W1233" s="15"/>
    </row>
    <row r="1234" spans="1:23" hidden="1" x14ac:dyDescent="0.3">
      <c r="A1234" s="15"/>
      <c r="B1234" s="15"/>
      <c r="C1234" s="15"/>
      <c r="D1234" s="19"/>
      <c r="E1234" s="15"/>
      <c r="F1234" s="15"/>
      <c r="G1234" s="15"/>
      <c r="H1234" s="15"/>
      <c r="I1234" s="15"/>
      <c r="J1234" s="15"/>
      <c r="K1234" s="16"/>
      <c r="L1234" s="16"/>
      <c r="M1234" s="17">
        <f>Table1[[#This Row],[Billing Rate Charges]]-Table1[[#This Row],[ LORRY RATE ]]</f>
        <v>0</v>
      </c>
      <c r="N1234" s="17"/>
      <c r="O1234" s="17">
        <f>Table1[[#This Row],[ LORRY RATE ]]-Table1[[#This Row],[Adance Paid (INR)]]</f>
        <v>0</v>
      </c>
      <c r="P1234" s="17"/>
      <c r="Q1234" s="17"/>
      <c r="R1234" s="17"/>
      <c r="S1234" s="17"/>
      <c r="T1234" s="17"/>
      <c r="V1234" s="15"/>
      <c r="W1234" s="15"/>
    </row>
    <row r="1235" spans="1:23" hidden="1" x14ac:dyDescent="0.3">
      <c r="A1235" s="15"/>
      <c r="B1235" s="15"/>
      <c r="C1235" s="15"/>
      <c r="D1235" s="19"/>
      <c r="E1235" s="15"/>
      <c r="F1235" s="15"/>
      <c r="G1235" s="15"/>
      <c r="H1235" s="15"/>
      <c r="I1235" s="15"/>
      <c r="J1235" s="15"/>
      <c r="K1235" s="16"/>
      <c r="L1235" s="16"/>
      <c r="M1235" s="17">
        <f>Table1[[#This Row],[Billing Rate Charges]]-Table1[[#This Row],[ LORRY RATE ]]</f>
        <v>0</v>
      </c>
      <c r="N1235" s="17"/>
      <c r="O1235" s="17">
        <f>Table1[[#This Row],[ LORRY RATE ]]-Table1[[#This Row],[Adance Paid (INR)]]</f>
        <v>0</v>
      </c>
      <c r="P1235" s="17"/>
      <c r="Q1235" s="17"/>
      <c r="R1235" s="17"/>
      <c r="S1235" s="17"/>
      <c r="T1235" s="17"/>
      <c r="V1235" s="15"/>
      <c r="W1235" s="15"/>
    </row>
    <row r="1236" spans="1:23" hidden="1" x14ac:dyDescent="0.3">
      <c r="A1236" s="15"/>
      <c r="B1236" s="15"/>
      <c r="C1236" s="15"/>
      <c r="D1236" s="19"/>
      <c r="E1236" s="15"/>
      <c r="F1236" s="15"/>
      <c r="G1236" s="15"/>
      <c r="H1236" s="15"/>
      <c r="I1236" s="15"/>
      <c r="J1236" s="15"/>
      <c r="K1236" s="16"/>
      <c r="L1236" s="16"/>
      <c r="M1236" s="17">
        <f>Table1[[#This Row],[Billing Rate Charges]]-Table1[[#This Row],[ LORRY RATE ]]</f>
        <v>0</v>
      </c>
      <c r="N1236" s="17"/>
      <c r="O1236" s="17">
        <f>Table1[[#This Row],[ LORRY RATE ]]-Table1[[#This Row],[Adance Paid (INR)]]</f>
        <v>0</v>
      </c>
      <c r="P1236" s="17"/>
      <c r="Q1236" s="17"/>
      <c r="R1236" s="17"/>
      <c r="S1236" s="17"/>
      <c r="T1236" s="17"/>
      <c r="V1236" s="15"/>
      <c r="W1236" s="15"/>
    </row>
    <row r="1237" spans="1:23" hidden="1" x14ac:dyDescent="0.3">
      <c r="A1237" s="15"/>
      <c r="B1237" s="15"/>
      <c r="C1237" s="15"/>
      <c r="D1237" s="19"/>
      <c r="E1237" s="15"/>
      <c r="F1237" s="15"/>
      <c r="G1237" s="15"/>
      <c r="H1237" s="15"/>
      <c r="I1237" s="15"/>
      <c r="J1237" s="15"/>
      <c r="K1237" s="16"/>
      <c r="L1237" s="16"/>
      <c r="M1237" s="17">
        <f>Table1[[#This Row],[Billing Rate Charges]]-Table1[[#This Row],[ LORRY RATE ]]</f>
        <v>0</v>
      </c>
      <c r="N1237" s="17"/>
      <c r="O1237" s="17">
        <f>Table1[[#This Row],[ LORRY RATE ]]-Table1[[#This Row],[Adance Paid (INR)]]</f>
        <v>0</v>
      </c>
      <c r="P1237" s="17"/>
      <c r="Q1237" s="17"/>
      <c r="R1237" s="17"/>
      <c r="S1237" s="17"/>
      <c r="T1237" s="17"/>
      <c r="V1237" s="15"/>
      <c r="W1237" s="15"/>
    </row>
    <row r="1238" spans="1:23" hidden="1" x14ac:dyDescent="0.3">
      <c r="A1238" s="15"/>
      <c r="B1238" s="15"/>
      <c r="C1238" s="15"/>
      <c r="D1238" s="19"/>
      <c r="E1238" s="15"/>
      <c r="F1238" s="15"/>
      <c r="G1238" s="15"/>
      <c r="H1238" s="15"/>
      <c r="I1238" s="15"/>
      <c r="J1238" s="15"/>
      <c r="K1238" s="16"/>
      <c r="L1238" s="16"/>
      <c r="M1238" s="17">
        <f>Table1[[#This Row],[Billing Rate Charges]]-Table1[[#This Row],[ LORRY RATE ]]</f>
        <v>0</v>
      </c>
      <c r="N1238" s="17"/>
      <c r="O1238" s="17">
        <f>Table1[[#This Row],[ LORRY RATE ]]-Table1[[#This Row],[Adance Paid (INR)]]</f>
        <v>0</v>
      </c>
      <c r="P1238" s="17"/>
      <c r="Q1238" s="17"/>
      <c r="R1238" s="17"/>
      <c r="S1238" s="17"/>
      <c r="T1238" s="17"/>
      <c r="V1238" s="15"/>
      <c r="W1238" s="15"/>
    </row>
    <row r="1239" spans="1:23" hidden="1" x14ac:dyDescent="0.3">
      <c r="A1239" s="15"/>
      <c r="B1239" s="15"/>
      <c r="C1239" s="15"/>
      <c r="D1239" s="19"/>
      <c r="E1239" s="15"/>
      <c r="F1239" s="15"/>
      <c r="G1239" s="15"/>
      <c r="H1239" s="15"/>
      <c r="I1239" s="15"/>
      <c r="J1239" s="15"/>
      <c r="K1239" s="16"/>
      <c r="L1239" s="16"/>
      <c r="M1239" s="17">
        <f>Table1[[#This Row],[Billing Rate Charges]]-Table1[[#This Row],[ LORRY RATE ]]</f>
        <v>0</v>
      </c>
      <c r="N1239" s="17"/>
      <c r="O1239" s="17">
        <f>Table1[[#This Row],[ LORRY RATE ]]-Table1[[#This Row],[Adance Paid (INR)]]</f>
        <v>0</v>
      </c>
      <c r="P1239" s="17"/>
      <c r="Q1239" s="17"/>
      <c r="R1239" s="17"/>
      <c r="S1239" s="17"/>
      <c r="T1239" s="17"/>
      <c r="V1239" s="15"/>
      <c r="W1239" s="15"/>
    </row>
    <row r="1240" spans="1:23" hidden="1" x14ac:dyDescent="0.3">
      <c r="A1240" s="15"/>
      <c r="B1240" s="15"/>
      <c r="C1240" s="15"/>
      <c r="D1240" s="19"/>
      <c r="E1240" s="15"/>
      <c r="F1240" s="15"/>
      <c r="G1240" s="15"/>
      <c r="H1240" s="15"/>
      <c r="I1240" s="15"/>
      <c r="J1240" s="15"/>
      <c r="K1240" s="16"/>
      <c r="L1240" s="16"/>
      <c r="M1240" s="17">
        <f>Table1[[#This Row],[Billing Rate Charges]]-Table1[[#This Row],[ LORRY RATE ]]</f>
        <v>0</v>
      </c>
      <c r="N1240" s="17"/>
      <c r="O1240" s="17">
        <f>Table1[[#This Row],[ LORRY RATE ]]-Table1[[#This Row],[Adance Paid (INR)]]</f>
        <v>0</v>
      </c>
      <c r="P1240" s="17"/>
      <c r="Q1240" s="17"/>
      <c r="R1240" s="17"/>
      <c r="S1240" s="17"/>
      <c r="T1240" s="17"/>
      <c r="V1240" s="15"/>
      <c r="W1240" s="15"/>
    </row>
    <row r="1241" spans="1:23" hidden="1" x14ac:dyDescent="0.3">
      <c r="A1241" s="15"/>
      <c r="B1241" s="15"/>
      <c r="C1241" s="15"/>
      <c r="D1241" s="19"/>
      <c r="E1241" s="15"/>
      <c r="F1241" s="15"/>
      <c r="G1241" s="15"/>
      <c r="H1241" s="15"/>
      <c r="I1241" s="15"/>
      <c r="J1241" s="15"/>
      <c r="K1241" s="16"/>
      <c r="L1241" s="16"/>
      <c r="M1241" s="17">
        <f>Table1[[#This Row],[Billing Rate Charges]]-Table1[[#This Row],[ LORRY RATE ]]</f>
        <v>0</v>
      </c>
      <c r="N1241" s="17"/>
      <c r="O1241" s="17">
        <f>Table1[[#This Row],[ LORRY RATE ]]-Table1[[#This Row],[Adance Paid (INR)]]</f>
        <v>0</v>
      </c>
      <c r="P1241" s="17"/>
      <c r="Q1241" s="17"/>
      <c r="R1241" s="17"/>
      <c r="S1241" s="17"/>
      <c r="T1241" s="17"/>
      <c r="V1241" s="15"/>
      <c r="W1241" s="15"/>
    </row>
    <row r="1242" spans="1:23" hidden="1" x14ac:dyDescent="0.3">
      <c r="A1242" s="15"/>
      <c r="B1242" s="15"/>
      <c r="C1242" s="15"/>
      <c r="D1242" s="19"/>
      <c r="E1242" s="15"/>
      <c r="F1242" s="15"/>
      <c r="G1242" s="15"/>
      <c r="H1242" s="15"/>
      <c r="I1242" s="15"/>
      <c r="J1242" s="15"/>
      <c r="K1242" s="16"/>
      <c r="L1242" s="16"/>
      <c r="M1242" s="17">
        <f>Table1[[#This Row],[Billing Rate Charges]]-Table1[[#This Row],[ LORRY RATE ]]</f>
        <v>0</v>
      </c>
      <c r="N1242" s="17"/>
      <c r="O1242" s="17">
        <f>Table1[[#This Row],[ LORRY RATE ]]-Table1[[#This Row],[Adance Paid (INR)]]</f>
        <v>0</v>
      </c>
      <c r="P1242" s="17"/>
      <c r="Q1242" s="17"/>
      <c r="R1242" s="17"/>
      <c r="S1242" s="17"/>
      <c r="T1242" s="17"/>
      <c r="V1242" s="15"/>
      <c r="W1242" s="15"/>
    </row>
    <row r="1243" spans="1:23" hidden="1" x14ac:dyDescent="0.3">
      <c r="A1243" s="15"/>
      <c r="B1243" s="15"/>
      <c r="C1243" s="15"/>
      <c r="D1243" s="19"/>
      <c r="E1243" s="15"/>
      <c r="F1243" s="15"/>
      <c r="G1243" s="15"/>
      <c r="H1243" s="15"/>
      <c r="I1243" s="15"/>
      <c r="J1243" s="15"/>
      <c r="K1243" s="16"/>
      <c r="L1243" s="16"/>
      <c r="M1243" s="17">
        <f>Table1[[#This Row],[Billing Rate Charges]]-Table1[[#This Row],[ LORRY RATE ]]</f>
        <v>0</v>
      </c>
      <c r="N1243" s="17"/>
      <c r="O1243" s="17">
        <f>Table1[[#This Row],[ LORRY RATE ]]-Table1[[#This Row],[Adance Paid (INR)]]</f>
        <v>0</v>
      </c>
      <c r="P1243" s="17"/>
      <c r="Q1243" s="17"/>
      <c r="R1243" s="17"/>
      <c r="S1243" s="17"/>
      <c r="T1243" s="17"/>
      <c r="V1243" s="15"/>
      <c r="W1243" s="15"/>
    </row>
    <row r="1244" spans="1:23" hidden="1" x14ac:dyDescent="0.3">
      <c r="A1244" s="15"/>
      <c r="B1244" s="15"/>
      <c r="C1244" s="15"/>
      <c r="D1244" s="19"/>
      <c r="E1244" s="15"/>
      <c r="F1244" s="15"/>
      <c r="G1244" s="15"/>
      <c r="H1244" s="15"/>
      <c r="I1244" s="15"/>
      <c r="J1244" s="15"/>
      <c r="K1244" s="16"/>
      <c r="L1244" s="16"/>
      <c r="M1244" s="17">
        <f>Table1[[#This Row],[Billing Rate Charges]]-Table1[[#This Row],[ LORRY RATE ]]</f>
        <v>0</v>
      </c>
      <c r="N1244" s="17"/>
      <c r="O1244" s="17">
        <f>Table1[[#This Row],[ LORRY RATE ]]-Table1[[#This Row],[Adance Paid (INR)]]</f>
        <v>0</v>
      </c>
      <c r="P1244" s="17"/>
      <c r="Q1244" s="17"/>
      <c r="R1244" s="17"/>
      <c r="S1244" s="17"/>
      <c r="T1244" s="17"/>
      <c r="V1244" s="15"/>
      <c r="W1244" s="15"/>
    </row>
    <row r="1245" spans="1:23" hidden="1" x14ac:dyDescent="0.3">
      <c r="A1245" s="15"/>
      <c r="B1245" s="15"/>
      <c r="C1245" s="15"/>
      <c r="D1245" s="19"/>
      <c r="E1245" s="15"/>
      <c r="F1245" s="15"/>
      <c r="G1245" s="15"/>
      <c r="H1245" s="15"/>
      <c r="I1245" s="15"/>
      <c r="J1245" s="15"/>
      <c r="K1245" s="16"/>
      <c r="L1245" s="16"/>
      <c r="M1245" s="17">
        <f>Table1[[#This Row],[Billing Rate Charges]]-Table1[[#This Row],[ LORRY RATE ]]</f>
        <v>0</v>
      </c>
      <c r="N1245" s="17"/>
      <c r="O1245" s="17">
        <f>Table1[[#This Row],[ LORRY RATE ]]-Table1[[#This Row],[Adance Paid (INR)]]</f>
        <v>0</v>
      </c>
      <c r="P1245" s="17"/>
      <c r="Q1245" s="17"/>
      <c r="R1245" s="17"/>
      <c r="S1245" s="17"/>
      <c r="T1245" s="17"/>
      <c r="V1245" s="15"/>
      <c r="W1245" s="15"/>
    </row>
    <row r="1246" spans="1:23" hidden="1" x14ac:dyDescent="0.3">
      <c r="A1246" s="15"/>
      <c r="B1246" s="15"/>
      <c r="C1246" s="15"/>
      <c r="D1246" s="19"/>
      <c r="E1246" s="15"/>
      <c r="F1246" s="15"/>
      <c r="G1246" s="15"/>
      <c r="H1246" s="15"/>
      <c r="I1246" s="15"/>
      <c r="J1246" s="15"/>
      <c r="K1246" s="16"/>
      <c r="L1246" s="16"/>
      <c r="M1246" s="17">
        <f>Table1[[#This Row],[Billing Rate Charges]]-Table1[[#This Row],[ LORRY RATE ]]</f>
        <v>0</v>
      </c>
      <c r="N1246" s="17"/>
      <c r="O1246" s="17">
        <f>Table1[[#This Row],[ LORRY RATE ]]-Table1[[#This Row],[Adance Paid (INR)]]</f>
        <v>0</v>
      </c>
      <c r="P1246" s="17"/>
      <c r="Q1246" s="17"/>
      <c r="R1246" s="17"/>
      <c r="S1246" s="17"/>
      <c r="T1246" s="17"/>
      <c r="V1246" s="15"/>
      <c r="W1246" s="15"/>
    </row>
    <row r="1247" spans="1:23" hidden="1" x14ac:dyDescent="0.3">
      <c r="A1247" s="15"/>
      <c r="B1247" s="15"/>
      <c r="C1247" s="15"/>
      <c r="D1247" s="19"/>
      <c r="E1247" s="15"/>
      <c r="F1247" s="15"/>
      <c r="G1247" s="15"/>
      <c r="H1247" s="15"/>
      <c r="I1247" s="15"/>
      <c r="J1247" s="15"/>
      <c r="K1247" s="16"/>
      <c r="L1247" s="16"/>
      <c r="M1247" s="17">
        <f>Table1[[#This Row],[Billing Rate Charges]]-Table1[[#This Row],[ LORRY RATE ]]</f>
        <v>0</v>
      </c>
      <c r="N1247" s="17"/>
      <c r="O1247" s="17">
        <f>Table1[[#This Row],[ LORRY RATE ]]-Table1[[#This Row],[Adance Paid (INR)]]</f>
        <v>0</v>
      </c>
      <c r="P1247" s="17"/>
      <c r="Q1247" s="17"/>
      <c r="R1247" s="17"/>
      <c r="S1247" s="17"/>
      <c r="T1247" s="17"/>
      <c r="V1247" s="15"/>
      <c r="W1247" s="15"/>
    </row>
    <row r="1248" spans="1:23" hidden="1" x14ac:dyDescent="0.3">
      <c r="A1248" s="15"/>
      <c r="B1248" s="15"/>
      <c r="C1248" s="15"/>
      <c r="D1248" s="19"/>
      <c r="E1248" s="15"/>
      <c r="F1248" s="15"/>
      <c r="G1248" s="15"/>
      <c r="H1248" s="15"/>
      <c r="I1248" s="15"/>
      <c r="J1248" s="15"/>
      <c r="K1248" s="16"/>
      <c r="L1248" s="16"/>
      <c r="M1248" s="17">
        <f>Table1[[#This Row],[Billing Rate Charges]]-Table1[[#This Row],[ LORRY RATE ]]</f>
        <v>0</v>
      </c>
      <c r="N1248" s="17"/>
      <c r="O1248" s="17">
        <f>Table1[[#This Row],[ LORRY RATE ]]-Table1[[#This Row],[Adance Paid (INR)]]</f>
        <v>0</v>
      </c>
      <c r="P1248" s="17"/>
      <c r="Q1248" s="17"/>
      <c r="R1248" s="17"/>
      <c r="S1248" s="17"/>
      <c r="T1248" s="17"/>
      <c r="V1248" s="15"/>
      <c r="W1248" s="15"/>
    </row>
    <row r="1249" spans="1:23" hidden="1" x14ac:dyDescent="0.3">
      <c r="A1249" s="15"/>
      <c r="B1249" s="15"/>
      <c r="C1249" s="15"/>
      <c r="D1249" s="19"/>
      <c r="E1249" s="15"/>
      <c r="F1249" s="15"/>
      <c r="G1249" s="15"/>
      <c r="H1249" s="15"/>
      <c r="I1249" s="15"/>
      <c r="J1249" s="15"/>
      <c r="K1249" s="16"/>
      <c r="L1249" s="16"/>
      <c r="M1249" s="17">
        <f>Table1[[#This Row],[Billing Rate Charges]]-Table1[[#This Row],[ LORRY RATE ]]</f>
        <v>0</v>
      </c>
      <c r="N1249" s="17"/>
      <c r="O1249" s="17">
        <f>Table1[[#This Row],[ LORRY RATE ]]-Table1[[#This Row],[Adance Paid (INR)]]</f>
        <v>0</v>
      </c>
      <c r="P1249" s="17"/>
      <c r="Q1249" s="17"/>
      <c r="R1249" s="17"/>
      <c r="S1249" s="17"/>
      <c r="T1249" s="17"/>
      <c r="V1249" s="15"/>
      <c r="W1249" s="15"/>
    </row>
    <row r="1250" spans="1:23" hidden="1" x14ac:dyDescent="0.3">
      <c r="A1250" s="15"/>
      <c r="B1250" s="15"/>
      <c r="C1250" s="15"/>
      <c r="D1250" s="19"/>
      <c r="E1250" s="15"/>
      <c r="F1250" s="15"/>
      <c r="G1250" s="15"/>
      <c r="H1250" s="15"/>
      <c r="I1250" s="15"/>
      <c r="J1250" s="15"/>
      <c r="K1250" s="16"/>
      <c r="L1250" s="16"/>
      <c r="M1250" s="17">
        <f>Table1[[#This Row],[Billing Rate Charges]]-Table1[[#This Row],[ LORRY RATE ]]</f>
        <v>0</v>
      </c>
      <c r="N1250" s="17"/>
      <c r="O1250" s="17">
        <f>Table1[[#This Row],[ LORRY RATE ]]-Table1[[#This Row],[Adance Paid (INR)]]</f>
        <v>0</v>
      </c>
      <c r="P1250" s="17"/>
      <c r="Q1250" s="17"/>
      <c r="R1250" s="17"/>
      <c r="S1250" s="17"/>
      <c r="T1250" s="17"/>
      <c r="V1250" s="15"/>
      <c r="W1250" s="15"/>
    </row>
    <row r="1251" spans="1:23" hidden="1" x14ac:dyDescent="0.3">
      <c r="A1251" s="15"/>
      <c r="B1251" s="15"/>
      <c r="C1251" s="15"/>
      <c r="D1251" s="19"/>
      <c r="E1251" s="15"/>
      <c r="F1251" s="15"/>
      <c r="G1251" s="15"/>
      <c r="H1251" s="15"/>
      <c r="I1251" s="15"/>
      <c r="J1251" s="15"/>
      <c r="K1251" s="16"/>
      <c r="L1251" s="16"/>
      <c r="M1251" s="17">
        <f>Table1[[#This Row],[Billing Rate Charges]]-Table1[[#This Row],[ LORRY RATE ]]</f>
        <v>0</v>
      </c>
      <c r="N1251" s="17"/>
      <c r="O1251" s="17">
        <f>Table1[[#This Row],[ LORRY RATE ]]-Table1[[#This Row],[Adance Paid (INR)]]</f>
        <v>0</v>
      </c>
      <c r="P1251" s="17"/>
      <c r="Q1251" s="17"/>
      <c r="R1251" s="17"/>
      <c r="S1251" s="17"/>
      <c r="T1251" s="17"/>
      <c r="V1251" s="15"/>
      <c r="W1251" s="15"/>
    </row>
    <row r="1252" spans="1:23" hidden="1" x14ac:dyDescent="0.3">
      <c r="A1252" s="15"/>
      <c r="B1252" s="15"/>
      <c r="C1252" s="15"/>
      <c r="D1252" s="19"/>
      <c r="E1252" s="15"/>
      <c r="F1252" s="15"/>
      <c r="G1252" s="15"/>
      <c r="H1252" s="15"/>
      <c r="I1252" s="15"/>
      <c r="J1252" s="15"/>
      <c r="K1252" s="16"/>
      <c r="L1252" s="16"/>
      <c r="M1252" s="17">
        <f>Table1[[#This Row],[Billing Rate Charges]]-Table1[[#This Row],[ LORRY RATE ]]</f>
        <v>0</v>
      </c>
      <c r="N1252" s="17"/>
      <c r="O1252" s="17">
        <f>Table1[[#This Row],[ LORRY RATE ]]-Table1[[#This Row],[Adance Paid (INR)]]</f>
        <v>0</v>
      </c>
      <c r="P1252" s="17"/>
      <c r="Q1252" s="17"/>
      <c r="R1252" s="17"/>
      <c r="S1252" s="17"/>
      <c r="T1252" s="17"/>
      <c r="V1252" s="15"/>
      <c r="W1252" s="15"/>
    </row>
    <row r="1253" spans="1:23" hidden="1" x14ac:dyDescent="0.3">
      <c r="A1253" s="15"/>
      <c r="B1253" s="15"/>
      <c r="C1253" s="15"/>
      <c r="D1253" s="19"/>
      <c r="E1253" s="15"/>
      <c r="F1253" s="15"/>
      <c r="G1253" s="15"/>
      <c r="H1253" s="15"/>
      <c r="I1253" s="15"/>
      <c r="J1253" s="15"/>
      <c r="K1253" s="16"/>
      <c r="L1253" s="16"/>
      <c r="M1253" s="17">
        <f>Table1[[#This Row],[Billing Rate Charges]]-Table1[[#This Row],[ LORRY RATE ]]</f>
        <v>0</v>
      </c>
      <c r="N1253" s="17"/>
      <c r="O1253" s="17">
        <f>Table1[[#This Row],[ LORRY RATE ]]-Table1[[#This Row],[Adance Paid (INR)]]</f>
        <v>0</v>
      </c>
      <c r="P1253" s="17"/>
      <c r="Q1253" s="17"/>
      <c r="R1253" s="17"/>
      <c r="S1253" s="17"/>
      <c r="T1253" s="17"/>
      <c r="V1253" s="15"/>
      <c r="W1253" s="15"/>
    </row>
    <row r="1254" spans="1:23" hidden="1" x14ac:dyDescent="0.3">
      <c r="A1254" s="15"/>
      <c r="B1254" s="15"/>
      <c r="C1254" s="15"/>
      <c r="D1254" s="19"/>
      <c r="E1254" s="15"/>
      <c r="F1254" s="15"/>
      <c r="G1254" s="15"/>
      <c r="H1254" s="15"/>
      <c r="I1254" s="15"/>
      <c r="J1254" s="15"/>
      <c r="K1254" s="16"/>
      <c r="L1254" s="16"/>
      <c r="M1254" s="17">
        <f>Table1[[#This Row],[Billing Rate Charges]]-Table1[[#This Row],[ LORRY RATE ]]</f>
        <v>0</v>
      </c>
      <c r="N1254" s="17"/>
      <c r="O1254" s="17">
        <f>Table1[[#This Row],[ LORRY RATE ]]-Table1[[#This Row],[Adance Paid (INR)]]</f>
        <v>0</v>
      </c>
      <c r="P1254" s="17"/>
      <c r="Q1254" s="17"/>
      <c r="R1254" s="17"/>
      <c r="S1254" s="17"/>
      <c r="T1254" s="17"/>
      <c r="V1254" s="15"/>
      <c r="W1254" s="15"/>
    </row>
    <row r="1255" spans="1:23" hidden="1" x14ac:dyDescent="0.3">
      <c r="A1255" s="15"/>
      <c r="B1255" s="15"/>
      <c r="C1255" s="15"/>
      <c r="D1255" s="19"/>
      <c r="E1255" s="15"/>
      <c r="F1255" s="15"/>
      <c r="G1255" s="15"/>
      <c r="H1255" s="15"/>
      <c r="I1255" s="15"/>
      <c r="J1255" s="15"/>
      <c r="K1255" s="16"/>
      <c r="L1255" s="16"/>
      <c r="M1255" s="17">
        <f>Table1[[#This Row],[Billing Rate Charges]]-Table1[[#This Row],[ LORRY RATE ]]</f>
        <v>0</v>
      </c>
      <c r="N1255" s="17"/>
      <c r="O1255" s="17">
        <f>Table1[[#This Row],[ LORRY RATE ]]-Table1[[#This Row],[Adance Paid (INR)]]</f>
        <v>0</v>
      </c>
      <c r="P1255" s="17"/>
      <c r="Q1255" s="17"/>
      <c r="R1255" s="17"/>
      <c r="S1255" s="17"/>
      <c r="T1255" s="17"/>
      <c r="V1255" s="15"/>
      <c r="W1255" s="15"/>
    </row>
    <row r="1256" spans="1:23" hidden="1" x14ac:dyDescent="0.3">
      <c r="A1256" s="15"/>
      <c r="B1256" s="15"/>
      <c r="C1256" s="15"/>
      <c r="D1256" s="19"/>
      <c r="E1256" s="15"/>
      <c r="F1256" s="15"/>
      <c r="G1256" s="15"/>
      <c r="H1256" s="15"/>
      <c r="I1256" s="15"/>
      <c r="J1256" s="15"/>
      <c r="K1256" s="16"/>
      <c r="L1256" s="16"/>
      <c r="M1256" s="17">
        <f>Table1[[#This Row],[Billing Rate Charges]]-Table1[[#This Row],[ LORRY RATE ]]</f>
        <v>0</v>
      </c>
      <c r="N1256" s="17"/>
      <c r="O1256" s="17">
        <f>Table1[[#This Row],[ LORRY RATE ]]-Table1[[#This Row],[Adance Paid (INR)]]</f>
        <v>0</v>
      </c>
      <c r="P1256" s="17"/>
      <c r="Q1256" s="17"/>
      <c r="R1256" s="17"/>
      <c r="S1256" s="17"/>
      <c r="T1256" s="17"/>
      <c r="V1256" s="15"/>
      <c r="W1256" s="15"/>
    </row>
    <row r="1257" spans="1:23" hidden="1" x14ac:dyDescent="0.3">
      <c r="A1257" s="15"/>
      <c r="B1257" s="15"/>
      <c r="C1257" s="15"/>
      <c r="D1257" s="19"/>
      <c r="E1257" s="15"/>
      <c r="F1257" s="15"/>
      <c r="G1257" s="15"/>
      <c r="H1257" s="15"/>
      <c r="I1257" s="15"/>
      <c r="J1257" s="15"/>
      <c r="K1257" s="16"/>
      <c r="L1257" s="16"/>
      <c r="M1257" s="17">
        <f>Table1[[#This Row],[Billing Rate Charges]]-Table1[[#This Row],[ LORRY RATE ]]</f>
        <v>0</v>
      </c>
      <c r="N1257" s="17"/>
      <c r="O1257" s="17">
        <f>Table1[[#This Row],[ LORRY RATE ]]-Table1[[#This Row],[Adance Paid (INR)]]</f>
        <v>0</v>
      </c>
      <c r="P1257" s="17"/>
      <c r="Q1257" s="17"/>
      <c r="R1257" s="17"/>
      <c r="S1257" s="17"/>
      <c r="T1257" s="17"/>
      <c r="V1257" s="15"/>
      <c r="W1257" s="15"/>
    </row>
    <row r="1258" spans="1:23" hidden="1" x14ac:dyDescent="0.3">
      <c r="A1258" s="15"/>
      <c r="B1258" s="15"/>
      <c r="C1258" s="15"/>
      <c r="D1258" s="19"/>
      <c r="E1258" s="15"/>
      <c r="F1258" s="15"/>
      <c r="G1258" s="15"/>
      <c r="H1258" s="15"/>
      <c r="I1258" s="15"/>
      <c r="J1258" s="15"/>
      <c r="K1258" s="16"/>
      <c r="L1258" s="16"/>
      <c r="M1258" s="17">
        <f>Table1[[#This Row],[Billing Rate Charges]]-Table1[[#This Row],[ LORRY RATE ]]</f>
        <v>0</v>
      </c>
      <c r="N1258" s="17"/>
      <c r="O1258" s="17">
        <f>Table1[[#This Row],[ LORRY RATE ]]-Table1[[#This Row],[Adance Paid (INR)]]</f>
        <v>0</v>
      </c>
      <c r="P1258" s="17"/>
      <c r="Q1258" s="17"/>
      <c r="R1258" s="17"/>
      <c r="S1258" s="17"/>
      <c r="T1258" s="17"/>
      <c r="V1258" s="15"/>
      <c r="W1258" s="15"/>
    </row>
    <row r="1259" spans="1:23" hidden="1" x14ac:dyDescent="0.3">
      <c r="A1259" s="15"/>
      <c r="B1259" s="15"/>
      <c r="C1259" s="15"/>
      <c r="D1259" s="19"/>
      <c r="E1259" s="15"/>
      <c r="F1259" s="15"/>
      <c r="G1259" s="15"/>
      <c r="H1259" s="15"/>
      <c r="I1259" s="15"/>
      <c r="J1259" s="15"/>
      <c r="K1259" s="16"/>
      <c r="L1259" s="16"/>
      <c r="M1259" s="17">
        <f>Table1[[#This Row],[Billing Rate Charges]]-Table1[[#This Row],[ LORRY RATE ]]</f>
        <v>0</v>
      </c>
      <c r="N1259" s="17"/>
      <c r="O1259" s="17">
        <f>Table1[[#This Row],[ LORRY RATE ]]-Table1[[#This Row],[Adance Paid (INR)]]</f>
        <v>0</v>
      </c>
      <c r="P1259" s="17"/>
      <c r="Q1259" s="17"/>
      <c r="R1259" s="17"/>
      <c r="S1259" s="17"/>
      <c r="T1259" s="17"/>
      <c r="V1259" s="15"/>
      <c r="W1259" s="15"/>
    </row>
    <row r="1260" spans="1:23" hidden="1" x14ac:dyDescent="0.3">
      <c r="A1260" s="15"/>
      <c r="B1260" s="15"/>
      <c r="C1260" s="15"/>
      <c r="D1260" s="19"/>
      <c r="E1260" s="15"/>
      <c r="F1260" s="15"/>
      <c r="G1260" s="15"/>
      <c r="H1260" s="15"/>
      <c r="I1260" s="15"/>
      <c r="J1260" s="15"/>
      <c r="K1260" s="16"/>
      <c r="L1260" s="16"/>
      <c r="M1260" s="17">
        <f>Table1[[#This Row],[Billing Rate Charges]]-Table1[[#This Row],[ LORRY RATE ]]</f>
        <v>0</v>
      </c>
      <c r="N1260" s="17"/>
      <c r="O1260" s="17">
        <f>Table1[[#This Row],[ LORRY RATE ]]-Table1[[#This Row],[Adance Paid (INR)]]</f>
        <v>0</v>
      </c>
      <c r="P1260" s="17"/>
      <c r="Q1260" s="17"/>
      <c r="R1260" s="17"/>
      <c r="S1260" s="17"/>
      <c r="T1260" s="17"/>
      <c r="V1260" s="15"/>
      <c r="W1260" s="15"/>
    </row>
    <row r="1261" spans="1:23" hidden="1" x14ac:dyDescent="0.3">
      <c r="A1261" s="15"/>
      <c r="B1261" s="15"/>
      <c r="C1261" s="15"/>
      <c r="D1261" s="19"/>
      <c r="E1261" s="15"/>
      <c r="F1261" s="15"/>
      <c r="G1261" s="15"/>
      <c r="H1261" s="15"/>
      <c r="I1261" s="15"/>
      <c r="J1261" s="15"/>
      <c r="K1261" s="16"/>
      <c r="L1261" s="16"/>
      <c r="M1261" s="17">
        <f>Table1[[#This Row],[Billing Rate Charges]]-Table1[[#This Row],[ LORRY RATE ]]</f>
        <v>0</v>
      </c>
      <c r="N1261" s="17"/>
      <c r="O1261" s="17">
        <f>Table1[[#This Row],[ LORRY RATE ]]-Table1[[#This Row],[Adance Paid (INR)]]</f>
        <v>0</v>
      </c>
      <c r="P1261" s="17"/>
      <c r="Q1261" s="17"/>
      <c r="R1261" s="17"/>
      <c r="S1261" s="17"/>
      <c r="T1261" s="17"/>
      <c r="V1261" s="15"/>
      <c r="W1261" s="15"/>
    </row>
    <row r="1262" spans="1:23" hidden="1" x14ac:dyDescent="0.3">
      <c r="A1262" s="15"/>
      <c r="B1262" s="15"/>
      <c r="C1262" s="15"/>
      <c r="D1262" s="19"/>
      <c r="E1262" s="15"/>
      <c r="F1262" s="15"/>
      <c r="G1262" s="15"/>
      <c r="H1262" s="15"/>
      <c r="I1262" s="15"/>
      <c r="J1262" s="15"/>
      <c r="K1262" s="16"/>
      <c r="L1262" s="16"/>
      <c r="M1262" s="17">
        <f>Table1[[#This Row],[Billing Rate Charges]]-Table1[[#This Row],[ LORRY RATE ]]</f>
        <v>0</v>
      </c>
      <c r="N1262" s="17"/>
      <c r="O1262" s="17">
        <f>Table1[[#This Row],[ LORRY RATE ]]-Table1[[#This Row],[Adance Paid (INR)]]</f>
        <v>0</v>
      </c>
      <c r="P1262" s="17"/>
      <c r="Q1262" s="17"/>
      <c r="R1262" s="17"/>
      <c r="S1262" s="17"/>
      <c r="T1262" s="17"/>
      <c r="V1262" s="15"/>
      <c r="W1262" s="15"/>
    </row>
    <row r="1263" spans="1:23" hidden="1" x14ac:dyDescent="0.3">
      <c r="A1263" s="15"/>
      <c r="B1263" s="15"/>
      <c r="C1263" s="15"/>
      <c r="D1263" s="19"/>
      <c r="E1263" s="15"/>
      <c r="F1263" s="15"/>
      <c r="G1263" s="15"/>
      <c r="H1263" s="15"/>
      <c r="I1263" s="15"/>
      <c r="J1263" s="15"/>
      <c r="K1263" s="16"/>
      <c r="L1263" s="16"/>
      <c r="M1263" s="17">
        <f>Table1[[#This Row],[Billing Rate Charges]]-Table1[[#This Row],[ LORRY RATE ]]</f>
        <v>0</v>
      </c>
      <c r="N1263" s="17"/>
      <c r="O1263" s="17">
        <f>Table1[[#This Row],[ LORRY RATE ]]-Table1[[#This Row],[Adance Paid (INR)]]</f>
        <v>0</v>
      </c>
      <c r="P1263" s="17"/>
      <c r="Q1263" s="17"/>
      <c r="R1263" s="17"/>
      <c r="S1263" s="17"/>
      <c r="T1263" s="17"/>
      <c r="V1263" s="15"/>
      <c r="W1263" s="15"/>
    </row>
    <row r="1264" spans="1:23" hidden="1" x14ac:dyDescent="0.3">
      <c r="A1264" s="15"/>
      <c r="B1264" s="15"/>
      <c r="C1264" s="15"/>
      <c r="D1264" s="19"/>
      <c r="E1264" s="15"/>
      <c r="F1264" s="15"/>
      <c r="G1264" s="15"/>
      <c r="H1264" s="15"/>
      <c r="I1264" s="15"/>
      <c r="J1264" s="15"/>
      <c r="K1264" s="16"/>
      <c r="L1264" s="16"/>
      <c r="M1264" s="17">
        <f>Table1[[#This Row],[Billing Rate Charges]]-Table1[[#This Row],[ LORRY RATE ]]</f>
        <v>0</v>
      </c>
      <c r="N1264" s="17"/>
      <c r="O1264" s="17">
        <f>Table1[[#This Row],[ LORRY RATE ]]-Table1[[#This Row],[Adance Paid (INR)]]</f>
        <v>0</v>
      </c>
      <c r="P1264" s="17"/>
      <c r="Q1264" s="17"/>
      <c r="R1264" s="17"/>
      <c r="S1264" s="17"/>
      <c r="T1264" s="17"/>
      <c r="V1264" s="15"/>
      <c r="W1264" s="15"/>
    </row>
    <row r="1265" spans="1:23" hidden="1" x14ac:dyDescent="0.3">
      <c r="A1265" s="15"/>
      <c r="B1265" s="15"/>
      <c r="C1265" s="15"/>
      <c r="D1265" s="19"/>
      <c r="E1265" s="15"/>
      <c r="F1265" s="15"/>
      <c r="G1265" s="15"/>
      <c r="H1265" s="15"/>
      <c r="I1265" s="15"/>
      <c r="J1265" s="15"/>
      <c r="K1265" s="16"/>
      <c r="L1265" s="16"/>
      <c r="M1265" s="17">
        <f>Table1[[#This Row],[Billing Rate Charges]]-Table1[[#This Row],[ LORRY RATE ]]</f>
        <v>0</v>
      </c>
      <c r="N1265" s="17"/>
      <c r="O1265" s="17">
        <f>Table1[[#This Row],[ LORRY RATE ]]-Table1[[#This Row],[Adance Paid (INR)]]</f>
        <v>0</v>
      </c>
      <c r="P1265" s="17"/>
      <c r="Q1265" s="17"/>
      <c r="R1265" s="17"/>
      <c r="S1265" s="17"/>
      <c r="T1265" s="17"/>
      <c r="V1265" s="15"/>
      <c r="W1265" s="15"/>
    </row>
  </sheetData>
  <phoneticPr fontId="2" type="noConversion"/>
  <pageMargins left="0.7" right="0.7" top="0.75" bottom="0.75" header="0.3" footer="0.3"/>
  <pageSetup orientation="portrait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7FF2-47AE-43CB-9E27-4E114B52B054}">
  <sheetPr>
    <tabColor rgb="FF92D050"/>
  </sheetPr>
  <dimension ref="A1:AC1121"/>
  <sheetViews>
    <sheetView showGridLines="0" topLeftCell="P1" zoomScale="101" workbookViewId="0">
      <selection activeCell="W12" sqref="W12"/>
    </sheetView>
  </sheetViews>
  <sheetFormatPr defaultRowHeight="15" outlineLevelCol="1" x14ac:dyDescent="0.25"/>
  <cols>
    <col min="1" max="7" width="15.5703125" customWidth="1"/>
    <col min="8" max="9" width="26.7109375" customWidth="1"/>
    <col min="10" max="10" width="18.7109375" bestFit="1" customWidth="1"/>
    <col min="11" max="24" width="15.5703125" customWidth="1"/>
    <col min="25" max="25" width="47.5703125" bestFit="1" customWidth="1"/>
    <col min="26" max="26" width="21" customWidth="1"/>
    <col min="27" max="27" width="28.5703125" hidden="1" customWidth="1" outlineLevel="1"/>
    <col min="28" max="28" width="22.28515625" hidden="1" customWidth="1" outlineLevel="1"/>
    <col min="29" max="29" width="9.140625" collapsed="1"/>
  </cols>
  <sheetData>
    <row r="1" spans="1:28" ht="17.25" x14ac:dyDescent="0.3">
      <c r="A1" s="297" t="s">
        <v>3705</v>
      </c>
    </row>
    <row r="2" spans="1:28" x14ac:dyDescent="0.25">
      <c r="A2" s="322" t="s">
        <v>3793</v>
      </c>
      <c r="B2" s="323">
        <f>SUMPRODUCT(--(AUBURN[LOADING DATE]&lt;&gt;""))</f>
        <v>1114</v>
      </c>
      <c r="C2" s="324"/>
      <c r="D2" s="322" t="s">
        <v>3796</v>
      </c>
      <c r="E2" s="325">
        <f>SUM(AUBURN[LORRY RATE (₹)])</f>
        <v>45985070</v>
      </c>
      <c r="F2" s="324"/>
      <c r="G2" s="322" t="s">
        <v>3713</v>
      </c>
      <c r="H2" s="326">
        <f>IFERROR($E$4/$E$3,"")</f>
        <v>0.392406188737932</v>
      </c>
      <c r="I2" s="324"/>
      <c r="J2" s="322" t="s">
        <v>3801</v>
      </c>
      <c r="K2" s="323">
        <f>COUNTIF(AUBURN[PROVIDER],"BN")</f>
        <v>684</v>
      </c>
      <c r="M2" s="319" t="s">
        <v>3804</v>
      </c>
    </row>
    <row r="3" spans="1:28" x14ac:dyDescent="0.25">
      <c r="A3" s="322" t="s">
        <v>3794</v>
      </c>
      <c r="B3" s="327" t="str">
        <f>TEXT(MIN(AUBURN[LOADING DATE]),"mmm yyyy")&amp;" to "&amp;TEXT(MAX(AUBURN[LOADING DATE]),"mmm yyyy")</f>
        <v>May 2024 to Sep 2026</v>
      </c>
      <c r="C3" s="324"/>
      <c r="D3" s="322" t="s">
        <v>3797</v>
      </c>
      <c r="E3" s="325">
        <f>SUM(AUBURN[BILLING RATE (₹)])</f>
        <v>75694270</v>
      </c>
      <c r="F3" s="324"/>
      <c r="G3" s="322" t="s">
        <v>3799</v>
      </c>
      <c r="H3" s="325">
        <f>SUM(AUBURN[ADVANCE PAID (₹)])</f>
        <v>43905850</v>
      </c>
      <c r="I3" s="324"/>
      <c r="J3" s="322" t="s">
        <v>3802</v>
      </c>
      <c r="K3" s="323">
        <f>COUNTIF(AUBURN[PROVIDER],"3rd Party")</f>
        <v>430</v>
      </c>
      <c r="M3" s="320" t="s">
        <v>3805</v>
      </c>
    </row>
    <row r="4" spans="1:28" x14ac:dyDescent="0.25">
      <c r="A4" s="322" t="s">
        <v>3795</v>
      </c>
      <c r="B4" s="328">
        <f>IFERROR(AVERAGE(AUBURN[TRANSIT DAYS]),"")</f>
        <v>3.89697542533081</v>
      </c>
      <c r="C4" s="324"/>
      <c r="D4" s="322" t="s">
        <v>3798</v>
      </c>
      <c r="E4" s="325">
        <f>SUM(AUBURN[NET SAVING (₹)])</f>
        <v>29702900</v>
      </c>
      <c r="F4" s="324"/>
      <c r="G4" s="322" t="s">
        <v>3800</v>
      </c>
      <c r="H4" s="325">
        <f>SUM(AUBURN[BALANCE TO PAY (₹)])</f>
        <v>118940</v>
      </c>
      <c r="I4" s="324"/>
      <c r="J4" s="322" t="s">
        <v>3803</v>
      </c>
      <c r="K4" s="323">
        <f>COUNTIF(AUBURN[LORRY RATE (₹)],"&gt;0")-SUMPRODUCT((AUBURN[LORRY RATE (₹)]&gt;0)*(AUBURN[ADVANCE PAID (₹)]&lt;&gt;""))</f>
        <v>41</v>
      </c>
      <c r="M4" s="321" t="s">
        <v>3806</v>
      </c>
    </row>
    <row r="6" spans="1:28" ht="33.950000000000003" customHeight="1" x14ac:dyDescent="0.25">
      <c r="A6" s="301" t="s">
        <v>16</v>
      </c>
      <c r="B6" s="301" t="s">
        <v>3706</v>
      </c>
      <c r="C6" s="301" t="s">
        <v>3707</v>
      </c>
      <c r="D6" s="301" t="s">
        <v>3708</v>
      </c>
      <c r="E6" s="301" t="s">
        <v>0</v>
      </c>
      <c r="F6" s="301" t="s">
        <v>23</v>
      </c>
      <c r="G6" s="301" t="s">
        <v>3709</v>
      </c>
      <c r="H6" s="301" t="s">
        <v>9</v>
      </c>
      <c r="I6" s="301" t="s">
        <v>10</v>
      </c>
      <c r="J6" s="301" t="s">
        <v>2</v>
      </c>
      <c r="K6" s="302" t="s">
        <v>3710</v>
      </c>
      <c r="L6" s="302" t="s">
        <v>3711</v>
      </c>
      <c r="M6" s="302" t="s">
        <v>3712</v>
      </c>
      <c r="N6" s="302" t="s">
        <v>3713</v>
      </c>
      <c r="O6" s="302" t="s">
        <v>3714</v>
      </c>
      <c r="P6" s="302" t="s">
        <v>3715</v>
      </c>
      <c r="Q6" s="303" t="s">
        <v>3716</v>
      </c>
      <c r="R6" s="303" t="s">
        <v>3717</v>
      </c>
      <c r="S6" s="303" t="s">
        <v>3718</v>
      </c>
      <c r="T6" s="304" t="s">
        <v>3719</v>
      </c>
      <c r="U6" s="304" t="s">
        <v>3720</v>
      </c>
      <c r="V6" s="304" t="s">
        <v>3721</v>
      </c>
      <c r="W6" s="304" t="s">
        <v>3722</v>
      </c>
      <c r="X6" s="305" t="s">
        <v>3723</v>
      </c>
      <c r="Y6" s="305" t="s">
        <v>3724</v>
      </c>
      <c r="Z6" s="305" t="s">
        <v>3725</v>
      </c>
      <c r="AA6" s="306" t="s">
        <v>3726</v>
      </c>
      <c r="AB6" s="306" t="s">
        <v>3727</v>
      </c>
    </row>
    <row r="7" spans="1:28" x14ac:dyDescent="0.25">
      <c r="A7" s="307">
        <f>IF($B7="","",ROW()-6)</f>
        <v>1</v>
      </c>
      <c r="B7" s="308">
        <v>45422</v>
      </c>
      <c r="C7" s="309">
        <f>IF($B7="","",EOMONTH($B7,-1)+1)</f>
        <v>45413</v>
      </c>
      <c r="D7" s="310" t="s">
        <v>51</v>
      </c>
      <c r="E7" s="310" t="s">
        <v>5</v>
      </c>
      <c r="F7" s="311">
        <v>9686844715</v>
      </c>
      <c r="G7" s="316" t="s">
        <v>6</v>
      </c>
      <c r="H7" s="316" t="s">
        <v>3728</v>
      </c>
      <c r="I7" s="316" t="s">
        <v>3729</v>
      </c>
      <c r="J7" s="310" t="s">
        <v>3730</v>
      </c>
      <c r="K7" s="312">
        <v>38590</v>
      </c>
      <c r="L7" s="312">
        <v>46620</v>
      </c>
      <c r="M7" s="313">
        <f>IF(OR($K7="",$L7=""),"",$L7-$K7)</f>
        <v>8030</v>
      </c>
      <c r="N7" s="314">
        <f>IF(OR($L7="",$L7=0,$M7=""),"",$M7/$L7)</f>
        <v>0.172243672243672</v>
      </c>
      <c r="O7" s="312">
        <v>38590</v>
      </c>
      <c r="P7" s="313">
        <f t="shared" ref="P7:P70" si="0">IF(OR($K7="",$O7=""),"",$K7-$O7)</f>
        <v>0</v>
      </c>
      <c r="Q7" s="310" t="s">
        <v>147</v>
      </c>
      <c r="R7" s="310">
        <v>1</v>
      </c>
      <c r="S7" s="310" t="s">
        <v>113</v>
      </c>
      <c r="T7" s="308">
        <v>45422</v>
      </c>
      <c r="U7" s="308">
        <v>45427</v>
      </c>
      <c r="V7" s="308">
        <v>45430</v>
      </c>
      <c r="W7" s="315">
        <f>IF(OR($B7="",$U7=""),"",$U7-$B7)</f>
        <v>5</v>
      </c>
      <c r="X7" s="310" t="s">
        <v>54</v>
      </c>
      <c r="Y7" s="310" t="s">
        <v>3731</v>
      </c>
      <c r="Z7" s="316"/>
      <c r="AA7" s="316" t="s">
        <v>3732</v>
      </c>
      <c r="AB7" s="316" t="s">
        <v>17</v>
      </c>
    </row>
    <row r="8" spans="1:28" x14ac:dyDescent="0.25">
      <c r="A8" s="307">
        <f t="shared" ref="A8:A71" si="1">IF($B8="","",ROW()-6)</f>
        <v>2</v>
      </c>
      <c r="B8" s="308">
        <v>45427</v>
      </c>
      <c r="C8" s="309">
        <f t="shared" ref="C8:C71" si="2">IF($B8="","",EOMONTH($B8,-1)+1)</f>
        <v>45413</v>
      </c>
      <c r="D8" s="310" t="s">
        <v>51</v>
      </c>
      <c r="E8" s="310" t="s">
        <v>11</v>
      </c>
      <c r="F8" s="311">
        <v>9941053951</v>
      </c>
      <c r="G8" s="316" t="s">
        <v>6</v>
      </c>
      <c r="H8" s="316" t="s">
        <v>31</v>
      </c>
      <c r="I8" s="316" t="s">
        <v>32</v>
      </c>
      <c r="J8" s="310" t="s">
        <v>3730</v>
      </c>
      <c r="K8" s="312">
        <v>36450</v>
      </c>
      <c r="L8" s="312">
        <v>46620</v>
      </c>
      <c r="M8" s="313">
        <f t="shared" ref="M8:M71" si="3">IF(OR($K8="",$L8=""),"",$L8-$K8)</f>
        <v>10170</v>
      </c>
      <c r="N8" s="314">
        <f t="shared" ref="N8:N71" si="4">IF(OR($L8="",$L8=0,$M8=""),"",$M8/$L8)</f>
        <v>0.218146718146718</v>
      </c>
      <c r="O8" s="312">
        <v>36450</v>
      </c>
      <c r="P8" s="313">
        <f t="shared" si="0"/>
        <v>0</v>
      </c>
      <c r="Q8" s="310" t="s">
        <v>147</v>
      </c>
      <c r="R8" s="310">
        <v>2</v>
      </c>
      <c r="S8" s="310" t="s">
        <v>113</v>
      </c>
      <c r="T8" s="308">
        <v>45431</v>
      </c>
      <c r="U8" s="308">
        <v>45432</v>
      </c>
      <c r="V8" s="308">
        <v>45434</v>
      </c>
      <c r="W8" s="315">
        <f t="shared" ref="W8:W71" si="5">IF(OR($B8="",$U8=""),"",$U8-$B8)</f>
        <v>5</v>
      </c>
      <c r="X8" s="310" t="s">
        <v>54</v>
      </c>
      <c r="Y8" s="310" t="s">
        <v>529</v>
      </c>
      <c r="Z8" s="316"/>
      <c r="AA8" s="316"/>
      <c r="AB8" s="316" t="s">
        <v>35</v>
      </c>
    </row>
    <row r="9" spans="1:28" x14ac:dyDescent="0.25">
      <c r="A9" s="307">
        <f t="shared" si="1"/>
        <v>3</v>
      </c>
      <c r="B9" s="308">
        <v>45431</v>
      </c>
      <c r="C9" s="309">
        <f t="shared" si="2"/>
        <v>45413</v>
      </c>
      <c r="D9" s="310" t="s">
        <v>51</v>
      </c>
      <c r="E9" s="310" t="s">
        <v>18</v>
      </c>
      <c r="F9" s="311">
        <v>9295512602</v>
      </c>
      <c r="G9" s="316" t="s">
        <v>6</v>
      </c>
      <c r="H9" s="316" t="s">
        <v>24</v>
      </c>
      <c r="I9" s="316" t="s">
        <v>40</v>
      </c>
      <c r="J9" s="310" t="s">
        <v>59</v>
      </c>
      <c r="K9" s="312">
        <v>31930</v>
      </c>
      <c r="L9" s="312">
        <v>45040</v>
      </c>
      <c r="M9" s="313">
        <f t="shared" si="3"/>
        <v>13110</v>
      </c>
      <c r="N9" s="314">
        <f t="shared" si="4"/>
        <v>0.29107460035524</v>
      </c>
      <c r="O9" s="312">
        <v>31930</v>
      </c>
      <c r="P9" s="313">
        <f t="shared" si="0"/>
        <v>0</v>
      </c>
      <c r="Q9" s="310" t="s">
        <v>147</v>
      </c>
      <c r="R9" s="310">
        <v>3</v>
      </c>
      <c r="S9" s="310" t="s">
        <v>113</v>
      </c>
      <c r="T9" s="308">
        <v>45433</v>
      </c>
      <c r="U9" s="308">
        <v>45433</v>
      </c>
      <c r="V9" s="308">
        <v>45434</v>
      </c>
      <c r="W9" s="315">
        <f t="shared" si="5"/>
        <v>2</v>
      </c>
      <c r="X9" s="310" t="s">
        <v>54</v>
      </c>
      <c r="Y9" s="310" t="s">
        <v>529</v>
      </c>
      <c r="Z9" s="316"/>
      <c r="AA9" s="316"/>
      <c r="AB9" s="316" t="s">
        <v>36</v>
      </c>
    </row>
    <row r="10" spans="1:28" x14ac:dyDescent="0.25">
      <c r="A10" s="307">
        <f t="shared" si="1"/>
        <v>4</v>
      </c>
      <c r="B10" s="308">
        <v>45430</v>
      </c>
      <c r="C10" s="309">
        <f t="shared" si="2"/>
        <v>45413</v>
      </c>
      <c r="D10" s="310" t="s">
        <v>51</v>
      </c>
      <c r="E10" s="310" t="s">
        <v>19</v>
      </c>
      <c r="F10" s="311">
        <v>9149905009</v>
      </c>
      <c r="G10" s="316" t="s">
        <v>6</v>
      </c>
      <c r="H10" s="316" t="s">
        <v>26</v>
      </c>
      <c r="I10" s="316" t="s">
        <v>27</v>
      </c>
      <c r="J10" s="310" t="s">
        <v>623</v>
      </c>
      <c r="K10" s="312">
        <v>28300</v>
      </c>
      <c r="L10" s="312">
        <v>38740</v>
      </c>
      <c r="M10" s="313">
        <f t="shared" si="3"/>
        <v>10440</v>
      </c>
      <c r="N10" s="314">
        <f t="shared" si="4"/>
        <v>0.269488900361384</v>
      </c>
      <c r="O10" s="312">
        <v>28300</v>
      </c>
      <c r="P10" s="313">
        <f t="shared" si="0"/>
        <v>0</v>
      </c>
      <c r="Q10" s="310" t="s">
        <v>147</v>
      </c>
      <c r="R10" s="310">
        <v>4</v>
      </c>
      <c r="S10" s="310" t="s">
        <v>113</v>
      </c>
      <c r="T10" s="308">
        <v>45433</v>
      </c>
      <c r="U10" s="308">
        <v>45433</v>
      </c>
      <c r="V10" s="308"/>
      <c r="W10" s="315">
        <f t="shared" si="5"/>
        <v>3</v>
      </c>
      <c r="X10" s="310" t="s">
        <v>54</v>
      </c>
      <c r="Y10" s="310" t="s">
        <v>529</v>
      </c>
      <c r="Z10" s="316"/>
      <c r="AA10" s="316"/>
      <c r="AB10" s="316"/>
    </row>
    <row r="11" spans="1:28" x14ac:dyDescent="0.25">
      <c r="A11" s="307">
        <f t="shared" si="1"/>
        <v>5</v>
      </c>
      <c r="B11" s="308">
        <v>45431</v>
      </c>
      <c r="C11" s="309">
        <f t="shared" si="2"/>
        <v>45413</v>
      </c>
      <c r="D11" s="310" t="s">
        <v>51</v>
      </c>
      <c r="E11" s="310" t="s">
        <v>20</v>
      </c>
      <c r="F11" s="311">
        <v>9678275995</v>
      </c>
      <c r="G11" s="316" t="s">
        <v>6</v>
      </c>
      <c r="H11" s="316" t="s">
        <v>26</v>
      </c>
      <c r="I11" s="316" t="s">
        <v>34</v>
      </c>
      <c r="J11" s="310" t="s">
        <v>168</v>
      </c>
      <c r="K11" s="312">
        <v>27830</v>
      </c>
      <c r="L11" s="312">
        <v>35600</v>
      </c>
      <c r="M11" s="313">
        <f t="shared" si="3"/>
        <v>7770</v>
      </c>
      <c r="N11" s="314">
        <f t="shared" si="4"/>
        <v>0.218258426966292</v>
      </c>
      <c r="O11" s="312">
        <v>27830</v>
      </c>
      <c r="P11" s="313">
        <f t="shared" si="0"/>
        <v>0</v>
      </c>
      <c r="Q11" s="310" t="s">
        <v>147</v>
      </c>
      <c r="R11" s="310">
        <v>5</v>
      </c>
      <c r="S11" s="310" t="s">
        <v>113</v>
      </c>
      <c r="T11" s="308">
        <v>45433</v>
      </c>
      <c r="U11" s="308">
        <v>45433</v>
      </c>
      <c r="V11" s="308"/>
      <c r="W11" s="315">
        <f t="shared" si="5"/>
        <v>2</v>
      </c>
      <c r="X11" s="310" t="s">
        <v>54</v>
      </c>
      <c r="Y11" s="310" t="s">
        <v>529</v>
      </c>
      <c r="Z11" s="316"/>
      <c r="AA11" s="316"/>
      <c r="AB11" s="316"/>
    </row>
    <row r="12" spans="1:28" x14ac:dyDescent="0.25">
      <c r="A12" s="307">
        <f t="shared" si="1"/>
        <v>6</v>
      </c>
      <c r="B12" s="308">
        <v>45436</v>
      </c>
      <c r="C12" s="309">
        <f t="shared" si="2"/>
        <v>45413</v>
      </c>
      <c r="D12" s="310" t="s">
        <v>51</v>
      </c>
      <c r="E12" s="310" t="s">
        <v>39</v>
      </c>
      <c r="F12" s="311">
        <v>9087547668</v>
      </c>
      <c r="G12" s="316" t="s">
        <v>6</v>
      </c>
      <c r="H12" s="316" t="s">
        <v>87</v>
      </c>
      <c r="I12" s="316" t="s">
        <v>86</v>
      </c>
      <c r="J12" s="310" t="s">
        <v>168</v>
      </c>
      <c r="K12" s="312">
        <v>29850</v>
      </c>
      <c r="L12" s="312">
        <v>41900</v>
      </c>
      <c r="M12" s="313">
        <f t="shared" si="3"/>
        <v>12050</v>
      </c>
      <c r="N12" s="314">
        <f t="shared" si="4"/>
        <v>0.287589498806683</v>
      </c>
      <c r="O12" s="312">
        <v>29850</v>
      </c>
      <c r="P12" s="313">
        <f t="shared" si="0"/>
        <v>0</v>
      </c>
      <c r="Q12" s="310" t="s">
        <v>147</v>
      </c>
      <c r="R12" s="310">
        <v>6</v>
      </c>
      <c r="S12" s="310" t="s">
        <v>113</v>
      </c>
      <c r="T12" s="308">
        <v>45440</v>
      </c>
      <c r="U12" s="308">
        <v>45440</v>
      </c>
      <c r="V12" s="308"/>
      <c r="W12" s="315">
        <f t="shared" si="5"/>
        <v>4</v>
      </c>
      <c r="X12" s="310" t="s">
        <v>54</v>
      </c>
      <c r="Y12" s="310" t="s">
        <v>529</v>
      </c>
      <c r="Z12" s="316"/>
      <c r="AA12" s="316"/>
      <c r="AB12" s="316"/>
    </row>
    <row r="13" spans="1:28" x14ac:dyDescent="0.25">
      <c r="A13" s="307">
        <f t="shared" si="1"/>
        <v>7</v>
      </c>
      <c r="B13" s="308">
        <v>45442</v>
      </c>
      <c r="C13" s="309">
        <f t="shared" si="2"/>
        <v>45413</v>
      </c>
      <c r="D13" s="310" t="s">
        <v>51</v>
      </c>
      <c r="E13" s="310" t="s">
        <v>43</v>
      </c>
      <c r="F13" s="311">
        <v>9757815238</v>
      </c>
      <c r="G13" s="316" t="s">
        <v>6</v>
      </c>
      <c r="H13" s="316" t="s">
        <v>26</v>
      </c>
      <c r="I13" s="316" t="s">
        <v>88</v>
      </c>
      <c r="J13" s="310" t="s">
        <v>3730</v>
      </c>
      <c r="K13" s="312">
        <v>32290</v>
      </c>
      <c r="L13" s="312">
        <v>40320</v>
      </c>
      <c r="M13" s="313">
        <f t="shared" si="3"/>
        <v>8030</v>
      </c>
      <c r="N13" s="314">
        <f t="shared" si="4"/>
        <v>0.199156746031746</v>
      </c>
      <c r="O13" s="312">
        <v>32290</v>
      </c>
      <c r="P13" s="313">
        <f t="shared" si="0"/>
        <v>0</v>
      </c>
      <c r="Q13" s="310" t="s">
        <v>147</v>
      </c>
      <c r="R13" s="310">
        <v>7</v>
      </c>
      <c r="S13" s="310" t="s">
        <v>113</v>
      </c>
      <c r="T13" s="308">
        <v>45417</v>
      </c>
      <c r="U13" s="308">
        <v>45417</v>
      </c>
      <c r="V13" s="308"/>
      <c r="W13" s="315">
        <f t="shared" si="5"/>
        <v>-25</v>
      </c>
      <c r="X13" s="310" t="s">
        <v>54</v>
      </c>
      <c r="Y13" s="310" t="s">
        <v>3731</v>
      </c>
      <c r="Z13" s="316"/>
      <c r="AA13" s="316"/>
      <c r="AB13" s="316"/>
    </row>
    <row r="14" spans="1:28" x14ac:dyDescent="0.25">
      <c r="A14" s="307">
        <f t="shared" si="1"/>
        <v>8</v>
      </c>
      <c r="B14" s="308">
        <v>45436</v>
      </c>
      <c r="C14" s="309">
        <f t="shared" si="2"/>
        <v>45413</v>
      </c>
      <c r="D14" s="310" t="s">
        <v>56</v>
      </c>
      <c r="E14" s="310" t="s">
        <v>38</v>
      </c>
      <c r="F14" s="311">
        <v>9025368773</v>
      </c>
      <c r="G14" s="316" t="s">
        <v>6</v>
      </c>
      <c r="H14" s="316" t="s">
        <v>26</v>
      </c>
      <c r="I14" s="316" t="s">
        <v>84</v>
      </c>
      <c r="J14" s="310" t="s">
        <v>58</v>
      </c>
      <c r="K14" s="312">
        <v>43990</v>
      </c>
      <c r="L14" s="312">
        <v>38740</v>
      </c>
      <c r="M14" s="313">
        <f t="shared" si="3"/>
        <v>-5250</v>
      </c>
      <c r="N14" s="314">
        <f t="shared" si="4"/>
        <v>-0.135518843572535</v>
      </c>
      <c r="O14" s="312"/>
      <c r="P14" s="313" t="str">
        <f t="shared" si="0"/>
        <v/>
      </c>
      <c r="Q14" s="310" t="s">
        <v>147</v>
      </c>
      <c r="R14" s="310">
        <v>8</v>
      </c>
      <c r="S14" s="310" t="s">
        <v>113</v>
      </c>
      <c r="T14" s="308">
        <v>45439</v>
      </c>
      <c r="U14" s="308">
        <v>45440</v>
      </c>
      <c r="V14" s="308"/>
      <c r="W14" s="315">
        <f t="shared" si="5"/>
        <v>4</v>
      </c>
      <c r="X14" s="310" t="s">
        <v>54</v>
      </c>
      <c r="Y14" s="310" t="s">
        <v>56</v>
      </c>
      <c r="Z14" s="316"/>
      <c r="AA14" s="316"/>
      <c r="AB14" s="316"/>
    </row>
    <row r="15" spans="1:28" x14ac:dyDescent="0.25">
      <c r="A15" s="307">
        <f t="shared" si="1"/>
        <v>9</v>
      </c>
      <c r="B15" s="308">
        <v>45440</v>
      </c>
      <c r="C15" s="309">
        <f t="shared" si="2"/>
        <v>45413</v>
      </c>
      <c r="D15" s="310" t="s">
        <v>56</v>
      </c>
      <c r="E15" s="310" t="s">
        <v>38</v>
      </c>
      <c r="F15" s="311">
        <v>9025368773</v>
      </c>
      <c r="G15" s="316" t="s">
        <v>41</v>
      </c>
      <c r="H15" s="316" t="s">
        <v>44</v>
      </c>
      <c r="I15" s="316" t="s">
        <v>45</v>
      </c>
      <c r="J15" s="310" t="s">
        <v>58</v>
      </c>
      <c r="K15" s="312"/>
      <c r="L15" s="312">
        <v>6300</v>
      </c>
      <c r="M15" s="313" t="str">
        <f t="shared" si="3"/>
        <v/>
      </c>
      <c r="N15" s="314" t="str">
        <f t="shared" si="4"/>
        <v/>
      </c>
      <c r="O15" s="312"/>
      <c r="P15" s="313" t="str">
        <f t="shared" si="0"/>
        <v/>
      </c>
      <c r="Q15" s="310" t="s">
        <v>147</v>
      </c>
      <c r="R15" s="310">
        <v>9</v>
      </c>
      <c r="S15" s="310" t="s">
        <v>113</v>
      </c>
      <c r="T15" s="308"/>
      <c r="U15" s="308"/>
      <c r="V15" s="308"/>
      <c r="W15" s="315" t="str">
        <f t="shared" si="5"/>
        <v/>
      </c>
      <c r="X15" s="310" t="s">
        <v>54</v>
      </c>
      <c r="Y15" s="310" t="s">
        <v>56</v>
      </c>
      <c r="Z15" s="316"/>
      <c r="AA15" s="316" t="s">
        <v>3733</v>
      </c>
      <c r="AB15" s="316"/>
    </row>
    <row r="16" spans="1:28" x14ac:dyDescent="0.25">
      <c r="A16" s="307">
        <f t="shared" si="1"/>
        <v>10</v>
      </c>
      <c r="B16" s="308">
        <v>45442</v>
      </c>
      <c r="C16" s="309">
        <f t="shared" si="2"/>
        <v>45413</v>
      </c>
      <c r="D16" s="310" t="s">
        <v>56</v>
      </c>
      <c r="E16" s="310" t="s">
        <v>38</v>
      </c>
      <c r="F16" s="311">
        <v>9025368773</v>
      </c>
      <c r="G16" s="316" t="s">
        <v>45</v>
      </c>
      <c r="H16" s="316" t="s">
        <v>26</v>
      </c>
      <c r="I16" s="316" t="s">
        <v>93</v>
      </c>
      <c r="J16" s="310" t="s">
        <v>58</v>
      </c>
      <c r="K16" s="312">
        <v>48290</v>
      </c>
      <c r="L16" s="312">
        <v>67410</v>
      </c>
      <c r="M16" s="313">
        <f t="shared" si="3"/>
        <v>19120</v>
      </c>
      <c r="N16" s="314">
        <f t="shared" si="4"/>
        <v>0.283637442515947</v>
      </c>
      <c r="O16" s="312"/>
      <c r="P16" s="313" t="str">
        <f t="shared" si="0"/>
        <v/>
      </c>
      <c r="Q16" s="310" t="s">
        <v>147</v>
      </c>
      <c r="R16" s="310">
        <v>9</v>
      </c>
      <c r="S16" s="310" t="s">
        <v>113</v>
      </c>
      <c r="T16" s="308">
        <v>45445</v>
      </c>
      <c r="U16" s="308">
        <v>45446</v>
      </c>
      <c r="V16" s="308"/>
      <c r="W16" s="315">
        <f t="shared" si="5"/>
        <v>4</v>
      </c>
      <c r="X16" s="310" t="s">
        <v>54</v>
      </c>
      <c r="Y16" s="310" t="s">
        <v>56</v>
      </c>
      <c r="Z16" s="316"/>
      <c r="AA16" s="316"/>
      <c r="AB16" s="316"/>
    </row>
    <row r="17" spans="1:28" x14ac:dyDescent="0.25">
      <c r="A17" s="307">
        <f t="shared" si="1"/>
        <v>11</v>
      </c>
      <c r="B17" s="308">
        <v>45436</v>
      </c>
      <c r="C17" s="309">
        <f t="shared" si="2"/>
        <v>45413</v>
      </c>
      <c r="D17" s="310" t="s">
        <v>56</v>
      </c>
      <c r="E17" s="310" t="s">
        <v>60</v>
      </c>
      <c r="F17" s="311">
        <v>9589264337</v>
      </c>
      <c r="G17" s="316" t="s">
        <v>6</v>
      </c>
      <c r="H17" s="316" t="s">
        <v>26</v>
      </c>
      <c r="I17" s="316" t="s">
        <v>85</v>
      </c>
      <c r="J17" s="310" t="s">
        <v>3730</v>
      </c>
      <c r="K17" s="312">
        <v>44220</v>
      </c>
      <c r="L17" s="312">
        <v>40320</v>
      </c>
      <c r="M17" s="313">
        <f t="shared" si="3"/>
        <v>-3900</v>
      </c>
      <c r="N17" s="314">
        <f t="shared" si="4"/>
        <v>-0.0967261904761905</v>
      </c>
      <c r="O17" s="312"/>
      <c r="P17" s="313" t="str">
        <f t="shared" si="0"/>
        <v/>
      </c>
      <c r="Q17" s="310" t="s">
        <v>147</v>
      </c>
      <c r="R17" s="310">
        <v>10</v>
      </c>
      <c r="S17" s="310" t="s">
        <v>113</v>
      </c>
      <c r="T17" s="308">
        <v>45439</v>
      </c>
      <c r="U17" s="308">
        <v>45439</v>
      </c>
      <c r="V17" s="308"/>
      <c r="W17" s="315">
        <f t="shared" si="5"/>
        <v>3</v>
      </c>
      <c r="X17" s="310" t="s">
        <v>54</v>
      </c>
      <c r="Y17" s="310" t="s">
        <v>56</v>
      </c>
      <c r="Z17" s="316"/>
      <c r="AA17" s="316"/>
      <c r="AB17" s="316"/>
    </row>
    <row r="18" spans="1:28" x14ac:dyDescent="0.25">
      <c r="A18" s="307">
        <f t="shared" si="1"/>
        <v>12</v>
      </c>
      <c r="B18" s="308">
        <v>45439</v>
      </c>
      <c r="C18" s="309">
        <f t="shared" si="2"/>
        <v>45413</v>
      </c>
      <c r="D18" s="310" t="s">
        <v>56</v>
      </c>
      <c r="E18" s="310" t="s">
        <v>60</v>
      </c>
      <c r="F18" s="311">
        <v>9589264337</v>
      </c>
      <c r="G18" s="316" t="s">
        <v>42</v>
      </c>
      <c r="H18" s="316" t="s">
        <v>26</v>
      </c>
      <c r="I18" s="316" t="s">
        <v>95</v>
      </c>
      <c r="J18" s="310" t="s">
        <v>3730</v>
      </c>
      <c r="K18" s="312">
        <v>51030</v>
      </c>
      <c r="L18" s="312">
        <v>85680</v>
      </c>
      <c r="M18" s="313">
        <f t="shared" si="3"/>
        <v>34650</v>
      </c>
      <c r="N18" s="314">
        <f t="shared" si="4"/>
        <v>0.404411764705882</v>
      </c>
      <c r="O18" s="312"/>
      <c r="P18" s="313" t="str">
        <f t="shared" si="0"/>
        <v/>
      </c>
      <c r="Q18" s="310" t="s">
        <v>147</v>
      </c>
      <c r="R18" s="310">
        <v>11</v>
      </c>
      <c r="S18" s="310" t="s">
        <v>113</v>
      </c>
      <c r="T18" s="308">
        <v>45443</v>
      </c>
      <c r="U18" s="308">
        <v>45443</v>
      </c>
      <c r="V18" s="308"/>
      <c r="W18" s="315">
        <f t="shared" si="5"/>
        <v>4</v>
      </c>
      <c r="X18" s="310" t="s">
        <v>54</v>
      </c>
      <c r="Y18" s="310" t="s">
        <v>56</v>
      </c>
      <c r="Z18" s="316"/>
      <c r="AA18" s="316"/>
      <c r="AB18" s="316"/>
    </row>
    <row r="19" spans="1:28" x14ac:dyDescent="0.25">
      <c r="A19" s="307">
        <f t="shared" si="1"/>
        <v>13</v>
      </c>
      <c r="B19" s="308">
        <v>45444</v>
      </c>
      <c r="C19" s="309">
        <f t="shared" si="2"/>
        <v>45444</v>
      </c>
      <c r="D19" s="310" t="s">
        <v>51</v>
      </c>
      <c r="E19" s="310" t="s">
        <v>47</v>
      </c>
      <c r="F19" s="311">
        <v>9198923795</v>
      </c>
      <c r="G19" s="316" t="s">
        <v>6</v>
      </c>
      <c r="H19" s="316" t="s">
        <v>26</v>
      </c>
      <c r="I19" s="316" t="s">
        <v>94</v>
      </c>
      <c r="J19" s="310" t="s">
        <v>168</v>
      </c>
      <c r="K19" s="312">
        <v>27290</v>
      </c>
      <c r="L19" s="312">
        <v>35600</v>
      </c>
      <c r="M19" s="313">
        <f t="shared" si="3"/>
        <v>8310</v>
      </c>
      <c r="N19" s="314">
        <f t="shared" si="4"/>
        <v>0.233426966292135</v>
      </c>
      <c r="O19" s="312">
        <v>27290</v>
      </c>
      <c r="P19" s="313">
        <f t="shared" si="0"/>
        <v>0</v>
      </c>
      <c r="Q19" s="310" t="s">
        <v>147</v>
      </c>
      <c r="R19" s="310">
        <v>12</v>
      </c>
      <c r="S19" s="310" t="s">
        <v>113</v>
      </c>
      <c r="T19" s="308">
        <v>45447</v>
      </c>
      <c r="U19" s="308">
        <v>45447</v>
      </c>
      <c r="V19" s="308"/>
      <c r="W19" s="315">
        <f t="shared" si="5"/>
        <v>3</v>
      </c>
      <c r="X19" s="310" t="s">
        <v>54</v>
      </c>
      <c r="Y19" s="310" t="s">
        <v>529</v>
      </c>
      <c r="Z19" s="316"/>
      <c r="AA19" s="316"/>
      <c r="AB19" s="316"/>
    </row>
    <row r="20" spans="1:28" x14ac:dyDescent="0.25">
      <c r="A20" s="307">
        <f t="shared" si="1"/>
        <v>14</v>
      </c>
      <c r="B20" s="308">
        <v>45444</v>
      </c>
      <c r="C20" s="309">
        <f t="shared" si="2"/>
        <v>45444</v>
      </c>
      <c r="D20" s="310" t="s">
        <v>51</v>
      </c>
      <c r="E20" s="310" t="s">
        <v>81</v>
      </c>
      <c r="F20" s="311">
        <v>9295512602</v>
      </c>
      <c r="G20" s="316" t="s">
        <v>6</v>
      </c>
      <c r="H20" s="316" t="s">
        <v>26</v>
      </c>
      <c r="I20" s="316" t="s">
        <v>90</v>
      </c>
      <c r="J20" s="310" t="s">
        <v>59</v>
      </c>
      <c r="K20" s="312">
        <v>29110</v>
      </c>
      <c r="L20" s="312">
        <v>38740</v>
      </c>
      <c r="M20" s="313">
        <f t="shared" si="3"/>
        <v>9630</v>
      </c>
      <c r="N20" s="314">
        <f t="shared" si="4"/>
        <v>0.248580278781621</v>
      </c>
      <c r="O20" s="312">
        <v>29110</v>
      </c>
      <c r="P20" s="313">
        <f t="shared" si="0"/>
        <v>0</v>
      </c>
      <c r="Q20" s="310" t="s">
        <v>147</v>
      </c>
      <c r="R20" s="310">
        <v>13</v>
      </c>
      <c r="S20" s="310" t="s">
        <v>113</v>
      </c>
      <c r="T20" s="308">
        <v>45447</v>
      </c>
      <c r="U20" s="308">
        <v>45447</v>
      </c>
      <c r="V20" s="308"/>
      <c r="W20" s="315">
        <f t="shared" si="5"/>
        <v>3</v>
      </c>
      <c r="X20" s="310" t="s">
        <v>54</v>
      </c>
      <c r="Y20" s="310" t="s">
        <v>529</v>
      </c>
      <c r="Z20" s="316"/>
      <c r="AA20" s="316"/>
      <c r="AB20" s="316"/>
    </row>
    <row r="21" spans="1:28" x14ac:dyDescent="0.25">
      <c r="A21" s="307">
        <f t="shared" si="1"/>
        <v>15</v>
      </c>
      <c r="B21" s="308">
        <v>45444</v>
      </c>
      <c r="C21" s="309">
        <f t="shared" si="2"/>
        <v>45444</v>
      </c>
      <c r="D21" s="310" t="s">
        <v>56</v>
      </c>
      <c r="E21" s="310" t="s">
        <v>60</v>
      </c>
      <c r="F21" s="311">
        <v>9589264337</v>
      </c>
      <c r="G21" s="316" t="s">
        <v>6</v>
      </c>
      <c r="H21" s="316" t="s">
        <v>26</v>
      </c>
      <c r="I21" s="316" t="s">
        <v>89</v>
      </c>
      <c r="J21" s="310" t="s">
        <v>3730</v>
      </c>
      <c r="K21" s="312">
        <v>44220</v>
      </c>
      <c r="L21" s="312">
        <v>40320</v>
      </c>
      <c r="M21" s="313">
        <f t="shared" si="3"/>
        <v>-3900</v>
      </c>
      <c r="N21" s="314">
        <f t="shared" si="4"/>
        <v>-0.0967261904761905</v>
      </c>
      <c r="O21" s="312"/>
      <c r="P21" s="313" t="str">
        <f t="shared" si="0"/>
        <v/>
      </c>
      <c r="Q21" s="310" t="s">
        <v>147</v>
      </c>
      <c r="R21" s="310">
        <v>14</v>
      </c>
      <c r="S21" s="310" t="s">
        <v>113</v>
      </c>
      <c r="T21" s="308">
        <v>45448</v>
      </c>
      <c r="U21" s="308">
        <v>45448</v>
      </c>
      <c r="V21" s="308"/>
      <c r="W21" s="315">
        <f t="shared" si="5"/>
        <v>4</v>
      </c>
      <c r="X21" s="310" t="s">
        <v>54</v>
      </c>
      <c r="Y21" s="310" t="s">
        <v>56</v>
      </c>
      <c r="Z21" s="316"/>
      <c r="AA21" s="316"/>
      <c r="AB21" s="316"/>
    </row>
    <row r="22" spans="1:28" x14ac:dyDescent="0.25">
      <c r="A22" s="307">
        <f t="shared" si="1"/>
        <v>16</v>
      </c>
      <c r="B22" s="308">
        <v>45446</v>
      </c>
      <c r="C22" s="309">
        <f t="shared" si="2"/>
        <v>45444</v>
      </c>
      <c r="D22" s="310" t="s">
        <v>56</v>
      </c>
      <c r="E22" s="310" t="s">
        <v>38</v>
      </c>
      <c r="F22" s="311">
        <v>9025368773</v>
      </c>
      <c r="G22" s="316" t="s">
        <v>6</v>
      </c>
      <c r="H22" s="316" t="s">
        <v>92</v>
      </c>
      <c r="I22" s="316" t="s">
        <v>91</v>
      </c>
      <c r="J22" s="310" t="s">
        <v>3734</v>
      </c>
      <c r="K22" s="312">
        <v>45880</v>
      </c>
      <c r="L22" s="312">
        <v>51340</v>
      </c>
      <c r="M22" s="313">
        <f t="shared" si="3"/>
        <v>5460</v>
      </c>
      <c r="N22" s="314">
        <f t="shared" si="4"/>
        <v>0.106349824698091</v>
      </c>
      <c r="O22" s="312"/>
      <c r="P22" s="313" t="str">
        <f t="shared" si="0"/>
        <v/>
      </c>
      <c r="Q22" s="310" t="s">
        <v>147</v>
      </c>
      <c r="R22" s="310">
        <v>15</v>
      </c>
      <c r="S22" s="310" t="s">
        <v>113</v>
      </c>
      <c r="T22" s="308">
        <v>45449</v>
      </c>
      <c r="U22" s="308">
        <v>45450</v>
      </c>
      <c r="V22" s="308"/>
      <c r="W22" s="315">
        <f t="shared" si="5"/>
        <v>4</v>
      </c>
      <c r="X22" s="310" t="s">
        <v>54</v>
      </c>
      <c r="Y22" s="310" t="s">
        <v>56</v>
      </c>
      <c r="Z22" s="316"/>
      <c r="AA22" s="316"/>
      <c r="AB22" s="316"/>
    </row>
    <row r="23" spans="1:28" x14ac:dyDescent="0.25">
      <c r="A23" s="307">
        <f t="shared" si="1"/>
        <v>17</v>
      </c>
      <c r="B23" s="308">
        <v>45449</v>
      </c>
      <c r="C23" s="309">
        <f t="shared" si="2"/>
        <v>45444</v>
      </c>
      <c r="D23" s="310" t="s">
        <v>56</v>
      </c>
      <c r="E23" s="310" t="s">
        <v>99</v>
      </c>
      <c r="F23" s="311">
        <v>9589264337</v>
      </c>
      <c r="G23" s="316" t="s">
        <v>42</v>
      </c>
      <c r="H23" s="316" t="s">
        <v>26</v>
      </c>
      <c r="I23" s="316" t="s">
        <v>139</v>
      </c>
      <c r="J23" s="310" t="s">
        <v>3735</v>
      </c>
      <c r="K23" s="312">
        <v>51690</v>
      </c>
      <c r="L23" s="312">
        <v>90090</v>
      </c>
      <c r="M23" s="313">
        <f t="shared" si="3"/>
        <v>38400</v>
      </c>
      <c r="N23" s="314">
        <f t="shared" si="4"/>
        <v>0.426240426240426</v>
      </c>
      <c r="O23" s="312"/>
      <c r="P23" s="313" t="str">
        <f t="shared" si="0"/>
        <v/>
      </c>
      <c r="Q23" s="310" t="s">
        <v>147</v>
      </c>
      <c r="R23" s="310">
        <v>16</v>
      </c>
      <c r="S23" s="310" t="s">
        <v>113</v>
      </c>
      <c r="T23" s="308">
        <v>45452</v>
      </c>
      <c r="U23" s="308">
        <v>45453</v>
      </c>
      <c r="V23" s="308"/>
      <c r="W23" s="315">
        <f t="shared" si="5"/>
        <v>4</v>
      </c>
      <c r="X23" s="310" t="s">
        <v>54</v>
      </c>
      <c r="Y23" s="310" t="s">
        <v>56</v>
      </c>
      <c r="Z23" s="316"/>
      <c r="AA23" s="316"/>
      <c r="AB23" s="316"/>
    </row>
    <row r="24" spans="1:28" x14ac:dyDescent="0.25">
      <c r="A24" s="307">
        <f t="shared" si="1"/>
        <v>18</v>
      </c>
      <c r="B24" s="308">
        <v>45450</v>
      </c>
      <c r="C24" s="309">
        <f t="shared" si="2"/>
        <v>45444</v>
      </c>
      <c r="D24" s="310" t="s">
        <v>51</v>
      </c>
      <c r="E24" s="310" t="s">
        <v>19</v>
      </c>
      <c r="F24" s="311">
        <v>9149905009</v>
      </c>
      <c r="G24" s="316" t="s">
        <v>6</v>
      </c>
      <c r="H24" s="316" t="s">
        <v>136</v>
      </c>
      <c r="I24" s="316" t="s">
        <v>137</v>
      </c>
      <c r="J24" s="310" t="s">
        <v>623</v>
      </c>
      <c r="K24" s="312">
        <v>27640</v>
      </c>
      <c r="L24" s="312">
        <v>45040</v>
      </c>
      <c r="M24" s="313">
        <f t="shared" si="3"/>
        <v>17400</v>
      </c>
      <c r="N24" s="314">
        <f t="shared" si="4"/>
        <v>0.386323268206039</v>
      </c>
      <c r="O24" s="312">
        <v>27640</v>
      </c>
      <c r="P24" s="313">
        <f t="shared" si="0"/>
        <v>0</v>
      </c>
      <c r="Q24" s="310" t="s">
        <v>147</v>
      </c>
      <c r="R24" s="310">
        <v>17</v>
      </c>
      <c r="S24" s="310" t="s">
        <v>113</v>
      </c>
      <c r="T24" s="308">
        <v>45454</v>
      </c>
      <c r="U24" s="308">
        <v>45454</v>
      </c>
      <c r="V24" s="308"/>
      <c r="W24" s="315">
        <f t="shared" si="5"/>
        <v>4</v>
      </c>
      <c r="X24" s="310" t="s">
        <v>54</v>
      </c>
      <c r="Y24" s="310" t="s">
        <v>529</v>
      </c>
      <c r="Z24" s="316"/>
      <c r="AA24" s="316"/>
      <c r="AB24" s="316"/>
    </row>
    <row r="25" spans="1:28" x14ac:dyDescent="0.25">
      <c r="A25" s="307">
        <f t="shared" si="1"/>
        <v>19</v>
      </c>
      <c r="B25" s="308">
        <v>45450</v>
      </c>
      <c r="C25" s="309">
        <f t="shared" si="2"/>
        <v>45444</v>
      </c>
      <c r="D25" s="310" t="s">
        <v>56</v>
      </c>
      <c r="E25" s="310" t="s">
        <v>38</v>
      </c>
      <c r="F25" s="311">
        <v>9025368773</v>
      </c>
      <c r="G25" s="316" t="s">
        <v>105</v>
      </c>
      <c r="H25" s="316" t="s">
        <v>26</v>
      </c>
      <c r="I25" s="316" t="s">
        <v>145</v>
      </c>
      <c r="J25" s="310" t="s">
        <v>59</v>
      </c>
      <c r="K25" s="312">
        <v>48290</v>
      </c>
      <c r="L25" s="312">
        <v>67410</v>
      </c>
      <c r="M25" s="313">
        <f t="shared" si="3"/>
        <v>19120</v>
      </c>
      <c r="N25" s="314">
        <f t="shared" si="4"/>
        <v>0.283637442515947</v>
      </c>
      <c r="O25" s="312"/>
      <c r="P25" s="313" t="str">
        <f t="shared" si="0"/>
        <v/>
      </c>
      <c r="Q25" s="310" t="s">
        <v>147</v>
      </c>
      <c r="R25" s="310">
        <v>18</v>
      </c>
      <c r="S25" s="310" t="s">
        <v>113</v>
      </c>
      <c r="T25" s="308">
        <v>45452</v>
      </c>
      <c r="U25" s="308">
        <v>45453</v>
      </c>
      <c r="V25" s="308"/>
      <c r="W25" s="315">
        <f t="shared" si="5"/>
        <v>3</v>
      </c>
      <c r="X25" s="310" t="s">
        <v>54</v>
      </c>
      <c r="Y25" s="310" t="s">
        <v>56</v>
      </c>
      <c r="Z25" s="316"/>
      <c r="AA25" s="316"/>
      <c r="AB25" s="316"/>
    </row>
    <row r="26" spans="1:28" x14ac:dyDescent="0.25">
      <c r="A26" s="307">
        <f t="shared" si="1"/>
        <v>20</v>
      </c>
      <c r="B26" s="308">
        <v>45455</v>
      </c>
      <c r="C26" s="309">
        <f t="shared" si="2"/>
        <v>45444</v>
      </c>
      <c r="D26" s="310" t="s">
        <v>56</v>
      </c>
      <c r="E26" s="310" t="s">
        <v>38</v>
      </c>
      <c r="F26" s="311">
        <v>9025368773</v>
      </c>
      <c r="G26" s="316" t="s">
        <v>6</v>
      </c>
      <c r="H26" s="316" t="s">
        <v>138</v>
      </c>
      <c r="I26" s="316" t="s">
        <v>140</v>
      </c>
      <c r="J26" s="310" t="s">
        <v>59</v>
      </c>
      <c r="K26" s="312">
        <v>44930</v>
      </c>
      <c r="L26" s="312">
        <v>45040</v>
      </c>
      <c r="M26" s="313">
        <f t="shared" si="3"/>
        <v>110</v>
      </c>
      <c r="N26" s="314">
        <f t="shared" si="4"/>
        <v>0.00244227353463588</v>
      </c>
      <c r="O26" s="312"/>
      <c r="P26" s="313" t="str">
        <f t="shared" si="0"/>
        <v/>
      </c>
      <c r="Q26" s="310" t="s">
        <v>147</v>
      </c>
      <c r="R26" s="310">
        <v>19</v>
      </c>
      <c r="S26" s="310" t="s">
        <v>113</v>
      </c>
      <c r="T26" s="308">
        <v>45458</v>
      </c>
      <c r="U26" s="308">
        <v>45458</v>
      </c>
      <c r="V26" s="308"/>
      <c r="W26" s="315">
        <f t="shared" si="5"/>
        <v>3</v>
      </c>
      <c r="X26" s="310" t="s">
        <v>54</v>
      </c>
      <c r="Y26" s="310" t="s">
        <v>56</v>
      </c>
      <c r="Z26" s="316"/>
      <c r="AA26" s="316"/>
      <c r="AB26" s="316"/>
    </row>
    <row r="27" spans="1:28" x14ac:dyDescent="0.25">
      <c r="A27" s="307">
        <f t="shared" si="1"/>
        <v>21</v>
      </c>
      <c r="B27" s="308">
        <v>45456</v>
      </c>
      <c r="C27" s="309">
        <f t="shared" si="2"/>
        <v>45444</v>
      </c>
      <c r="D27" s="310" t="s">
        <v>56</v>
      </c>
      <c r="E27" s="310" t="s">
        <v>60</v>
      </c>
      <c r="F27" s="311">
        <v>9589264337</v>
      </c>
      <c r="G27" s="316" t="s">
        <v>6</v>
      </c>
      <c r="H27" s="316" t="s">
        <v>141</v>
      </c>
      <c r="I27" s="316" t="s">
        <v>142</v>
      </c>
      <c r="J27" s="310" t="s">
        <v>3730</v>
      </c>
      <c r="K27" s="312">
        <v>45170</v>
      </c>
      <c r="L27" s="312">
        <v>46620</v>
      </c>
      <c r="M27" s="313">
        <f t="shared" si="3"/>
        <v>1450</v>
      </c>
      <c r="N27" s="314">
        <f t="shared" si="4"/>
        <v>0.0311025311025311</v>
      </c>
      <c r="O27" s="312"/>
      <c r="P27" s="313" t="str">
        <f t="shared" si="0"/>
        <v/>
      </c>
      <c r="Q27" s="310" t="s">
        <v>147</v>
      </c>
      <c r="R27" s="310">
        <v>20</v>
      </c>
      <c r="S27" s="310" t="s">
        <v>113</v>
      </c>
      <c r="T27" s="308">
        <v>45459</v>
      </c>
      <c r="U27" s="308">
        <v>45462</v>
      </c>
      <c r="V27" s="308"/>
      <c r="W27" s="315">
        <f t="shared" si="5"/>
        <v>6</v>
      </c>
      <c r="X27" s="310" t="s">
        <v>54</v>
      </c>
      <c r="Y27" s="310" t="s">
        <v>56</v>
      </c>
      <c r="Z27" s="316" t="s">
        <v>3736</v>
      </c>
      <c r="AA27" s="316"/>
      <c r="AB27" s="316"/>
    </row>
    <row r="28" spans="1:28" x14ac:dyDescent="0.25">
      <c r="A28" s="307">
        <f t="shared" si="1"/>
        <v>22</v>
      </c>
      <c r="B28" s="308">
        <v>45457</v>
      </c>
      <c r="C28" s="309">
        <f t="shared" si="2"/>
        <v>45444</v>
      </c>
      <c r="D28" s="310" t="s">
        <v>51</v>
      </c>
      <c r="E28" s="310" t="s">
        <v>106</v>
      </c>
      <c r="F28" s="311">
        <v>9372267009</v>
      </c>
      <c r="G28" s="316" t="s">
        <v>105</v>
      </c>
      <c r="H28" s="316" t="s">
        <v>26</v>
      </c>
      <c r="I28" s="316" t="s">
        <v>146</v>
      </c>
      <c r="J28" s="310" t="s">
        <v>107</v>
      </c>
      <c r="K28" s="312">
        <v>75570</v>
      </c>
      <c r="L28" s="312">
        <v>93240</v>
      </c>
      <c r="M28" s="313">
        <f t="shared" si="3"/>
        <v>17670</v>
      </c>
      <c r="N28" s="314">
        <f t="shared" si="4"/>
        <v>0.18951093951094</v>
      </c>
      <c r="O28" s="312">
        <v>75570</v>
      </c>
      <c r="P28" s="313">
        <f t="shared" si="0"/>
        <v>0</v>
      </c>
      <c r="Q28" s="310" t="s">
        <v>147</v>
      </c>
      <c r="R28" s="310">
        <v>21</v>
      </c>
      <c r="S28" s="310" t="s">
        <v>113</v>
      </c>
      <c r="T28" s="308">
        <v>45462</v>
      </c>
      <c r="U28" s="308">
        <v>45462</v>
      </c>
      <c r="V28" s="308"/>
      <c r="W28" s="315">
        <f t="shared" si="5"/>
        <v>5</v>
      </c>
      <c r="X28" s="310" t="s">
        <v>54</v>
      </c>
      <c r="Y28" s="310" t="s">
        <v>3737</v>
      </c>
      <c r="Z28" s="316"/>
      <c r="AA28" s="316" t="s">
        <v>150</v>
      </c>
      <c r="AB28" s="316" t="s">
        <v>150</v>
      </c>
    </row>
    <row r="29" spans="1:28" x14ac:dyDescent="0.25">
      <c r="A29" s="307">
        <f t="shared" si="1"/>
        <v>23</v>
      </c>
      <c r="B29" s="308">
        <v>45458</v>
      </c>
      <c r="C29" s="309">
        <f t="shared" si="2"/>
        <v>45444</v>
      </c>
      <c r="D29" s="310" t="s">
        <v>51</v>
      </c>
      <c r="E29" s="310" t="s">
        <v>18</v>
      </c>
      <c r="F29" s="311">
        <v>9295512602</v>
      </c>
      <c r="G29" s="316" t="s">
        <v>6</v>
      </c>
      <c r="H29" s="316" t="s">
        <v>26</v>
      </c>
      <c r="I29" s="316" t="s">
        <v>143</v>
      </c>
      <c r="J29" s="310" t="s">
        <v>59</v>
      </c>
      <c r="K29" s="312">
        <v>27770</v>
      </c>
      <c r="L29" s="312">
        <v>38740</v>
      </c>
      <c r="M29" s="313">
        <f t="shared" si="3"/>
        <v>10970</v>
      </c>
      <c r="N29" s="314">
        <f t="shared" si="4"/>
        <v>0.283169850283944</v>
      </c>
      <c r="O29" s="312">
        <v>27770</v>
      </c>
      <c r="P29" s="313">
        <f t="shared" si="0"/>
        <v>0</v>
      </c>
      <c r="Q29" s="310" t="s">
        <v>147</v>
      </c>
      <c r="R29" s="310">
        <v>22</v>
      </c>
      <c r="S29" s="310" t="s">
        <v>113</v>
      </c>
      <c r="T29" s="308">
        <v>45462</v>
      </c>
      <c r="U29" s="308">
        <v>45462</v>
      </c>
      <c r="V29" s="308"/>
      <c r="W29" s="315">
        <f t="shared" si="5"/>
        <v>4</v>
      </c>
      <c r="X29" s="310" t="s">
        <v>54</v>
      </c>
      <c r="Y29" s="310" t="s">
        <v>529</v>
      </c>
      <c r="Z29" s="316"/>
      <c r="AA29" s="316" t="s">
        <v>150</v>
      </c>
      <c r="AB29" s="316" t="s">
        <v>150</v>
      </c>
    </row>
    <row r="30" spans="1:28" x14ac:dyDescent="0.25">
      <c r="A30" s="307">
        <f t="shared" si="1"/>
        <v>24</v>
      </c>
      <c r="B30" s="308">
        <v>45459</v>
      </c>
      <c r="C30" s="309">
        <f t="shared" si="2"/>
        <v>45444</v>
      </c>
      <c r="D30" s="310" t="s">
        <v>56</v>
      </c>
      <c r="E30" s="310" t="s">
        <v>38</v>
      </c>
      <c r="F30" s="311">
        <v>9025368773</v>
      </c>
      <c r="G30" s="316" t="s">
        <v>105</v>
      </c>
      <c r="H30" s="316" t="s">
        <v>26</v>
      </c>
      <c r="I30" s="316" t="s">
        <v>144</v>
      </c>
      <c r="J30" s="310" t="s">
        <v>59</v>
      </c>
      <c r="K30" s="312">
        <v>48290</v>
      </c>
      <c r="L30" s="312">
        <v>67410</v>
      </c>
      <c r="M30" s="313">
        <f t="shared" si="3"/>
        <v>19120</v>
      </c>
      <c r="N30" s="314">
        <f t="shared" si="4"/>
        <v>0.283637442515947</v>
      </c>
      <c r="O30" s="312"/>
      <c r="P30" s="313" t="str">
        <f t="shared" si="0"/>
        <v/>
      </c>
      <c r="Q30" s="310" t="s">
        <v>147</v>
      </c>
      <c r="R30" s="310">
        <v>23</v>
      </c>
      <c r="S30" s="310" t="s">
        <v>113</v>
      </c>
      <c r="T30" s="308">
        <v>45461</v>
      </c>
      <c r="U30" s="308">
        <v>45461</v>
      </c>
      <c r="V30" s="308"/>
      <c r="W30" s="315">
        <f t="shared" si="5"/>
        <v>2</v>
      </c>
      <c r="X30" s="310" t="s">
        <v>54</v>
      </c>
      <c r="Y30" s="310" t="s">
        <v>56</v>
      </c>
      <c r="Z30" s="316" t="s">
        <v>3738</v>
      </c>
      <c r="AA30" s="316" t="s">
        <v>152</v>
      </c>
      <c r="AB30" s="316" t="s">
        <v>152</v>
      </c>
    </row>
    <row r="31" spans="1:28" x14ac:dyDescent="0.25">
      <c r="A31" s="307">
        <f t="shared" si="1"/>
        <v>25</v>
      </c>
      <c r="B31" s="308">
        <v>45460</v>
      </c>
      <c r="C31" s="309">
        <f t="shared" si="2"/>
        <v>45444</v>
      </c>
      <c r="D31" s="310" t="s">
        <v>51</v>
      </c>
      <c r="E31" s="310" t="s">
        <v>148</v>
      </c>
      <c r="F31" s="311">
        <v>9684865656</v>
      </c>
      <c r="G31" s="316" t="s">
        <v>6</v>
      </c>
      <c r="H31" s="316" t="s">
        <v>190</v>
      </c>
      <c r="I31" s="316" t="s">
        <v>143</v>
      </c>
      <c r="J31" s="310" t="s">
        <v>168</v>
      </c>
      <c r="K31" s="312">
        <v>26100</v>
      </c>
      <c r="L31" s="312">
        <v>41900</v>
      </c>
      <c r="M31" s="313">
        <f t="shared" si="3"/>
        <v>15800</v>
      </c>
      <c r="N31" s="314">
        <f t="shared" si="4"/>
        <v>0.37708830548926</v>
      </c>
      <c r="O31" s="312">
        <v>26100</v>
      </c>
      <c r="P31" s="313">
        <f t="shared" si="0"/>
        <v>0</v>
      </c>
      <c r="Q31" s="310" t="s">
        <v>147</v>
      </c>
      <c r="R31" s="310">
        <v>25</v>
      </c>
      <c r="S31" s="310" t="s">
        <v>113</v>
      </c>
      <c r="T31" s="308">
        <v>45464</v>
      </c>
      <c r="U31" s="308">
        <v>45465</v>
      </c>
      <c r="V31" s="308"/>
      <c r="W31" s="315">
        <f t="shared" si="5"/>
        <v>5</v>
      </c>
      <c r="X31" s="310" t="s">
        <v>54</v>
      </c>
      <c r="Y31" s="310" t="s">
        <v>529</v>
      </c>
      <c r="Z31" s="316"/>
      <c r="AA31" s="316" t="s">
        <v>155</v>
      </c>
      <c r="AB31" s="316" t="s">
        <v>156</v>
      </c>
    </row>
    <row r="32" spans="1:28" x14ac:dyDescent="0.25">
      <c r="A32" s="307">
        <f t="shared" si="1"/>
        <v>26</v>
      </c>
      <c r="B32" s="308">
        <v>45462</v>
      </c>
      <c r="C32" s="309">
        <f t="shared" si="2"/>
        <v>45444</v>
      </c>
      <c r="D32" s="310" t="s">
        <v>56</v>
      </c>
      <c r="E32" s="310" t="s">
        <v>38</v>
      </c>
      <c r="F32" s="311">
        <v>9025368773</v>
      </c>
      <c r="G32" s="316" t="s">
        <v>6</v>
      </c>
      <c r="H32" s="316" t="s">
        <v>26</v>
      </c>
      <c r="I32" s="316" t="s">
        <v>176</v>
      </c>
      <c r="J32" s="310" t="s">
        <v>59</v>
      </c>
      <c r="K32" s="312">
        <v>46520</v>
      </c>
      <c r="L32" s="312">
        <v>55600</v>
      </c>
      <c r="M32" s="313">
        <f t="shared" si="3"/>
        <v>9080</v>
      </c>
      <c r="N32" s="314">
        <f t="shared" si="4"/>
        <v>0.163309352517986</v>
      </c>
      <c r="O32" s="312"/>
      <c r="P32" s="313" t="str">
        <f t="shared" si="0"/>
        <v/>
      </c>
      <c r="Q32" s="310" t="s">
        <v>147</v>
      </c>
      <c r="R32" s="310">
        <v>24</v>
      </c>
      <c r="S32" s="310" t="s">
        <v>113</v>
      </c>
      <c r="T32" s="308">
        <v>45465</v>
      </c>
      <c r="U32" s="308">
        <v>45465</v>
      </c>
      <c r="V32" s="308"/>
      <c r="W32" s="315">
        <f t="shared" si="5"/>
        <v>3</v>
      </c>
      <c r="X32" s="310" t="s">
        <v>54</v>
      </c>
      <c r="Y32" s="310" t="s">
        <v>56</v>
      </c>
      <c r="Z32" s="316"/>
      <c r="AA32" s="316" t="s">
        <v>156</v>
      </c>
      <c r="AB32" s="316" t="s">
        <v>156</v>
      </c>
    </row>
    <row r="33" spans="1:28" x14ac:dyDescent="0.25">
      <c r="A33" s="307">
        <f t="shared" si="1"/>
        <v>27</v>
      </c>
      <c r="B33" s="308">
        <v>45463</v>
      </c>
      <c r="C33" s="309">
        <f t="shared" si="2"/>
        <v>45444</v>
      </c>
      <c r="D33" s="310" t="s">
        <v>56</v>
      </c>
      <c r="E33" s="310" t="s">
        <v>60</v>
      </c>
      <c r="F33" s="311">
        <v>9589264337</v>
      </c>
      <c r="G33" s="316" t="s">
        <v>186</v>
      </c>
      <c r="H33" s="316" t="s">
        <v>187</v>
      </c>
      <c r="I33" s="316" t="s">
        <v>6</v>
      </c>
      <c r="J33" s="310" t="s">
        <v>3730</v>
      </c>
      <c r="K33" s="312">
        <v>52820</v>
      </c>
      <c r="L33" s="312">
        <v>97650</v>
      </c>
      <c r="M33" s="313">
        <f t="shared" si="3"/>
        <v>44830</v>
      </c>
      <c r="N33" s="314">
        <f t="shared" si="4"/>
        <v>0.459088581669227</v>
      </c>
      <c r="O33" s="312"/>
      <c r="P33" s="313" t="str">
        <f t="shared" si="0"/>
        <v/>
      </c>
      <c r="Q33" s="310" t="s">
        <v>147</v>
      </c>
      <c r="R33" s="310">
        <v>26</v>
      </c>
      <c r="S33" s="310" t="s">
        <v>113</v>
      </c>
      <c r="T33" s="308">
        <v>45466</v>
      </c>
      <c r="U33" s="308">
        <v>45466</v>
      </c>
      <c r="V33" s="308"/>
      <c r="W33" s="315">
        <f t="shared" si="5"/>
        <v>3</v>
      </c>
      <c r="X33" s="310" t="s">
        <v>54</v>
      </c>
      <c r="Y33" s="310" t="s">
        <v>56</v>
      </c>
      <c r="Z33" s="316" t="s">
        <v>154</v>
      </c>
      <c r="AA33" s="316" t="s">
        <v>157</v>
      </c>
      <c r="AB33" s="316" t="s">
        <v>157</v>
      </c>
    </row>
    <row r="34" spans="1:28" x14ac:dyDescent="0.25">
      <c r="A34" s="307">
        <f t="shared" si="1"/>
        <v>28</v>
      </c>
      <c r="B34" s="308">
        <v>45464</v>
      </c>
      <c r="C34" s="309">
        <f t="shared" si="2"/>
        <v>45444</v>
      </c>
      <c r="D34" s="310" t="s">
        <v>51</v>
      </c>
      <c r="E34" s="310" t="s">
        <v>153</v>
      </c>
      <c r="F34" s="311">
        <v>9754088991</v>
      </c>
      <c r="G34" s="316" t="s">
        <v>6</v>
      </c>
      <c r="H34" s="316" t="s">
        <v>178</v>
      </c>
      <c r="I34" s="316" t="s">
        <v>177</v>
      </c>
      <c r="J34" s="310" t="s">
        <v>3730</v>
      </c>
      <c r="K34" s="312">
        <v>33110</v>
      </c>
      <c r="L34" s="312">
        <v>52920</v>
      </c>
      <c r="M34" s="313">
        <f t="shared" si="3"/>
        <v>19810</v>
      </c>
      <c r="N34" s="314">
        <f t="shared" si="4"/>
        <v>0.374338624338624</v>
      </c>
      <c r="O34" s="312">
        <v>33110</v>
      </c>
      <c r="P34" s="313">
        <f t="shared" si="0"/>
        <v>0</v>
      </c>
      <c r="Q34" s="310" t="s">
        <v>147</v>
      </c>
      <c r="R34" s="310">
        <v>27</v>
      </c>
      <c r="S34" s="310" t="s">
        <v>113</v>
      </c>
      <c r="T34" s="308">
        <v>45468</v>
      </c>
      <c r="U34" s="308">
        <v>45469</v>
      </c>
      <c r="V34" s="308"/>
      <c r="W34" s="315">
        <f t="shared" si="5"/>
        <v>5</v>
      </c>
      <c r="X34" s="310" t="s">
        <v>54</v>
      </c>
      <c r="Y34" s="310" t="s">
        <v>529</v>
      </c>
      <c r="Z34" s="316" t="s">
        <v>3739</v>
      </c>
      <c r="AA34" s="316" t="s">
        <v>159</v>
      </c>
      <c r="AB34" s="316" t="s">
        <v>160</v>
      </c>
    </row>
    <row r="35" spans="1:28" x14ac:dyDescent="0.25">
      <c r="A35" s="307">
        <f t="shared" si="1"/>
        <v>29</v>
      </c>
      <c r="B35" s="308">
        <v>45467</v>
      </c>
      <c r="C35" s="309">
        <f t="shared" si="2"/>
        <v>45444</v>
      </c>
      <c r="D35" s="310" t="s">
        <v>56</v>
      </c>
      <c r="E35" s="310" t="s">
        <v>60</v>
      </c>
      <c r="F35" s="311">
        <v>9589264337</v>
      </c>
      <c r="G35" s="316" t="s">
        <v>6</v>
      </c>
      <c r="H35" s="316" t="s">
        <v>180</v>
      </c>
      <c r="I35" s="316" t="s">
        <v>179</v>
      </c>
      <c r="J35" s="310" t="s">
        <v>3735</v>
      </c>
      <c r="K35" s="312">
        <v>45170</v>
      </c>
      <c r="L35" s="312">
        <v>46620</v>
      </c>
      <c r="M35" s="313">
        <f t="shared" si="3"/>
        <v>1450</v>
      </c>
      <c r="N35" s="314">
        <f t="shared" si="4"/>
        <v>0.0311025311025311</v>
      </c>
      <c r="O35" s="312"/>
      <c r="P35" s="313" t="str">
        <f t="shared" si="0"/>
        <v/>
      </c>
      <c r="Q35" s="310" t="s">
        <v>147</v>
      </c>
      <c r="R35" s="310">
        <v>28</v>
      </c>
      <c r="S35" s="310" t="s">
        <v>113</v>
      </c>
      <c r="T35" s="308">
        <v>45470</v>
      </c>
      <c r="U35" s="308">
        <v>45470</v>
      </c>
      <c r="V35" s="308"/>
      <c r="W35" s="315">
        <f t="shared" si="5"/>
        <v>3</v>
      </c>
      <c r="X35" s="310" t="s">
        <v>54</v>
      </c>
      <c r="Y35" s="310" t="s">
        <v>56</v>
      </c>
      <c r="Z35" s="316"/>
      <c r="AA35" s="316" t="s">
        <v>163</v>
      </c>
      <c r="AB35" s="316" t="s">
        <v>163</v>
      </c>
    </row>
    <row r="36" spans="1:28" x14ac:dyDescent="0.25">
      <c r="A36" s="307">
        <f t="shared" si="1"/>
        <v>30</v>
      </c>
      <c r="B36" s="308">
        <v>45468</v>
      </c>
      <c r="C36" s="309">
        <f t="shared" si="2"/>
        <v>45444</v>
      </c>
      <c r="D36" s="310" t="s">
        <v>56</v>
      </c>
      <c r="E36" s="310" t="s">
        <v>38</v>
      </c>
      <c r="F36" s="311">
        <v>9025368773</v>
      </c>
      <c r="G36" s="316" t="s">
        <v>158</v>
      </c>
      <c r="H36" s="316" t="s">
        <v>26</v>
      </c>
      <c r="I36" s="316" t="s">
        <v>181</v>
      </c>
      <c r="J36" s="310" t="s">
        <v>59</v>
      </c>
      <c r="K36" s="312">
        <v>48290</v>
      </c>
      <c r="L36" s="312">
        <v>67410</v>
      </c>
      <c r="M36" s="313">
        <f t="shared" si="3"/>
        <v>19120</v>
      </c>
      <c r="N36" s="314">
        <f t="shared" si="4"/>
        <v>0.283637442515947</v>
      </c>
      <c r="O36" s="312"/>
      <c r="P36" s="313" t="str">
        <f t="shared" si="0"/>
        <v/>
      </c>
      <c r="Q36" s="310" t="s">
        <v>147</v>
      </c>
      <c r="R36" s="310">
        <v>29</v>
      </c>
      <c r="S36" s="310" t="s">
        <v>113</v>
      </c>
      <c r="T36" s="308">
        <v>45471</v>
      </c>
      <c r="U36" s="308">
        <v>45471</v>
      </c>
      <c r="V36" s="308"/>
      <c r="W36" s="315">
        <f t="shared" si="5"/>
        <v>3</v>
      </c>
      <c r="X36" s="310" t="s">
        <v>54</v>
      </c>
      <c r="Y36" s="310" t="s">
        <v>56</v>
      </c>
      <c r="Z36" s="316"/>
      <c r="AA36" s="316" t="s">
        <v>169</v>
      </c>
      <c r="AB36" s="316" t="s">
        <v>169</v>
      </c>
    </row>
    <row r="37" spans="1:28" x14ac:dyDescent="0.25">
      <c r="A37" s="307">
        <f t="shared" si="1"/>
        <v>31</v>
      </c>
      <c r="B37" s="308">
        <v>45469</v>
      </c>
      <c r="C37" s="309">
        <f t="shared" si="2"/>
        <v>45444</v>
      </c>
      <c r="D37" s="310" t="s">
        <v>51</v>
      </c>
      <c r="E37" s="310" t="s">
        <v>11</v>
      </c>
      <c r="F37" s="311">
        <v>9941053951</v>
      </c>
      <c r="G37" s="316" t="s">
        <v>6</v>
      </c>
      <c r="H37" s="316" t="s">
        <v>26</v>
      </c>
      <c r="I37" s="316" t="s">
        <v>182</v>
      </c>
      <c r="J37" s="310" t="s">
        <v>3730</v>
      </c>
      <c r="K37" s="312">
        <v>33890</v>
      </c>
      <c r="L37" s="312">
        <v>40320</v>
      </c>
      <c r="M37" s="313">
        <f t="shared" si="3"/>
        <v>6430</v>
      </c>
      <c r="N37" s="314">
        <f t="shared" si="4"/>
        <v>0.159474206349206</v>
      </c>
      <c r="O37" s="312">
        <v>33890</v>
      </c>
      <c r="P37" s="313">
        <f t="shared" si="0"/>
        <v>0</v>
      </c>
      <c r="Q37" s="310" t="s">
        <v>147</v>
      </c>
      <c r="R37" s="310">
        <v>30</v>
      </c>
      <c r="S37" s="310" t="s">
        <v>113</v>
      </c>
      <c r="T37" s="308">
        <v>45473</v>
      </c>
      <c r="U37" s="308">
        <v>45474</v>
      </c>
      <c r="V37" s="308"/>
      <c r="W37" s="315">
        <f t="shared" si="5"/>
        <v>5</v>
      </c>
      <c r="X37" s="310" t="s">
        <v>54</v>
      </c>
      <c r="Y37" s="310" t="s">
        <v>529</v>
      </c>
      <c r="Z37" s="316"/>
      <c r="AA37" s="316" t="s">
        <v>165</v>
      </c>
      <c r="AB37" s="317">
        <v>45298</v>
      </c>
    </row>
    <row r="38" spans="1:28" x14ac:dyDescent="0.25">
      <c r="A38" s="307">
        <f t="shared" si="1"/>
        <v>32</v>
      </c>
      <c r="B38" s="308">
        <v>45470</v>
      </c>
      <c r="C38" s="309">
        <f t="shared" si="2"/>
        <v>45444</v>
      </c>
      <c r="D38" s="310" t="s">
        <v>51</v>
      </c>
      <c r="E38" s="310" t="s">
        <v>162</v>
      </c>
      <c r="F38" s="311">
        <v>9834816284</v>
      </c>
      <c r="G38" s="316" t="s">
        <v>6</v>
      </c>
      <c r="H38" s="316" t="s">
        <v>26</v>
      </c>
      <c r="I38" s="316" t="s">
        <v>183</v>
      </c>
      <c r="J38" s="310" t="s">
        <v>3730</v>
      </c>
      <c r="K38" s="312">
        <v>34840</v>
      </c>
      <c r="L38" s="312">
        <v>46620</v>
      </c>
      <c r="M38" s="313">
        <f t="shared" si="3"/>
        <v>11780</v>
      </c>
      <c r="N38" s="314">
        <f t="shared" si="4"/>
        <v>0.252681252681253</v>
      </c>
      <c r="O38" s="312">
        <v>34840</v>
      </c>
      <c r="P38" s="313">
        <f t="shared" si="0"/>
        <v>0</v>
      </c>
      <c r="Q38" s="310" t="s">
        <v>147</v>
      </c>
      <c r="R38" s="310">
        <v>31</v>
      </c>
      <c r="S38" s="310" t="s">
        <v>113</v>
      </c>
      <c r="T38" s="308">
        <v>45476</v>
      </c>
      <c r="U38" s="308">
        <v>45476</v>
      </c>
      <c r="V38" s="308"/>
      <c r="W38" s="315">
        <f t="shared" si="5"/>
        <v>6</v>
      </c>
      <c r="X38" s="310" t="s">
        <v>54</v>
      </c>
      <c r="Y38" s="310" t="s">
        <v>529</v>
      </c>
      <c r="Z38" s="316" t="s">
        <v>164</v>
      </c>
      <c r="AA38" s="317">
        <v>45358</v>
      </c>
      <c r="AB38" s="317">
        <v>45358</v>
      </c>
    </row>
    <row r="39" spans="1:28" x14ac:dyDescent="0.25">
      <c r="A39" s="307">
        <f t="shared" si="1"/>
        <v>33</v>
      </c>
      <c r="B39" s="308">
        <v>45474</v>
      </c>
      <c r="C39" s="309">
        <f t="shared" si="2"/>
        <v>45474</v>
      </c>
      <c r="D39" s="310" t="s">
        <v>51</v>
      </c>
      <c r="E39" s="310" t="s">
        <v>166</v>
      </c>
      <c r="F39" s="311">
        <v>9660512245</v>
      </c>
      <c r="G39" s="316" t="s">
        <v>167</v>
      </c>
      <c r="H39" s="316" t="s">
        <v>26</v>
      </c>
      <c r="I39" s="316" t="s">
        <v>240</v>
      </c>
      <c r="J39" s="310" t="s">
        <v>168</v>
      </c>
      <c r="K39" s="312">
        <v>44920</v>
      </c>
      <c r="L39" s="312">
        <v>56700</v>
      </c>
      <c r="M39" s="313">
        <f t="shared" si="3"/>
        <v>11780</v>
      </c>
      <c r="N39" s="314">
        <f t="shared" si="4"/>
        <v>0.207760141093474</v>
      </c>
      <c r="O39" s="312">
        <v>41620</v>
      </c>
      <c r="P39" s="313">
        <f t="shared" si="0"/>
        <v>3300</v>
      </c>
      <c r="Q39" s="310" t="s">
        <v>147</v>
      </c>
      <c r="R39" s="310">
        <v>37</v>
      </c>
      <c r="S39" s="310" t="s">
        <v>267</v>
      </c>
      <c r="T39" s="308">
        <v>45478</v>
      </c>
      <c r="U39" s="308">
        <v>45478</v>
      </c>
      <c r="V39" s="308"/>
      <c r="W39" s="315">
        <f t="shared" si="5"/>
        <v>4</v>
      </c>
      <c r="X39" s="310" t="s">
        <v>54</v>
      </c>
      <c r="Y39" s="310" t="s">
        <v>170</v>
      </c>
      <c r="Z39" s="316" t="s">
        <v>3740</v>
      </c>
      <c r="AA39" s="317">
        <v>45419</v>
      </c>
      <c r="AB39" s="317">
        <v>45419</v>
      </c>
    </row>
    <row r="40" spans="1:28" x14ac:dyDescent="0.25">
      <c r="A40" s="307">
        <f t="shared" si="1"/>
        <v>34</v>
      </c>
      <c r="B40" s="308">
        <v>45474</v>
      </c>
      <c r="C40" s="309">
        <f t="shared" si="2"/>
        <v>45474</v>
      </c>
      <c r="D40" s="310" t="s">
        <v>56</v>
      </c>
      <c r="E40" s="310" t="s">
        <v>38</v>
      </c>
      <c r="F40" s="311">
        <v>9025368773</v>
      </c>
      <c r="G40" s="316" t="s">
        <v>6</v>
      </c>
      <c r="H40" s="316" t="s">
        <v>184</v>
      </c>
      <c r="I40" s="316" t="s">
        <v>185</v>
      </c>
      <c r="J40" s="310" t="s">
        <v>59</v>
      </c>
      <c r="K40" s="312">
        <v>45740</v>
      </c>
      <c r="L40" s="312">
        <v>50400</v>
      </c>
      <c r="M40" s="313">
        <f t="shared" si="3"/>
        <v>4660</v>
      </c>
      <c r="N40" s="314">
        <f t="shared" si="4"/>
        <v>0.0924603174603175</v>
      </c>
      <c r="O40" s="312"/>
      <c r="P40" s="313" t="str">
        <f t="shared" si="0"/>
        <v/>
      </c>
      <c r="Q40" s="310" t="s">
        <v>147</v>
      </c>
      <c r="R40" s="310">
        <v>32</v>
      </c>
      <c r="S40" s="310" t="s">
        <v>113</v>
      </c>
      <c r="T40" s="308">
        <v>45477</v>
      </c>
      <c r="U40" s="308">
        <v>45478</v>
      </c>
      <c r="V40" s="308"/>
      <c r="W40" s="315">
        <f t="shared" si="5"/>
        <v>4</v>
      </c>
      <c r="X40" s="310" t="s">
        <v>54</v>
      </c>
      <c r="Y40" s="310" t="s">
        <v>56</v>
      </c>
      <c r="Z40" s="316"/>
      <c r="AA40" s="317">
        <v>45389</v>
      </c>
      <c r="AB40" s="317">
        <v>45419</v>
      </c>
    </row>
    <row r="41" spans="1:28" x14ac:dyDescent="0.25">
      <c r="A41" s="307">
        <f t="shared" si="1"/>
        <v>35</v>
      </c>
      <c r="B41" s="308">
        <v>45474</v>
      </c>
      <c r="C41" s="309">
        <f t="shared" si="2"/>
        <v>45474</v>
      </c>
      <c r="D41" s="310" t="s">
        <v>56</v>
      </c>
      <c r="E41" s="310" t="s">
        <v>60</v>
      </c>
      <c r="F41" s="311">
        <v>9025368773</v>
      </c>
      <c r="G41" s="316" t="s">
        <v>188</v>
      </c>
      <c r="H41" s="316" t="s">
        <v>189</v>
      </c>
      <c r="I41" s="316" t="s">
        <v>6</v>
      </c>
      <c r="J41" s="310" t="s">
        <v>172</v>
      </c>
      <c r="K41" s="312">
        <v>53580</v>
      </c>
      <c r="L41" s="312">
        <v>102690</v>
      </c>
      <c r="M41" s="313">
        <f t="shared" si="3"/>
        <v>49110</v>
      </c>
      <c r="N41" s="314">
        <f t="shared" si="4"/>
        <v>0.478235465965527</v>
      </c>
      <c r="O41" s="312"/>
      <c r="P41" s="313" t="str">
        <f t="shared" si="0"/>
        <v/>
      </c>
      <c r="Q41" s="310" t="s">
        <v>147</v>
      </c>
      <c r="R41" s="310">
        <v>33</v>
      </c>
      <c r="S41" s="310" t="s">
        <v>113</v>
      </c>
      <c r="T41" s="308">
        <v>45477</v>
      </c>
      <c r="U41" s="308">
        <v>45478</v>
      </c>
      <c r="V41" s="308"/>
      <c r="W41" s="315">
        <f t="shared" si="5"/>
        <v>4</v>
      </c>
      <c r="X41" s="310" t="s">
        <v>54</v>
      </c>
      <c r="Y41" s="310" t="s">
        <v>56</v>
      </c>
      <c r="Z41" s="316"/>
      <c r="AA41" s="317">
        <v>45389</v>
      </c>
      <c r="AB41" s="317">
        <v>45419</v>
      </c>
    </row>
    <row r="42" spans="1:28" x14ac:dyDescent="0.25">
      <c r="A42" s="307">
        <f t="shared" si="1"/>
        <v>36</v>
      </c>
      <c r="B42" s="308">
        <v>45475</v>
      </c>
      <c r="C42" s="309">
        <f t="shared" si="2"/>
        <v>45474</v>
      </c>
      <c r="D42" s="310" t="s">
        <v>51</v>
      </c>
      <c r="E42" s="310" t="s">
        <v>174</v>
      </c>
      <c r="F42" s="311">
        <v>9578386887</v>
      </c>
      <c r="G42" s="316" t="s">
        <v>6</v>
      </c>
      <c r="H42" s="316" t="s">
        <v>204</v>
      </c>
      <c r="I42" s="316" t="s">
        <v>205</v>
      </c>
      <c r="J42" s="310" t="s">
        <v>59</v>
      </c>
      <c r="K42" s="312">
        <v>29180</v>
      </c>
      <c r="L42" s="312">
        <v>48200</v>
      </c>
      <c r="M42" s="313">
        <f t="shared" si="3"/>
        <v>19020</v>
      </c>
      <c r="N42" s="314">
        <f t="shared" si="4"/>
        <v>0.394605809128631</v>
      </c>
      <c r="O42" s="312">
        <v>29180</v>
      </c>
      <c r="P42" s="313">
        <f t="shared" si="0"/>
        <v>0</v>
      </c>
      <c r="Q42" s="310" t="s">
        <v>147</v>
      </c>
      <c r="R42" s="310">
        <v>34</v>
      </c>
      <c r="S42" s="310" t="s">
        <v>113</v>
      </c>
      <c r="T42" s="308">
        <v>45478</v>
      </c>
      <c r="U42" s="308">
        <v>45479</v>
      </c>
      <c r="V42" s="308"/>
      <c r="W42" s="315">
        <f t="shared" si="5"/>
        <v>4</v>
      </c>
      <c r="X42" s="310" t="s">
        <v>54</v>
      </c>
      <c r="Y42" s="310" t="s">
        <v>529</v>
      </c>
      <c r="Z42" s="316" t="s">
        <v>175</v>
      </c>
      <c r="AA42" s="317">
        <v>45419</v>
      </c>
      <c r="AB42" s="317">
        <v>45450</v>
      </c>
    </row>
    <row r="43" spans="1:28" x14ac:dyDescent="0.25">
      <c r="A43" s="307">
        <f t="shared" si="1"/>
        <v>37</v>
      </c>
      <c r="B43" s="308">
        <v>45475</v>
      </c>
      <c r="C43" s="309">
        <f t="shared" si="2"/>
        <v>45474</v>
      </c>
      <c r="D43" s="310" t="s">
        <v>51</v>
      </c>
      <c r="E43" s="310" t="s">
        <v>198</v>
      </c>
      <c r="F43" s="311">
        <v>9678275995</v>
      </c>
      <c r="G43" s="316" t="s">
        <v>6</v>
      </c>
      <c r="H43" s="316" t="s">
        <v>26</v>
      </c>
      <c r="I43" s="316" t="s">
        <v>208</v>
      </c>
      <c r="J43" s="310" t="s">
        <v>168</v>
      </c>
      <c r="K43" s="312">
        <v>25150</v>
      </c>
      <c r="L43" s="312">
        <v>35600</v>
      </c>
      <c r="M43" s="313">
        <f t="shared" si="3"/>
        <v>10450</v>
      </c>
      <c r="N43" s="314">
        <f t="shared" si="4"/>
        <v>0.293539325842697</v>
      </c>
      <c r="O43" s="312">
        <v>25150</v>
      </c>
      <c r="P43" s="313">
        <f t="shared" si="0"/>
        <v>0</v>
      </c>
      <c r="Q43" s="310" t="s">
        <v>147</v>
      </c>
      <c r="R43" s="310">
        <v>35</v>
      </c>
      <c r="S43" s="310" t="s">
        <v>113</v>
      </c>
      <c r="T43" s="308">
        <v>45482</v>
      </c>
      <c r="U43" s="308">
        <v>45482</v>
      </c>
      <c r="V43" s="308"/>
      <c r="W43" s="315">
        <f t="shared" si="5"/>
        <v>7</v>
      </c>
      <c r="X43" s="310" t="s">
        <v>54</v>
      </c>
      <c r="Y43" s="310" t="s">
        <v>529</v>
      </c>
      <c r="Z43" s="316"/>
      <c r="AA43" s="317">
        <v>45542</v>
      </c>
      <c r="AB43" s="317">
        <v>45542</v>
      </c>
    </row>
    <row r="44" spans="1:28" x14ac:dyDescent="0.25">
      <c r="A44" s="307">
        <f t="shared" si="1"/>
        <v>38</v>
      </c>
      <c r="B44" s="308">
        <v>45475</v>
      </c>
      <c r="C44" s="309">
        <f t="shared" si="2"/>
        <v>45474</v>
      </c>
      <c r="D44" s="310" t="s">
        <v>51</v>
      </c>
      <c r="E44" s="310" t="s">
        <v>198</v>
      </c>
      <c r="F44" s="311">
        <v>9678275995</v>
      </c>
      <c r="G44" s="316" t="s">
        <v>6</v>
      </c>
      <c r="H44" s="316" t="s">
        <v>3741</v>
      </c>
      <c r="I44" s="316" t="s">
        <v>207</v>
      </c>
      <c r="J44" s="310" t="s">
        <v>168</v>
      </c>
      <c r="K44" s="312">
        <v>0</v>
      </c>
      <c r="L44" s="312">
        <v>11500</v>
      </c>
      <c r="M44" s="313">
        <f t="shared" si="3"/>
        <v>11500</v>
      </c>
      <c r="N44" s="314">
        <f t="shared" si="4"/>
        <v>1</v>
      </c>
      <c r="O44" s="312"/>
      <c r="P44" s="313" t="str">
        <f t="shared" si="0"/>
        <v/>
      </c>
      <c r="Q44" s="310" t="s">
        <v>147</v>
      </c>
      <c r="R44" s="310">
        <v>36</v>
      </c>
      <c r="S44" s="310" t="s">
        <v>113</v>
      </c>
      <c r="T44" s="308">
        <v>45482</v>
      </c>
      <c r="U44" s="308">
        <v>45482</v>
      </c>
      <c r="V44" s="308"/>
      <c r="W44" s="315">
        <f t="shared" si="5"/>
        <v>7</v>
      </c>
      <c r="X44" s="310" t="s">
        <v>54</v>
      </c>
      <c r="Y44" s="310" t="s">
        <v>529</v>
      </c>
      <c r="Z44" s="316" t="s">
        <v>210</v>
      </c>
      <c r="AA44" s="317">
        <v>45542</v>
      </c>
      <c r="AB44" s="317">
        <v>45542</v>
      </c>
    </row>
    <row r="45" spans="1:28" x14ac:dyDescent="0.25">
      <c r="A45" s="307">
        <f t="shared" si="1"/>
        <v>39</v>
      </c>
      <c r="B45" s="308">
        <v>45476</v>
      </c>
      <c r="C45" s="309">
        <f t="shared" si="2"/>
        <v>45474</v>
      </c>
      <c r="D45" s="310" t="s">
        <v>51</v>
      </c>
      <c r="E45" s="310" t="s">
        <v>212</v>
      </c>
      <c r="F45" s="311">
        <v>9513184912</v>
      </c>
      <c r="G45" s="316" t="s">
        <v>6</v>
      </c>
      <c r="H45" s="316" t="s">
        <v>242</v>
      </c>
      <c r="I45" s="316" t="s">
        <v>243</v>
      </c>
      <c r="J45" s="310" t="s">
        <v>3735</v>
      </c>
      <c r="K45" s="312">
        <v>35310</v>
      </c>
      <c r="L45" s="312">
        <v>49770</v>
      </c>
      <c r="M45" s="313">
        <f t="shared" si="3"/>
        <v>14460</v>
      </c>
      <c r="N45" s="314">
        <f t="shared" si="4"/>
        <v>0.290536467751658</v>
      </c>
      <c r="O45" s="312">
        <v>35310</v>
      </c>
      <c r="P45" s="313">
        <f t="shared" si="0"/>
        <v>0</v>
      </c>
      <c r="Q45" s="310" t="s">
        <v>147</v>
      </c>
      <c r="R45" s="310">
        <v>38</v>
      </c>
      <c r="S45" s="310" t="s">
        <v>113</v>
      </c>
      <c r="T45" s="308">
        <v>45482</v>
      </c>
      <c r="U45" s="308">
        <v>45483</v>
      </c>
      <c r="V45" s="308"/>
      <c r="W45" s="315">
        <f t="shared" si="5"/>
        <v>7</v>
      </c>
      <c r="X45" s="310" t="s">
        <v>54</v>
      </c>
      <c r="Y45" s="310" t="s">
        <v>3742</v>
      </c>
      <c r="Z45" s="316" t="s">
        <v>214</v>
      </c>
      <c r="AA45" s="317">
        <v>45542</v>
      </c>
      <c r="AB45" s="317">
        <v>45572</v>
      </c>
    </row>
    <row r="46" spans="1:28" x14ac:dyDescent="0.25">
      <c r="A46" s="307">
        <f t="shared" si="1"/>
        <v>40</v>
      </c>
      <c r="B46" s="308">
        <v>45477</v>
      </c>
      <c r="C46" s="309">
        <f t="shared" si="2"/>
        <v>45474</v>
      </c>
      <c r="D46" s="310" t="s">
        <v>51</v>
      </c>
      <c r="E46" s="310" t="s">
        <v>215</v>
      </c>
      <c r="F46" s="311">
        <v>9593083336</v>
      </c>
      <c r="G46" s="316" t="s">
        <v>6</v>
      </c>
      <c r="H46" s="316" t="s">
        <v>244</v>
      </c>
      <c r="I46" s="316" t="s">
        <v>245</v>
      </c>
      <c r="J46" s="310" t="s">
        <v>3730</v>
      </c>
      <c r="K46" s="312">
        <v>34810</v>
      </c>
      <c r="L46" s="312">
        <v>53550</v>
      </c>
      <c r="M46" s="313">
        <f t="shared" si="3"/>
        <v>18740</v>
      </c>
      <c r="N46" s="314">
        <f t="shared" si="4"/>
        <v>0.349953314659197</v>
      </c>
      <c r="O46" s="312">
        <v>34810</v>
      </c>
      <c r="P46" s="313">
        <f t="shared" si="0"/>
        <v>0</v>
      </c>
      <c r="Q46" s="310" t="s">
        <v>147</v>
      </c>
      <c r="R46" s="310">
        <v>39</v>
      </c>
      <c r="S46" s="310" t="s">
        <v>113</v>
      </c>
      <c r="T46" s="308">
        <v>45482</v>
      </c>
      <c r="U46" s="308">
        <v>45483</v>
      </c>
      <c r="V46" s="308"/>
      <c r="W46" s="315">
        <f t="shared" si="5"/>
        <v>6</v>
      </c>
      <c r="X46" s="310" t="s">
        <v>54</v>
      </c>
      <c r="Y46" s="310" t="s">
        <v>529</v>
      </c>
      <c r="Z46" s="316"/>
      <c r="AA46" s="317">
        <v>45542</v>
      </c>
      <c r="AB46" s="317">
        <v>45572</v>
      </c>
    </row>
    <row r="47" spans="1:28" x14ac:dyDescent="0.25">
      <c r="A47" s="307">
        <f t="shared" si="1"/>
        <v>41</v>
      </c>
      <c r="B47" s="308">
        <v>45478</v>
      </c>
      <c r="C47" s="309">
        <f t="shared" si="2"/>
        <v>45474</v>
      </c>
      <c r="D47" s="310" t="s">
        <v>51</v>
      </c>
      <c r="E47" s="310" t="s">
        <v>218</v>
      </c>
      <c r="F47" s="311">
        <v>9137963915</v>
      </c>
      <c r="G47" s="316" t="s">
        <v>6</v>
      </c>
      <c r="H47" s="316" t="s">
        <v>233</v>
      </c>
      <c r="I47" s="316" t="s">
        <v>6</v>
      </c>
      <c r="J47" s="310" t="s">
        <v>222</v>
      </c>
      <c r="K47" s="312">
        <v>1870</v>
      </c>
      <c r="L47" s="312">
        <v>2840</v>
      </c>
      <c r="M47" s="313">
        <f t="shared" si="3"/>
        <v>970</v>
      </c>
      <c r="N47" s="314">
        <f t="shared" si="4"/>
        <v>0.341549295774648</v>
      </c>
      <c r="O47" s="312">
        <v>1870</v>
      </c>
      <c r="P47" s="313">
        <f t="shared" si="0"/>
        <v>0</v>
      </c>
      <c r="Q47" s="310" t="s">
        <v>147</v>
      </c>
      <c r="R47" s="310">
        <v>40</v>
      </c>
      <c r="S47" s="310" t="s">
        <v>113</v>
      </c>
      <c r="T47" s="308">
        <v>45478</v>
      </c>
      <c r="U47" s="308">
        <v>45478</v>
      </c>
      <c r="V47" s="308"/>
      <c r="W47" s="315">
        <f t="shared" si="5"/>
        <v>0</v>
      </c>
      <c r="X47" s="310" t="s">
        <v>54</v>
      </c>
      <c r="Y47" s="310" t="s">
        <v>219</v>
      </c>
      <c r="Z47" s="316" t="s">
        <v>3743</v>
      </c>
      <c r="AA47" s="317">
        <v>45419</v>
      </c>
      <c r="AB47" s="317">
        <v>45419</v>
      </c>
    </row>
    <row r="48" spans="1:28" x14ac:dyDescent="0.25">
      <c r="A48" s="307">
        <f t="shared" si="1"/>
        <v>42</v>
      </c>
      <c r="B48" s="308">
        <v>45478</v>
      </c>
      <c r="C48" s="309">
        <f t="shared" si="2"/>
        <v>45474</v>
      </c>
      <c r="D48" s="310" t="s">
        <v>51</v>
      </c>
      <c r="E48" s="310" t="s">
        <v>221</v>
      </c>
      <c r="F48" s="311">
        <v>9599281983</v>
      </c>
      <c r="G48" s="316" t="s">
        <v>6</v>
      </c>
      <c r="H48" s="316" t="s">
        <v>26</v>
      </c>
      <c r="I48" s="316" t="s">
        <v>250</v>
      </c>
      <c r="J48" s="310" t="s">
        <v>168</v>
      </c>
      <c r="K48" s="312">
        <v>25150</v>
      </c>
      <c r="L48" s="312">
        <v>35600</v>
      </c>
      <c r="M48" s="313">
        <f t="shared" si="3"/>
        <v>10450</v>
      </c>
      <c r="N48" s="314">
        <f t="shared" si="4"/>
        <v>0.293539325842697</v>
      </c>
      <c r="O48" s="312">
        <v>25150</v>
      </c>
      <c r="P48" s="313">
        <f t="shared" si="0"/>
        <v>0</v>
      </c>
      <c r="Q48" s="310" t="s">
        <v>147</v>
      </c>
      <c r="R48" s="310">
        <v>41</v>
      </c>
      <c r="S48" s="310" t="s">
        <v>113</v>
      </c>
      <c r="T48" s="308">
        <v>45482</v>
      </c>
      <c r="U48" s="308">
        <v>45482</v>
      </c>
      <c r="V48" s="308"/>
      <c r="W48" s="315">
        <f t="shared" si="5"/>
        <v>4</v>
      </c>
      <c r="X48" s="310" t="s">
        <v>54</v>
      </c>
      <c r="Y48" s="310" t="s">
        <v>529</v>
      </c>
      <c r="Z48" s="316"/>
      <c r="AA48" s="317">
        <v>45542</v>
      </c>
      <c r="AB48" s="317">
        <v>45542</v>
      </c>
    </row>
    <row r="49" spans="1:28" x14ac:dyDescent="0.25">
      <c r="A49" s="307">
        <f t="shared" si="1"/>
        <v>43</v>
      </c>
      <c r="B49" s="308">
        <v>45479</v>
      </c>
      <c r="C49" s="309">
        <f t="shared" si="2"/>
        <v>45474</v>
      </c>
      <c r="D49" s="310" t="s">
        <v>56</v>
      </c>
      <c r="E49" s="310" t="s">
        <v>60</v>
      </c>
      <c r="F49" s="311">
        <v>9589264337</v>
      </c>
      <c r="G49" s="316" t="s">
        <v>6</v>
      </c>
      <c r="H49" s="316" t="s">
        <v>246</v>
      </c>
      <c r="I49" s="316" t="s">
        <v>247</v>
      </c>
      <c r="J49" s="310" t="s">
        <v>3730</v>
      </c>
      <c r="K49" s="312">
        <v>47150</v>
      </c>
      <c r="L49" s="312">
        <v>59850</v>
      </c>
      <c r="M49" s="313">
        <f t="shared" si="3"/>
        <v>12700</v>
      </c>
      <c r="N49" s="314">
        <f t="shared" si="4"/>
        <v>0.212197159565581</v>
      </c>
      <c r="O49" s="312"/>
      <c r="P49" s="313" t="str">
        <f t="shared" si="0"/>
        <v/>
      </c>
      <c r="Q49" s="310" t="s">
        <v>147</v>
      </c>
      <c r="R49" s="310">
        <v>42</v>
      </c>
      <c r="S49" s="310" t="s">
        <v>113</v>
      </c>
      <c r="T49" s="308">
        <v>45482</v>
      </c>
      <c r="U49" s="308">
        <v>45483</v>
      </c>
      <c r="V49" s="308"/>
      <c r="W49" s="315">
        <f t="shared" si="5"/>
        <v>4</v>
      </c>
      <c r="X49" s="310" t="s">
        <v>54</v>
      </c>
      <c r="Y49" s="310" t="s">
        <v>56</v>
      </c>
      <c r="Z49" s="316"/>
      <c r="AA49" s="317">
        <v>45542</v>
      </c>
      <c r="AB49" s="317">
        <v>45572</v>
      </c>
    </row>
    <row r="50" spans="1:28" x14ac:dyDescent="0.25">
      <c r="A50" s="307">
        <f t="shared" si="1"/>
        <v>44</v>
      </c>
      <c r="B50" s="308">
        <v>45479</v>
      </c>
      <c r="C50" s="309">
        <f t="shared" si="2"/>
        <v>45474</v>
      </c>
      <c r="D50" s="310" t="s">
        <v>51</v>
      </c>
      <c r="E50" s="310" t="s">
        <v>224</v>
      </c>
      <c r="F50" s="311">
        <v>9343626927</v>
      </c>
      <c r="G50" s="316" t="s">
        <v>6</v>
      </c>
      <c r="H50" s="316" t="s">
        <v>252</v>
      </c>
      <c r="I50" s="316" t="s">
        <v>251</v>
      </c>
      <c r="J50" s="310" t="s">
        <v>3730</v>
      </c>
      <c r="K50" s="312">
        <v>33770</v>
      </c>
      <c r="L50" s="312">
        <v>46620</v>
      </c>
      <c r="M50" s="313">
        <f t="shared" si="3"/>
        <v>12850</v>
      </c>
      <c r="N50" s="314">
        <f t="shared" si="4"/>
        <v>0.275632775632776</v>
      </c>
      <c r="O50" s="312">
        <v>33770</v>
      </c>
      <c r="P50" s="313">
        <f t="shared" si="0"/>
        <v>0</v>
      </c>
      <c r="Q50" s="310" t="s">
        <v>147</v>
      </c>
      <c r="R50" s="310">
        <v>43</v>
      </c>
      <c r="S50" s="310" t="s">
        <v>113</v>
      </c>
      <c r="T50" s="308">
        <v>45484</v>
      </c>
      <c r="U50" s="308">
        <v>45485</v>
      </c>
      <c r="V50" s="308"/>
      <c r="W50" s="315">
        <f t="shared" si="5"/>
        <v>6</v>
      </c>
      <c r="X50" s="310" t="s">
        <v>54</v>
      </c>
      <c r="Y50" s="310" t="s">
        <v>3744</v>
      </c>
      <c r="Z50" s="316" t="s">
        <v>3745</v>
      </c>
      <c r="AA50" s="317">
        <v>45603</v>
      </c>
      <c r="AB50" s="317">
        <v>45633</v>
      </c>
    </row>
    <row r="51" spans="1:28" x14ac:dyDescent="0.25">
      <c r="A51" s="307">
        <f t="shared" si="1"/>
        <v>45</v>
      </c>
      <c r="B51" s="308">
        <v>45481</v>
      </c>
      <c r="C51" s="309">
        <f t="shared" si="2"/>
        <v>45474</v>
      </c>
      <c r="D51" s="310" t="s">
        <v>56</v>
      </c>
      <c r="E51" s="310" t="s">
        <v>38</v>
      </c>
      <c r="F51" s="311">
        <v>9097762415</v>
      </c>
      <c r="G51" s="316" t="s">
        <v>105</v>
      </c>
      <c r="H51" s="316" t="s">
        <v>26</v>
      </c>
      <c r="I51" s="316" t="s">
        <v>6</v>
      </c>
      <c r="J51" s="310" t="s">
        <v>59</v>
      </c>
      <c r="K51" s="312">
        <v>49140</v>
      </c>
      <c r="L51" s="312">
        <v>73080</v>
      </c>
      <c r="M51" s="313">
        <f t="shared" si="3"/>
        <v>23940</v>
      </c>
      <c r="N51" s="314">
        <f t="shared" si="4"/>
        <v>0.327586206896552</v>
      </c>
      <c r="O51" s="312"/>
      <c r="P51" s="313" t="str">
        <f t="shared" si="0"/>
        <v/>
      </c>
      <c r="Q51" s="310" t="s">
        <v>147</v>
      </c>
      <c r="R51" s="310">
        <v>44</v>
      </c>
      <c r="S51" s="310" t="s">
        <v>113</v>
      </c>
      <c r="T51" s="308">
        <v>45483</v>
      </c>
      <c r="U51" s="308">
        <v>45484</v>
      </c>
      <c r="V51" s="308"/>
      <c r="W51" s="315">
        <f t="shared" si="5"/>
        <v>3</v>
      </c>
      <c r="X51" s="310" t="s">
        <v>54</v>
      </c>
      <c r="Y51" s="310" t="s">
        <v>56</v>
      </c>
      <c r="Z51" s="316" t="s">
        <v>154</v>
      </c>
      <c r="AA51" s="317">
        <v>45572</v>
      </c>
      <c r="AB51" s="317">
        <v>45603</v>
      </c>
    </row>
    <row r="52" spans="1:28" x14ac:dyDescent="0.25">
      <c r="A52" s="307">
        <f t="shared" si="1"/>
        <v>46</v>
      </c>
      <c r="B52" s="308">
        <v>45482</v>
      </c>
      <c r="C52" s="309">
        <f t="shared" si="2"/>
        <v>45474</v>
      </c>
      <c r="D52" s="310" t="s">
        <v>51</v>
      </c>
      <c r="E52" s="310" t="s">
        <v>228</v>
      </c>
      <c r="F52" s="311">
        <v>9457796730</v>
      </c>
      <c r="G52" s="316" t="s">
        <v>6</v>
      </c>
      <c r="H52" s="316" t="s">
        <v>26</v>
      </c>
      <c r="I52" s="316" t="s">
        <v>257</v>
      </c>
      <c r="J52" s="310" t="s">
        <v>3730</v>
      </c>
      <c r="K52" s="312">
        <v>33860</v>
      </c>
      <c r="L52" s="312">
        <v>47250</v>
      </c>
      <c r="M52" s="313">
        <f t="shared" si="3"/>
        <v>13390</v>
      </c>
      <c r="N52" s="314">
        <f t="shared" si="4"/>
        <v>0.283386243386243</v>
      </c>
      <c r="O52" s="312">
        <v>33860</v>
      </c>
      <c r="P52" s="313">
        <f t="shared" si="0"/>
        <v>0</v>
      </c>
      <c r="Q52" s="310" t="s">
        <v>147</v>
      </c>
      <c r="R52" s="310">
        <v>45</v>
      </c>
      <c r="S52" s="310" t="s">
        <v>113</v>
      </c>
      <c r="T52" s="308">
        <v>45485</v>
      </c>
      <c r="U52" s="308">
        <v>45485</v>
      </c>
      <c r="V52" s="308"/>
      <c r="W52" s="315">
        <f t="shared" si="5"/>
        <v>3</v>
      </c>
      <c r="X52" s="310" t="s">
        <v>54</v>
      </c>
      <c r="Y52" s="310" t="s">
        <v>529</v>
      </c>
      <c r="Z52" s="316"/>
      <c r="AA52" s="317">
        <v>45633</v>
      </c>
      <c r="AB52" s="317">
        <v>45633</v>
      </c>
    </row>
    <row r="53" spans="1:28" x14ac:dyDescent="0.25">
      <c r="A53" s="307">
        <f t="shared" si="1"/>
        <v>47</v>
      </c>
      <c r="B53" s="308">
        <v>45483</v>
      </c>
      <c r="C53" s="309">
        <f t="shared" si="2"/>
        <v>45474</v>
      </c>
      <c r="D53" s="310" t="s">
        <v>51</v>
      </c>
      <c r="E53" s="310" t="s">
        <v>229</v>
      </c>
      <c r="F53" s="311">
        <v>9291434058</v>
      </c>
      <c r="G53" s="316" t="s">
        <v>6</v>
      </c>
      <c r="H53" s="316" t="s">
        <v>258</v>
      </c>
      <c r="I53" s="316" t="s">
        <v>259</v>
      </c>
      <c r="J53" s="310" t="s">
        <v>59</v>
      </c>
      <c r="K53" s="312">
        <v>28710</v>
      </c>
      <c r="L53" s="312">
        <v>45040</v>
      </c>
      <c r="M53" s="313">
        <f t="shared" si="3"/>
        <v>16330</v>
      </c>
      <c r="N53" s="314">
        <f t="shared" si="4"/>
        <v>0.362566607460036</v>
      </c>
      <c r="O53" s="312">
        <v>28710</v>
      </c>
      <c r="P53" s="313">
        <f t="shared" si="0"/>
        <v>0</v>
      </c>
      <c r="Q53" s="310" t="s">
        <v>147</v>
      </c>
      <c r="R53" s="310">
        <v>46</v>
      </c>
      <c r="S53" s="310" t="s">
        <v>113</v>
      </c>
      <c r="T53" s="308">
        <v>45488</v>
      </c>
      <c r="U53" s="308">
        <v>45488</v>
      </c>
      <c r="V53" s="308"/>
      <c r="W53" s="315">
        <f t="shared" si="5"/>
        <v>5</v>
      </c>
      <c r="X53" s="310" t="s">
        <v>54</v>
      </c>
      <c r="Y53" s="310" t="s">
        <v>529</v>
      </c>
      <c r="Z53" s="316"/>
      <c r="AA53" s="316" t="s">
        <v>268</v>
      </c>
      <c r="AB53" s="316" t="s">
        <v>268</v>
      </c>
    </row>
    <row r="54" spans="1:28" x14ac:dyDescent="0.25">
      <c r="A54" s="307">
        <f t="shared" si="1"/>
        <v>48</v>
      </c>
      <c r="B54" s="308">
        <v>45484</v>
      </c>
      <c r="C54" s="309">
        <f t="shared" si="2"/>
        <v>45474</v>
      </c>
      <c r="D54" s="310" t="s">
        <v>56</v>
      </c>
      <c r="E54" s="310" t="s">
        <v>38</v>
      </c>
      <c r="F54" s="311">
        <v>9097762415</v>
      </c>
      <c r="G54" s="316" t="s">
        <v>6</v>
      </c>
      <c r="H54" s="316" t="s">
        <v>264</v>
      </c>
      <c r="I54" s="316" t="s">
        <v>263</v>
      </c>
      <c r="J54" s="310" t="s">
        <v>59</v>
      </c>
      <c r="K54" s="312">
        <v>47630</v>
      </c>
      <c r="L54" s="312">
        <v>63000</v>
      </c>
      <c r="M54" s="313">
        <f t="shared" si="3"/>
        <v>15370</v>
      </c>
      <c r="N54" s="314">
        <f t="shared" si="4"/>
        <v>0.243968253968254</v>
      </c>
      <c r="O54" s="312"/>
      <c r="P54" s="313" t="str">
        <f t="shared" si="0"/>
        <v/>
      </c>
      <c r="Q54" s="310" t="s">
        <v>147</v>
      </c>
      <c r="R54" s="310">
        <v>47</v>
      </c>
      <c r="S54" s="310" t="s">
        <v>113</v>
      </c>
      <c r="T54" s="308">
        <v>45489</v>
      </c>
      <c r="U54" s="308">
        <v>45489</v>
      </c>
      <c r="V54" s="308"/>
      <c r="W54" s="315">
        <f t="shared" si="5"/>
        <v>5</v>
      </c>
      <c r="X54" s="310" t="s">
        <v>54</v>
      </c>
      <c r="Y54" s="310" t="s">
        <v>56</v>
      </c>
      <c r="Z54" s="316"/>
      <c r="AA54" s="316" t="s">
        <v>269</v>
      </c>
      <c r="AB54" s="316" t="s">
        <v>269</v>
      </c>
    </row>
    <row r="55" spans="1:28" x14ac:dyDescent="0.25">
      <c r="A55" s="307">
        <f t="shared" si="1"/>
        <v>49</v>
      </c>
      <c r="B55" s="308">
        <v>45486</v>
      </c>
      <c r="C55" s="309">
        <f t="shared" si="2"/>
        <v>45474</v>
      </c>
      <c r="D55" s="310" t="s">
        <v>56</v>
      </c>
      <c r="E55" s="310" t="s">
        <v>99</v>
      </c>
      <c r="F55" s="311">
        <v>9589264337</v>
      </c>
      <c r="G55" s="316" t="s">
        <v>42</v>
      </c>
      <c r="H55" s="316" t="s">
        <v>274</v>
      </c>
      <c r="I55" s="316" t="s">
        <v>275</v>
      </c>
      <c r="J55" s="310" t="s">
        <v>3730</v>
      </c>
      <c r="K55" s="312">
        <v>53580</v>
      </c>
      <c r="L55" s="312">
        <v>102690</v>
      </c>
      <c r="M55" s="313">
        <f t="shared" si="3"/>
        <v>49110</v>
      </c>
      <c r="N55" s="314">
        <f t="shared" si="4"/>
        <v>0.478235465965527</v>
      </c>
      <c r="O55" s="312"/>
      <c r="P55" s="313" t="str">
        <f t="shared" si="0"/>
        <v/>
      </c>
      <c r="Q55" s="310" t="s">
        <v>147</v>
      </c>
      <c r="R55" s="310">
        <v>48</v>
      </c>
      <c r="S55" s="310" t="s">
        <v>113</v>
      </c>
      <c r="T55" s="308">
        <v>45489</v>
      </c>
      <c r="U55" s="308">
        <v>45489</v>
      </c>
      <c r="V55" s="308"/>
      <c r="W55" s="315">
        <f t="shared" si="5"/>
        <v>3</v>
      </c>
      <c r="X55" s="310" t="s">
        <v>54</v>
      </c>
      <c r="Y55" s="310" t="s">
        <v>56</v>
      </c>
      <c r="Z55" s="316"/>
      <c r="AA55" s="316" t="s">
        <v>269</v>
      </c>
      <c r="AB55" s="316" t="s">
        <v>269</v>
      </c>
    </row>
    <row r="56" spans="1:28" x14ac:dyDescent="0.25">
      <c r="A56" s="307">
        <f t="shared" si="1"/>
        <v>50</v>
      </c>
      <c r="B56" s="308">
        <v>45486</v>
      </c>
      <c r="C56" s="309">
        <f t="shared" si="2"/>
        <v>45474</v>
      </c>
      <c r="D56" s="310" t="s">
        <v>51</v>
      </c>
      <c r="E56" s="310" t="s">
        <v>234</v>
      </c>
      <c r="F56" s="311">
        <v>9057895037</v>
      </c>
      <c r="G56" s="316" t="s">
        <v>235</v>
      </c>
      <c r="H56" s="316" t="s">
        <v>26</v>
      </c>
      <c r="I56" s="316" t="s">
        <v>276</v>
      </c>
      <c r="J56" s="310" t="s">
        <v>3730</v>
      </c>
      <c r="K56" s="312">
        <v>63160</v>
      </c>
      <c r="L56" s="312">
        <v>81900</v>
      </c>
      <c r="M56" s="313">
        <f t="shared" si="3"/>
        <v>18740</v>
      </c>
      <c r="N56" s="314">
        <f t="shared" si="4"/>
        <v>0.228815628815629</v>
      </c>
      <c r="O56" s="312">
        <v>63160</v>
      </c>
      <c r="P56" s="313">
        <f t="shared" si="0"/>
        <v>0</v>
      </c>
      <c r="Q56" s="310" t="s">
        <v>147</v>
      </c>
      <c r="R56" s="310">
        <v>49</v>
      </c>
      <c r="S56" s="310" t="s">
        <v>113</v>
      </c>
      <c r="T56" s="308">
        <v>45492</v>
      </c>
      <c r="U56" s="308">
        <v>45492</v>
      </c>
      <c r="V56" s="308"/>
      <c r="W56" s="315">
        <f t="shared" si="5"/>
        <v>6</v>
      </c>
      <c r="X56" s="310" t="s">
        <v>54</v>
      </c>
      <c r="Y56" s="310" t="s">
        <v>236</v>
      </c>
      <c r="Z56" s="316"/>
      <c r="AA56" s="316" t="s">
        <v>271</v>
      </c>
      <c r="AB56" s="316" t="s">
        <v>271</v>
      </c>
    </row>
    <row r="57" spans="1:28" x14ac:dyDescent="0.25">
      <c r="A57" s="307">
        <f t="shared" si="1"/>
        <v>51</v>
      </c>
      <c r="B57" s="308">
        <v>45486</v>
      </c>
      <c r="C57" s="309">
        <f t="shared" si="2"/>
        <v>45474</v>
      </c>
      <c r="D57" s="310" t="s">
        <v>51</v>
      </c>
      <c r="E57" s="310" t="s">
        <v>239</v>
      </c>
      <c r="F57" s="311">
        <v>9237773119</v>
      </c>
      <c r="G57" s="316" t="s">
        <v>6</v>
      </c>
      <c r="H57" s="316" t="s">
        <v>265</v>
      </c>
      <c r="I57" s="316" t="s">
        <v>266</v>
      </c>
      <c r="J57" s="310" t="s">
        <v>3730</v>
      </c>
      <c r="K57" s="312">
        <v>33640</v>
      </c>
      <c r="L57" s="312">
        <v>52920</v>
      </c>
      <c r="M57" s="313">
        <f t="shared" si="3"/>
        <v>19280</v>
      </c>
      <c r="N57" s="314">
        <f t="shared" si="4"/>
        <v>0.36432350718065</v>
      </c>
      <c r="O57" s="312">
        <v>33640</v>
      </c>
      <c r="P57" s="313">
        <f t="shared" si="0"/>
        <v>0</v>
      </c>
      <c r="Q57" s="310" t="s">
        <v>147</v>
      </c>
      <c r="R57" s="310">
        <v>50</v>
      </c>
      <c r="S57" s="310" t="s">
        <v>113</v>
      </c>
      <c r="T57" s="308">
        <v>45491</v>
      </c>
      <c r="U57" s="308">
        <v>45491</v>
      </c>
      <c r="V57" s="308"/>
      <c r="W57" s="315">
        <f t="shared" si="5"/>
        <v>5</v>
      </c>
      <c r="X57" s="310" t="s">
        <v>54</v>
      </c>
      <c r="Y57" s="310" t="s">
        <v>529</v>
      </c>
      <c r="Z57" s="316"/>
      <c r="AA57" s="316" t="s">
        <v>272</v>
      </c>
      <c r="AB57" s="316" t="s">
        <v>272</v>
      </c>
    </row>
    <row r="58" spans="1:28" x14ac:dyDescent="0.25">
      <c r="A58" s="307">
        <f t="shared" si="1"/>
        <v>52</v>
      </c>
      <c r="B58" s="308">
        <v>45489</v>
      </c>
      <c r="C58" s="309">
        <f t="shared" si="2"/>
        <v>45474</v>
      </c>
      <c r="D58" s="310" t="s">
        <v>56</v>
      </c>
      <c r="E58" s="310" t="s">
        <v>60</v>
      </c>
      <c r="F58" s="311">
        <v>9589264337</v>
      </c>
      <c r="G58" s="316" t="s">
        <v>6</v>
      </c>
      <c r="H58" s="316" t="s">
        <v>278</v>
      </c>
      <c r="I58" s="316" t="s">
        <v>277</v>
      </c>
      <c r="J58" s="310" t="s">
        <v>3730</v>
      </c>
      <c r="K58" s="312">
        <v>46960</v>
      </c>
      <c r="L58" s="312">
        <v>58590</v>
      </c>
      <c r="M58" s="313">
        <f t="shared" si="3"/>
        <v>11630</v>
      </c>
      <c r="N58" s="314">
        <f t="shared" si="4"/>
        <v>0.198498037207715</v>
      </c>
      <c r="O58" s="312"/>
      <c r="P58" s="313" t="str">
        <f t="shared" si="0"/>
        <v/>
      </c>
      <c r="Q58" s="310" t="s">
        <v>147</v>
      </c>
      <c r="R58" s="310">
        <v>51</v>
      </c>
      <c r="S58" s="310" t="s">
        <v>113</v>
      </c>
      <c r="T58" s="308">
        <v>45493</v>
      </c>
      <c r="U58" s="308">
        <v>45493</v>
      </c>
      <c r="V58" s="308"/>
      <c r="W58" s="315">
        <f t="shared" si="5"/>
        <v>4</v>
      </c>
      <c r="X58" s="310" t="s">
        <v>54</v>
      </c>
      <c r="Y58" s="310" t="s">
        <v>56</v>
      </c>
      <c r="Z58" s="316" t="s">
        <v>154</v>
      </c>
      <c r="AA58" s="316" t="s">
        <v>286</v>
      </c>
      <c r="AB58" s="316" t="s">
        <v>286</v>
      </c>
    </row>
    <row r="59" spans="1:28" x14ac:dyDescent="0.25">
      <c r="A59" s="307">
        <f t="shared" si="1"/>
        <v>53</v>
      </c>
      <c r="B59" s="308">
        <v>45489</v>
      </c>
      <c r="C59" s="309">
        <f t="shared" si="2"/>
        <v>45474</v>
      </c>
      <c r="D59" s="310" t="s">
        <v>51</v>
      </c>
      <c r="E59" s="310" t="s">
        <v>270</v>
      </c>
      <c r="F59" s="311">
        <v>9124137850</v>
      </c>
      <c r="G59" s="316" t="s">
        <v>6</v>
      </c>
      <c r="H59" s="316" t="s">
        <v>26</v>
      </c>
      <c r="I59" s="316" t="s">
        <v>279</v>
      </c>
      <c r="J59" s="310" t="s">
        <v>3730</v>
      </c>
      <c r="K59" s="312">
        <v>35740</v>
      </c>
      <c r="L59" s="312">
        <v>47250</v>
      </c>
      <c r="M59" s="313">
        <f t="shared" si="3"/>
        <v>11510</v>
      </c>
      <c r="N59" s="314">
        <f t="shared" si="4"/>
        <v>0.243597883597884</v>
      </c>
      <c r="O59" s="312">
        <v>35740</v>
      </c>
      <c r="P59" s="313">
        <f t="shared" si="0"/>
        <v>0</v>
      </c>
      <c r="Q59" s="310" t="s">
        <v>147</v>
      </c>
      <c r="R59" s="310">
        <v>52</v>
      </c>
      <c r="S59" s="310" t="s">
        <v>113</v>
      </c>
      <c r="T59" s="308">
        <v>45493</v>
      </c>
      <c r="U59" s="308">
        <v>45493</v>
      </c>
      <c r="V59" s="308"/>
      <c r="W59" s="315">
        <f t="shared" si="5"/>
        <v>4</v>
      </c>
      <c r="X59" s="310" t="s">
        <v>54</v>
      </c>
      <c r="Y59" s="310" t="s">
        <v>3742</v>
      </c>
      <c r="Z59" s="316"/>
      <c r="AA59" s="316" t="s">
        <v>286</v>
      </c>
      <c r="AB59" s="316" t="s">
        <v>286</v>
      </c>
    </row>
    <row r="60" spans="1:28" x14ac:dyDescent="0.25">
      <c r="A60" s="307">
        <f t="shared" si="1"/>
        <v>54</v>
      </c>
      <c r="B60" s="308">
        <v>45492</v>
      </c>
      <c r="C60" s="309">
        <f t="shared" si="2"/>
        <v>45474</v>
      </c>
      <c r="D60" s="310" t="s">
        <v>56</v>
      </c>
      <c r="E60" s="310" t="s">
        <v>38</v>
      </c>
      <c r="F60" s="311">
        <v>9097762415</v>
      </c>
      <c r="G60" s="316" t="s">
        <v>105</v>
      </c>
      <c r="H60" s="316" t="s">
        <v>26</v>
      </c>
      <c r="I60" s="316" t="s">
        <v>303</v>
      </c>
      <c r="J60" s="310" t="s">
        <v>59</v>
      </c>
      <c r="K60" s="312">
        <v>48290</v>
      </c>
      <c r="L60" s="312">
        <v>67410</v>
      </c>
      <c r="M60" s="313">
        <f t="shared" si="3"/>
        <v>19120</v>
      </c>
      <c r="N60" s="314">
        <f t="shared" si="4"/>
        <v>0.283637442515947</v>
      </c>
      <c r="O60" s="312"/>
      <c r="P60" s="313" t="str">
        <f t="shared" si="0"/>
        <v/>
      </c>
      <c r="Q60" s="310" t="s">
        <v>147</v>
      </c>
      <c r="R60" s="310">
        <v>53</v>
      </c>
      <c r="S60" s="310" t="s">
        <v>113</v>
      </c>
      <c r="T60" s="308">
        <v>45494</v>
      </c>
      <c r="U60" s="308">
        <v>45495</v>
      </c>
      <c r="V60" s="308"/>
      <c r="W60" s="315">
        <f t="shared" si="5"/>
        <v>3</v>
      </c>
      <c r="X60" s="310" t="s">
        <v>54</v>
      </c>
      <c r="Y60" s="310" t="s">
        <v>56</v>
      </c>
      <c r="Z60" s="316"/>
      <c r="AA60" s="316" t="s">
        <v>287</v>
      </c>
      <c r="AB60" s="316" t="s">
        <v>288</v>
      </c>
    </row>
    <row r="61" spans="1:28" x14ac:dyDescent="0.25">
      <c r="A61" s="307">
        <f t="shared" si="1"/>
        <v>55</v>
      </c>
      <c r="B61" s="308">
        <v>45492</v>
      </c>
      <c r="C61" s="309">
        <f t="shared" si="2"/>
        <v>45474</v>
      </c>
      <c r="D61" s="310" t="s">
        <v>51</v>
      </c>
      <c r="E61" s="310" t="s">
        <v>273</v>
      </c>
      <c r="F61" s="311">
        <v>9045944352</v>
      </c>
      <c r="G61" s="316" t="s">
        <v>6</v>
      </c>
      <c r="H61" s="316" t="s">
        <v>295</v>
      </c>
      <c r="I61" s="316" t="s">
        <v>296</v>
      </c>
      <c r="J61" s="310" t="s">
        <v>3730</v>
      </c>
      <c r="K61" s="312">
        <v>33230</v>
      </c>
      <c r="L61" s="312">
        <v>46620</v>
      </c>
      <c r="M61" s="313">
        <f t="shared" si="3"/>
        <v>13390</v>
      </c>
      <c r="N61" s="314">
        <f t="shared" si="4"/>
        <v>0.287215787215787</v>
      </c>
      <c r="O61" s="312">
        <v>33230</v>
      </c>
      <c r="P61" s="313">
        <f t="shared" si="0"/>
        <v>0</v>
      </c>
      <c r="Q61" s="310" t="s">
        <v>147</v>
      </c>
      <c r="R61" s="310">
        <v>54</v>
      </c>
      <c r="S61" s="310" t="s">
        <v>113</v>
      </c>
      <c r="T61" s="308">
        <v>45498</v>
      </c>
      <c r="U61" s="308">
        <v>45498</v>
      </c>
      <c r="V61" s="308"/>
      <c r="W61" s="315">
        <f t="shared" si="5"/>
        <v>6</v>
      </c>
      <c r="X61" s="310" t="s">
        <v>54</v>
      </c>
      <c r="Y61" s="310" t="s">
        <v>529</v>
      </c>
      <c r="Z61" s="316" t="s">
        <v>3746</v>
      </c>
      <c r="AA61" s="316" t="s">
        <v>292</v>
      </c>
      <c r="AB61" s="316" t="s">
        <v>292</v>
      </c>
    </row>
    <row r="62" spans="1:28" x14ac:dyDescent="0.25">
      <c r="A62" s="307">
        <f t="shared" si="1"/>
        <v>56</v>
      </c>
      <c r="B62" s="308">
        <v>45494</v>
      </c>
      <c r="C62" s="309">
        <f t="shared" si="2"/>
        <v>45474</v>
      </c>
      <c r="D62" s="310" t="s">
        <v>51</v>
      </c>
      <c r="E62" s="310" t="s">
        <v>224</v>
      </c>
      <c r="F62" s="311">
        <v>9343626927</v>
      </c>
      <c r="G62" s="316" t="s">
        <v>6</v>
      </c>
      <c r="H62" s="316" t="s">
        <v>26</v>
      </c>
      <c r="I62" s="316" t="s">
        <v>297</v>
      </c>
      <c r="J62" s="310" t="s">
        <v>3730</v>
      </c>
      <c r="K62" s="312">
        <v>34930</v>
      </c>
      <c r="L62" s="312">
        <v>47250</v>
      </c>
      <c r="M62" s="313">
        <f t="shared" si="3"/>
        <v>12320</v>
      </c>
      <c r="N62" s="314">
        <f t="shared" si="4"/>
        <v>0.260740740740741</v>
      </c>
      <c r="O62" s="312">
        <v>34930</v>
      </c>
      <c r="P62" s="313">
        <f t="shared" si="0"/>
        <v>0</v>
      </c>
      <c r="Q62" s="310" t="s">
        <v>147</v>
      </c>
      <c r="R62" s="310">
        <v>55</v>
      </c>
      <c r="S62" s="310" t="s">
        <v>113</v>
      </c>
      <c r="T62" s="308">
        <v>45498</v>
      </c>
      <c r="U62" s="308">
        <v>45498</v>
      </c>
      <c r="V62" s="308"/>
      <c r="W62" s="315">
        <f t="shared" si="5"/>
        <v>4</v>
      </c>
      <c r="X62" s="310" t="s">
        <v>54</v>
      </c>
      <c r="Y62" s="310" t="s">
        <v>3744</v>
      </c>
      <c r="Z62" s="316"/>
      <c r="AA62" s="316" t="s">
        <v>292</v>
      </c>
      <c r="AB62" s="316" t="s">
        <v>292</v>
      </c>
    </row>
    <row r="63" spans="1:28" x14ac:dyDescent="0.25">
      <c r="A63" s="307">
        <f t="shared" si="1"/>
        <v>57</v>
      </c>
      <c r="B63" s="308">
        <v>45495</v>
      </c>
      <c r="C63" s="309">
        <f t="shared" si="2"/>
        <v>45474</v>
      </c>
      <c r="D63" s="310" t="s">
        <v>56</v>
      </c>
      <c r="E63" s="310" t="s">
        <v>38</v>
      </c>
      <c r="F63" s="311">
        <v>9097762415</v>
      </c>
      <c r="G63" s="316" t="s">
        <v>6</v>
      </c>
      <c r="H63" s="316" t="s">
        <v>26</v>
      </c>
      <c r="I63" s="316" t="s">
        <v>298</v>
      </c>
      <c r="J63" s="310" t="s">
        <v>59</v>
      </c>
      <c r="K63" s="312">
        <v>44930</v>
      </c>
      <c r="L63" s="312">
        <v>45040</v>
      </c>
      <c r="M63" s="313">
        <f t="shared" si="3"/>
        <v>110</v>
      </c>
      <c r="N63" s="314">
        <f t="shared" si="4"/>
        <v>0.00244227353463588</v>
      </c>
      <c r="O63" s="312"/>
      <c r="P63" s="313" t="str">
        <f t="shared" si="0"/>
        <v/>
      </c>
      <c r="Q63" s="310" t="s">
        <v>147</v>
      </c>
      <c r="R63" s="310">
        <v>56</v>
      </c>
      <c r="S63" s="310" t="s">
        <v>113</v>
      </c>
      <c r="T63" s="308">
        <v>45498</v>
      </c>
      <c r="U63" s="308">
        <v>45498</v>
      </c>
      <c r="V63" s="308"/>
      <c r="W63" s="315">
        <f t="shared" si="5"/>
        <v>3</v>
      </c>
      <c r="X63" s="310" t="s">
        <v>54</v>
      </c>
      <c r="Y63" s="310" t="s">
        <v>56</v>
      </c>
      <c r="Z63" s="316" t="s">
        <v>154</v>
      </c>
      <c r="AA63" s="316" t="s">
        <v>292</v>
      </c>
      <c r="AB63" s="316" t="s">
        <v>292</v>
      </c>
    </row>
    <row r="64" spans="1:28" x14ac:dyDescent="0.25">
      <c r="A64" s="307">
        <f t="shared" si="1"/>
        <v>58</v>
      </c>
      <c r="B64" s="308">
        <v>45496</v>
      </c>
      <c r="C64" s="309">
        <f t="shared" si="2"/>
        <v>45474</v>
      </c>
      <c r="D64" s="310" t="s">
        <v>51</v>
      </c>
      <c r="E64" s="310" t="s">
        <v>289</v>
      </c>
      <c r="F64" s="311">
        <v>9062194812</v>
      </c>
      <c r="G64" s="316" t="s">
        <v>6</v>
      </c>
      <c r="H64" s="316" t="s">
        <v>299</v>
      </c>
      <c r="I64" s="316" t="s">
        <v>300</v>
      </c>
      <c r="J64" s="310" t="s">
        <v>3730</v>
      </c>
      <c r="K64" s="312">
        <v>31090</v>
      </c>
      <c r="L64" s="312">
        <v>46620</v>
      </c>
      <c r="M64" s="313">
        <f t="shared" si="3"/>
        <v>15530</v>
      </c>
      <c r="N64" s="314">
        <f t="shared" si="4"/>
        <v>0.333118833118833</v>
      </c>
      <c r="O64" s="312">
        <v>31090</v>
      </c>
      <c r="P64" s="313">
        <f t="shared" si="0"/>
        <v>0</v>
      </c>
      <c r="Q64" s="310" t="s">
        <v>147</v>
      </c>
      <c r="R64" s="310">
        <v>57</v>
      </c>
      <c r="S64" s="310" t="s">
        <v>113</v>
      </c>
      <c r="T64" s="308">
        <v>45499</v>
      </c>
      <c r="U64" s="308">
        <v>45500</v>
      </c>
      <c r="V64" s="308"/>
      <c r="W64" s="315">
        <f t="shared" si="5"/>
        <v>4</v>
      </c>
      <c r="X64" s="310" t="s">
        <v>54</v>
      </c>
      <c r="Y64" s="310" t="s">
        <v>529</v>
      </c>
      <c r="Z64" s="316"/>
      <c r="AA64" s="316" t="s">
        <v>293</v>
      </c>
      <c r="AB64" s="316" t="s">
        <v>294</v>
      </c>
    </row>
    <row r="65" spans="1:28" x14ac:dyDescent="0.25">
      <c r="A65" s="307">
        <f t="shared" si="1"/>
        <v>59</v>
      </c>
      <c r="B65" s="308">
        <v>45496</v>
      </c>
      <c r="C65" s="309">
        <f t="shared" si="2"/>
        <v>45474</v>
      </c>
      <c r="D65" s="310" t="s">
        <v>56</v>
      </c>
      <c r="E65" s="310" t="s">
        <v>60</v>
      </c>
      <c r="F65" s="311">
        <v>9589264337</v>
      </c>
      <c r="G65" s="316" t="s">
        <v>305</v>
      </c>
      <c r="H65" s="316" t="s">
        <v>304</v>
      </c>
      <c r="I65" s="316" t="s">
        <v>6</v>
      </c>
      <c r="J65" s="310" t="s">
        <v>3730</v>
      </c>
      <c r="K65" s="312">
        <v>53580</v>
      </c>
      <c r="L65" s="312">
        <v>102690</v>
      </c>
      <c r="M65" s="313">
        <f t="shared" si="3"/>
        <v>49110</v>
      </c>
      <c r="N65" s="314">
        <f t="shared" si="4"/>
        <v>0.478235465965527</v>
      </c>
      <c r="O65" s="312"/>
      <c r="P65" s="313" t="str">
        <f t="shared" si="0"/>
        <v/>
      </c>
      <c r="Q65" s="310" t="s">
        <v>147</v>
      </c>
      <c r="R65" s="310">
        <v>58</v>
      </c>
      <c r="S65" s="310" t="s">
        <v>113</v>
      </c>
      <c r="T65" s="308">
        <v>45500</v>
      </c>
      <c r="U65" s="308">
        <v>45500</v>
      </c>
      <c r="V65" s="308"/>
      <c r="W65" s="315">
        <f t="shared" si="5"/>
        <v>4</v>
      </c>
      <c r="X65" s="310" t="s">
        <v>54</v>
      </c>
      <c r="Y65" s="310" t="s">
        <v>56</v>
      </c>
      <c r="Z65" s="316"/>
      <c r="AA65" s="316" t="s">
        <v>294</v>
      </c>
      <c r="AB65" s="316" t="s">
        <v>294</v>
      </c>
    </row>
    <row r="66" spans="1:28" x14ac:dyDescent="0.25">
      <c r="A66" s="307">
        <f t="shared" si="1"/>
        <v>60</v>
      </c>
      <c r="B66" s="308">
        <v>45497</v>
      </c>
      <c r="C66" s="309">
        <f t="shared" si="2"/>
        <v>45474</v>
      </c>
      <c r="D66" s="310" t="s">
        <v>51</v>
      </c>
      <c r="E66" s="310" t="s">
        <v>291</v>
      </c>
      <c r="F66" s="311">
        <v>9564370374</v>
      </c>
      <c r="G66" s="316" t="s">
        <v>6</v>
      </c>
      <c r="H66" s="316" t="s">
        <v>301</v>
      </c>
      <c r="I66" s="316" t="s">
        <v>302</v>
      </c>
      <c r="J66" s="310" t="s">
        <v>59</v>
      </c>
      <c r="K66" s="312">
        <v>28710</v>
      </c>
      <c r="L66" s="312">
        <v>45040</v>
      </c>
      <c r="M66" s="313">
        <f t="shared" si="3"/>
        <v>16330</v>
      </c>
      <c r="N66" s="314">
        <f t="shared" si="4"/>
        <v>0.362566607460036</v>
      </c>
      <c r="O66" s="312">
        <v>28710</v>
      </c>
      <c r="P66" s="313">
        <f t="shared" si="0"/>
        <v>0</v>
      </c>
      <c r="Q66" s="310" t="s">
        <v>147</v>
      </c>
      <c r="R66" s="310">
        <v>59</v>
      </c>
      <c r="S66" s="310" t="s">
        <v>113</v>
      </c>
      <c r="T66" s="308">
        <v>45501</v>
      </c>
      <c r="U66" s="308">
        <v>45502</v>
      </c>
      <c r="V66" s="308"/>
      <c r="W66" s="315">
        <f t="shared" si="5"/>
        <v>5</v>
      </c>
      <c r="X66" s="310" t="s">
        <v>54</v>
      </c>
      <c r="Y66" s="310" t="s">
        <v>529</v>
      </c>
      <c r="Z66" s="316"/>
      <c r="AA66" s="316" t="s">
        <v>314</v>
      </c>
      <c r="AB66" s="316" t="s">
        <v>315</v>
      </c>
    </row>
    <row r="67" spans="1:28" x14ac:dyDescent="0.25">
      <c r="A67" s="307">
        <f t="shared" si="1"/>
        <v>61</v>
      </c>
      <c r="B67" s="308">
        <v>45500</v>
      </c>
      <c r="C67" s="309">
        <f t="shared" si="2"/>
        <v>45474</v>
      </c>
      <c r="D67" s="310" t="s">
        <v>51</v>
      </c>
      <c r="E67" s="310" t="s">
        <v>312</v>
      </c>
      <c r="F67" s="311">
        <v>9124747909</v>
      </c>
      <c r="G67" s="316" t="s">
        <v>6</v>
      </c>
      <c r="H67" s="316" t="s">
        <v>329</v>
      </c>
      <c r="I67" s="316" t="s">
        <v>330</v>
      </c>
      <c r="J67" s="310" t="s">
        <v>3730</v>
      </c>
      <c r="K67" s="312">
        <v>37220</v>
      </c>
      <c r="L67" s="312">
        <v>53550</v>
      </c>
      <c r="M67" s="313">
        <f t="shared" si="3"/>
        <v>16330</v>
      </c>
      <c r="N67" s="314">
        <f t="shared" si="4"/>
        <v>0.304948646125117</v>
      </c>
      <c r="O67" s="312">
        <v>37220</v>
      </c>
      <c r="P67" s="313">
        <f t="shared" si="0"/>
        <v>0</v>
      </c>
      <c r="Q67" s="310" t="s">
        <v>147</v>
      </c>
      <c r="R67" s="310">
        <v>60</v>
      </c>
      <c r="S67" s="310" t="s">
        <v>113</v>
      </c>
      <c r="T67" s="308">
        <v>45503</v>
      </c>
      <c r="U67" s="308">
        <v>45504</v>
      </c>
      <c r="V67" s="308"/>
      <c r="W67" s="315">
        <f t="shared" si="5"/>
        <v>4</v>
      </c>
      <c r="X67" s="310" t="s">
        <v>54</v>
      </c>
      <c r="Y67" s="310" t="s">
        <v>3742</v>
      </c>
      <c r="Z67" s="316"/>
      <c r="AA67" s="316" t="s">
        <v>322</v>
      </c>
      <c r="AB67" s="316" t="s">
        <v>317</v>
      </c>
    </row>
    <row r="68" spans="1:28" x14ac:dyDescent="0.25">
      <c r="A68" s="307">
        <f t="shared" si="1"/>
        <v>62</v>
      </c>
      <c r="B68" s="308">
        <v>45501</v>
      </c>
      <c r="C68" s="309">
        <f t="shared" si="2"/>
        <v>45474</v>
      </c>
      <c r="D68" s="310" t="s">
        <v>51</v>
      </c>
      <c r="E68" s="310" t="s">
        <v>60</v>
      </c>
      <c r="F68" s="311">
        <v>9589264337</v>
      </c>
      <c r="G68" s="316" t="s">
        <v>6</v>
      </c>
      <c r="H68" s="316" t="s">
        <v>326</v>
      </c>
      <c r="I68" s="316" t="s">
        <v>327</v>
      </c>
      <c r="J68" s="310" t="s">
        <v>3730</v>
      </c>
      <c r="K68" s="312">
        <v>47910</v>
      </c>
      <c r="L68" s="312">
        <v>64890</v>
      </c>
      <c r="M68" s="313">
        <f t="shared" si="3"/>
        <v>16980</v>
      </c>
      <c r="N68" s="314">
        <f t="shared" si="4"/>
        <v>0.261673601479427</v>
      </c>
      <c r="O68" s="312"/>
      <c r="P68" s="313" t="str">
        <f t="shared" si="0"/>
        <v/>
      </c>
      <c r="Q68" s="310" t="s">
        <v>147</v>
      </c>
      <c r="R68" s="310">
        <v>61</v>
      </c>
      <c r="S68" s="310" t="s">
        <v>113</v>
      </c>
      <c r="T68" s="308">
        <v>45504</v>
      </c>
      <c r="U68" s="308">
        <v>45505</v>
      </c>
      <c r="V68" s="308"/>
      <c r="W68" s="315">
        <f t="shared" si="5"/>
        <v>4</v>
      </c>
      <c r="X68" s="310" t="s">
        <v>54</v>
      </c>
      <c r="Y68" s="310" t="s">
        <v>56</v>
      </c>
      <c r="Z68" s="316" t="s">
        <v>154</v>
      </c>
      <c r="AA68" s="316" t="s">
        <v>317</v>
      </c>
      <c r="AB68" s="317">
        <v>45299</v>
      </c>
    </row>
    <row r="69" spans="1:28" x14ac:dyDescent="0.25">
      <c r="A69" s="307">
        <f t="shared" si="1"/>
        <v>63</v>
      </c>
      <c r="B69" s="308">
        <v>45502</v>
      </c>
      <c r="C69" s="309">
        <f t="shared" si="2"/>
        <v>45474</v>
      </c>
      <c r="D69" s="310" t="s">
        <v>51</v>
      </c>
      <c r="E69" s="310" t="s">
        <v>38</v>
      </c>
      <c r="F69" s="311">
        <v>9097762415</v>
      </c>
      <c r="G69" s="316" t="s">
        <v>105</v>
      </c>
      <c r="H69" s="316" t="s">
        <v>26</v>
      </c>
      <c r="I69" s="316" t="s">
        <v>328</v>
      </c>
      <c r="J69" s="310" t="s">
        <v>59</v>
      </c>
      <c r="K69" s="312">
        <v>48290</v>
      </c>
      <c r="L69" s="312">
        <v>67410</v>
      </c>
      <c r="M69" s="313">
        <f t="shared" si="3"/>
        <v>19120</v>
      </c>
      <c r="N69" s="314">
        <f t="shared" si="4"/>
        <v>0.283637442515947</v>
      </c>
      <c r="O69" s="312"/>
      <c r="P69" s="313" t="str">
        <f t="shared" si="0"/>
        <v/>
      </c>
      <c r="Q69" s="310" t="s">
        <v>147</v>
      </c>
      <c r="R69" s="310">
        <v>62</v>
      </c>
      <c r="S69" s="310" t="s">
        <v>113</v>
      </c>
      <c r="T69" s="308">
        <v>45506</v>
      </c>
      <c r="U69" s="308">
        <v>45506</v>
      </c>
      <c r="V69" s="308"/>
      <c r="W69" s="315">
        <f t="shared" si="5"/>
        <v>4</v>
      </c>
      <c r="X69" s="310" t="s">
        <v>54</v>
      </c>
      <c r="Y69" s="310" t="s">
        <v>56</v>
      </c>
      <c r="Z69" s="316"/>
      <c r="AA69" s="317">
        <v>45330</v>
      </c>
      <c r="AB69" s="317">
        <v>45330</v>
      </c>
    </row>
    <row r="70" spans="1:28" x14ac:dyDescent="0.25">
      <c r="A70" s="307">
        <f t="shared" si="1"/>
        <v>64</v>
      </c>
      <c r="B70" s="308">
        <v>45503</v>
      </c>
      <c r="C70" s="309">
        <f t="shared" si="2"/>
        <v>45474</v>
      </c>
      <c r="D70" s="310" t="s">
        <v>51</v>
      </c>
      <c r="E70" s="310" t="s">
        <v>313</v>
      </c>
      <c r="F70" s="311">
        <v>9021782276</v>
      </c>
      <c r="G70" s="316" t="s">
        <v>6</v>
      </c>
      <c r="H70" s="316" t="s">
        <v>331</v>
      </c>
      <c r="I70" s="316" t="s">
        <v>332</v>
      </c>
      <c r="J70" s="310" t="s">
        <v>168</v>
      </c>
      <c r="K70" s="312">
        <v>29110</v>
      </c>
      <c r="L70" s="312">
        <v>44100</v>
      </c>
      <c r="M70" s="313">
        <f t="shared" si="3"/>
        <v>14990</v>
      </c>
      <c r="N70" s="314">
        <f t="shared" si="4"/>
        <v>0.339909297052154</v>
      </c>
      <c r="O70" s="312">
        <v>29110</v>
      </c>
      <c r="P70" s="313">
        <f t="shared" si="0"/>
        <v>0</v>
      </c>
      <c r="Q70" s="310" t="s">
        <v>147</v>
      </c>
      <c r="R70" s="310">
        <v>63</v>
      </c>
      <c r="S70" s="310" t="s">
        <v>113</v>
      </c>
      <c r="T70" s="308">
        <v>45512</v>
      </c>
      <c r="U70" s="308">
        <v>45512</v>
      </c>
      <c r="V70" s="308"/>
      <c r="W70" s="315">
        <f t="shared" si="5"/>
        <v>9</v>
      </c>
      <c r="X70" s="310" t="s">
        <v>54</v>
      </c>
      <c r="Y70" s="310" t="s">
        <v>529</v>
      </c>
      <c r="Z70" s="316"/>
      <c r="AA70" s="317">
        <v>45512</v>
      </c>
      <c r="AB70" s="317">
        <v>45512</v>
      </c>
    </row>
    <row r="71" spans="1:28" x14ac:dyDescent="0.25">
      <c r="A71" s="307">
        <f t="shared" si="1"/>
        <v>65</v>
      </c>
      <c r="B71" s="308">
        <v>45504</v>
      </c>
      <c r="C71" s="309">
        <f t="shared" si="2"/>
        <v>45474</v>
      </c>
      <c r="D71" s="310" t="s">
        <v>51</v>
      </c>
      <c r="E71" s="310" t="s">
        <v>316</v>
      </c>
      <c r="F71" s="311">
        <v>9926313971</v>
      </c>
      <c r="G71" s="316" t="s">
        <v>6</v>
      </c>
      <c r="H71" s="316" t="s">
        <v>333</v>
      </c>
      <c r="I71" s="316" t="s">
        <v>334</v>
      </c>
      <c r="J71" s="310" t="s">
        <v>623</v>
      </c>
      <c r="K71" s="312">
        <v>30180</v>
      </c>
      <c r="L71" s="312">
        <v>44100</v>
      </c>
      <c r="M71" s="313">
        <f t="shared" si="3"/>
        <v>13920</v>
      </c>
      <c r="N71" s="314">
        <f t="shared" si="4"/>
        <v>0.315646258503401</v>
      </c>
      <c r="O71" s="312">
        <v>30180</v>
      </c>
      <c r="P71" s="313">
        <f t="shared" ref="P71:P134" si="6">IF(OR($K71="",$O71=""),"",$K71-$O71)</f>
        <v>0</v>
      </c>
      <c r="Q71" s="310" t="s">
        <v>147</v>
      </c>
      <c r="R71" s="310">
        <v>64</v>
      </c>
      <c r="S71" s="310" t="s">
        <v>113</v>
      </c>
      <c r="T71" s="308">
        <v>45509</v>
      </c>
      <c r="U71" s="308">
        <v>45510</v>
      </c>
      <c r="V71" s="308"/>
      <c r="W71" s="315">
        <f t="shared" si="5"/>
        <v>6</v>
      </c>
      <c r="X71" s="310" t="s">
        <v>54</v>
      </c>
      <c r="Y71" s="310" t="s">
        <v>529</v>
      </c>
      <c r="Z71" s="316"/>
      <c r="AA71" s="317">
        <v>45420</v>
      </c>
      <c r="AB71" s="317">
        <v>45451</v>
      </c>
    </row>
    <row r="72" spans="1:28" x14ac:dyDescent="0.25">
      <c r="A72" s="307">
        <f t="shared" ref="A72:A135" si="7">IF($B72="","",ROW()-6)</f>
        <v>66</v>
      </c>
      <c r="B72" s="308">
        <v>45505</v>
      </c>
      <c r="C72" s="309">
        <f t="shared" ref="C72:C135" si="8">IF($B72="","",EOMONTH($B72,-1)+1)</f>
        <v>45505</v>
      </c>
      <c r="D72" s="310" t="s">
        <v>51</v>
      </c>
      <c r="E72" s="310" t="s">
        <v>319</v>
      </c>
      <c r="F72" s="311">
        <v>9286629206</v>
      </c>
      <c r="G72" s="316" t="s">
        <v>158</v>
      </c>
      <c r="H72" s="316" t="s">
        <v>26</v>
      </c>
      <c r="I72" s="316" t="s">
        <v>350</v>
      </c>
      <c r="J72" s="310" t="s">
        <v>107</v>
      </c>
      <c r="K72" s="312">
        <v>82150</v>
      </c>
      <c r="L72" s="312">
        <v>112140</v>
      </c>
      <c r="M72" s="313">
        <f t="shared" ref="M72:M135" si="9">IF(OR($K72="",$L72=""),"",$L72-$K72)</f>
        <v>29990</v>
      </c>
      <c r="N72" s="314">
        <f t="shared" ref="N72:N135" si="10">IF(OR($L72="",$L72=0,$M72=""),"",$M72/$L72)</f>
        <v>0.267433565186374</v>
      </c>
      <c r="O72" s="312">
        <v>82150</v>
      </c>
      <c r="P72" s="313">
        <f t="shared" si="6"/>
        <v>0</v>
      </c>
      <c r="Q72" s="310" t="s">
        <v>147</v>
      </c>
      <c r="R72" s="310">
        <v>65</v>
      </c>
      <c r="S72" s="310" t="s">
        <v>113</v>
      </c>
      <c r="T72" s="308">
        <v>45509</v>
      </c>
      <c r="U72" s="308">
        <v>45509</v>
      </c>
      <c r="V72" s="308"/>
      <c r="W72" s="315">
        <f t="shared" ref="W72:W135" si="11">IF(OR($B72="",$U72=""),"",$U72-$B72)</f>
        <v>4</v>
      </c>
      <c r="X72" s="310" t="s">
        <v>54</v>
      </c>
      <c r="Y72" s="310" t="s">
        <v>320</v>
      </c>
      <c r="Z72" s="316" t="s">
        <v>321</v>
      </c>
      <c r="AA72" s="317">
        <v>45420</v>
      </c>
      <c r="AB72" s="317">
        <v>45420</v>
      </c>
    </row>
    <row r="73" spans="1:28" x14ac:dyDescent="0.25">
      <c r="A73" s="307">
        <f t="shared" si="7"/>
        <v>67</v>
      </c>
      <c r="B73" s="308">
        <v>45506</v>
      </c>
      <c r="C73" s="309">
        <f t="shared" si="8"/>
        <v>45505</v>
      </c>
      <c r="D73" s="310" t="s">
        <v>56</v>
      </c>
      <c r="E73" s="310" t="s">
        <v>60</v>
      </c>
      <c r="F73" s="311">
        <v>9589264337</v>
      </c>
      <c r="G73" s="316" t="s">
        <v>42</v>
      </c>
      <c r="H73" s="316" t="s">
        <v>351</v>
      </c>
      <c r="I73" s="316" t="s">
        <v>352</v>
      </c>
      <c r="J73" s="310" t="s">
        <v>3730</v>
      </c>
      <c r="K73" s="312">
        <v>53580</v>
      </c>
      <c r="L73" s="312">
        <v>102690</v>
      </c>
      <c r="M73" s="313">
        <f t="shared" si="9"/>
        <v>49110</v>
      </c>
      <c r="N73" s="314">
        <f t="shared" si="10"/>
        <v>0.478235465965527</v>
      </c>
      <c r="O73" s="312"/>
      <c r="P73" s="313" t="str">
        <f t="shared" si="6"/>
        <v/>
      </c>
      <c r="Q73" s="310" t="s">
        <v>147</v>
      </c>
      <c r="R73" s="310">
        <v>66</v>
      </c>
      <c r="S73" s="310" t="s">
        <v>113</v>
      </c>
      <c r="T73" s="308">
        <v>45509</v>
      </c>
      <c r="U73" s="308">
        <v>45510</v>
      </c>
      <c r="V73" s="308"/>
      <c r="W73" s="315">
        <f t="shared" si="11"/>
        <v>4</v>
      </c>
      <c r="X73" s="310" t="s">
        <v>54</v>
      </c>
      <c r="Y73" s="310" t="s">
        <v>56</v>
      </c>
      <c r="Z73" s="316"/>
      <c r="AA73" s="317">
        <v>45420</v>
      </c>
      <c r="AB73" s="317">
        <v>45451</v>
      </c>
    </row>
    <row r="74" spans="1:28" x14ac:dyDescent="0.25">
      <c r="A74" s="307">
        <f t="shared" si="7"/>
        <v>68</v>
      </c>
      <c r="B74" s="308">
        <v>45507</v>
      </c>
      <c r="C74" s="309">
        <f t="shared" si="8"/>
        <v>45505</v>
      </c>
      <c r="D74" s="310" t="s">
        <v>51</v>
      </c>
      <c r="E74" s="310" t="s">
        <v>339</v>
      </c>
      <c r="F74" s="311">
        <v>9976081007</v>
      </c>
      <c r="G74" s="316" t="s">
        <v>235</v>
      </c>
      <c r="H74" s="316" t="s">
        <v>26</v>
      </c>
      <c r="I74" s="316" t="s">
        <v>353</v>
      </c>
      <c r="J74" s="310" t="s">
        <v>3730</v>
      </c>
      <c r="K74" s="312">
        <v>64230</v>
      </c>
      <c r="L74" s="312">
        <v>81900</v>
      </c>
      <c r="M74" s="313">
        <f t="shared" si="9"/>
        <v>17670</v>
      </c>
      <c r="N74" s="314">
        <f t="shared" si="10"/>
        <v>0.215750915750916</v>
      </c>
      <c r="O74" s="312">
        <v>64230</v>
      </c>
      <c r="P74" s="313">
        <f t="shared" si="6"/>
        <v>0</v>
      </c>
      <c r="Q74" s="310" t="s">
        <v>147</v>
      </c>
      <c r="R74" s="310">
        <v>67</v>
      </c>
      <c r="S74" s="310" t="s">
        <v>113</v>
      </c>
      <c r="T74" s="308">
        <v>45513</v>
      </c>
      <c r="U74" s="308">
        <v>45513</v>
      </c>
      <c r="V74" s="308"/>
      <c r="W74" s="315">
        <f t="shared" si="11"/>
        <v>6</v>
      </c>
      <c r="X74" s="310" t="s">
        <v>54</v>
      </c>
      <c r="Y74" s="310" t="s">
        <v>340</v>
      </c>
      <c r="Z74" s="316"/>
      <c r="AA74" s="317">
        <v>45543</v>
      </c>
      <c r="AB74" s="317">
        <v>45543</v>
      </c>
    </row>
    <row r="75" spans="1:28" x14ac:dyDescent="0.25">
      <c r="A75" s="307">
        <f t="shared" si="7"/>
        <v>69</v>
      </c>
      <c r="B75" s="308">
        <v>45508</v>
      </c>
      <c r="C75" s="309">
        <f t="shared" si="8"/>
        <v>45505</v>
      </c>
      <c r="D75" s="310" t="s">
        <v>56</v>
      </c>
      <c r="E75" s="310" t="s">
        <v>38</v>
      </c>
      <c r="F75" s="311">
        <v>9515412075</v>
      </c>
      <c r="G75" s="316" t="s">
        <v>6</v>
      </c>
      <c r="H75" s="316" t="s">
        <v>354</v>
      </c>
      <c r="I75" s="316" t="s">
        <v>355</v>
      </c>
      <c r="J75" s="310" t="s">
        <v>58</v>
      </c>
      <c r="K75" s="312">
        <v>47630</v>
      </c>
      <c r="L75" s="312">
        <v>63000</v>
      </c>
      <c r="M75" s="313">
        <f t="shared" si="9"/>
        <v>15370</v>
      </c>
      <c r="N75" s="314">
        <f t="shared" si="10"/>
        <v>0.243968253968254</v>
      </c>
      <c r="O75" s="312"/>
      <c r="P75" s="313" t="str">
        <f t="shared" si="6"/>
        <v/>
      </c>
      <c r="Q75" s="310" t="s">
        <v>147</v>
      </c>
      <c r="R75" s="310">
        <v>68</v>
      </c>
      <c r="S75" s="310" t="s">
        <v>113</v>
      </c>
      <c r="T75" s="308">
        <v>45512</v>
      </c>
      <c r="U75" s="308">
        <v>45512</v>
      </c>
      <c r="V75" s="308"/>
      <c r="W75" s="315">
        <f t="shared" si="11"/>
        <v>4</v>
      </c>
      <c r="X75" s="310" t="s">
        <v>54</v>
      </c>
      <c r="Y75" s="310" t="s">
        <v>56</v>
      </c>
      <c r="Z75" s="316"/>
      <c r="AA75" s="317">
        <v>45512</v>
      </c>
      <c r="AB75" s="317">
        <v>45512</v>
      </c>
    </row>
    <row r="76" spans="1:28" x14ac:dyDescent="0.25">
      <c r="A76" s="307">
        <f t="shared" si="7"/>
        <v>70</v>
      </c>
      <c r="B76" s="308">
        <v>45510</v>
      </c>
      <c r="C76" s="309">
        <f t="shared" si="8"/>
        <v>45505</v>
      </c>
      <c r="D76" s="310" t="s">
        <v>56</v>
      </c>
      <c r="E76" s="310" t="s">
        <v>60</v>
      </c>
      <c r="F76" s="311">
        <v>9589264337</v>
      </c>
      <c r="G76" s="316" t="s">
        <v>6</v>
      </c>
      <c r="H76" s="316" t="s">
        <v>356</v>
      </c>
      <c r="I76" s="316" t="s">
        <v>357</v>
      </c>
      <c r="J76" s="310" t="s">
        <v>341</v>
      </c>
      <c r="K76" s="312">
        <v>48100</v>
      </c>
      <c r="L76" s="312">
        <v>66150</v>
      </c>
      <c r="M76" s="313">
        <f t="shared" si="9"/>
        <v>18050</v>
      </c>
      <c r="N76" s="314">
        <f t="shared" si="10"/>
        <v>0.27286470143613</v>
      </c>
      <c r="O76" s="312"/>
      <c r="P76" s="313" t="str">
        <f t="shared" si="6"/>
        <v/>
      </c>
      <c r="Q76" s="310" t="s">
        <v>147</v>
      </c>
      <c r="R76" s="310">
        <v>69</v>
      </c>
      <c r="S76" s="310" t="s">
        <v>113</v>
      </c>
      <c r="T76" s="308">
        <v>45515</v>
      </c>
      <c r="U76" s="308">
        <v>45516</v>
      </c>
      <c r="V76" s="308"/>
      <c r="W76" s="315">
        <f t="shared" si="11"/>
        <v>6</v>
      </c>
      <c r="X76" s="310" t="s">
        <v>54</v>
      </c>
      <c r="Y76" s="310" t="s">
        <v>56</v>
      </c>
      <c r="Z76" s="316"/>
      <c r="AA76" s="317">
        <v>45604</v>
      </c>
      <c r="AB76" s="317">
        <v>45634</v>
      </c>
    </row>
    <row r="77" spans="1:28" x14ac:dyDescent="0.25">
      <c r="A77" s="307">
        <f t="shared" si="7"/>
        <v>71</v>
      </c>
      <c r="B77" s="308">
        <v>45510</v>
      </c>
      <c r="C77" s="309">
        <f t="shared" si="8"/>
        <v>45505</v>
      </c>
      <c r="D77" s="310" t="s">
        <v>51</v>
      </c>
      <c r="E77" s="310" t="s">
        <v>342</v>
      </c>
      <c r="F77" s="311">
        <v>9663777426</v>
      </c>
      <c r="G77" s="316" t="s">
        <v>6</v>
      </c>
      <c r="H77" s="316" t="s">
        <v>358</v>
      </c>
      <c r="I77" s="316" t="s">
        <v>427</v>
      </c>
      <c r="J77" s="310" t="s">
        <v>623</v>
      </c>
      <c r="K77" s="312">
        <v>29590</v>
      </c>
      <c r="L77" s="312">
        <v>54500</v>
      </c>
      <c r="M77" s="313">
        <f t="shared" si="9"/>
        <v>24910</v>
      </c>
      <c r="N77" s="314">
        <f t="shared" si="10"/>
        <v>0.457064220183486</v>
      </c>
      <c r="O77" s="312">
        <v>29590</v>
      </c>
      <c r="P77" s="313">
        <f t="shared" si="6"/>
        <v>0</v>
      </c>
      <c r="Q77" s="310" t="s">
        <v>147</v>
      </c>
      <c r="R77" s="310">
        <v>82</v>
      </c>
      <c r="S77" s="310" t="s">
        <v>267</v>
      </c>
      <c r="T77" s="308">
        <v>45515</v>
      </c>
      <c r="U77" s="308">
        <v>45516</v>
      </c>
      <c r="V77" s="308"/>
      <c r="W77" s="315">
        <f t="shared" si="11"/>
        <v>6</v>
      </c>
      <c r="X77" s="310" t="s">
        <v>54</v>
      </c>
      <c r="Y77" s="310" t="s">
        <v>529</v>
      </c>
      <c r="Z77" s="316"/>
      <c r="AA77" s="317">
        <v>45604</v>
      </c>
      <c r="AB77" s="317">
        <v>45634</v>
      </c>
    </row>
    <row r="78" spans="1:28" x14ac:dyDescent="0.25">
      <c r="A78" s="307">
        <f t="shared" si="7"/>
        <v>72</v>
      </c>
      <c r="B78" s="308">
        <v>45513</v>
      </c>
      <c r="C78" s="309">
        <f t="shared" si="8"/>
        <v>45505</v>
      </c>
      <c r="D78" s="310" t="s">
        <v>51</v>
      </c>
      <c r="E78" s="310" t="s">
        <v>343</v>
      </c>
      <c r="F78" s="311">
        <v>9946150873</v>
      </c>
      <c r="G78" s="316" t="s">
        <v>105</v>
      </c>
      <c r="H78" s="316" t="s">
        <v>26</v>
      </c>
      <c r="I78" s="316" t="s">
        <v>6</v>
      </c>
      <c r="J78" s="310" t="s">
        <v>3730</v>
      </c>
      <c r="K78" s="312">
        <v>69080</v>
      </c>
      <c r="L78" s="312">
        <v>96390</v>
      </c>
      <c r="M78" s="313">
        <f t="shared" si="9"/>
        <v>27310</v>
      </c>
      <c r="N78" s="314">
        <f t="shared" si="10"/>
        <v>0.283328146073244</v>
      </c>
      <c r="O78" s="312">
        <v>69080</v>
      </c>
      <c r="P78" s="313">
        <f t="shared" si="6"/>
        <v>0</v>
      </c>
      <c r="Q78" s="310" t="s">
        <v>147</v>
      </c>
      <c r="R78" s="310">
        <v>83</v>
      </c>
      <c r="S78" s="310" t="s">
        <v>267</v>
      </c>
      <c r="T78" s="308">
        <v>45517</v>
      </c>
      <c r="U78" s="308">
        <v>45517</v>
      </c>
      <c r="V78" s="308"/>
      <c r="W78" s="315">
        <f t="shared" si="11"/>
        <v>4</v>
      </c>
      <c r="X78" s="310" t="s">
        <v>54</v>
      </c>
      <c r="Y78" s="310" t="s">
        <v>344</v>
      </c>
      <c r="Z78" s="316"/>
      <c r="AA78" s="316" t="s">
        <v>378</v>
      </c>
      <c r="AB78" s="316" t="s">
        <v>378</v>
      </c>
    </row>
    <row r="79" spans="1:28" x14ac:dyDescent="0.25">
      <c r="A79" s="307">
        <f t="shared" si="7"/>
        <v>73</v>
      </c>
      <c r="B79" s="308">
        <v>45513</v>
      </c>
      <c r="C79" s="309">
        <f t="shared" si="8"/>
        <v>45505</v>
      </c>
      <c r="D79" s="310" t="s">
        <v>51</v>
      </c>
      <c r="E79" s="310" t="s">
        <v>345</v>
      </c>
      <c r="F79" s="311">
        <v>9493729110</v>
      </c>
      <c r="G79" s="316" t="s">
        <v>6</v>
      </c>
      <c r="H79" s="316" t="s">
        <v>360</v>
      </c>
      <c r="I79" s="316" t="s">
        <v>359</v>
      </c>
      <c r="J79" s="310" t="s">
        <v>623</v>
      </c>
      <c r="K79" s="312">
        <v>30590</v>
      </c>
      <c r="L79" s="312">
        <v>50400</v>
      </c>
      <c r="M79" s="313">
        <f t="shared" si="9"/>
        <v>19810</v>
      </c>
      <c r="N79" s="314">
        <f t="shared" si="10"/>
        <v>0.393055555555556</v>
      </c>
      <c r="O79" s="312">
        <v>30590</v>
      </c>
      <c r="P79" s="313">
        <f t="shared" si="6"/>
        <v>0</v>
      </c>
      <c r="Q79" s="310" t="s">
        <v>147</v>
      </c>
      <c r="R79" s="310">
        <v>84</v>
      </c>
      <c r="S79" s="310" t="s">
        <v>267</v>
      </c>
      <c r="T79" s="308">
        <v>45518</v>
      </c>
      <c r="U79" s="308">
        <v>45518</v>
      </c>
      <c r="V79" s="308"/>
      <c r="W79" s="315">
        <f t="shared" si="11"/>
        <v>5</v>
      </c>
      <c r="X79" s="310" t="s">
        <v>54</v>
      </c>
      <c r="Y79" s="310" t="s">
        <v>529</v>
      </c>
      <c r="Z79" s="316"/>
      <c r="AA79" s="316" t="s">
        <v>386</v>
      </c>
      <c r="AB79" s="316" t="s">
        <v>386</v>
      </c>
    </row>
    <row r="80" spans="1:28" x14ac:dyDescent="0.25">
      <c r="A80" s="307">
        <f t="shared" si="7"/>
        <v>74</v>
      </c>
      <c r="B80" s="308">
        <v>45514</v>
      </c>
      <c r="C80" s="309">
        <f t="shared" si="8"/>
        <v>45505</v>
      </c>
      <c r="D80" s="310" t="s">
        <v>51</v>
      </c>
      <c r="E80" s="310" t="s">
        <v>368</v>
      </c>
      <c r="F80" s="311">
        <v>9065465756</v>
      </c>
      <c r="G80" s="316" t="s">
        <v>6</v>
      </c>
      <c r="H80" s="316" t="s">
        <v>404</v>
      </c>
      <c r="I80" s="316" t="s">
        <v>405</v>
      </c>
      <c r="J80" s="310" t="s">
        <v>3730</v>
      </c>
      <c r="K80" s="312">
        <v>32570</v>
      </c>
      <c r="L80" s="312">
        <v>52920</v>
      </c>
      <c r="M80" s="313">
        <f t="shared" si="9"/>
        <v>20350</v>
      </c>
      <c r="N80" s="314">
        <f t="shared" si="10"/>
        <v>0.384542705971277</v>
      </c>
      <c r="O80" s="312">
        <v>32570</v>
      </c>
      <c r="P80" s="313">
        <f t="shared" si="6"/>
        <v>0</v>
      </c>
      <c r="Q80" s="310" t="s">
        <v>147</v>
      </c>
      <c r="R80" s="310">
        <v>85</v>
      </c>
      <c r="S80" s="310" t="s">
        <v>267</v>
      </c>
      <c r="T80" s="308">
        <v>45520</v>
      </c>
      <c r="U80" s="308">
        <v>45520</v>
      </c>
      <c r="V80" s="308"/>
      <c r="W80" s="315">
        <f t="shared" si="11"/>
        <v>6</v>
      </c>
      <c r="X80" s="310" t="s">
        <v>54</v>
      </c>
      <c r="Y80" s="310" t="s">
        <v>3747</v>
      </c>
      <c r="Z80" s="316"/>
      <c r="AA80" s="316" t="s">
        <v>387</v>
      </c>
      <c r="AB80" s="316" t="s">
        <v>387</v>
      </c>
    </row>
    <row r="81" spans="1:28" x14ac:dyDescent="0.25">
      <c r="A81" s="307">
        <f t="shared" si="7"/>
        <v>75</v>
      </c>
      <c r="B81" s="308">
        <v>45515</v>
      </c>
      <c r="C81" s="309">
        <f t="shared" si="8"/>
        <v>45505</v>
      </c>
      <c r="D81" s="310" t="s">
        <v>51</v>
      </c>
      <c r="E81" s="310" t="s">
        <v>371</v>
      </c>
      <c r="F81" s="311">
        <v>9892288874</v>
      </c>
      <c r="G81" s="316" t="s">
        <v>6</v>
      </c>
      <c r="H81" s="316" t="s">
        <v>406</v>
      </c>
      <c r="I81" s="316" t="s">
        <v>407</v>
      </c>
      <c r="J81" s="310" t="s">
        <v>3730</v>
      </c>
      <c r="K81" s="312">
        <v>31630</v>
      </c>
      <c r="L81" s="312">
        <v>46620</v>
      </c>
      <c r="M81" s="313">
        <f t="shared" si="9"/>
        <v>14990</v>
      </c>
      <c r="N81" s="314">
        <f t="shared" si="10"/>
        <v>0.321535821535822</v>
      </c>
      <c r="O81" s="312">
        <v>31630</v>
      </c>
      <c r="P81" s="313">
        <f t="shared" si="6"/>
        <v>0</v>
      </c>
      <c r="Q81" s="310" t="s">
        <v>147</v>
      </c>
      <c r="R81" s="310">
        <v>86</v>
      </c>
      <c r="S81" s="310" t="s">
        <v>267</v>
      </c>
      <c r="T81" s="308">
        <v>45520</v>
      </c>
      <c r="U81" s="308">
        <v>45520</v>
      </c>
      <c r="V81" s="308"/>
      <c r="W81" s="315">
        <f t="shared" si="11"/>
        <v>5</v>
      </c>
      <c r="X81" s="310" t="s">
        <v>54</v>
      </c>
      <c r="Y81" s="310" t="s">
        <v>3747</v>
      </c>
      <c r="Z81" s="316"/>
      <c r="AA81" s="316" t="s">
        <v>387</v>
      </c>
      <c r="AB81" s="316" t="s">
        <v>387</v>
      </c>
    </row>
    <row r="82" spans="1:28" x14ac:dyDescent="0.25">
      <c r="A82" s="307">
        <f t="shared" si="7"/>
        <v>76</v>
      </c>
      <c r="B82" s="308">
        <v>45515</v>
      </c>
      <c r="C82" s="309">
        <f t="shared" si="8"/>
        <v>45505</v>
      </c>
      <c r="D82" s="310" t="s">
        <v>56</v>
      </c>
      <c r="E82" s="310" t="s">
        <v>38</v>
      </c>
      <c r="F82" s="311">
        <v>9515412075</v>
      </c>
      <c r="G82" s="316" t="s">
        <v>105</v>
      </c>
      <c r="H82" s="316" t="s">
        <v>26</v>
      </c>
      <c r="I82" s="316" t="s">
        <v>408</v>
      </c>
      <c r="J82" s="310" t="s">
        <v>59</v>
      </c>
      <c r="K82" s="312">
        <v>49140</v>
      </c>
      <c r="L82" s="312">
        <v>73080</v>
      </c>
      <c r="M82" s="313">
        <f t="shared" si="9"/>
        <v>23940</v>
      </c>
      <c r="N82" s="314">
        <f t="shared" si="10"/>
        <v>0.327586206896552</v>
      </c>
      <c r="O82" s="312"/>
      <c r="P82" s="313" t="str">
        <f t="shared" si="6"/>
        <v/>
      </c>
      <c r="Q82" s="310" t="s">
        <v>147</v>
      </c>
      <c r="R82" s="310">
        <v>87</v>
      </c>
      <c r="S82" s="310" t="s">
        <v>267</v>
      </c>
      <c r="T82" s="308">
        <v>45520</v>
      </c>
      <c r="U82" s="308">
        <v>45520</v>
      </c>
      <c r="V82" s="308"/>
      <c r="W82" s="315">
        <f t="shared" si="11"/>
        <v>5</v>
      </c>
      <c r="X82" s="310" t="s">
        <v>54</v>
      </c>
      <c r="Y82" s="310" t="s">
        <v>56</v>
      </c>
      <c r="Z82" s="316" t="s">
        <v>154</v>
      </c>
      <c r="AA82" s="316" t="s">
        <v>387</v>
      </c>
      <c r="AB82" s="316" t="s">
        <v>387</v>
      </c>
    </row>
    <row r="83" spans="1:28" x14ac:dyDescent="0.25">
      <c r="A83" s="307">
        <f t="shared" si="7"/>
        <v>77</v>
      </c>
      <c r="B83" s="308">
        <v>45517</v>
      </c>
      <c r="C83" s="309">
        <f t="shared" si="8"/>
        <v>45505</v>
      </c>
      <c r="D83" s="310" t="s">
        <v>51</v>
      </c>
      <c r="E83" s="310" t="s">
        <v>376</v>
      </c>
      <c r="F83" s="311">
        <v>9139770277</v>
      </c>
      <c r="G83" s="316" t="s">
        <v>6</v>
      </c>
      <c r="H83" s="316" t="s">
        <v>409</v>
      </c>
      <c r="I83" s="316" t="s">
        <v>410</v>
      </c>
      <c r="J83" s="310" t="s">
        <v>168</v>
      </c>
      <c r="K83" s="312">
        <v>29520</v>
      </c>
      <c r="L83" s="312">
        <v>50400</v>
      </c>
      <c r="M83" s="313">
        <f t="shared" si="9"/>
        <v>20880</v>
      </c>
      <c r="N83" s="314">
        <f t="shared" si="10"/>
        <v>0.414285714285714</v>
      </c>
      <c r="O83" s="312">
        <v>29520</v>
      </c>
      <c r="P83" s="313">
        <f t="shared" si="6"/>
        <v>0</v>
      </c>
      <c r="Q83" s="310" t="s">
        <v>147</v>
      </c>
      <c r="R83" s="310">
        <v>88</v>
      </c>
      <c r="S83" s="310" t="s">
        <v>267</v>
      </c>
      <c r="T83" s="308">
        <v>45520</v>
      </c>
      <c r="U83" s="308">
        <v>45520</v>
      </c>
      <c r="V83" s="308"/>
      <c r="W83" s="315">
        <f t="shared" si="11"/>
        <v>3</v>
      </c>
      <c r="X83" s="310" t="s">
        <v>54</v>
      </c>
      <c r="Y83" s="310" t="s">
        <v>529</v>
      </c>
      <c r="Z83" s="316"/>
      <c r="AA83" s="316" t="s">
        <v>387</v>
      </c>
      <c r="AB83" s="316" t="s">
        <v>387</v>
      </c>
    </row>
    <row r="84" spans="1:28" x14ac:dyDescent="0.25">
      <c r="A84" s="307">
        <f t="shared" si="7"/>
        <v>78</v>
      </c>
      <c r="B84" s="308">
        <v>45518</v>
      </c>
      <c r="C84" s="309">
        <f t="shared" si="8"/>
        <v>45505</v>
      </c>
      <c r="D84" s="310" t="s">
        <v>56</v>
      </c>
      <c r="E84" s="310" t="s">
        <v>38</v>
      </c>
      <c r="F84" s="311">
        <v>9515412075</v>
      </c>
      <c r="G84" s="316" t="s">
        <v>6</v>
      </c>
      <c r="H84" s="316" t="s">
        <v>411</v>
      </c>
      <c r="I84" s="316" t="s">
        <v>412</v>
      </c>
      <c r="J84" s="310" t="s">
        <v>59</v>
      </c>
      <c r="K84" s="312">
        <v>46590</v>
      </c>
      <c r="L84" s="312">
        <v>56070</v>
      </c>
      <c r="M84" s="313">
        <f t="shared" si="9"/>
        <v>9480</v>
      </c>
      <c r="N84" s="314">
        <f t="shared" si="10"/>
        <v>0.169074371321562</v>
      </c>
      <c r="O84" s="312">
        <v>46590</v>
      </c>
      <c r="P84" s="313">
        <f t="shared" si="6"/>
        <v>0</v>
      </c>
      <c r="Q84" s="310" t="s">
        <v>147</v>
      </c>
      <c r="R84" s="310">
        <v>89</v>
      </c>
      <c r="S84" s="310" t="s">
        <v>267</v>
      </c>
      <c r="T84" s="308">
        <v>45520</v>
      </c>
      <c r="U84" s="308">
        <v>45520</v>
      </c>
      <c r="V84" s="308"/>
      <c r="W84" s="315">
        <f t="shared" si="11"/>
        <v>2</v>
      </c>
      <c r="X84" s="310" t="s">
        <v>54</v>
      </c>
      <c r="Y84" s="310" t="s">
        <v>56</v>
      </c>
      <c r="Z84" s="316" t="s">
        <v>154</v>
      </c>
      <c r="AA84" s="316" t="s">
        <v>387</v>
      </c>
      <c r="AB84" s="316" t="s">
        <v>387</v>
      </c>
    </row>
    <row r="85" spans="1:28" x14ac:dyDescent="0.25">
      <c r="A85" s="307">
        <f t="shared" si="7"/>
        <v>79</v>
      </c>
      <c r="B85" s="308">
        <v>45518</v>
      </c>
      <c r="C85" s="309">
        <f t="shared" si="8"/>
        <v>45505</v>
      </c>
      <c r="D85" s="310" t="s">
        <v>51</v>
      </c>
      <c r="E85" s="310" t="s">
        <v>379</v>
      </c>
      <c r="F85" s="311">
        <v>9577978275</v>
      </c>
      <c r="G85" s="316" t="s">
        <v>6</v>
      </c>
      <c r="H85" s="316" t="s">
        <v>413</v>
      </c>
      <c r="I85" s="316" t="s">
        <v>414</v>
      </c>
      <c r="J85" s="310" t="s">
        <v>3730</v>
      </c>
      <c r="K85" s="312">
        <v>31630</v>
      </c>
      <c r="L85" s="312">
        <v>46620</v>
      </c>
      <c r="M85" s="313">
        <f t="shared" si="9"/>
        <v>14990</v>
      </c>
      <c r="N85" s="314">
        <f t="shared" si="10"/>
        <v>0.321535821535822</v>
      </c>
      <c r="O85" s="312">
        <v>31630</v>
      </c>
      <c r="P85" s="313">
        <f t="shared" si="6"/>
        <v>0</v>
      </c>
      <c r="Q85" s="310" t="s">
        <v>147</v>
      </c>
      <c r="R85" s="310">
        <v>90</v>
      </c>
      <c r="S85" s="310" t="s">
        <v>267</v>
      </c>
      <c r="T85" s="308">
        <v>45523</v>
      </c>
      <c r="U85" s="308">
        <v>45523</v>
      </c>
      <c r="V85" s="308"/>
      <c r="W85" s="315">
        <f t="shared" si="11"/>
        <v>5</v>
      </c>
      <c r="X85" s="310" t="s">
        <v>54</v>
      </c>
      <c r="Y85" s="310" t="s">
        <v>529</v>
      </c>
      <c r="Z85" s="316"/>
      <c r="AA85" s="316" t="s">
        <v>389</v>
      </c>
      <c r="AB85" s="316" t="s">
        <v>389</v>
      </c>
    </row>
    <row r="86" spans="1:28" x14ac:dyDescent="0.25">
      <c r="A86" s="307">
        <f t="shared" si="7"/>
        <v>80</v>
      </c>
      <c r="B86" s="308">
        <v>45518</v>
      </c>
      <c r="C86" s="309">
        <f t="shared" si="8"/>
        <v>45505</v>
      </c>
      <c r="D86" s="310" t="s">
        <v>51</v>
      </c>
      <c r="E86" s="310" t="s">
        <v>382</v>
      </c>
      <c r="F86" s="311">
        <v>9573610475</v>
      </c>
      <c r="G86" s="316" t="s">
        <v>6</v>
      </c>
      <c r="H86" s="316" t="s">
        <v>26</v>
      </c>
      <c r="I86" s="316" t="s">
        <v>415</v>
      </c>
      <c r="J86" s="310" t="s">
        <v>3730</v>
      </c>
      <c r="K86" s="312">
        <v>36540</v>
      </c>
      <c r="L86" s="312">
        <v>47250</v>
      </c>
      <c r="M86" s="313">
        <f t="shared" si="9"/>
        <v>10710</v>
      </c>
      <c r="N86" s="314">
        <f t="shared" si="10"/>
        <v>0.226666666666667</v>
      </c>
      <c r="O86" s="312">
        <v>36540</v>
      </c>
      <c r="P86" s="313">
        <f t="shared" si="6"/>
        <v>0</v>
      </c>
      <c r="Q86" s="310" t="s">
        <v>147</v>
      </c>
      <c r="R86" s="310">
        <v>91</v>
      </c>
      <c r="S86" s="310" t="s">
        <v>267</v>
      </c>
      <c r="T86" s="308">
        <v>45522</v>
      </c>
      <c r="U86" s="308">
        <v>45522</v>
      </c>
      <c r="V86" s="308"/>
      <c r="W86" s="315">
        <f t="shared" si="11"/>
        <v>4</v>
      </c>
      <c r="X86" s="310" t="s">
        <v>54</v>
      </c>
      <c r="Y86" s="310" t="s">
        <v>529</v>
      </c>
      <c r="Z86" s="316"/>
      <c r="AA86" s="316" t="s">
        <v>388</v>
      </c>
      <c r="AB86" s="316" t="s">
        <v>388</v>
      </c>
    </row>
    <row r="87" spans="1:28" x14ac:dyDescent="0.25">
      <c r="A87" s="307">
        <f t="shared" si="7"/>
        <v>81</v>
      </c>
      <c r="B87" s="308">
        <v>45518</v>
      </c>
      <c r="C87" s="309">
        <f t="shared" si="8"/>
        <v>45505</v>
      </c>
      <c r="D87" s="310" t="s">
        <v>51</v>
      </c>
      <c r="E87" s="310" t="s">
        <v>2334</v>
      </c>
      <c r="F87" s="311"/>
      <c r="G87" s="316" t="s">
        <v>6</v>
      </c>
      <c r="H87" s="316" t="s">
        <v>26</v>
      </c>
      <c r="I87" s="316" t="s">
        <v>416</v>
      </c>
      <c r="J87" s="310" t="s">
        <v>381</v>
      </c>
      <c r="K87" s="312">
        <v>209420</v>
      </c>
      <c r="L87" s="312">
        <v>264250</v>
      </c>
      <c r="M87" s="313">
        <f t="shared" si="9"/>
        <v>54830</v>
      </c>
      <c r="N87" s="314">
        <f t="shared" si="10"/>
        <v>0.207492904446547</v>
      </c>
      <c r="O87" s="312">
        <v>209420</v>
      </c>
      <c r="P87" s="313">
        <f t="shared" si="6"/>
        <v>0</v>
      </c>
      <c r="Q87" s="310" t="s">
        <v>267</v>
      </c>
      <c r="R87" s="310"/>
      <c r="S87" s="310" t="s">
        <v>267</v>
      </c>
      <c r="T87" s="308">
        <v>45520</v>
      </c>
      <c r="U87" s="308">
        <v>45520</v>
      </c>
      <c r="V87" s="308"/>
      <c r="W87" s="315">
        <f t="shared" si="11"/>
        <v>2</v>
      </c>
      <c r="X87" s="310" t="s">
        <v>54</v>
      </c>
      <c r="Y87" s="310" t="s">
        <v>2334</v>
      </c>
      <c r="Z87" s="316"/>
      <c r="AA87" s="316" t="s">
        <v>387</v>
      </c>
      <c r="AB87" s="316" t="s">
        <v>387</v>
      </c>
    </row>
    <row r="88" spans="1:28" x14ac:dyDescent="0.25">
      <c r="A88" s="307">
        <f t="shared" si="7"/>
        <v>82</v>
      </c>
      <c r="B88" s="308">
        <v>45519</v>
      </c>
      <c r="C88" s="309">
        <f t="shared" si="8"/>
        <v>45505</v>
      </c>
      <c r="D88" s="310" t="s">
        <v>56</v>
      </c>
      <c r="E88" s="310" t="s">
        <v>60</v>
      </c>
      <c r="F88" s="311">
        <v>9589264337</v>
      </c>
      <c r="G88" s="316" t="s">
        <v>105</v>
      </c>
      <c r="H88" s="316" t="s">
        <v>26</v>
      </c>
      <c r="I88" s="316" t="s">
        <v>417</v>
      </c>
      <c r="J88" s="310" t="s">
        <v>3730</v>
      </c>
      <c r="K88" s="312">
        <v>52630</v>
      </c>
      <c r="L88" s="312">
        <v>96390</v>
      </c>
      <c r="M88" s="313">
        <f t="shared" si="9"/>
        <v>43760</v>
      </c>
      <c r="N88" s="314">
        <f t="shared" si="10"/>
        <v>0.453989003008611</v>
      </c>
      <c r="O88" s="312"/>
      <c r="P88" s="313" t="str">
        <f t="shared" si="6"/>
        <v/>
      </c>
      <c r="Q88" s="310" t="s">
        <v>147</v>
      </c>
      <c r="R88" s="310">
        <v>92</v>
      </c>
      <c r="S88" s="310" t="s">
        <v>267</v>
      </c>
      <c r="T88" s="308">
        <v>45522</v>
      </c>
      <c r="U88" s="308">
        <v>45522</v>
      </c>
      <c r="V88" s="308"/>
      <c r="W88" s="315">
        <f t="shared" si="11"/>
        <v>3</v>
      </c>
      <c r="X88" s="310" t="s">
        <v>54</v>
      </c>
      <c r="Y88" s="310" t="s">
        <v>56</v>
      </c>
      <c r="Z88" s="316"/>
      <c r="AA88" s="316" t="s">
        <v>388</v>
      </c>
      <c r="AB88" s="316" t="s">
        <v>388</v>
      </c>
    </row>
    <row r="89" spans="1:28" x14ac:dyDescent="0.25">
      <c r="A89" s="307">
        <f t="shared" si="7"/>
        <v>83</v>
      </c>
      <c r="B89" s="308">
        <v>45520</v>
      </c>
      <c r="C89" s="309">
        <f t="shared" si="8"/>
        <v>45505</v>
      </c>
      <c r="D89" s="310" t="s">
        <v>51</v>
      </c>
      <c r="E89" s="310" t="s">
        <v>383</v>
      </c>
      <c r="F89" s="311">
        <v>9316665035</v>
      </c>
      <c r="G89" s="316" t="s">
        <v>6</v>
      </c>
      <c r="H89" s="316" t="s">
        <v>26</v>
      </c>
      <c r="I89" s="316" t="s">
        <v>418</v>
      </c>
      <c r="J89" s="310" t="s">
        <v>384</v>
      </c>
      <c r="K89" s="312">
        <v>30710</v>
      </c>
      <c r="L89" s="312">
        <v>44100</v>
      </c>
      <c r="M89" s="313">
        <f t="shared" si="9"/>
        <v>13390</v>
      </c>
      <c r="N89" s="314">
        <f t="shared" si="10"/>
        <v>0.303628117913832</v>
      </c>
      <c r="O89" s="312">
        <v>30710</v>
      </c>
      <c r="P89" s="313">
        <f t="shared" si="6"/>
        <v>0</v>
      </c>
      <c r="Q89" s="310" t="s">
        <v>147</v>
      </c>
      <c r="R89" s="310">
        <v>93</v>
      </c>
      <c r="S89" s="310" t="s">
        <v>267</v>
      </c>
      <c r="T89" s="308">
        <v>45524</v>
      </c>
      <c r="U89" s="308">
        <v>45524</v>
      </c>
      <c r="V89" s="308"/>
      <c r="W89" s="315">
        <f t="shared" si="11"/>
        <v>4</v>
      </c>
      <c r="X89" s="310" t="s">
        <v>54</v>
      </c>
      <c r="Y89" s="310" t="s">
        <v>529</v>
      </c>
      <c r="Z89" s="316"/>
      <c r="AA89" s="316" t="s">
        <v>392</v>
      </c>
      <c r="AB89" s="316" t="s">
        <v>392</v>
      </c>
    </row>
    <row r="90" spans="1:28" x14ac:dyDescent="0.25">
      <c r="A90" s="307">
        <f t="shared" si="7"/>
        <v>84</v>
      </c>
      <c r="B90" s="308">
        <v>45520</v>
      </c>
      <c r="C90" s="309">
        <f t="shared" si="8"/>
        <v>45505</v>
      </c>
      <c r="D90" s="310" t="s">
        <v>51</v>
      </c>
      <c r="E90" s="310" t="s">
        <v>385</v>
      </c>
      <c r="F90" s="311">
        <v>9742039597</v>
      </c>
      <c r="G90" s="316" t="s">
        <v>6</v>
      </c>
      <c r="H90" s="316" t="s">
        <v>419</v>
      </c>
      <c r="I90" s="316" t="s">
        <v>420</v>
      </c>
      <c r="J90" s="310" t="s">
        <v>59</v>
      </c>
      <c r="K90" s="312">
        <v>33140</v>
      </c>
      <c r="L90" s="312">
        <v>56700</v>
      </c>
      <c r="M90" s="313">
        <f t="shared" si="9"/>
        <v>23560</v>
      </c>
      <c r="N90" s="314">
        <f t="shared" si="10"/>
        <v>0.415520282186949</v>
      </c>
      <c r="O90" s="312">
        <v>33140</v>
      </c>
      <c r="P90" s="313">
        <f t="shared" si="6"/>
        <v>0</v>
      </c>
      <c r="Q90" s="310" t="s">
        <v>147</v>
      </c>
      <c r="R90" s="310">
        <v>94</v>
      </c>
      <c r="S90" s="310" t="s">
        <v>267</v>
      </c>
      <c r="T90" s="308">
        <v>45525</v>
      </c>
      <c r="U90" s="308">
        <v>45525</v>
      </c>
      <c r="V90" s="308"/>
      <c r="W90" s="315">
        <f t="shared" si="11"/>
        <v>5</v>
      </c>
      <c r="X90" s="310" t="s">
        <v>54</v>
      </c>
      <c r="Y90" s="310" t="s">
        <v>529</v>
      </c>
      <c r="Z90" s="316"/>
      <c r="AA90" s="316" t="s">
        <v>393</v>
      </c>
      <c r="AB90" s="316" t="s">
        <v>393</v>
      </c>
    </row>
    <row r="91" spans="1:28" x14ac:dyDescent="0.25">
      <c r="A91" s="307">
        <f t="shared" si="7"/>
        <v>85</v>
      </c>
      <c r="B91" s="308">
        <v>45524</v>
      </c>
      <c r="C91" s="309">
        <f t="shared" si="8"/>
        <v>45505</v>
      </c>
      <c r="D91" s="310" t="s">
        <v>56</v>
      </c>
      <c r="E91" s="310" t="s">
        <v>38</v>
      </c>
      <c r="F91" s="311">
        <v>9515412075</v>
      </c>
      <c r="G91" s="316" t="s">
        <v>6</v>
      </c>
      <c r="H91" s="316" t="s">
        <v>26</v>
      </c>
      <c r="I91" s="316" t="s">
        <v>377</v>
      </c>
      <c r="J91" s="310" t="s">
        <v>59</v>
      </c>
      <c r="K91" s="312">
        <v>51880</v>
      </c>
      <c r="L91" s="312">
        <v>91350</v>
      </c>
      <c r="M91" s="313">
        <f t="shared" si="9"/>
        <v>39470</v>
      </c>
      <c r="N91" s="314">
        <f t="shared" si="10"/>
        <v>0.432074438970991</v>
      </c>
      <c r="O91" s="312"/>
      <c r="P91" s="313" t="str">
        <f t="shared" si="6"/>
        <v/>
      </c>
      <c r="Q91" s="310" t="s">
        <v>147</v>
      </c>
      <c r="R91" s="310">
        <v>95</v>
      </c>
      <c r="S91" s="310" t="s">
        <v>267</v>
      </c>
      <c r="T91" s="308">
        <v>45527</v>
      </c>
      <c r="U91" s="308">
        <v>45528</v>
      </c>
      <c r="V91" s="308"/>
      <c r="W91" s="315">
        <f t="shared" si="11"/>
        <v>4</v>
      </c>
      <c r="X91" s="310" t="s">
        <v>54</v>
      </c>
      <c r="Y91" s="310" t="s">
        <v>56</v>
      </c>
      <c r="Z91" s="316"/>
      <c r="AA91" s="316" t="s">
        <v>390</v>
      </c>
      <c r="AB91" s="316" t="s">
        <v>391</v>
      </c>
    </row>
    <row r="92" spans="1:28" x14ac:dyDescent="0.25">
      <c r="A92" s="307">
        <f t="shared" si="7"/>
        <v>86</v>
      </c>
      <c r="B92" s="308">
        <v>45525</v>
      </c>
      <c r="C92" s="309">
        <f t="shared" si="8"/>
        <v>45505</v>
      </c>
      <c r="D92" s="310" t="s">
        <v>56</v>
      </c>
      <c r="E92" s="310" t="s">
        <v>60</v>
      </c>
      <c r="F92" s="311">
        <v>9589264337</v>
      </c>
      <c r="G92" s="316" t="s">
        <v>6</v>
      </c>
      <c r="H92" s="316" t="s">
        <v>421</v>
      </c>
      <c r="I92" s="316" t="s">
        <v>428</v>
      </c>
      <c r="J92" s="310" t="s">
        <v>3730</v>
      </c>
      <c r="K92" s="312">
        <v>45170</v>
      </c>
      <c r="L92" s="312">
        <v>46620</v>
      </c>
      <c r="M92" s="313">
        <f t="shared" si="9"/>
        <v>1450</v>
      </c>
      <c r="N92" s="314">
        <f t="shared" si="10"/>
        <v>0.0311025311025311</v>
      </c>
      <c r="O92" s="312"/>
      <c r="P92" s="313" t="str">
        <f t="shared" si="6"/>
        <v/>
      </c>
      <c r="Q92" s="310" t="s">
        <v>147</v>
      </c>
      <c r="R92" s="310">
        <v>96</v>
      </c>
      <c r="S92" s="310" t="s">
        <v>267</v>
      </c>
      <c r="T92" s="308">
        <v>45529</v>
      </c>
      <c r="U92" s="308">
        <v>45530</v>
      </c>
      <c r="V92" s="308"/>
      <c r="W92" s="315">
        <f t="shared" si="11"/>
        <v>5</v>
      </c>
      <c r="X92" s="310" t="s">
        <v>54</v>
      </c>
      <c r="Y92" s="310" t="s">
        <v>56</v>
      </c>
      <c r="Z92" s="316"/>
      <c r="AA92" s="316" t="s">
        <v>395</v>
      </c>
      <c r="AB92" s="316" t="s">
        <v>398</v>
      </c>
    </row>
    <row r="93" spans="1:28" x14ac:dyDescent="0.25">
      <c r="A93" s="307">
        <f t="shared" si="7"/>
        <v>87</v>
      </c>
      <c r="B93" s="308">
        <v>45528</v>
      </c>
      <c r="C93" s="309">
        <f t="shared" si="8"/>
        <v>45505</v>
      </c>
      <c r="D93" s="310" t="s">
        <v>51</v>
      </c>
      <c r="E93" s="310" t="s">
        <v>396</v>
      </c>
      <c r="F93" s="311">
        <v>9772336065</v>
      </c>
      <c r="G93" s="316" t="s">
        <v>6</v>
      </c>
      <c r="H93" s="316" t="s">
        <v>422</v>
      </c>
      <c r="I93" s="316" t="s">
        <v>423</v>
      </c>
      <c r="J93" s="310" t="s">
        <v>3730</v>
      </c>
      <c r="K93" s="312">
        <v>33770</v>
      </c>
      <c r="L93" s="312">
        <v>46620</v>
      </c>
      <c r="M93" s="313">
        <f t="shared" si="9"/>
        <v>12850</v>
      </c>
      <c r="N93" s="314">
        <f t="shared" si="10"/>
        <v>0.275632775632776</v>
      </c>
      <c r="O93" s="312">
        <v>33770</v>
      </c>
      <c r="P93" s="313">
        <f t="shared" si="6"/>
        <v>0</v>
      </c>
      <c r="Q93" s="310" t="s">
        <v>147</v>
      </c>
      <c r="R93" s="310">
        <v>97</v>
      </c>
      <c r="S93" s="310" t="s">
        <v>267</v>
      </c>
      <c r="T93" s="308">
        <v>45532</v>
      </c>
      <c r="U93" s="308">
        <v>45532</v>
      </c>
      <c r="V93" s="308"/>
      <c r="W93" s="315">
        <f t="shared" si="11"/>
        <v>4</v>
      </c>
      <c r="X93" s="310" t="s">
        <v>54</v>
      </c>
      <c r="Y93" s="310" t="s">
        <v>529</v>
      </c>
      <c r="Z93" s="316"/>
      <c r="AA93" s="316" t="s">
        <v>431</v>
      </c>
      <c r="AB93" s="316" t="s">
        <v>431</v>
      </c>
    </row>
    <row r="94" spans="1:28" x14ac:dyDescent="0.25">
      <c r="A94" s="307">
        <f t="shared" si="7"/>
        <v>88</v>
      </c>
      <c r="B94" s="308">
        <v>45528</v>
      </c>
      <c r="C94" s="309">
        <f t="shared" si="8"/>
        <v>45505</v>
      </c>
      <c r="D94" s="310" t="s">
        <v>51</v>
      </c>
      <c r="E94" s="310" t="s">
        <v>397</v>
      </c>
      <c r="F94" s="311">
        <v>9788395365</v>
      </c>
      <c r="G94" s="316" t="s">
        <v>105</v>
      </c>
      <c r="H94" s="316" t="s">
        <v>26</v>
      </c>
      <c r="I94" s="316" t="s">
        <v>6</v>
      </c>
      <c r="J94" s="310" t="s">
        <v>3730</v>
      </c>
      <c r="K94" s="312">
        <v>67210</v>
      </c>
      <c r="L94" s="312">
        <v>96390</v>
      </c>
      <c r="M94" s="313">
        <f t="shared" si="9"/>
        <v>29180</v>
      </c>
      <c r="N94" s="314">
        <f t="shared" si="10"/>
        <v>0.30272849880693</v>
      </c>
      <c r="O94" s="312">
        <v>67210</v>
      </c>
      <c r="P94" s="313">
        <f t="shared" si="6"/>
        <v>0</v>
      </c>
      <c r="Q94" s="310" t="s">
        <v>147</v>
      </c>
      <c r="R94" s="310">
        <v>98</v>
      </c>
      <c r="S94" s="310" t="s">
        <v>267</v>
      </c>
      <c r="T94" s="308">
        <v>45533</v>
      </c>
      <c r="U94" s="308">
        <v>45533</v>
      </c>
      <c r="V94" s="308"/>
      <c r="W94" s="315">
        <f t="shared" si="11"/>
        <v>5</v>
      </c>
      <c r="X94" s="310" t="s">
        <v>54</v>
      </c>
      <c r="Y94" s="310" t="s">
        <v>3748</v>
      </c>
      <c r="Z94" s="316"/>
      <c r="AA94" s="316" t="s">
        <v>432</v>
      </c>
      <c r="AB94" s="316" t="s">
        <v>432</v>
      </c>
    </row>
    <row r="95" spans="1:28" x14ac:dyDescent="0.25">
      <c r="A95" s="307">
        <f t="shared" si="7"/>
        <v>89</v>
      </c>
      <c r="B95" s="308">
        <v>45528</v>
      </c>
      <c r="C95" s="309">
        <f t="shared" si="8"/>
        <v>45505</v>
      </c>
      <c r="D95" s="310" t="s">
        <v>51</v>
      </c>
      <c r="E95" s="310" t="s">
        <v>368</v>
      </c>
      <c r="F95" s="311">
        <v>9065465756</v>
      </c>
      <c r="G95" s="316" t="s">
        <v>6</v>
      </c>
      <c r="H95" s="316" t="s">
        <v>26</v>
      </c>
      <c r="I95" s="316" t="s">
        <v>424</v>
      </c>
      <c r="J95" s="310" t="s">
        <v>3730</v>
      </c>
      <c r="K95" s="312">
        <v>40160</v>
      </c>
      <c r="L95" s="312">
        <v>53550</v>
      </c>
      <c r="M95" s="313">
        <f t="shared" si="9"/>
        <v>13390</v>
      </c>
      <c r="N95" s="314">
        <f t="shared" si="10"/>
        <v>0.250046685340803</v>
      </c>
      <c r="O95" s="312">
        <v>40160</v>
      </c>
      <c r="P95" s="313">
        <f t="shared" si="6"/>
        <v>0</v>
      </c>
      <c r="Q95" s="310" t="s">
        <v>147</v>
      </c>
      <c r="R95" s="310">
        <v>99</v>
      </c>
      <c r="S95" s="310" t="s">
        <v>267</v>
      </c>
      <c r="T95" s="308">
        <v>45533</v>
      </c>
      <c r="U95" s="308">
        <v>45533</v>
      </c>
      <c r="V95" s="308"/>
      <c r="W95" s="315">
        <f t="shared" si="11"/>
        <v>5</v>
      </c>
      <c r="X95" s="310" t="s">
        <v>54</v>
      </c>
      <c r="Y95" s="310" t="s">
        <v>3747</v>
      </c>
      <c r="Z95" s="316" t="s">
        <v>402</v>
      </c>
      <c r="AA95" s="316" t="s">
        <v>432</v>
      </c>
      <c r="AB95" s="316" t="s">
        <v>432</v>
      </c>
    </row>
    <row r="96" spans="1:28" x14ac:dyDescent="0.25">
      <c r="A96" s="307">
        <f t="shared" si="7"/>
        <v>90</v>
      </c>
      <c r="B96" s="308">
        <v>45528</v>
      </c>
      <c r="C96" s="309">
        <f t="shared" si="8"/>
        <v>45505</v>
      </c>
      <c r="D96" s="310" t="s">
        <v>51</v>
      </c>
      <c r="E96" s="310" t="s">
        <v>399</v>
      </c>
      <c r="F96" s="311">
        <v>9748894966</v>
      </c>
      <c r="G96" s="316" t="s">
        <v>6</v>
      </c>
      <c r="H96" s="316" t="s">
        <v>26</v>
      </c>
      <c r="I96" s="316" t="s">
        <v>429</v>
      </c>
      <c r="J96" s="310" t="s">
        <v>168</v>
      </c>
      <c r="K96" s="312">
        <v>25690</v>
      </c>
      <c r="L96" s="312">
        <v>35600</v>
      </c>
      <c r="M96" s="313">
        <f t="shared" si="9"/>
        <v>9910</v>
      </c>
      <c r="N96" s="314">
        <f t="shared" si="10"/>
        <v>0.278370786516854</v>
      </c>
      <c r="O96" s="312">
        <v>25690</v>
      </c>
      <c r="P96" s="313">
        <f t="shared" si="6"/>
        <v>0</v>
      </c>
      <c r="Q96" s="310" t="s">
        <v>147</v>
      </c>
      <c r="R96" s="310">
        <v>100</v>
      </c>
      <c r="S96" s="310" t="s">
        <v>267</v>
      </c>
      <c r="T96" s="308">
        <v>45532</v>
      </c>
      <c r="U96" s="308">
        <v>45532</v>
      </c>
      <c r="V96" s="308"/>
      <c r="W96" s="315">
        <f t="shared" si="11"/>
        <v>4</v>
      </c>
      <c r="X96" s="310" t="s">
        <v>54</v>
      </c>
      <c r="Y96" s="310" t="s">
        <v>529</v>
      </c>
      <c r="Z96" s="316"/>
      <c r="AA96" s="316" t="s">
        <v>431</v>
      </c>
      <c r="AB96" s="316" t="s">
        <v>431</v>
      </c>
    </row>
    <row r="97" spans="1:28" x14ac:dyDescent="0.25">
      <c r="A97" s="307">
        <f t="shared" si="7"/>
        <v>91</v>
      </c>
      <c r="B97" s="308">
        <v>45528</v>
      </c>
      <c r="C97" s="309">
        <f t="shared" si="8"/>
        <v>45505</v>
      </c>
      <c r="D97" s="310" t="s">
        <v>51</v>
      </c>
      <c r="E97" s="310" t="s">
        <v>153</v>
      </c>
      <c r="F97" s="311">
        <v>9950818773</v>
      </c>
      <c r="G97" s="316" t="s">
        <v>6</v>
      </c>
      <c r="H97" s="316" t="s">
        <v>425</v>
      </c>
      <c r="I97" s="316" t="s">
        <v>426</v>
      </c>
      <c r="J97" s="310" t="s">
        <v>3730</v>
      </c>
      <c r="K97" s="312">
        <v>33640</v>
      </c>
      <c r="L97" s="312">
        <v>52920</v>
      </c>
      <c r="M97" s="313">
        <f t="shared" si="9"/>
        <v>19280</v>
      </c>
      <c r="N97" s="314">
        <f t="shared" si="10"/>
        <v>0.36432350718065</v>
      </c>
      <c r="O97" s="312">
        <v>33640</v>
      </c>
      <c r="P97" s="313">
        <f t="shared" si="6"/>
        <v>0</v>
      </c>
      <c r="Q97" s="310" t="s">
        <v>147</v>
      </c>
      <c r="R97" s="310">
        <v>101</v>
      </c>
      <c r="S97" s="310" t="s">
        <v>267</v>
      </c>
      <c r="T97" s="308">
        <v>45532</v>
      </c>
      <c r="U97" s="308">
        <v>45532</v>
      </c>
      <c r="V97" s="308"/>
      <c r="W97" s="315">
        <f t="shared" si="11"/>
        <v>4</v>
      </c>
      <c r="X97" s="310" t="s">
        <v>54</v>
      </c>
      <c r="Y97" s="310" t="s">
        <v>529</v>
      </c>
      <c r="Z97" s="316"/>
      <c r="AA97" s="316" t="s">
        <v>431</v>
      </c>
      <c r="AB97" s="316" t="s">
        <v>431</v>
      </c>
    </row>
    <row r="98" spans="1:28" x14ac:dyDescent="0.25">
      <c r="A98" s="307">
        <f t="shared" si="7"/>
        <v>92</v>
      </c>
      <c r="B98" s="308">
        <v>45531</v>
      </c>
      <c r="C98" s="309">
        <f t="shared" si="8"/>
        <v>45505</v>
      </c>
      <c r="D98" s="310" t="s">
        <v>51</v>
      </c>
      <c r="E98" s="310" t="s">
        <v>401</v>
      </c>
      <c r="F98" s="311">
        <v>9923171297</v>
      </c>
      <c r="G98" s="316" t="s">
        <v>6</v>
      </c>
      <c r="H98" s="316" t="s">
        <v>26</v>
      </c>
      <c r="I98" s="316" t="s">
        <v>430</v>
      </c>
      <c r="J98" s="310" t="s">
        <v>623</v>
      </c>
      <c r="K98" s="312">
        <v>25690</v>
      </c>
      <c r="L98" s="312">
        <v>35600</v>
      </c>
      <c r="M98" s="313">
        <f t="shared" si="9"/>
        <v>9910</v>
      </c>
      <c r="N98" s="314">
        <f t="shared" si="10"/>
        <v>0.278370786516854</v>
      </c>
      <c r="O98" s="312">
        <v>25690</v>
      </c>
      <c r="P98" s="313">
        <f t="shared" si="6"/>
        <v>0</v>
      </c>
      <c r="Q98" s="310" t="s">
        <v>147</v>
      </c>
      <c r="R98" s="310">
        <v>102</v>
      </c>
      <c r="S98" s="310" t="s">
        <v>267</v>
      </c>
      <c r="T98" s="308">
        <v>45534</v>
      </c>
      <c r="U98" s="308">
        <v>45534</v>
      </c>
      <c r="V98" s="308"/>
      <c r="W98" s="315">
        <f t="shared" si="11"/>
        <v>3</v>
      </c>
      <c r="X98" s="310" t="s">
        <v>54</v>
      </c>
      <c r="Y98" s="310" t="s">
        <v>529</v>
      </c>
      <c r="Z98" s="316"/>
      <c r="AA98" s="316" t="s">
        <v>433</v>
      </c>
      <c r="AB98" s="316" t="s">
        <v>433</v>
      </c>
    </row>
    <row r="99" spans="1:28" x14ac:dyDescent="0.25">
      <c r="A99" s="307">
        <f t="shared" si="7"/>
        <v>93</v>
      </c>
      <c r="B99" s="308">
        <v>45531</v>
      </c>
      <c r="C99" s="309">
        <f t="shared" si="8"/>
        <v>45505</v>
      </c>
      <c r="D99" s="310" t="s">
        <v>51</v>
      </c>
      <c r="E99" s="310" t="s">
        <v>224</v>
      </c>
      <c r="F99" s="311">
        <v>9358929187</v>
      </c>
      <c r="G99" s="316" t="s">
        <v>6</v>
      </c>
      <c r="H99" s="316" t="s">
        <v>26</v>
      </c>
      <c r="I99" s="316" t="s">
        <v>532</v>
      </c>
      <c r="J99" s="310" t="s">
        <v>3730</v>
      </c>
      <c r="K99" s="312">
        <v>34300</v>
      </c>
      <c r="L99" s="312">
        <v>46620</v>
      </c>
      <c r="M99" s="313">
        <f t="shared" si="9"/>
        <v>12320</v>
      </c>
      <c r="N99" s="314">
        <f t="shared" si="10"/>
        <v>0.264264264264264</v>
      </c>
      <c r="O99" s="312">
        <v>34300</v>
      </c>
      <c r="P99" s="313">
        <f t="shared" si="6"/>
        <v>0</v>
      </c>
      <c r="Q99" s="310" t="s">
        <v>147</v>
      </c>
      <c r="R99" s="310">
        <v>103</v>
      </c>
      <c r="S99" s="310" t="s">
        <v>267</v>
      </c>
      <c r="T99" s="308">
        <v>45535</v>
      </c>
      <c r="U99" s="308">
        <v>45535</v>
      </c>
      <c r="V99" s="308"/>
      <c r="W99" s="315">
        <f t="shared" si="11"/>
        <v>4</v>
      </c>
      <c r="X99" s="310" t="s">
        <v>54</v>
      </c>
      <c r="Y99" s="310" t="s">
        <v>3744</v>
      </c>
      <c r="Z99" s="316" t="s">
        <v>402</v>
      </c>
      <c r="AA99" s="316" t="s">
        <v>434</v>
      </c>
      <c r="AB99" s="316" t="s">
        <v>434</v>
      </c>
    </row>
    <row r="100" spans="1:28" x14ac:dyDescent="0.25">
      <c r="A100" s="307">
        <f t="shared" si="7"/>
        <v>94</v>
      </c>
      <c r="B100" s="308">
        <v>45531</v>
      </c>
      <c r="C100" s="309">
        <f t="shared" si="8"/>
        <v>45505</v>
      </c>
      <c r="D100" s="310" t="s">
        <v>51</v>
      </c>
      <c r="E100" s="310" t="s">
        <v>403</v>
      </c>
      <c r="F100" s="311">
        <v>9165942602</v>
      </c>
      <c r="G100" s="316" t="s">
        <v>6</v>
      </c>
      <c r="H100" s="316" t="s">
        <v>369</v>
      </c>
      <c r="I100" s="316" t="s">
        <v>377</v>
      </c>
      <c r="J100" s="310" t="s">
        <v>623</v>
      </c>
      <c r="K100" s="312">
        <v>29550</v>
      </c>
      <c r="L100" s="312">
        <v>43470</v>
      </c>
      <c r="M100" s="313">
        <f t="shared" si="9"/>
        <v>13920</v>
      </c>
      <c r="N100" s="314">
        <f t="shared" si="10"/>
        <v>0.320220841959972</v>
      </c>
      <c r="O100" s="312">
        <v>29550</v>
      </c>
      <c r="P100" s="313">
        <f t="shared" si="6"/>
        <v>0</v>
      </c>
      <c r="Q100" s="310" t="s">
        <v>147</v>
      </c>
      <c r="R100" s="310">
        <v>104</v>
      </c>
      <c r="S100" s="310" t="s">
        <v>267</v>
      </c>
      <c r="T100" s="308">
        <v>45535</v>
      </c>
      <c r="U100" s="308">
        <v>45535</v>
      </c>
      <c r="V100" s="308"/>
      <c r="W100" s="315">
        <f t="shared" si="11"/>
        <v>4</v>
      </c>
      <c r="X100" s="310" t="s">
        <v>54</v>
      </c>
      <c r="Y100" s="310" t="s">
        <v>529</v>
      </c>
      <c r="Z100" s="316" t="s">
        <v>154</v>
      </c>
      <c r="AA100" s="316" t="s">
        <v>434</v>
      </c>
      <c r="AB100" s="316" t="s">
        <v>434</v>
      </c>
    </row>
    <row r="101" spans="1:28" x14ac:dyDescent="0.25">
      <c r="A101" s="307">
        <f t="shared" si="7"/>
        <v>95</v>
      </c>
      <c r="B101" s="308">
        <v>45531</v>
      </c>
      <c r="C101" s="309">
        <f t="shared" si="8"/>
        <v>45505</v>
      </c>
      <c r="D101" s="310" t="s">
        <v>56</v>
      </c>
      <c r="E101" s="310" t="s">
        <v>38</v>
      </c>
      <c r="F101" s="311">
        <v>9515412075</v>
      </c>
      <c r="G101" s="316" t="s">
        <v>6</v>
      </c>
      <c r="H101" s="316" t="s">
        <v>41</v>
      </c>
      <c r="I101" s="316" t="s">
        <v>394</v>
      </c>
      <c r="J101" s="310" t="s">
        <v>59</v>
      </c>
      <c r="K101" s="312">
        <v>44930</v>
      </c>
      <c r="L101" s="312">
        <v>45040</v>
      </c>
      <c r="M101" s="313">
        <f t="shared" si="9"/>
        <v>110</v>
      </c>
      <c r="N101" s="314">
        <f t="shared" si="10"/>
        <v>0.00244227353463588</v>
      </c>
      <c r="O101" s="312"/>
      <c r="P101" s="313" t="str">
        <f t="shared" si="6"/>
        <v/>
      </c>
      <c r="Q101" s="310" t="s">
        <v>147</v>
      </c>
      <c r="R101" s="310">
        <v>105</v>
      </c>
      <c r="S101" s="310" t="s">
        <v>267</v>
      </c>
      <c r="T101" s="308">
        <v>45535</v>
      </c>
      <c r="U101" s="308">
        <v>45535</v>
      </c>
      <c r="V101" s="308"/>
      <c r="W101" s="315">
        <f t="shared" si="11"/>
        <v>4</v>
      </c>
      <c r="X101" s="310" t="s">
        <v>54</v>
      </c>
      <c r="Y101" s="310" t="s">
        <v>56</v>
      </c>
      <c r="Z101" s="316"/>
      <c r="AA101" s="316" t="s">
        <v>434</v>
      </c>
      <c r="AB101" s="316" t="s">
        <v>434</v>
      </c>
    </row>
    <row r="102" spans="1:28" x14ac:dyDescent="0.25">
      <c r="A102" s="307">
        <f t="shared" si="7"/>
        <v>96</v>
      </c>
      <c r="B102" s="308">
        <v>45533</v>
      </c>
      <c r="C102" s="309">
        <f t="shared" si="8"/>
        <v>45505</v>
      </c>
      <c r="D102" s="310" t="s">
        <v>56</v>
      </c>
      <c r="E102" s="310" t="s">
        <v>60</v>
      </c>
      <c r="F102" s="311">
        <v>9589264337</v>
      </c>
      <c r="G102" s="316" t="s">
        <v>42</v>
      </c>
      <c r="H102" s="316" t="s">
        <v>105</v>
      </c>
      <c r="I102" s="316" t="s">
        <v>6</v>
      </c>
      <c r="J102" s="310" t="s">
        <v>3730</v>
      </c>
      <c r="K102" s="312">
        <v>53580</v>
      </c>
      <c r="L102" s="312">
        <v>102690</v>
      </c>
      <c r="M102" s="313">
        <f t="shared" si="9"/>
        <v>49110</v>
      </c>
      <c r="N102" s="314">
        <f t="shared" si="10"/>
        <v>0.478235465965527</v>
      </c>
      <c r="O102" s="312"/>
      <c r="P102" s="313" t="str">
        <f t="shared" si="6"/>
        <v/>
      </c>
      <c r="Q102" s="310" t="s">
        <v>147</v>
      </c>
      <c r="R102" s="310">
        <v>106</v>
      </c>
      <c r="S102" s="310" t="s">
        <v>267</v>
      </c>
      <c r="T102" s="308">
        <v>45537</v>
      </c>
      <c r="U102" s="308">
        <v>45537</v>
      </c>
      <c r="V102" s="308"/>
      <c r="W102" s="315">
        <f t="shared" si="11"/>
        <v>4</v>
      </c>
      <c r="X102" s="310" t="s">
        <v>54</v>
      </c>
      <c r="Y102" s="310" t="s">
        <v>56</v>
      </c>
      <c r="Z102" s="316"/>
      <c r="AA102" s="317">
        <v>45331</v>
      </c>
      <c r="AB102" s="317">
        <v>45331</v>
      </c>
    </row>
    <row r="103" spans="1:28" x14ac:dyDescent="0.25">
      <c r="A103" s="307">
        <f t="shared" si="7"/>
        <v>97</v>
      </c>
      <c r="B103" s="308">
        <v>45533</v>
      </c>
      <c r="C103" s="309">
        <f t="shared" si="8"/>
        <v>45505</v>
      </c>
      <c r="D103" s="310" t="s">
        <v>51</v>
      </c>
      <c r="E103" s="310" t="s">
        <v>435</v>
      </c>
      <c r="F103" s="311">
        <v>9654538123</v>
      </c>
      <c r="G103" s="316" t="s">
        <v>6</v>
      </c>
      <c r="H103" s="316" t="s">
        <v>26</v>
      </c>
      <c r="I103" s="316" t="s">
        <v>533</v>
      </c>
      <c r="J103" s="310" t="s">
        <v>168</v>
      </c>
      <c r="K103" s="312">
        <v>27610</v>
      </c>
      <c r="L103" s="312">
        <v>41260</v>
      </c>
      <c r="M103" s="313">
        <f t="shared" si="9"/>
        <v>13650</v>
      </c>
      <c r="N103" s="314">
        <f t="shared" si="10"/>
        <v>0.330828889966069</v>
      </c>
      <c r="O103" s="312">
        <v>27610</v>
      </c>
      <c r="P103" s="313">
        <f t="shared" si="6"/>
        <v>0</v>
      </c>
      <c r="Q103" s="310" t="s">
        <v>147</v>
      </c>
      <c r="R103" s="310">
        <v>107</v>
      </c>
      <c r="S103" s="310" t="s">
        <v>267</v>
      </c>
      <c r="T103" s="308">
        <v>45535</v>
      </c>
      <c r="U103" s="308">
        <v>45535</v>
      </c>
      <c r="V103" s="308"/>
      <c r="W103" s="315">
        <f t="shared" si="11"/>
        <v>2</v>
      </c>
      <c r="X103" s="310" t="s">
        <v>54</v>
      </c>
      <c r="Y103" s="310" t="s">
        <v>529</v>
      </c>
      <c r="Z103" s="316" t="s">
        <v>154</v>
      </c>
      <c r="AA103" s="316" t="s">
        <v>434</v>
      </c>
      <c r="AB103" s="316" t="s">
        <v>434</v>
      </c>
    </row>
    <row r="104" spans="1:28" x14ac:dyDescent="0.25">
      <c r="A104" s="307">
        <f t="shared" si="7"/>
        <v>98</v>
      </c>
      <c r="B104" s="308">
        <v>45533</v>
      </c>
      <c r="C104" s="309">
        <f t="shared" si="8"/>
        <v>45505</v>
      </c>
      <c r="D104" s="310" t="s">
        <v>51</v>
      </c>
      <c r="E104" s="310" t="s">
        <v>437</v>
      </c>
      <c r="F104" s="311">
        <v>9812468058</v>
      </c>
      <c r="G104" s="316" t="s">
        <v>6</v>
      </c>
      <c r="H104" s="316" t="s">
        <v>41</v>
      </c>
      <c r="I104" s="316" t="s">
        <v>394</v>
      </c>
      <c r="J104" s="310" t="s">
        <v>3730</v>
      </c>
      <c r="K104" s="312">
        <v>34300</v>
      </c>
      <c r="L104" s="312">
        <v>46620</v>
      </c>
      <c r="M104" s="313">
        <f t="shared" si="9"/>
        <v>12320</v>
      </c>
      <c r="N104" s="314">
        <f t="shared" si="10"/>
        <v>0.264264264264264</v>
      </c>
      <c r="O104" s="312">
        <v>34300</v>
      </c>
      <c r="P104" s="313">
        <f t="shared" si="6"/>
        <v>0</v>
      </c>
      <c r="Q104" s="310" t="s">
        <v>147</v>
      </c>
      <c r="R104" s="310">
        <v>108</v>
      </c>
      <c r="S104" s="310" t="s">
        <v>267</v>
      </c>
      <c r="T104" s="308">
        <v>45537</v>
      </c>
      <c r="U104" s="308">
        <v>45538</v>
      </c>
      <c r="V104" s="308"/>
      <c r="W104" s="315">
        <f t="shared" si="11"/>
        <v>5</v>
      </c>
      <c r="X104" s="310" t="s">
        <v>54</v>
      </c>
      <c r="Y104" s="310" t="s">
        <v>3742</v>
      </c>
      <c r="Z104" s="316"/>
      <c r="AA104" s="317">
        <v>45331</v>
      </c>
      <c r="AB104" s="317">
        <v>45360</v>
      </c>
    </row>
    <row r="105" spans="1:28" x14ac:dyDescent="0.25">
      <c r="A105" s="307">
        <f t="shared" si="7"/>
        <v>99</v>
      </c>
      <c r="B105" s="308">
        <v>45533</v>
      </c>
      <c r="C105" s="309">
        <f t="shared" si="8"/>
        <v>45505</v>
      </c>
      <c r="D105" s="310" t="s">
        <v>51</v>
      </c>
      <c r="E105" s="310" t="s">
        <v>438</v>
      </c>
      <c r="F105" s="311">
        <v>9563961453</v>
      </c>
      <c r="G105" s="316" t="s">
        <v>6</v>
      </c>
      <c r="H105" s="316" t="s">
        <v>534</v>
      </c>
      <c r="I105" s="316" t="s">
        <v>377</v>
      </c>
      <c r="J105" s="310" t="s">
        <v>168</v>
      </c>
      <c r="K105" s="312">
        <v>30180</v>
      </c>
      <c r="L105" s="312">
        <v>44100</v>
      </c>
      <c r="M105" s="313">
        <f t="shared" si="9"/>
        <v>13920</v>
      </c>
      <c r="N105" s="314">
        <f t="shared" si="10"/>
        <v>0.315646258503401</v>
      </c>
      <c r="O105" s="312">
        <v>30180</v>
      </c>
      <c r="P105" s="313">
        <f t="shared" si="6"/>
        <v>0</v>
      </c>
      <c r="Q105" s="310" t="s">
        <v>147</v>
      </c>
      <c r="R105" s="310">
        <v>109</v>
      </c>
      <c r="S105" s="310" t="s">
        <v>267</v>
      </c>
      <c r="T105" s="308">
        <v>45537</v>
      </c>
      <c r="U105" s="308">
        <v>45539</v>
      </c>
      <c r="V105" s="308"/>
      <c r="W105" s="315">
        <f t="shared" si="11"/>
        <v>6</v>
      </c>
      <c r="X105" s="310" t="s">
        <v>54</v>
      </c>
      <c r="Y105" s="310" t="s">
        <v>439</v>
      </c>
      <c r="Z105" s="316"/>
      <c r="AA105" s="317">
        <v>45331</v>
      </c>
      <c r="AB105" s="317">
        <v>45391</v>
      </c>
    </row>
    <row r="106" spans="1:28" x14ac:dyDescent="0.25">
      <c r="A106" s="307">
        <f t="shared" si="7"/>
        <v>100</v>
      </c>
      <c r="B106" s="308">
        <v>45534</v>
      </c>
      <c r="C106" s="309">
        <f t="shared" si="8"/>
        <v>45505</v>
      </c>
      <c r="D106" s="310" t="s">
        <v>51</v>
      </c>
      <c r="E106" s="310" t="s">
        <v>19</v>
      </c>
      <c r="F106" s="311">
        <v>9149905009</v>
      </c>
      <c r="G106" s="316" t="s">
        <v>6</v>
      </c>
      <c r="H106" s="316" t="s">
        <v>440</v>
      </c>
      <c r="I106" s="316" t="s">
        <v>41</v>
      </c>
      <c r="J106" s="310" t="s">
        <v>168</v>
      </c>
      <c r="K106" s="312">
        <v>26630</v>
      </c>
      <c r="L106" s="312">
        <v>41900</v>
      </c>
      <c r="M106" s="313">
        <f t="shared" si="9"/>
        <v>15270</v>
      </c>
      <c r="N106" s="314">
        <f t="shared" si="10"/>
        <v>0.364439140811456</v>
      </c>
      <c r="O106" s="312">
        <v>26630</v>
      </c>
      <c r="P106" s="313">
        <f t="shared" si="6"/>
        <v>0</v>
      </c>
      <c r="Q106" s="310" t="s">
        <v>147</v>
      </c>
      <c r="R106" s="310">
        <v>110</v>
      </c>
      <c r="S106" s="310" t="s">
        <v>267</v>
      </c>
      <c r="T106" s="308">
        <v>45538</v>
      </c>
      <c r="U106" s="308">
        <v>45538</v>
      </c>
      <c r="V106" s="308"/>
      <c r="W106" s="315">
        <f t="shared" si="11"/>
        <v>4</v>
      </c>
      <c r="X106" s="310" t="s">
        <v>54</v>
      </c>
      <c r="Y106" s="310" t="s">
        <v>529</v>
      </c>
      <c r="Z106" s="316"/>
      <c r="AA106" s="317">
        <v>45360</v>
      </c>
      <c r="AB106" s="317">
        <v>45360</v>
      </c>
    </row>
    <row r="107" spans="1:28" x14ac:dyDescent="0.25">
      <c r="A107" s="307">
        <f t="shared" si="7"/>
        <v>101</v>
      </c>
      <c r="B107" s="308">
        <v>45535</v>
      </c>
      <c r="C107" s="309">
        <f t="shared" si="8"/>
        <v>45505</v>
      </c>
      <c r="D107" s="310" t="s">
        <v>51</v>
      </c>
      <c r="E107" s="310" t="s">
        <v>397</v>
      </c>
      <c r="F107" s="311">
        <v>9788395365</v>
      </c>
      <c r="G107" s="316" t="s">
        <v>6</v>
      </c>
      <c r="H107" s="316" t="s">
        <v>441</v>
      </c>
      <c r="I107" s="316" t="s">
        <v>377</v>
      </c>
      <c r="J107" s="310" t="s">
        <v>3730</v>
      </c>
      <c r="K107" s="312">
        <v>40450</v>
      </c>
      <c r="L107" s="312">
        <v>66150</v>
      </c>
      <c r="M107" s="313">
        <f t="shared" si="9"/>
        <v>25700</v>
      </c>
      <c r="N107" s="314">
        <f t="shared" si="10"/>
        <v>0.388510959939531</v>
      </c>
      <c r="O107" s="312">
        <v>40450</v>
      </c>
      <c r="P107" s="313">
        <f t="shared" si="6"/>
        <v>0</v>
      </c>
      <c r="Q107" s="310" t="s">
        <v>147</v>
      </c>
      <c r="R107" s="310">
        <v>111</v>
      </c>
      <c r="S107" s="310" t="s">
        <v>267</v>
      </c>
      <c r="T107" s="308">
        <v>45542</v>
      </c>
      <c r="U107" s="308">
        <v>45544</v>
      </c>
      <c r="V107" s="308"/>
      <c r="W107" s="315">
        <f t="shared" si="11"/>
        <v>9</v>
      </c>
      <c r="X107" s="310" t="s">
        <v>54</v>
      </c>
      <c r="Y107" s="310" t="s">
        <v>442</v>
      </c>
      <c r="Z107" s="316"/>
      <c r="AA107" s="317">
        <v>45482</v>
      </c>
      <c r="AB107" s="317">
        <v>45544</v>
      </c>
    </row>
    <row r="108" spans="1:28" x14ac:dyDescent="0.25">
      <c r="A108" s="307">
        <f t="shared" si="7"/>
        <v>102</v>
      </c>
      <c r="B108" s="308">
        <v>45538</v>
      </c>
      <c r="C108" s="309">
        <f t="shared" si="8"/>
        <v>45536</v>
      </c>
      <c r="D108" s="310" t="s">
        <v>56</v>
      </c>
      <c r="E108" s="310" t="s">
        <v>38</v>
      </c>
      <c r="F108" s="311">
        <v>9515412075</v>
      </c>
      <c r="G108" s="316" t="s">
        <v>42</v>
      </c>
      <c r="H108" s="316" t="s">
        <v>475</v>
      </c>
      <c r="I108" s="316" t="s">
        <v>6</v>
      </c>
      <c r="J108" s="310" t="s">
        <v>59</v>
      </c>
      <c r="K108" s="312">
        <v>53770</v>
      </c>
      <c r="L108" s="312">
        <v>103950</v>
      </c>
      <c r="M108" s="313">
        <f t="shared" si="9"/>
        <v>50180</v>
      </c>
      <c r="N108" s="314">
        <f t="shared" si="10"/>
        <v>0.482732082732083</v>
      </c>
      <c r="O108" s="312"/>
      <c r="P108" s="313" t="str">
        <f t="shared" si="6"/>
        <v/>
      </c>
      <c r="Q108" s="310" t="s">
        <v>147</v>
      </c>
      <c r="R108" s="310">
        <v>112</v>
      </c>
      <c r="S108" s="310" t="s">
        <v>267</v>
      </c>
      <c r="T108" s="308">
        <v>45542</v>
      </c>
      <c r="U108" s="308">
        <v>45542</v>
      </c>
      <c r="V108" s="308"/>
      <c r="W108" s="315">
        <f t="shared" si="11"/>
        <v>4</v>
      </c>
      <c r="X108" s="310" t="s">
        <v>54</v>
      </c>
      <c r="Y108" s="310" t="s">
        <v>56</v>
      </c>
      <c r="Z108" s="316"/>
      <c r="AA108" s="317">
        <v>45482</v>
      </c>
      <c r="AB108" s="317">
        <v>45482</v>
      </c>
    </row>
    <row r="109" spans="1:28" x14ac:dyDescent="0.25">
      <c r="A109" s="307">
        <f t="shared" si="7"/>
        <v>103</v>
      </c>
      <c r="B109" s="308">
        <v>45538</v>
      </c>
      <c r="C109" s="309">
        <f t="shared" si="8"/>
        <v>45536</v>
      </c>
      <c r="D109" s="310" t="s">
        <v>56</v>
      </c>
      <c r="E109" s="310" t="s">
        <v>60</v>
      </c>
      <c r="F109" s="311">
        <v>9589264337</v>
      </c>
      <c r="G109" s="316" t="s">
        <v>6</v>
      </c>
      <c r="H109" s="316" t="s">
        <v>477</v>
      </c>
      <c r="I109" s="316" t="s">
        <v>476</v>
      </c>
      <c r="J109" s="310" t="s">
        <v>3730</v>
      </c>
      <c r="K109" s="312">
        <v>46110</v>
      </c>
      <c r="L109" s="312">
        <v>52920</v>
      </c>
      <c r="M109" s="313">
        <f t="shared" si="9"/>
        <v>6810</v>
      </c>
      <c r="N109" s="314">
        <f t="shared" si="10"/>
        <v>0.128684807256236</v>
      </c>
      <c r="O109" s="312"/>
      <c r="P109" s="313" t="str">
        <f t="shared" si="6"/>
        <v/>
      </c>
      <c r="Q109" s="310" t="s">
        <v>147</v>
      </c>
      <c r="R109" s="310">
        <v>113</v>
      </c>
      <c r="S109" s="310" t="s">
        <v>267</v>
      </c>
      <c r="T109" s="308">
        <v>45542</v>
      </c>
      <c r="U109" s="308">
        <v>45544</v>
      </c>
      <c r="V109" s="308"/>
      <c r="W109" s="315">
        <f t="shared" si="11"/>
        <v>6</v>
      </c>
      <c r="X109" s="310" t="s">
        <v>54</v>
      </c>
      <c r="Y109" s="310" t="s">
        <v>56</v>
      </c>
      <c r="Z109" s="316"/>
      <c r="AA109" s="317">
        <v>45482</v>
      </c>
      <c r="AB109" s="317">
        <v>45544</v>
      </c>
    </row>
    <row r="110" spans="1:28" x14ac:dyDescent="0.25">
      <c r="A110" s="307">
        <f t="shared" si="7"/>
        <v>104</v>
      </c>
      <c r="B110" s="308">
        <v>45538</v>
      </c>
      <c r="C110" s="309">
        <f t="shared" si="8"/>
        <v>45536</v>
      </c>
      <c r="D110" s="310" t="s">
        <v>51</v>
      </c>
      <c r="E110" s="310" t="s">
        <v>444</v>
      </c>
      <c r="F110" s="311">
        <v>9119138448</v>
      </c>
      <c r="G110" s="316" t="s">
        <v>6</v>
      </c>
      <c r="H110" s="316" t="s">
        <v>26</v>
      </c>
      <c r="I110" s="316" t="s">
        <v>6</v>
      </c>
      <c r="J110" s="310" t="s">
        <v>445</v>
      </c>
      <c r="K110" s="312">
        <v>1250</v>
      </c>
      <c r="L110" s="312">
        <v>1890</v>
      </c>
      <c r="M110" s="313">
        <f t="shared" si="9"/>
        <v>640</v>
      </c>
      <c r="N110" s="314">
        <f t="shared" si="10"/>
        <v>0.338624338624339</v>
      </c>
      <c r="O110" s="312">
        <v>1250</v>
      </c>
      <c r="P110" s="313">
        <f t="shared" si="6"/>
        <v>0</v>
      </c>
      <c r="Q110" s="310" t="s">
        <v>147</v>
      </c>
      <c r="R110" s="310">
        <v>114</v>
      </c>
      <c r="S110" s="310" t="s">
        <v>267</v>
      </c>
      <c r="T110" s="308">
        <v>45538</v>
      </c>
      <c r="U110" s="308">
        <v>45538</v>
      </c>
      <c r="V110" s="308"/>
      <c r="W110" s="315">
        <f t="shared" si="11"/>
        <v>0</v>
      </c>
      <c r="X110" s="310" t="s">
        <v>54</v>
      </c>
      <c r="Y110" s="310" t="s">
        <v>3749</v>
      </c>
      <c r="Z110" s="316" t="s">
        <v>3750</v>
      </c>
      <c r="AA110" s="317">
        <v>45360</v>
      </c>
      <c r="AB110" s="317">
        <v>45360</v>
      </c>
    </row>
    <row r="111" spans="1:28" x14ac:dyDescent="0.25">
      <c r="A111" s="307">
        <f t="shared" si="7"/>
        <v>105</v>
      </c>
      <c r="B111" s="308">
        <v>45539</v>
      </c>
      <c r="C111" s="309">
        <f t="shared" si="8"/>
        <v>45536</v>
      </c>
      <c r="D111" s="310" t="s">
        <v>51</v>
      </c>
      <c r="E111" s="310" t="s">
        <v>449</v>
      </c>
      <c r="F111" s="311">
        <v>9497840280</v>
      </c>
      <c r="G111" s="316" t="s">
        <v>6</v>
      </c>
      <c r="H111" s="316" t="s">
        <v>26</v>
      </c>
      <c r="I111" s="316" t="s">
        <v>478</v>
      </c>
      <c r="J111" s="310" t="s">
        <v>168</v>
      </c>
      <c r="K111" s="312">
        <v>28160</v>
      </c>
      <c r="L111" s="312">
        <v>37800</v>
      </c>
      <c r="M111" s="313">
        <f t="shared" si="9"/>
        <v>9640</v>
      </c>
      <c r="N111" s="314">
        <f t="shared" si="10"/>
        <v>0.255026455026455</v>
      </c>
      <c r="O111" s="312">
        <v>28160</v>
      </c>
      <c r="P111" s="313">
        <f t="shared" si="6"/>
        <v>0</v>
      </c>
      <c r="Q111" s="310" t="s">
        <v>147</v>
      </c>
      <c r="R111" s="310">
        <v>115</v>
      </c>
      <c r="S111" s="310" t="s">
        <v>267</v>
      </c>
      <c r="T111" s="308">
        <v>45543</v>
      </c>
      <c r="U111" s="308">
        <v>45544</v>
      </c>
      <c r="V111" s="308"/>
      <c r="W111" s="315">
        <f t="shared" si="11"/>
        <v>5</v>
      </c>
      <c r="X111" s="310" t="s">
        <v>54</v>
      </c>
      <c r="Y111" s="310" t="s">
        <v>529</v>
      </c>
      <c r="Z111" s="316"/>
      <c r="AA111" s="317">
        <v>45513</v>
      </c>
      <c r="AB111" s="317">
        <v>45544</v>
      </c>
    </row>
    <row r="112" spans="1:28" x14ac:dyDescent="0.25">
      <c r="A112" s="307">
        <f t="shared" si="7"/>
        <v>106</v>
      </c>
      <c r="B112" s="308">
        <v>45540</v>
      </c>
      <c r="C112" s="309">
        <f t="shared" si="8"/>
        <v>45536</v>
      </c>
      <c r="D112" s="310" t="s">
        <v>51</v>
      </c>
      <c r="E112" s="310" t="s">
        <v>403</v>
      </c>
      <c r="F112" s="311">
        <v>9165942602</v>
      </c>
      <c r="G112" s="316" t="s">
        <v>6</v>
      </c>
      <c r="H112" s="316" t="s">
        <v>479</v>
      </c>
      <c r="I112" s="316" t="s">
        <v>480</v>
      </c>
      <c r="J112" s="310" t="s">
        <v>623</v>
      </c>
      <c r="K112" s="312">
        <v>30590</v>
      </c>
      <c r="L112" s="312">
        <v>50400</v>
      </c>
      <c r="M112" s="313">
        <f t="shared" si="9"/>
        <v>19810</v>
      </c>
      <c r="N112" s="314">
        <f t="shared" si="10"/>
        <v>0.393055555555556</v>
      </c>
      <c r="O112" s="312">
        <v>30590</v>
      </c>
      <c r="P112" s="313">
        <f t="shared" si="6"/>
        <v>0</v>
      </c>
      <c r="Q112" s="310" t="s">
        <v>147</v>
      </c>
      <c r="R112" s="310">
        <v>116</v>
      </c>
      <c r="S112" s="310" t="s">
        <v>267</v>
      </c>
      <c r="T112" s="308">
        <v>45543</v>
      </c>
      <c r="U112" s="308">
        <v>45545</v>
      </c>
      <c r="V112" s="308"/>
      <c r="W112" s="315">
        <f t="shared" si="11"/>
        <v>5</v>
      </c>
      <c r="X112" s="310" t="s">
        <v>54</v>
      </c>
      <c r="Y112" s="310" t="s">
        <v>529</v>
      </c>
      <c r="Z112" s="316"/>
      <c r="AA112" s="317">
        <v>45513</v>
      </c>
      <c r="AB112" s="317">
        <v>45574</v>
      </c>
    </row>
    <row r="113" spans="1:28" x14ac:dyDescent="0.25">
      <c r="A113" s="307">
        <f t="shared" si="7"/>
        <v>107</v>
      </c>
      <c r="B113" s="308">
        <v>45541</v>
      </c>
      <c r="C113" s="309">
        <f t="shared" si="8"/>
        <v>45536</v>
      </c>
      <c r="D113" s="310" t="s">
        <v>51</v>
      </c>
      <c r="E113" s="310" t="s">
        <v>450</v>
      </c>
      <c r="F113" s="311">
        <v>9260938100</v>
      </c>
      <c r="G113" s="316" t="s">
        <v>6</v>
      </c>
      <c r="H113" s="316" t="s">
        <v>481</v>
      </c>
      <c r="I113" s="316" t="s">
        <v>482</v>
      </c>
      <c r="J113" s="310" t="s">
        <v>623</v>
      </c>
      <c r="K113" s="312">
        <v>29720</v>
      </c>
      <c r="L113" s="312">
        <v>48200</v>
      </c>
      <c r="M113" s="313">
        <f t="shared" si="9"/>
        <v>18480</v>
      </c>
      <c r="N113" s="314">
        <f t="shared" si="10"/>
        <v>0.383402489626556</v>
      </c>
      <c r="O113" s="312">
        <v>29720</v>
      </c>
      <c r="P113" s="313">
        <f t="shared" si="6"/>
        <v>0</v>
      </c>
      <c r="Q113" s="310" t="s">
        <v>147</v>
      </c>
      <c r="R113" s="310">
        <v>117</v>
      </c>
      <c r="S113" s="310" t="s">
        <v>267</v>
      </c>
      <c r="T113" s="308">
        <v>45545</v>
      </c>
      <c r="U113" s="308">
        <v>45546</v>
      </c>
      <c r="V113" s="308"/>
      <c r="W113" s="315">
        <f t="shared" si="11"/>
        <v>5</v>
      </c>
      <c r="X113" s="310" t="s">
        <v>54</v>
      </c>
      <c r="Y113" s="310" t="s">
        <v>529</v>
      </c>
      <c r="Z113" s="316"/>
      <c r="AA113" s="317">
        <v>45574</v>
      </c>
      <c r="AB113" s="317">
        <v>45605</v>
      </c>
    </row>
    <row r="114" spans="1:28" x14ac:dyDescent="0.25">
      <c r="A114" s="307">
        <f t="shared" si="7"/>
        <v>108</v>
      </c>
      <c r="B114" s="308">
        <v>45542</v>
      </c>
      <c r="C114" s="309">
        <f t="shared" si="8"/>
        <v>45536</v>
      </c>
      <c r="D114" s="310" t="s">
        <v>51</v>
      </c>
      <c r="E114" s="310" t="s">
        <v>451</v>
      </c>
      <c r="F114" s="311">
        <v>9031505300</v>
      </c>
      <c r="G114" s="316" t="s">
        <v>6</v>
      </c>
      <c r="H114" s="316" t="s">
        <v>497</v>
      </c>
      <c r="I114" s="316" t="s">
        <v>332</v>
      </c>
      <c r="J114" s="310" t="s">
        <v>623</v>
      </c>
      <c r="K114" s="312">
        <v>29640</v>
      </c>
      <c r="L114" s="312">
        <v>44100</v>
      </c>
      <c r="M114" s="313">
        <f t="shared" si="9"/>
        <v>14460</v>
      </c>
      <c r="N114" s="314">
        <f t="shared" si="10"/>
        <v>0.327891156462585</v>
      </c>
      <c r="O114" s="312">
        <v>29640</v>
      </c>
      <c r="P114" s="313">
        <f t="shared" si="6"/>
        <v>0</v>
      </c>
      <c r="Q114" s="310" t="s">
        <v>147</v>
      </c>
      <c r="R114" s="310">
        <v>118</v>
      </c>
      <c r="S114" s="310" t="s">
        <v>267</v>
      </c>
      <c r="T114" s="308">
        <v>45546</v>
      </c>
      <c r="U114" s="308">
        <v>45547</v>
      </c>
      <c r="V114" s="308"/>
      <c r="W114" s="315">
        <f t="shared" si="11"/>
        <v>5</v>
      </c>
      <c r="X114" s="310" t="s">
        <v>54</v>
      </c>
      <c r="Y114" s="310" t="s">
        <v>529</v>
      </c>
      <c r="Z114" s="316"/>
      <c r="AA114" s="317">
        <v>45605</v>
      </c>
      <c r="AB114" s="317">
        <v>45635</v>
      </c>
    </row>
    <row r="115" spans="1:28" x14ac:dyDescent="0.25">
      <c r="A115" s="307">
        <f t="shared" si="7"/>
        <v>109</v>
      </c>
      <c r="B115" s="308">
        <v>45542</v>
      </c>
      <c r="C115" s="309">
        <f t="shared" si="8"/>
        <v>45536</v>
      </c>
      <c r="D115" s="310" t="s">
        <v>51</v>
      </c>
      <c r="E115" s="310" t="s">
        <v>452</v>
      </c>
      <c r="F115" s="311">
        <v>9397183067</v>
      </c>
      <c r="G115" s="316" t="s">
        <v>105</v>
      </c>
      <c r="H115" s="316" t="s">
        <v>26</v>
      </c>
      <c r="I115" s="316" t="s">
        <v>498</v>
      </c>
      <c r="J115" s="310" t="s">
        <v>3730</v>
      </c>
      <c r="K115" s="312">
        <v>66400</v>
      </c>
      <c r="L115" s="312">
        <v>96390</v>
      </c>
      <c r="M115" s="313">
        <f t="shared" si="9"/>
        <v>29990</v>
      </c>
      <c r="N115" s="314">
        <f t="shared" si="10"/>
        <v>0.311131860151468</v>
      </c>
      <c r="O115" s="312">
        <v>66400</v>
      </c>
      <c r="P115" s="313">
        <f t="shared" si="6"/>
        <v>0</v>
      </c>
      <c r="Q115" s="310" t="s">
        <v>147</v>
      </c>
      <c r="R115" s="310">
        <v>119</v>
      </c>
      <c r="S115" s="310" t="s">
        <v>267</v>
      </c>
      <c r="T115" s="308">
        <v>45545</v>
      </c>
      <c r="U115" s="308">
        <v>45545</v>
      </c>
      <c r="V115" s="308"/>
      <c r="W115" s="315">
        <f t="shared" si="11"/>
        <v>3</v>
      </c>
      <c r="X115" s="310" t="s">
        <v>54</v>
      </c>
      <c r="Y115" s="310" t="s">
        <v>453</v>
      </c>
      <c r="Z115" s="316"/>
      <c r="AA115" s="317">
        <v>45574</v>
      </c>
      <c r="AB115" s="317">
        <v>45574</v>
      </c>
    </row>
    <row r="116" spans="1:28" x14ac:dyDescent="0.25">
      <c r="A116" s="307">
        <f t="shared" si="7"/>
        <v>110</v>
      </c>
      <c r="B116" s="308">
        <v>45542</v>
      </c>
      <c r="C116" s="309">
        <f t="shared" si="8"/>
        <v>45536</v>
      </c>
      <c r="D116" s="310" t="s">
        <v>51</v>
      </c>
      <c r="E116" s="310" t="s">
        <v>454</v>
      </c>
      <c r="F116" s="311">
        <v>9401215642</v>
      </c>
      <c r="G116" s="316" t="s">
        <v>42</v>
      </c>
      <c r="H116" s="316" t="s">
        <v>105</v>
      </c>
      <c r="I116" s="316" t="s">
        <v>499</v>
      </c>
      <c r="J116" s="310" t="s">
        <v>107</v>
      </c>
      <c r="K116" s="312">
        <v>82940</v>
      </c>
      <c r="L116" s="312">
        <v>110250</v>
      </c>
      <c r="M116" s="313">
        <f t="shared" si="9"/>
        <v>27310</v>
      </c>
      <c r="N116" s="314">
        <f t="shared" si="10"/>
        <v>0.247709750566893</v>
      </c>
      <c r="O116" s="312">
        <v>82940</v>
      </c>
      <c r="P116" s="313">
        <f t="shared" si="6"/>
        <v>0</v>
      </c>
      <c r="Q116" s="310" t="s">
        <v>147</v>
      </c>
      <c r="R116" s="310">
        <v>120</v>
      </c>
      <c r="S116" s="310" t="s">
        <v>267</v>
      </c>
      <c r="T116" s="308">
        <v>45546</v>
      </c>
      <c r="U116" s="308">
        <v>45546</v>
      </c>
      <c r="V116" s="308"/>
      <c r="W116" s="315">
        <f t="shared" si="11"/>
        <v>4</v>
      </c>
      <c r="X116" s="310" t="s">
        <v>54</v>
      </c>
      <c r="Y116" s="310" t="s">
        <v>453</v>
      </c>
      <c r="Z116" s="316"/>
      <c r="AA116" s="317">
        <v>45605</v>
      </c>
      <c r="AB116" s="317">
        <v>45605</v>
      </c>
    </row>
    <row r="117" spans="1:28" x14ac:dyDescent="0.25">
      <c r="A117" s="307">
        <f t="shared" si="7"/>
        <v>111</v>
      </c>
      <c r="B117" s="308">
        <v>45542</v>
      </c>
      <c r="C117" s="309">
        <f t="shared" si="8"/>
        <v>45536</v>
      </c>
      <c r="D117" s="310" t="s">
        <v>51</v>
      </c>
      <c r="E117" s="310" t="s">
        <v>500</v>
      </c>
      <c r="F117" s="311">
        <v>9535996826</v>
      </c>
      <c r="G117" s="316" t="s">
        <v>235</v>
      </c>
      <c r="H117" s="316" t="s">
        <v>26</v>
      </c>
      <c r="I117" s="316" t="s">
        <v>501</v>
      </c>
      <c r="J117" s="310" t="s">
        <v>168</v>
      </c>
      <c r="K117" s="312">
        <v>53240</v>
      </c>
      <c r="L117" s="312">
        <v>69300</v>
      </c>
      <c r="M117" s="313">
        <f t="shared" si="9"/>
        <v>16060</v>
      </c>
      <c r="N117" s="314">
        <f t="shared" si="10"/>
        <v>0.231746031746032</v>
      </c>
      <c r="O117" s="312">
        <v>49910</v>
      </c>
      <c r="P117" s="313">
        <f t="shared" si="6"/>
        <v>3330</v>
      </c>
      <c r="Q117" s="310" t="s">
        <v>147</v>
      </c>
      <c r="R117" s="310">
        <v>121</v>
      </c>
      <c r="S117" s="310" t="s">
        <v>267</v>
      </c>
      <c r="T117" s="308">
        <v>45547</v>
      </c>
      <c r="U117" s="308">
        <v>45548</v>
      </c>
      <c r="V117" s="308"/>
      <c r="W117" s="315">
        <f t="shared" si="11"/>
        <v>6</v>
      </c>
      <c r="X117" s="310" t="s">
        <v>54</v>
      </c>
      <c r="Y117" s="310" t="s">
        <v>236</v>
      </c>
      <c r="Z117" s="316"/>
      <c r="AA117" s="317">
        <v>45635</v>
      </c>
      <c r="AB117" s="316" t="s">
        <v>471</v>
      </c>
    </row>
    <row r="118" spans="1:28" x14ac:dyDescent="0.25">
      <c r="A118" s="307">
        <f t="shared" si="7"/>
        <v>112</v>
      </c>
      <c r="B118" s="308">
        <v>45543</v>
      </c>
      <c r="C118" s="309">
        <f t="shared" si="8"/>
        <v>45536</v>
      </c>
      <c r="D118" s="310" t="s">
        <v>51</v>
      </c>
      <c r="E118" s="310" t="s">
        <v>458</v>
      </c>
      <c r="F118" s="311">
        <v>9971707172</v>
      </c>
      <c r="G118" s="316" t="s">
        <v>6</v>
      </c>
      <c r="H118" s="316" t="s">
        <v>495</v>
      </c>
      <c r="I118" s="316" t="s">
        <v>496</v>
      </c>
      <c r="J118" s="310" t="s">
        <v>3730</v>
      </c>
      <c r="K118" s="312">
        <v>29220</v>
      </c>
      <c r="L118" s="312">
        <v>46620</v>
      </c>
      <c r="M118" s="313">
        <f t="shared" si="9"/>
        <v>17400</v>
      </c>
      <c r="N118" s="314">
        <f t="shared" si="10"/>
        <v>0.373230373230373</v>
      </c>
      <c r="O118" s="312">
        <v>29220</v>
      </c>
      <c r="P118" s="313">
        <f t="shared" si="6"/>
        <v>0</v>
      </c>
      <c r="Q118" s="310" t="s">
        <v>147</v>
      </c>
      <c r="R118" s="310">
        <v>122</v>
      </c>
      <c r="S118" s="310" t="s">
        <v>267</v>
      </c>
      <c r="T118" s="308">
        <v>45546</v>
      </c>
      <c r="U118" s="308">
        <v>45548</v>
      </c>
      <c r="V118" s="308"/>
      <c r="W118" s="315">
        <f t="shared" si="11"/>
        <v>5</v>
      </c>
      <c r="X118" s="310" t="s">
        <v>54</v>
      </c>
      <c r="Y118" s="310" t="s">
        <v>529</v>
      </c>
      <c r="Z118" s="316"/>
      <c r="AA118" s="317">
        <v>45605</v>
      </c>
      <c r="AB118" s="316" t="s">
        <v>471</v>
      </c>
    </row>
    <row r="119" spans="1:28" x14ac:dyDescent="0.25">
      <c r="A119" s="307">
        <f t="shared" si="7"/>
        <v>113</v>
      </c>
      <c r="B119" s="308">
        <v>45544</v>
      </c>
      <c r="C119" s="309">
        <f t="shared" si="8"/>
        <v>45536</v>
      </c>
      <c r="D119" s="310" t="s">
        <v>51</v>
      </c>
      <c r="E119" s="310" t="s">
        <v>459</v>
      </c>
      <c r="F119" s="311">
        <v>9914789431</v>
      </c>
      <c r="G119" s="316" t="s">
        <v>6</v>
      </c>
      <c r="H119" s="316" t="s">
        <v>515</v>
      </c>
      <c r="I119" s="316" t="s">
        <v>492</v>
      </c>
      <c r="J119" s="310" t="s">
        <v>3730</v>
      </c>
      <c r="K119" s="312">
        <v>32980</v>
      </c>
      <c r="L119" s="312">
        <v>69930</v>
      </c>
      <c r="M119" s="313">
        <f t="shared" si="9"/>
        <v>36950</v>
      </c>
      <c r="N119" s="314">
        <f t="shared" si="10"/>
        <v>0.528385528385528</v>
      </c>
      <c r="O119" s="312">
        <v>32980</v>
      </c>
      <c r="P119" s="313">
        <f t="shared" si="6"/>
        <v>0</v>
      </c>
      <c r="Q119" s="310" t="s">
        <v>147</v>
      </c>
      <c r="R119" s="310" t="s">
        <v>518</v>
      </c>
      <c r="S119" s="310" t="s">
        <v>267</v>
      </c>
      <c r="T119" s="308">
        <v>45547</v>
      </c>
      <c r="U119" s="308">
        <v>45548</v>
      </c>
      <c r="V119" s="308"/>
      <c r="W119" s="315">
        <f t="shared" si="11"/>
        <v>4</v>
      </c>
      <c r="X119" s="310" t="s">
        <v>54</v>
      </c>
      <c r="Y119" s="310" t="s">
        <v>529</v>
      </c>
      <c r="Z119" s="316" t="s">
        <v>154</v>
      </c>
      <c r="AA119" s="317">
        <v>45635</v>
      </c>
      <c r="AB119" s="316" t="s">
        <v>471</v>
      </c>
    </row>
    <row r="120" spans="1:28" x14ac:dyDescent="0.25">
      <c r="A120" s="307">
        <f t="shared" si="7"/>
        <v>114</v>
      </c>
      <c r="B120" s="308">
        <v>45544</v>
      </c>
      <c r="C120" s="309">
        <f t="shared" si="8"/>
        <v>45536</v>
      </c>
      <c r="D120" s="310" t="s">
        <v>51</v>
      </c>
      <c r="E120" s="310" t="s">
        <v>460</v>
      </c>
      <c r="F120" s="311">
        <v>9257903758</v>
      </c>
      <c r="G120" s="316" t="s">
        <v>6</v>
      </c>
      <c r="H120" s="316" t="s">
        <v>494</v>
      </c>
      <c r="I120" s="316" t="s">
        <v>493</v>
      </c>
      <c r="J120" s="310" t="s">
        <v>623</v>
      </c>
      <c r="K120" s="312">
        <v>30490</v>
      </c>
      <c r="L120" s="312">
        <v>49770</v>
      </c>
      <c r="M120" s="313">
        <f t="shared" si="9"/>
        <v>19280</v>
      </c>
      <c r="N120" s="314">
        <f t="shared" si="10"/>
        <v>0.38738195700221</v>
      </c>
      <c r="O120" s="312">
        <v>30490</v>
      </c>
      <c r="P120" s="313">
        <f t="shared" si="6"/>
        <v>0</v>
      </c>
      <c r="Q120" s="310" t="s">
        <v>147</v>
      </c>
      <c r="R120" s="310">
        <v>125</v>
      </c>
      <c r="S120" s="310" t="s">
        <v>267</v>
      </c>
      <c r="T120" s="308">
        <v>45547</v>
      </c>
      <c r="U120" s="308">
        <v>45548</v>
      </c>
      <c r="V120" s="308"/>
      <c r="W120" s="315">
        <f t="shared" si="11"/>
        <v>4</v>
      </c>
      <c r="X120" s="310" t="s">
        <v>54</v>
      </c>
      <c r="Y120" s="310" t="s">
        <v>529</v>
      </c>
      <c r="Z120" s="316" t="s">
        <v>154</v>
      </c>
      <c r="AA120" s="317">
        <v>45635</v>
      </c>
      <c r="AB120" s="316" t="s">
        <v>471</v>
      </c>
    </row>
    <row r="121" spans="1:28" x14ac:dyDescent="0.25">
      <c r="A121" s="307">
        <f t="shared" si="7"/>
        <v>115</v>
      </c>
      <c r="B121" s="308">
        <v>45545</v>
      </c>
      <c r="C121" s="309">
        <f t="shared" si="8"/>
        <v>45536</v>
      </c>
      <c r="D121" s="310" t="s">
        <v>51</v>
      </c>
      <c r="E121" s="310" t="s">
        <v>466</v>
      </c>
      <c r="F121" s="311">
        <v>9122555268</v>
      </c>
      <c r="G121" s="316" t="s">
        <v>6</v>
      </c>
      <c r="H121" s="316" t="s">
        <v>491</v>
      </c>
      <c r="I121" s="316" t="s">
        <v>490</v>
      </c>
      <c r="J121" s="310" t="s">
        <v>623</v>
      </c>
      <c r="K121" s="312">
        <v>27480</v>
      </c>
      <c r="L121" s="312">
        <v>47560</v>
      </c>
      <c r="M121" s="313">
        <f t="shared" si="9"/>
        <v>20080</v>
      </c>
      <c r="N121" s="314">
        <f t="shared" si="10"/>
        <v>0.422203532380151</v>
      </c>
      <c r="O121" s="312">
        <v>27480</v>
      </c>
      <c r="P121" s="313">
        <f t="shared" si="6"/>
        <v>0</v>
      </c>
      <c r="Q121" s="310" t="s">
        <v>147</v>
      </c>
      <c r="R121" s="310">
        <v>126</v>
      </c>
      <c r="S121" s="310" t="s">
        <v>267</v>
      </c>
      <c r="T121" s="308">
        <v>45548</v>
      </c>
      <c r="U121" s="308">
        <v>45548</v>
      </c>
      <c r="V121" s="308"/>
      <c r="W121" s="315">
        <f t="shared" si="11"/>
        <v>3</v>
      </c>
      <c r="X121" s="310" t="s">
        <v>54</v>
      </c>
      <c r="Y121" s="310" t="s">
        <v>529</v>
      </c>
      <c r="Z121" s="316" t="s">
        <v>154</v>
      </c>
      <c r="AA121" s="316" t="s">
        <v>471</v>
      </c>
      <c r="AB121" s="316" t="s">
        <v>471</v>
      </c>
    </row>
    <row r="122" spans="1:28" x14ac:dyDescent="0.25">
      <c r="A122" s="307">
        <f t="shared" si="7"/>
        <v>116</v>
      </c>
      <c r="B122" s="308">
        <v>45545</v>
      </c>
      <c r="C122" s="309">
        <f t="shared" si="8"/>
        <v>45536</v>
      </c>
      <c r="D122" s="310" t="s">
        <v>51</v>
      </c>
      <c r="E122" s="310" t="s">
        <v>467</v>
      </c>
      <c r="F122" s="311">
        <v>9261969286</v>
      </c>
      <c r="G122" s="316" t="s">
        <v>6</v>
      </c>
      <c r="H122" s="316" t="s">
        <v>503</v>
      </c>
      <c r="I122" s="316" t="s">
        <v>502</v>
      </c>
      <c r="J122" s="310" t="s">
        <v>172</v>
      </c>
      <c r="K122" s="312">
        <v>31370</v>
      </c>
      <c r="L122" s="312">
        <v>59220</v>
      </c>
      <c r="M122" s="313">
        <f t="shared" si="9"/>
        <v>27850</v>
      </c>
      <c r="N122" s="314">
        <f t="shared" si="10"/>
        <v>0.470280310705843</v>
      </c>
      <c r="O122" s="312">
        <v>31370</v>
      </c>
      <c r="P122" s="313">
        <f t="shared" si="6"/>
        <v>0</v>
      </c>
      <c r="Q122" s="310" t="s">
        <v>147</v>
      </c>
      <c r="R122" s="310">
        <v>127</v>
      </c>
      <c r="S122" s="310" t="s">
        <v>267</v>
      </c>
      <c r="T122" s="308">
        <v>45548</v>
      </c>
      <c r="U122" s="308">
        <v>45549</v>
      </c>
      <c r="V122" s="308"/>
      <c r="W122" s="315">
        <f t="shared" si="11"/>
        <v>4</v>
      </c>
      <c r="X122" s="310" t="s">
        <v>54</v>
      </c>
      <c r="Y122" s="310" t="s">
        <v>529</v>
      </c>
      <c r="Z122" s="316" t="s">
        <v>154</v>
      </c>
      <c r="AA122" s="316" t="s">
        <v>471</v>
      </c>
      <c r="AB122" s="316" t="s">
        <v>470</v>
      </c>
    </row>
    <row r="123" spans="1:28" x14ac:dyDescent="0.25">
      <c r="A123" s="307">
        <f t="shared" si="7"/>
        <v>117</v>
      </c>
      <c r="B123" s="308">
        <v>45546</v>
      </c>
      <c r="C123" s="309">
        <f t="shared" si="8"/>
        <v>45536</v>
      </c>
      <c r="D123" s="310" t="s">
        <v>56</v>
      </c>
      <c r="E123" s="310" t="s">
        <v>60</v>
      </c>
      <c r="F123" s="311">
        <v>9589264337</v>
      </c>
      <c r="G123" s="316" t="s">
        <v>42</v>
      </c>
      <c r="H123" s="316" t="s">
        <v>26</v>
      </c>
      <c r="I123" s="316" t="s">
        <v>488</v>
      </c>
      <c r="J123" s="310" t="s">
        <v>3730</v>
      </c>
      <c r="K123" s="312">
        <v>52630</v>
      </c>
      <c r="L123" s="312">
        <v>96390</v>
      </c>
      <c r="M123" s="313">
        <f t="shared" si="9"/>
        <v>43760</v>
      </c>
      <c r="N123" s="314">
        <f t="shared" si="10"/>
        <v>0.453989003008611</v>
      </c>
      <c r="O123" s="312">
        <v>52630</v>
      </c>
      <c r="P123" s="313">
        <f t="shared" si="6"/>
        <v>0</v>
      </c>
      <c r="Q123" s="310" t="s">
        <v>147</v>
      </c>
      <c r="R123" s="310">
        <v>128</v>
      </c>
      <c r="S123" s="310" t="s">
        <v>267</v>
      </c>
      <c r="T123" s="308">
        <v>45550</v>
      </c>
      <c r="U123" s="308">
        <v>45551</v>
      </c>
      <c r="V123" s="308"/>
      <c r="W123" s="315">
        <f t="shared" si="11"/>
        <v>5</v>
      </c>
      <c r="X123" s="310" t="s">
        <v>54</v>
      </c>
      <c r="Y123" s="310" t="s">
        <v>56</v>
      </c>
      <c r="Z123" s="316"/>
      <c r="AA123" s="316" t="s">
        <v>486</v>
      </c>
      <c r="AB123" s="316" t="s">
        <v>487</v>
      </c>
    </row>
    <row r="124" spans="1:28" x14ac:dyDescent="0.25">
      <c r="A124" s="307">
        <f t="shared" si="7"/>
        <v>118</v>
      </c>
      <c r="B124" s="308">
        <v>45546</v>
      </c>
      <c r="C124" s="309">
        <f t="shared" si="8"/>
        <v>45536</v>
      </c>
      <c r="D124" s="310" t="s">
        <v>51</v>
      </c>
      <c r="E124" s="310" t="s">
        <v>2334</v>
      </c>
      <c r="F124" s="311"/>
      <c r="G124" s="316" t="s">
        <v>6</v>
      </c>
      <c r="H124" s="316" t="s">
        <v>26</v>
      </c>
      <c r="I124" s="316" t="s">
        <v>483</v>
      </c>
      <c r="J124" s="310" t="s">
        <v>381</v>
      </c>
      <c r="K124" s="312">
        <v>87430</v>
      </c>
      <c r="L124" s="312">
        <v>100520</v>
      </c>
      <c r="M124" s="313">
        <f t="shared" si="9"/>
        <v>13090</v>
      </c>
      <c r="N124" s="314">
        <f t="shared" si="10"/>
        <v>0.130222841225627</v>
      </c>
      <c r="O124" s="312">
        <v>87430</v>
      </c>
      <c r="P124" s="313">
        <f t="shared" si="6"/>
        <v>0</v>
      </c>
      <c r="Q124" s="310" t="s">
        <v>147</v>
      </c>
      <c r="R124" s="310">
        <v>129</v>
      </c>
      <c r="S124" s="310" t="s">
        <v>267</v>
      </c>
      <c r="T124" s="308">
        <v>45547</v>
      </c>
      <c r="U124" s="308">
        <v>45548</v>
      </c>
      <c r="V124" s="308"/>
      <c r="W124" s="315">
        <f t="shared" si="11"/>
        <v>2</v>
      </c>
      <c r="X124" s="310" t="s">
        <v>54</v>
      </c>
      <c r="Y124" s="310" t="s">
        <v>2334</v>
      </c>
      <c r="Z124" s="316" t="s">
        <v>473</v>
      </c>
      <c r="AA124" s="317">
        <v>45635</v>
      </c>
      <c r="AB124" s="316" t="s">
        <v>471</v>
      </c>
    </row>
    <row r="125" spans="1:28" x14ac:dyDescent="0.25">
      <c r="A125" s="307">
        <f t="shared" si="7"/>
        <v>119</v>
      </c>
      <c r="B125" s="308">
        <v>45547</v>
      </c>
      <c r="C125" s="309">
        <f t="shared" si="8"/>
        <v>45536</v>
      </c>
      <c r="D125" s="310" t="s">
        <v>51</v>
      </c>
      <c r="E125" s="310" t="s">
        <v>401</v>
      </c>
      <c r="F125" s="311">
        <v>9923171297</v>
      </c>
      <c r="G125" s="316" t="s">
        <v>6</v>
      </c>
      <c r="H125" s="316" t="s">
        <v>484</v>
      </c>
      <c r="I125" s="316" t="s">
        <v>485</v>
      </c>
      <c r="J125" s="310" t="s">
        <v>59</v>
      </c>
      <c r="K125" s="312">
        <v>31660</v>
      </c>
      <c r="L125" s="312">
        <v>50400</v>
      </c>
      <c r="M125" s="313">
        <f t="shared" si="9"/>
        <v>18740</v>
      </c>
      <c r="N125" s="314">
        <f t="shared" si="10"/>
        <v>0.371825396825397</v>
      </c>
      <c r="O125" s="312">
        <v>31660</v>
      </c>
      <c r="P125" s="313">
        <f t="shared" si="6"/>
        <v>0</v>
      </c>
      <c r="Q125" s="310" t="s">
        <v>147</v>
      </c>
      <c r="R125" s="310">
        <v>131</v>
      </c>
      <c r="S125" s="310" t="s">
        <v>267</v>
      </c>
      <c r="T125" s="308">
        <v>45550</v>
      </c>
      <c r="U125" s="308">
        <v>45551</v>
      </c>
      <c r="V125" s="308"/>
      <c r="W125" s="315">
        <f t="shared" si="11"/>
        <v>4</v>
      </c>
      <c r="X125" s="310" t="s">
        <v>54</v>
      </c>
      <c r="Y125" s="310" t="s">
        <v>529</v>
      </c>
      <c r="Z125" s="316"/>
      <c r="AA125" s="316" t="s">
        <v>486</v>
      </c>
      <c r="AB125" s="316" t="s">
        <v>487</v>
      </c>
    </row>
    <row r="126" spans="1:28" x14ac:dyDescent="0.25">
      <c r="A126" s="307">
        <f t="shared" si="7"/>
        <v>120</v>
      </c>
      <c r="B126" s="308">
        <v>45547</v>
      </c>
      <c r="C126" s="309">
        <f t="shared" si="8"/>
        <v>45536</v>
      </c>
      <c r="D126" s="310" t="s">
        <v>51</v>
      </c>
      <c r="E126" s="310" t="s">
        <v>2334</v>
      </c>
      <c r="F126" s="311"/>
      <c r="G126" s="316" t="s">
        <v>6</v>
      </c>
      <c r="H126" s="316" t="s">
        <v>26</v>
      </c>
      <c r="I126" s="316" t="s">
        <v>489</v>
      </c>
      <c r="J126" s="310" t="s">
        <v>381</v>
      </c>
      <c r="K126" s="312">
        <v>17940</v>
      </c>
      <c r="L126" s="312">
        <v>19840</v>
      </c>
      <c r="M126" s="313">
        <f t="shared" si="9"/>
        <v>1900</v>
      </c>
      <c r="N126" s="314">
        <f t="shared" si="10"/>
        <v>0.0957661290322581</v>
      </c>
      <c r="O126" s="312">
        <v>17940</v>
      </c>
      <c r="P126" s="313">
        <f t="shared" si="6"/>
        <v>0</v>
      </c>
      <c r="Q126" s="310" t="s">
        <v>147</v>
      </c>
      <c r="R126" s="310">
        <v>130</v>
      </c>
      <c r="S126" s="310" t="s">
        <v>267</v>
      </c>
      <c r="T126" s="308">
        <v>45547</v>
      </c>
      <c r="U126" s="308">
        <v>45549</v>
      </c>
      <c r="V126" s="308"/>
      <c r="W126" s="315">
        <f t="shared" si="11"/>
        <v>2</v>
      </c>
      <c r="X126" s="310" t="s">
        <v>54</v>
      </c>
      <c r="Y126" s="310" t="s">
        <v>2334</v>
      </c>
      <c r="Z126" s="316" t="s">
        <v>522</v>
      </c>
      <c r="AA126" s="317">
        <v>45635</v>
      </c>
      <c r="AB126" s="316" t="s">
        <v>470</v>
      </c>
    </row>
    <row r="127" spans="1:28" x14ac:dyDescent="0.25">
      <c r="A127" s="307">
        <f t="shared" si="7"/>
        <v>121</v>
      </c>
      <c r="B127" s="308">
        <v>45548</v>
      </c>
      <c r="C127" s="309">
        <f t="shared" si="8"/>
        <v>45536</v>
      </c>
      <c r="D127" s="310" t="s">
        <v>51</v>
      </c>
      <c r="E127" s="310" t="s">
        <v>468</v>
      </c>
      <c r="F127" s="311">
        <v>9764609779</v>
      </c>
      <c r="G127" s="316" t="s">
        <v>377</v>
      </c>
      <c r="H127" s="316" t="s">
        <v>26</v>
      </c>
      <c r="I127" s="316" t="s">
        <v>590</v>
      </c>
      <c r="J127" s="310" t="s">
        <v>3730</v>
      </c>
      <c r="K127" s="312">
        <v>66400</v>
      </c>
      <c r="L127" s="312">
        <v>96390</v>
      </c>
      <c r="M127" s="313">
        <f t="shared" si="9"/>
        <v>29990</v>
      </c>
      <c r="N127" s="314">
        <f t="shared" si="10"/>
        <v>0.311131860151468</v>
      </c>
      <c r="O127" s="312">
        <v>66400</v>
      </c>
      <c r="P127" s="313">
        <f t="shared" si="6"/>
        <v>0</v>
      </c>
      <c r="Q127" s="310" t="s">
        <v>147</v>
      </c>
      <c r="R127" s="310">
        <v>133</v>
      </c>
      <c r="S127" s="310" t="s">
        <v>267</v>
      </c>
      <c r="T127" s="308">
        <v>45552</v>
      </c>
      <c r="U127" s="308">
        <v>45553</v>
      </c>
      <c r="V127" s="308"/>
      <c r="W127" s="315">
        <f t="shared" si="11"/>
        <v>5</v>
      </c>
      <c r="X127" s="310" t="s">
        <v>54</v>
      </c>
      <c r="Y127" s="310" t="s">
        <v>3751</v>
      </c>
      <c r="Z127" s="316"/>
      <c r="AA127" s="316" t="s">
        <v>525</v>
      </c>
      <c r="AB127" s="316" t="s">
        <v>526</v>
      </c>
    </row>
    <row r="128" spans="1:28" x14ac:dyDescent="0.25">
      <c r="A128" s="307">
        <f t="shared" si="7"/>
        <v>122</v>
      </c>
      <c r="B128" s="308">
        <v>45552</v>
      </c>
      <c r="C128" s="309">
        <f t="shared" si="8"/>
        <v>45536</v>
      </c>
      <c r="D128" s="310" t="s">
        <v>56</v>
      </c>
      <c r="E128" s="310" t="s">
        <v>60</v>
      </c>
      <c r="F128" s="311">
        <v>9281983602</v>
      </c>
      <c r="G128" s="316" t="s">
        <v>6</v>
      </c>
      <c r="H128" s="316" t="s">
        <v>560</v>
      </c>
      <c r="I128" s="316" t="s">
        <v>561</v>
      </c>
      <c r="J128" s="310" t="s">
        <v>3730</v>
      </c>
      <c r="K128" s="312">
        <v>47150</v>
      </c>
      <c r="L128" s="312">
        <v>59850</v>
      </c>
      <c r="M128" s="313">
        <f t="shared" si="9"/>
        <v>12700</v>
      </c>
      <c r="N128" s="314">
        <f t="shared" si="10"/>
        <v>0.212197159565581</v>
      </c>
      <c r="O128" s="312">
        <v>47150</v>
      </c>
      <c r="P128" s="313">
        <f t="shared" si="6"/>
        <v>0</v>
      </c>
      <c r="Q128" s="310" t="s">
        <v>147</v>
      </c>
      <c r="R128" s="310">
        <v>134</v>
      </c>
      <c r="S128" s="310" t="s">
        <v>267</v>
      </c>
      <c r="T128" s="308">
        <v>45555</v>
      </c>
      <c r="U128" s="308">
        <v>45556</v>
      </c>
      <c r="V128" s="308"/>
      <c r="W128" s="315">
        <f t="shared" si="11"/>
        <v>4</v>
      </c>
      <c r="X128" s="310" t="s">
        <v>54</v>
      </c>
      <c r="Y128" s="310" t="s">
        <v>56</v>
      </c>
      <c r="Z128" s="316"/>
      <c r="AA128" s="316" t="s">
        <v>536</v>
      </c>
      <c r="AB128" s="316" t="s">
        <v>537</v>
      </c>
    </row>
    <row r="129" spans="1:28" x14ac:dyDescent="0.25">
      <c r="A129" s="307">
        <f t="shared" si="7"/>
        <v>123</v>
      </c>
      <c r="B129" s="308">
        <v>45552</v>
      </c>
      <c r="C129" s="309">
        <f t="shared" si="8"/>
        <v>45536</v>
      </c>
      <c r="D129" s="310" t="s">
        <v>51</v>
      </c>
      <c r="E129" s="310" t="s">
        <v>527</v>
      </c>
      <c r="F129" s="311">
        <v>9795864855</v>
      </c>
      <c r="G129" s="316" t="s">
        <v>6</v>
      </c>
      <c r="H129" s="316" t="s">
        <v>528</v>
      </c>
      <c r="I129" s="316" t="s">
        <v>562</v>
      </c>
      <c r="J129" s="310" t="s">
        <v>3730</v>
      </c>
      <c r="K129" s="312">
        <v>32180</v>
      </c>
      <c r="L129" s="312">
        <v>57460</v>
      </c>
      <c r="M129" s="313">
        <f t="shared" si="9"/>
        <v>25280</v>
      </c>
      <c r="N129" s="314">
        <f t="shared" si="10"/>
        <v>0.439958231813435</v>
      </c>
      <c r="O129" s="312">
        <v>32180</v>
      </c>
      <c r="P129" s="313">
        <f t="shared" si="6"/>
        <v>0</v>
      </c>
      <c r="Q129" s="310" t="s">
        <v>147</v>
      </c>
      <c r="R129" s="310">
        <v>135</v>
      </c>
      <c r="S129" s="310" t="s">
        <v>267</v>
      </c>
      <c r="T129" s="308">
        <v>45556</v>
      </c>
      <c r="U129" s="308">
        <v>45558</v>
      </c>
      <c r="V129" s="308"/>
      <c r="W129" s="315">
        <f t="shared" si="11"/>
        <v>6</v>
      </c>
      <c r="X129" s="310" t="s">
        <v>54</v>
      </c>
      <c r="Y129" s="310" t="s">
        <v>529</v>
      </c>
      <c r="Z129" s="316" t="s">
        <v>538</v>
      </c>
      <c r="AA129" s="316"/>
      <c r="AB129" s="316"/>
    </row>
    <row r="130" spans="1:28" x14ac:dyDescent="0.25">
      <c r="A130" s="307">
        <f t="shared" si="7"/>
        <v>124</v>
      </c>
      <c r="B130" s="308">
        <v>45553</v>
      </c>
      <c r="C130" s="309">
        <f t="shared" si="8"/>
        <v>45536</v>
      </c>
      <c r="D130" s="310" t="s">
        <v>51</v>
      </c>
      <c r="E130" s="310" t="s">
        <v>530</v>
      </c>
      <c r="F130" s="311">
        <v>9431087100</v>
      </c>
      <c r="G130" s="316" t="s">
        <v>105</v>
      </c>
      <c r="H130" s="316" t="s">
        <v>26</v>
      </c>
      <c r="I130" s="316" t="s">
        <v>573</v>
      </c>
      <c r="J130" s="310" t="s">
        <v>623</v>
      </c>
      <c r="K130" s="312">
        <v>53360</v>
      </c>
      <c r="L130" s="312">
        <v>63000</v>
      </c>
      <c r="M130" s="313">
        <f t="shared" si="9"/>
        <v>9640</v>
      </c>
      <c r="N130" s="314">
        <f t="shared" si="10"/>
        <v>0.153015873015873</v>
      </c>
      <c r="O130" s="312">
        <v>53360</v>
      </c>
      <c r="P130" s="313">
        <f t="shared" si="6"/>
        <v>0</v>
      </c>
      <c r="Q130" s="310" t="s">
        <v>147</v>
      </c>
      <c r="R130" s="310">
        <v>136</v>
      </c>
      <c r="S130" s="310" t="s">
        <v>267</v>
      </c>
      <c r="T130" s="308">
        <v>45557</v>
      </c>
      <c r="U130" s="308">
        <v>45557</v>
      </c>
      <c r="V130" s="308"/>
      <c r="W130" s="315">
        <f t="shared" si="11"/>
        <v>4</v>
      </c>
      <c r="X130" s="310" t="s">
        <v>54</v>
      </c>
      <c r="Y130" s="310" t="s">
        <v>3751</v>
      </c>
      <c r="Z130" s="316"/>
      <c r="AA130" s="316"/>
      <c r="AB130" s="316"/>
    </row>
    <row r="131" spans="1:28" x14ac:dyDescent="0.25">
      <c r="A131" s="307">
        <f t="shared" si="7"/>
        <v>125</v>
      </c>
      <c r="B131" s="308">
        <v>45554</v>
      </c>
      <c r="C131" s="309">
        <f t="shared" si="8"/>
        <v>45536</v>
      </c>
      <c r="D131" s="310" t="s">
        <v>51</v>
      </c>
      <c r="E131" s="310" t="s">
        <v>535</v>
      </c>
      <c r="F131" s="311">
        <v>9790772397</v>
      </c>
      <c r="G131" s="316" t="s">
        <v>6</v>
      </c>
      <c r="H131" s="316" t="s">
        <v>563</v>
      </c>
      <c r="I131" s="316" t="s">
        <v>564</v>
      </c>
      <c r="J131" s="310" t="s">
        <v>623</v>
      </c>
      <c r="K131" s="312">
        <v>27700</v>
      </c>
      <c r="L131" s="312">
        <v>41900</v>
      </c>
      <c r="M131" s="313">
        <f t="shared" si="9"/>
        <v>14200</v>
      </c>
      <c r="N131" s="314">
        <f t="shared" si="10"/>
        <v>0.33890214797136</v>
      </c>
      <c r="O131" s="312">
        <v>27700</v>
      </c>
      <c r="P131" s="313">
        <f t="shared" si="6"/>
        <v>0</v>
      </c>
      <c r="Q131" s="310" t="s">
        <v>147</v>
      </c>
      <c r="R131" s="310">
        <v>137</v>
      </c>
      <c r="S131" s="310" t="s">
        <v>267</v>
      </c>
      <c r="T131" s="308">
        <v>45558</v>
      </c>
      <c r="U131" s="308">
        <v>45559</v>
      </c>
      <c r="V131" s="308"/>
      <c r="W131" s="315">
        <f t="shared" si="11"/>
        <v>5</v>
      </c>
      <c r="X131" s="310" t="s">
        <v>54</v>
      </c>
      <c r="Y131" s="310" t="s">
        <v>529</v>
      </c>
      <c r="Z131" s="316"/>
      <c r="AA131" s="316" t="s">
        <v>545</v>
      </c>
      <c r="AB131" s="316" t="s">
        <v>543</v>
      </c>
    </row>
    <row r="132" spans="1:28" x14ac:dyDescent="0.25">
      <c r="A132" s="307">
        <f t="shared" si="7"/>
        <v>126</v>
      </c>
      <c r="B132" s="308">
        <v>45555</v>
      </c>
      <c r="C132" s="309">
        <f t="shared" si="8"/>
        <v>45536</v>
      </c>
      <c r="D132" s="310" t="s">
        <v>51</v>
      </c>
      <c r="E132" s="310" t="s">
        <v>435</v>
      </c>
      <c r="F132" s="311">
        <v>9654538123</v>
      </c>
      <c r="G132" s="316" t="s">
        <v>6</v>
      </c>
      <c r="H132" s="316" t="s">
        <v>566</v>
      </c>
      <c r="I132" s="316" t="s">
        <v>565</v>
      </c>
      <c r="J132" s="310" t="s">
        <v>623</v>
      </c>
      <c r="K132" s="312">
        <v>29640</v>
      </c>
      <c r="L132" s="312">
        <v>44100</v>
      </c>
      <c r="M132" s="313">
        <f t="shared" si="9"/>
        <v>14460</v>
      </c>
      <c r="N132" s="314">
        <f t="shared" si="10"/>
        <v>0.327891156462585</v>
      </c>
      <c r="O132" s="312">
        <v>29640</v>
      </c>
      <c r="P132" s="313">
        <f t="shared" si="6"/>
        <v>0</v>
      </c>
      <c r="Q132" s="310" t="s">
        <v>147</v>
      </c>
      <c r="R132" s="310">
        <v>138</v>
      </c>
      <c r="S132" s="310" t="s">
        <v>267</v>
      </c>
      <c r="T132" s="308">
        <v>45559</v>
      </c>
      <c r="U132" s="308">
        <v>45561</v>
      </c>
      <c r="V132" s="308"/>
      <c r="W132" s="315">
        <f t="shared" si="11"/>
        <v>6</v>
      </c>
      <c r="X132" s="310" t="s">
        <v>54</v>
      </c>
      <c r="Y132" s="310" t="s">
        <v>529</v>
      </c>
      <c r="Z132" s="316"/>
      <c r="AA132" s="316" t="s">
        <v>543</v>
      </c>
      <c r="AB132" s="316" t="s">
        <v>544</v>
      </c>
    </row>
    <row r="133" spans="1:28" x14ac:dyDescent="0.25">
      <c r="A133" s="307">
        <f t="shared" si="7"/>
        <v>127</v>
      </c>
      <c r="B133" s="308">
        <v>45556</v>
      </c>
      <c r="C133" s="309">
        <f t="shared" si="8"/>
        <v>45536</v>
      </c>
      <c r="D133" s="310" t="s">
        <v>56</v>
      </c>
      <c r="E133" s="310" t="s">
        <v>38</v>
      </c>
      <c r="F133" s="311">
        <v>9515412075</v>
      </c>
      <c r="G133" s="316" t="s">
        <v>6</v>
      </c>
      <c r="H133" s="316" t="s">
        <v>568</v>
      </c>
      <c r="I133" s="316" t="s">
        <v>567</v>
      </c>
      <c r="J133" s="310" t="s">
        <v>59</v>
      </c>
      <c r="K133" s="312">
        <v>45740</v>
      </c>
      <c r="L133" s="312">
        <v>50400</v>
      </c>
      <c r="M133" s="313">
        <f t="shared" si="9"/>
        <v>4660</v>
      </c>
      <c r="N133" s="314">
        <f t="shared" si="10"/>
        <v>0.0924603174603175</v>
      </c>
      <c r="O133" s="312">
        <v>45740</v>
      </c>
      <c r="P133" s="313">
        <f t="shared" si="6"/>
        <v>0</v>
      </c>
      <c r="Q133" s="310" t="s">
        <v>147</v>
      </c>
      <c r="R133" s="310">
        <v>139</v>
      </c>
      <c r="S133" s="310" t="s">
        <v>267</v>
      </c>
      <c r="T133" s="308">
        <v>45560</v>
      </c>
      <c r="U133" s="308">
        <v>45561</v>
      </c>
      <c r="V133" s="308"/>
      <c r="W133" s="315">
        <f t="shared" si="11"/>
        <v>5</v>
      </c>
      <c r="X133" s="310" t="s">
        <v>54</v>
      </c>
      <c r="Y133" s="310" t="s">
        <v>56</v>
      </c>
      <c r="Z133" s="316"/>
      <c r="AA133" s="316" t="s">
        <v>546</v>
      </c>
      <c r="AB133" s="316" t="s">
        <v>544</v>
      </c>
    </row>
    <row r="134" spans="1:28" x14ac:dyDescent="0.25">
      <c r="A134" s="307">
        <f t="shared" si="7"/>
        <v>128</v>
      </c>
      <c r="B134" s="308">
        <v>45558</v>
      </c>
      <c r="C134" s="309">
        <f t="shared" si="8"/>
        <v>45536</v>
      </c>
      <c r="D134" s="310" t="s">
        <v>51</v>
      </c>
      <c r="E134" s="310" t="s">
        <v>438</v>
      </c>
      <c r="F134" s="311">
        <v>9563961453</v>
      </c>
      <c r="G134" s="316" t="s">
        <v>6</v>
      </c>
      <c r="H134" s="316" t="s">
        <v>570</v>
      </c>
      <c r="I134" s="316" t="s">
        <v>569</v>
      </c>
      <c r="J134" s="310" t="s">
        <v>168</v>
      </c>
      <c r="K134" s="312">
        <v>27170</v>
      </c>
      <c r="L134" s="312">
        <v>41900</v>
      </c>
      <c r="M134" s="313">
        <f t="shared" si="9"/>
        <v>14730</v>
      </c>
      <c r="N134" s="314">
        <f t="shared" si="10"/>
        <v>0.351551312649165</v>
      </c>
      <c r="O134" s="312">
        <v>27170</v>
      </c>
      <c r="P134" s="313">
        <f t="shared" si="6"/>
        <v>0</v>
      </c>
      <c r="Q134" s="310" t="s">
        <v>147</v>
      </c>
      <c r="R134" s="310">
        <v>140</v>
      </c>
      <c r="S134" s="310" t="s">
        <v>267</v>
      </c>
      <c r="T134" s="308">
        <v>45562</v>
      </c>
      <c r="U134" s="308">
        <v>45563</v>
      </c>
      <c r="V134" s="308"/>
      <c r="W134" s="315">
        <f t="shared" si="11"/>
        <v>5</v>
      </c>
      <c r="X134" s="310" t="s">
        <v>54</v>
      </c>
      <c r="Y134" s="310" t="s">
        <v>439</v>
      </c>
      <c r="Z134" s="316"/>
      <c r="AA134" s="316" t="s">
        <v>550</v>
      </c>
      <c r="AB134" s="316" t="s">
        <v>551</v>
      </c>
    </row>
    <row r="135" spans="1:28" x14ac:dyDescent="0.25">
      <c r="A135" s="307">
        <f t="shared" si="7"/>
        <v>129</v>
      </c>
      <c r="B135" s="308">
        <v>45559</v>
      </c>
      <c r="C135" s="309">
        <f t="shared" si="8"/>
        <v>45536</v>
      </c>
      <c r="D135" s="310" t="s">
        <v>51</v>
      </c>
      <c r="E135" s="310" t="s">
        <v>530</v>
      </c>
      <c r="F135" s="311">
        <v>9431087100</v>
      </c>
      <c r="G135" s="316" t="s">
        <v>6</v>
      </c>
      <c r="H135" s="316" t="s">
        <v>572</v>
      </c>
      <c r="I135" s="316" t="s">
        <v>571</v>
      </c>
      <c r="J135" s="310" t="s">
        <v>168</v>
      </c>
      <c r="K135" s="312">
        <v>26100</v>
      </c>
      <c r="L135" s="312">
        <v>41900</v>
      </c>
      <c r="M135" s="313">
        <f t="shared" si="9"/>
        <v>15800</v>
      </c>
      <c r="N135" s="314">
        <f t="shared" si="10"/>
        <v>0.37708830548926</v>
      </c>
      <c r="O135" s="312">
        <v>26100</v>
      </c>
      <c r="P135" s="313">
        <f t="shared" ref="P135:P198" si="12">IF(OR($K135="",$O135=""),"",$K135-$O135)</f>
        <v>0</v>
      </c>
      <c r="Q135" s="310" t="s">
        <v>147</v>
      </c>
      <c r="R135" s="310">
        <v>141</v>
      </c>
      <c r="S135" s="310" t="s">
        <v>267</v>
      </c>
      <c r="T135" s="308">
        <v>45562</v>
      </c>
      <c r="U135" s="308">
        <v>45563</v>
      </c>
      <c r="V135" s="308"/>
      <c r="W135" s="315">
        <f t="shared" si="11"/>
        <v>4</v>
      </c>
      <c r="X135" s="310" t="s">
        <v>54</v>
      </c>
      <c r="Y135" s="310" t="s">
        <v>3751</v>
      </c>
      <c r="Z135" s="316"/>
      <c r="AA135" s="316" t="s">
        <v>550</v>
      </c>
      <c r="AB135" s="316" t="s">
        <v>551</v>
      </c>
    </row>
    <row r="136" spans="1:28" x14ac:dyDescent="0.25">
      <c r="A136" s="307">
        <f t="shared" ref="A136:A199" si="13">IF($B136="","",ROW()-6)</f>
        <v>130</v>
      </c>
      <c r="B136" s="308">
        <v>45559</v>
      </c>
      <c r="C136" s="309">
        <f t="shared" ref="C136:C199" si="14">IF($B136="","",EOMONTH($B136,-1)+1)</f>
        <v>45536</v>
      </c>
      <c r="D136" s="310" t="s">
        <v>51</v>
      </c>
      <c r="E136" s="310" t="s">
        <v>539</v>
      </c>
      <c r="F136" s="311">
        <v>9067390032</v>
      </c>
      <c r="G136" s="316" t="s">
        <v>6</v>
      </c>
      <c r="H136" s="316" t="s">
        <v>575</v>
      </c>
      <c r="I136" s="316" t="s">
        <v>574</v>
      </c>
      <c r="J136" s="310" t="s">
        <v>3730</v>
      </c>
      <c r="K136" s="312">
        <v>33640</v>
      </c>
      <c r="L136" s="312">
        <v>52920</v>
      </c>
      <c r="M136" s="313">
        <f t="shared" ref="M136:M199" si="15">IF(OR($K136="",$L136=""),"",$L136-$K136)</f>
        <v>19280</v>
      </c>
      <c r="N136" s="314">
        <f t="shared" ref="N136:N199" si="16">IF(OR($L136="",$L136=0,$M136=""),"",$M136/$L136)</f>
        <v>0.36432350718065</v>
      </c>
      <c r="O136" s="312">
        <v>33640</v>
      </c>
      <c r="P136" s="313">
        <f t="shared" si="12"/>
        <v>0</v>
      </c>
      <c r="Q136" s="310" t="s">
        <v>147</v>
      </c>
      <c r="R136" s="310">
        <v>142</v>
      </c>
      <c r="S136" s="310" t="s">
        <v>267</v>
      </c>
      <c r="T136" s="308">
        <v>45563</v>
      </c>
      <c r="U136" s="308">
        <v>45563</v>
      </c>
      <c r="V136" s="308"/>
      <c r="W136" s="315">
        <f t="shared" ref="W136:W199" si="17">IF(OR($B136="",$U136=""),"",$U136-$B136)</f>
        <v>4</v>
      </c>
      <c r="X136" s="310" t="s">
        <v>54</v>
      </c>
      <c r="Y136" s="310" t="s">
        <v>529</v>
      </c>
      <c r="Z136" s="316"/>
      <c r="AA136" s="316" t="s">
        <v>551</v>
      </c>
      <c r="AB136" s="316" t="s">
        <v>551</v>
      </c>
    </row>
    <row r="137" spans="1:28" x14ac:dyDescent="0.25">
      <c r="A137" s="307">
        <f t="shared" si="13"/>
        <v>131</v>
      </c>
      <c r="B137" s="308">
        <v>45560</v>
      </c>
      <c r="C137" s="309">
        <f t="shared" si="14"/>
        <v>45536</v>
      </c>
      <c r="D137" s="310" t="s">
        <v>51</v>
      </c>
      <c r="E137" s="310" t="s">
        <v>540</v>
      </c>
      <c r="F137" s="311">
        <v>9527621445</v>
      </c>
      <c r="G137" s="316" t="s">
        <v>6</v>
      </c>
      <c r="H137" s="316" t="s">
        <v>576</v>
      </c>
      <c r="I137" s="316" t="s">
        <v>577</v>
      </c>
      <c r="J137" s="310" t="s">
        <v>541</v>
      </c>
      <c r="K137" s="312">
        <v>31090</v>
      </c>
      <c r="L137" s="312">
        <v>46620</v>
      </c>
      <c r="M137" s="313">
        <f t="shared" si="15"/>
        <v>15530</v>
      </c>
      <c r="N137" s="314">
        <f t="shared" si="16"/>
        <v>0.333118833118833</v>
      </c>
      <c r="O137" s="312">
        <v>31090</v>
      </c>
      <c r="P137" s="313">
        <f t="shared" si="12"/>
        <v>0</v>
      </c>
      <c r="Q137" s="310" t="s">
        <v>147</v>
      </c>
      <c r="R137" s="310">
        <v>143</v>
      </c>
      <c r="S137" s="310" t="s">
        <v>267</v>
      </c>
      <c r="T137" s="308">
        <v>45565</v>
      </c>
      <c r="U137" s="308">
        <v>45565</v>
      </c>
      <c r="V137" s="308"/>
      <c r="W137" s="315">
        <f t="shared" si="17"/>
        <v>5</v>
      </c>
      <c r="X137" s="310" t="s">
        <v>54</v>
      </c>
      <c r="Y137" s="310" t="s">
        <v>529</v>
      </c>
      <c r="Z137" s="316"/>
      <c r="AA137" s="316" t="s">
        <v>553</v>
      </c>
      <c r="AB137" s="316" t="s">
        <v>553</v>
      </c>
    </row>
    <row r="138" spans="1:28" x14ac:dyDescent="0.25">
      <c r="A138" s="307">
        <f t="shared" si="13"/>
        <v>132</v>
      </c>
      <c r="B138" s="308">
        <v>45560</v>
      </c>
      <c r="C138" s="309">
        <f t="shared" si="14"/>
        <v>45536</v>
      </c>
      <c r="D138" s="310" t="s">
        <v>51</v>
      </c>
      <c r="E138" s="310" t="s">
        <v>542</v>
      </c>
      <c r="F138" s="311">
        <v>9192627814</v>
      </c>
      <c r="G138" s="316" t="s">
        <v>6</v>
      </c>
      <c r="H138" s="316" t="s">
        <v>26</v>
      </c>
      <c r="I138" s="316" t="s">
        <v>586</v>
      </c>
      <c r="J138" s="310" t="s">
        <v>623</v>
      </c>
      <c r="K138" s="312">
        <v>25690</v>
      </c>
      <c r="L138" s="312">
        <v>35600</v>
      </c>
      <c r="M138" s="313">
        <f t="shared" si="15"/>
        <v>9910</v>
      </c>
      <c r="N138" s="314">
        <f t="shared" si="16"/>
        <v>0.278370786516854</v>
      </c>
      <c r="O138" s="312">
        <v>25690</v>
      </c>
      <c r="P138" s="313">
        <f t="shared" si="12"/>
        <v>0</v>
      </c>
      <c r="Q138" s="310" t="s">
        <v>147</v>
      </c>
      <c r="R138" s="310">
        <v>144</v>
      </c>
      <c r="S138" s="310" t="s">
        <v>267</v>
      </c>
      <c r="T138" s="308">
        <v>45565</v>
      </c>
      <c r="U138" s="308">
        <v>45565</v>
      </c>
      <c r="V138" s="308"/>
      <c r="W138" s="315">
        <f t="shared" si="17"/>
        <v>5</v>
      </c>
      <c r="X138" s="310" t="s">
        <v>54</v>
      </c>
      <c r="Y138" s="310" t="s">
        <v>529</v>
      </c>
      <c r="Z138" s="316"/>
      <c r="AA138" s="316" t="s">
        <v>553</v>
      </c>
      <c r="AB138" s="316" t="s">
        <v>553</v>
      </c>
    </row>
    <row r="139" spans="1:28" x14ac:dyDescent="0.25">
      <c r="A139" s="307">
        <f t="shared" si="13"/>
        <v>133</v>
      </c>
      <c r="B139" s="308">
        <v>45561</v>
      </c>
      <c r="C139" s="309">
        <f t="shared" si="14"/>
        <v>45536</v>
      </c>
      <c r="D139" s="310" t="s">
        <v>51</v>
      </c>
      <c r="E139" s="310" t="s">
        <v>547</v>
      </c>
      <c r="F139" s="311">
        <v>9534445966</v>
      </c>
      <c r="G139" s="316" t="s">
        <v>6</v>
      </c>
      <c r="H139" s="316" t="s">
        <v>584</v>
      </c>
      <c r="I139" s="316" t="s">
        <v>585</v>
      </c>
      <c r="J139" s="310" t="s">
        <v>168</v>
      </c>
      <c r="K139" s="312">
        <v>27440</v>
      </c>
      <c r="L139" s="312">
        <v>41900</v>
      </c>
      <c r="M139" s="313">
        <f t="shared" si="15"/>
        <v>14460</v>
      </c>
      <c r="N139" s="314">
        <f t="shared" si="16"/>
        <v>0.345107398568019</v>
      </c>
      <c r="O139" s="312">
        <v>27440</v>
      </c>
      <c r="P139" s="313">
        <f t="shared" si="12"/>
        <v>0</v>
      </c>
      <c r="Q139" s="310" t="s">
        <v>147</v>
      </c>
      <c r="R139" s="310">
        <v>145</v>
      </c>
      <c r="S139" s="310" t="s">
        <v>267</v>
      </c>
      <c r="T139" s="308">
        <v>45565</v>
      </c>
      <c r="U139" s="308">
        <v>45565</v>
      </c>
      <c r="V139" s="308"/>
      <c r="W139" s="315">
        <f t="shared" si="17"/>
        <v>4</v>
      </c>
      <c r="X139" s="310" t="s">
        <v>54</v>
      </c>
      <c r="Y139" s="310" t="s">
        <v>439</v>
      </c>
      <c r="Z139" s="316"/>
      <c r="AA139" s="316" t="s">
        <v>553</v>
      </c>
      <c r="AB139" s="316" t="s">
        <v>553</v>
      </c>
    </row>
    <row r="140" spans="1:28" x14ac:dyDescent="0.25">
      <c r="A140" s="307">
        <f t="shared" si="13"/>
        <v>134</v>
      </c>
      <c r="B140" s="308">
        <v>45561</v>
      </c>
      <c r="C140" s="309">
        <f t="shared" si="14"/>
        <v>45536</v>
      </c>
      <c r="D140" s="310" t="s">
        <v>56</v>
      </c>
      <c r="E140" s="310" t="s">
        <v>60</v>
      </c>
      <c r="F140" s="311">
        <v>9589264337</v>
      </c>
      <c r="G140" s="316" t="s">
        <v>42</v>
      </c>
      <c r="H140" s="316" t="s">
        <v>588</v>
      </c>
      <c r="I140" s="316" t="s">
        <v>589</v>
      </c>
      <c r="J140" s="310" t="s">
        <v>3730</v>
      </c>
      <c r="K140" s="312">
        <v>53580</v>
      </c>
      <c r="L140" s="312">
        <v>102690</v>
      </c>
      <c r="M140" s="313">
        <f t="shared" si="15"/>
        <v>49110</v>
      </c>
      <c r="N140" s="314">
        <f t="shared" si="16"/>
        <v>0.478235465965527</v>
      </c>
      <c r="O140" s="312">
        <v>53580</v>
      </c>
      <c r="P140" s="313">
        <f t="shared" si="12"/>
        <v>0</v>
      </c>
      <c r="Q140" s="310" t="s">
        <v>147</v>
      </c>
      <c r="R140" s="310">
        <v>146</v>
      </c>
      <c r="S140" s="310" t="s">
        <v>267</v>
      </c>
      <c r="T140" s="308">
        <v>45564</v>
      </c>
      <c r="U140" s="308">
        <v>45565</v>
      </c>
      <c r="V140" s="308"/>
      <c r="W140" s="315">
        <f t="shared" si="17"/>
        <v>4</v>
      </c>
      <c r="X140" s="310" t="s">
        <v>54</v>
      </c>
      <c r="Y140" s="310" t="s">
        <v>56</v>
      </c>
      <c r="Z140" s="316"/>
      <c r="AA140" s="316" t="s">
        <v>555</v>
      </c>
      <c r="AB140" s="316" t="s">
        <v>553</v>
      </c>
    </row>
    <row r="141" spans="1:28" x14ac:dyDescent="0.25">
      <c r="A141" s="307">
        <f t="shared" si="13"/>
        <v>135</v>
      </c>
      <c r="B141" s="308">
        <v>45561</v>
      </c>
      <c r="C141" s="309">
        <f t="shared" si="14"/>
        <v>45536</v>
      </c>
      <c r="D141" s="310" t="s">
        <v>51</v>
      </c>
      <c r="E141" s="310" t="s">
        <v>548</v>
      </c>
      <c r="F141" s="311">
        <v>9802258584</v>
      </c>
      <c r="G141" s="316" t="s">
        <v>6</v>
      </c>
      <c r="H141" s="316" t="s">
        <v>582</v>
      </c>
      <c r="I141" s="316" t="s">
        <v>583</v>
      </c>
      <c r="J141" s="310" t="s">
        <v>168</v>
      </c>
      <c r="K141" s="312">
        <v>29910</v>
      </c>
      <c r="L141" s="312">
        <v>44100</v>
      </c>
      <c r="M141" s="313">
        <f t="shared" si="15"/>
        <v>14190</v>
      </c>
      <c r="N141" s="314">
        <f t="shared" si="16"/>
        <v>0.321768707482993</v>
      </c>
      <c r="O141" s="312">
        <v>29910</v>
      </c>
      <c r="P141" s="313">
        <f t="shared" si="12"/>
        <v>0</v>
      </c>
      <c r="Q141" s="310" t="s">
        <v>147</v>
      </c>
      <c r="R141" s="310">
        <v>147</v>
      </c>
      <c r="S141" s="310" t="s">
        <v>267</v>
      </c>
      <c r="T141" s="308">
        <v>45565</v>
      </c>
      <c r="U141" s="308">
        <v>45566</v>
      </c>
      <c r="V141" s="308"/>
      <c r="W141" s="315">
        <f t="shared" si="17"/>
        <v>5</v>
      </c>
      <c r="X141" s="310" t="s">
        <v>54</v>
      </c>
      <c r="Y141" s="310" t="s">
        <v>439</v>
      </c>
      <c r="Z141" s="316"/>
      <c r="AA141" s="316" t="s">
        <v>553</v>
      </c>
      <c r="AB141" s="317">
        <v>45301</v>
      </c>
    </row>
    <row r="142" spans="1:28" x14ac:dyDescent="0.25">
      <c r="A142" s="307">
        <f t="shared" si="13"/>
        <v>136</v>
      </c>
      <c r="B142" s="308">
        <v>45562</v>
      </c>
      <c r="C142" s="309">
        <f t="shared" si="14"/>
        <v>45536</v>
      </c>
      <c r="D142" s="310" t="s">
        <v>56</v>
      </c>
      <c r="E142" s="310" t="s">
        <v>38</v>
      </c>
      <c r="F142" s="311">
        <v>9515412075</v>
      </c>
      <c r="G142" s="316" t="s">
        <v>42</v>
      </c>
      <c r="H142" s="316" t="s">
        <v>26</v>
      </c>
      <c r="I142" s="316" t="s">
        <v>587</v>
      </c>
      <c r="J142" s="310" t="s">
        <v>59</v>
      </c>
      <c r="K142" s="312">
        <v>51880</v>
      </c>
      <c r="L142" s="312">
        <v>91350</v>
      </c>
      <c r="M142" s="313">
        <f t="shared" si="15"/>
        <v>39470</v>
      </c>
      <c r="N142" s="314">
        <f t="shared" si="16"/>
        <v>0.432074438970991</v>
      </c>
      <c r="O142" s="312">
        <v>51880</v>
      </c>
      <c r="P142" s="313">
        <f t="shared" si="12"/>
        <v>0</v>
      </c>
      <c r="Q142" s="310" t="s">
        <v>147</v>
      </c>
      <c r="R142" s="310">
        <v>148</v>
      </c>
      <c r="S142" s="310" t="s">
        <v>267</v>
      </c>
      <c r="T142" s="308">
        <v>45565</v>
      </c>
      <c r="U142" s="308">
        <v>45565</v>
      </c>
      <c r="V142" s="308"/>
      <c r="W142" s="315">
        <f t="shared" si="17"/>
        <v>3</v>
      </c>
      <c r="X142" s="310" t="s">
        <v>54</v>
      </c>
      <c r="Y142" s="310" t="s">
        <v>56</v>
      </c>
      <c r="Z142" s="316"/>
      <c r="AA142" s="316" t="s">
        <v>553</v>
      </c>
      <c r="AB142" s="316" t="s">
        <v>553</v>
      </c>
    </row>
    <row r="143" spans="1:28" x14ac:dyDescent="0.25">
      <c r="A143" s="307">
        <f t="shared" si="13"/>
        <v>137</v>
      </c>
      <c r="B143" s="308">
        <v>45562</v>
      </c>
      <c r="C143" s="309">
        <f t="shared" si="14"/>
        <v>45536</v>
      </c>
      <c r="D143" s="310" t="s">
        <v>51</v>
      </c>
      <c r="E143" s="310" t="s">
        <v>549</v>
      </c>
      <c r="F143" s="311">
        <v>9303752154</v>
      </c>
      <c r="G143" s="316" t="s">
        <v>6</v>
      </c>
      <c r="H143" s="316" t="s">
        <v>580</v>
      </c>
      <c r="I143" s="316" t="s">
        <v>581</v>
      </c>
      <c r="J143" s="310" t="s">
        <v>3730</v>
      </c>
      <c r="K143" s="312">
        <v>34180</v>
      </c>
      <c r="L143" s="312">
        <v>52920</v>
      </c>
      <c r="M143" s="313">
        <f t="shared" si="15"/>
        <v>18740</v>
      </c>
      <c r="N143" s="314">
        <f t="shared" si="16"/>
        <v>0.354119425547997</v>
      </c>
      <c r="O143" s="312">
        <v>34180</v>
      </c>
      <c r="P143" s="313">
        <f t="shared" si="12"/>
        <v>0</v>
      </c>
      <c r="Q143" s="310" t="s">
        <v>147</v>
      </c>
      <c r="R143" s="310">
        <v>150</v>
      </c>
      <c r="S143" s="310" t="s">
        <v>267</v>
      </c>
      <c r="T143" s="308">
        <v>45569</v>
      </c>
      <c r="U143" s="308">
        <v>45569</v>
      </c>
      <c r="V143" s="308"/>
      <c r="W143" s="315">
        <f t="shared" si="17"/>
        <v>7</v>
      </c>
      <c r="X143" s="310" t="s">
        <v>54</v>
      </c>
      <c r="Y143" s="310" t="s">
        <v>529</v>
      </c>
      <c r="Z143" s="316"/>
      <c r="AA143" s="317">
        <v>45392</v>
      </c>
      <c r="AB143" s="317">
        <v>45392</v>
      </c>
    </row>
    <row r="144" spans="1:28" x14ac:dyDescent="0.25">
      <c r="A144" s="307">
        <f t="shared" si="13"/>
        <v>138</v>
      </c>
      <c r="B144" s="308">
        <v>45563</v>
      </c>
      <c r="C144" s="309">
        <f t="shared" si="14"/>
        <v>45536</v>
      </c>
      <c r="D144" s="310" t="s">
        <v>51</v>
      </c>
      <c r="E144" s="310" t="s">
        <v>608</v>
      </c>
      <c r="F144" s="311">
        <v>9374625770</v>
      </c>
      <c r="G144" s="316" t="s">
        <v>6</v>
      </c>
      <c r="H144" s="316" t="s">
        <v>609</v>
      </c>
      <c r="I144" s="316" t="s">
        <v>41</v>
      </c>
      <c r="J144" s="310" t="s">
        <v>168</v>
      </c>
      <c r="K144" s="312">
        <v>26660</v>
      </c>
      <c r="L144" s="312">
        <v>38510</v>
      </c>
      <c r="M144" s="313">
        <f t="shared" si="15"/>
        <v>11850</v>
      </c>
      <c r="N144" s="314">
        <f t="shared" si="16"/>
        <v>0.30771228252402</v>
      </c>
      <c r="O144" s="312">
        <v>26660</v>
      </c>
      <c r="P144" s="313">
        <f t="shared" si="12"/>
        <v>0</v>
      </c>
      <c r="Q144" s="310" t="s">
        <v>147</v>
      </c>
      <c r="R144" s="310"/>
      <c r="S144" s="310"/>
      <c r="T144" s="308">
        <v>45565</v>
      </c>
      <c r="U144" s="308">
        <v>45566</v>
      </c>
      <c r="V144" s="308"/>
      <c r="W144" s="315">
        <f t="shared" si="17"/>
        <v>3</v>
      </c>
      <c r="X144" s="310" t="s">
        <v>54</v>
      </c>
      <c r="Y144" s="310" t="s">
        <v>529</v>
      </c>
      <c r="Z144" s="316" t="s">
        <v>610</v>
      </c>
      <c r="AA144" s="316" t="s">
        <v>553</v>
      </c>
      <c r="AB144" s="317">
        <v>45301</v>
      </c>
    </row>
    <row r="145" spans="1:28" x14ac:dyDescent="0.25">
      <c r="A145" s="307">
        <f t="shared" si="13"/>
        <v>139</v>
      </c>
      <c r="B145" s="308">
        <v>45564</v>
      </c>
      <c r="C145" s="309">
        <f t="shared" si="14"/>
        <v>45536</v>
      </c>
      <c r="D145" s="310" t="s">
        <v>51</v>
      </c>
      <c r="E145" s="310" t="s">
        <v>552</v>
      </c>
      <c r="F145" s="311">
        <v>9339844572</v>
      </c>
      <c r="G145" s="316" t="s">
        <v>6</v>
      </c>
      <c r="H145" s="316" t="s">
        <v>578</v>
      </c>
      <c r="I145" s="316" t="s">
        <v>579</v>
      </c>
      <c r="J145" s="310" t="s">
        <v>168</v>
      </c>
      <c r="K145" s="312">
        <v>28650</v>
      </c>
      <c r="L145" s="312">
        <v>48200</v>
      </c>
      <c r="M145" s="313">
        <f t="shared" si="15"/>
        <v>19550</v>
      </c>
      <c r="N145" s="314">
        <f t="shared" si="16"/>
        <v>0.405601659751037</v>
      </c>
      <c r="O145" s="312">
        <v>28650</v>
      </c>
      <c r="P145" s="313">
        <f t="shared" si="12"/>
        <v>0</v>
      </c>
      <c r="Q145" s="310" t="s">
        <v>147</v>
      </c>
      <c r="R145" s="310">
        <v>151</v>
      </c>
      <c r="S145" s="310" t="s">
        <v>267</v>
      </c>
      <c r="T145" s="308">
        <v>45569</v>
      </c>
      <c r="U145" s="308">
        <v>45570</v>
      </c>
      <c r="V145" s="308"/>
      <c r="W145" s="315">
        <f t="shared" si="17"/>
        <v>6</v>
      </c>
      <c r="X145" s="310" t="s">
        <v>54</v>
      </c>
      <c r="Y145" s="310" t="s">
        <v>529</v>
      </c>
      <c r="Z145" s="316"/>
      <c r="AA145" s="317">
        <v>45392</v>
      </c>
      <c r="AB145" s="317">
        <v>45422</v>
      </c>
    </row>
    <row r="146" spans="1:28" x14ac:dyDescent="0.25">
      <c r="A146" s="307">
        <f t="shared" si="13"/>
        <v>140</v>
      </c>
      <c r="B146" s="308">
        <v>45564</v>
      </c>
      <c r="C146" s="309">
        <f t="shared" si="14"/>
        <v>45536</v>
      </c>
      <c r="D146" s="310" t="s">
        <v>51</v>
      </c>
      <c r="E146" s="310" t="s">
        <v>554</v>
      </c>
      <c r="F146" s="311">
        <v>9068055210</v>
      </c>
      <c r="G146" s="316" t="s">
        <v>42</v>
      </c>
      <c r="H146" s="316" t="s">
        <v>663</v>
      </c>
      <c r="I146" s="316" t="s">
        <v>664</v>
      </c>
      <c r="J146" s="310" t="s">
        <v>107</v>
      </c>
      <c r="K146" s="312">
        <v>82340</v>
      </c>
      <c r="L146" s="312">
        <v>102690</v>
      </c>
      <c r="M146" s="313">
        <f t="shared" si="15"/>
        <v>20350</v>
      </c>
      <c r="N146" s="314">
        <f t="shared" si="16"/>
        <v>0.198169247249002</v>
      </c>
      <c r="O146" s="312">
        <v>82340</v>
      </c>
      <c r="P146" s="313">
        <f t="shared" si="12"/>
        <v>0</v>
      </c>
      <c r="Q146" s="310" t="s">
        <v>147</v>
      </c>
      <c r="R146" s="310">
        <v>152</v>
      </c>
      <c r="S146" s="310" t="s">
        <v>267</v>
      </c>
      <c r="T146" s="308">
        <v>45568</v>
      </c>
      <c r="U146" s="308">
        <v>45568</v>
      </c>
      <c r="V146" s="308"/>
      <c r="W146" s="315">
        <f t="shared" si="17"/>
        <v>4</v>
      </c>
      <c r="X146" s="310" t="s">
        <v>54</v>
      </c>
      <c r="Y146" s="310" t="s">
        <v>3751</v>
      </c>
      <c r="Z146" s="316"/>
      <c r="AA146" s="317">
        <v>45361</v>
      </c>
      <c r="AB146" s="317">
        <v>45361</v>
      </c>
    </row>
    <row r="147" spans="1:28" x14ac:dyDescent="0.25">
      <c r="A147" s="307">
        <f t="shared" si="13"/>
        <v>141</v>
      </c>
      <c r="B147" s="308">
        <v>45565</v>
      </c>
      <c r="C147" s="309">
        <f t="shared" si="14"/>
        <v>45536</v>
      </c>
      <c r="D147" s="310" t="s">
        <v>56</v>
      </c>
      <c r="E147" s="310" t="s">
        <v>60</v>
      </c>
      <c r="F147" s="311">
        <v>9589264337</v>
      </c>
      <c r="G147" s="316" t="s">
        <v>6</v>
      </c>
      <c r="H147" s="316" t="s">
        <v>633</v>
      </c>
      <c r="I147" s="316" t="s">
        <v>634</v>
      </c>
      <c r="J147" s="310" t="s">
        <v>3730</v>
      </c>
      <c r="K147" s="312">
        <v>45170</v>
      </c>
      <c r="L147" s="312">
        <v>46620</v>
      </c>
      <c r="M147" s="313">
        <f t="shared" si="15"/>
        <v>1450</v>
      </c>
      <c r="N147" s="314">
        <f t="shared" si="16"/>
        <v>0.0311025311025311</v>
      </c>
      <c r="O147" s="312">
        <v>45170</v>
      </c>
      <c r="P147" s="313">
        <f t="shared" si="12"/>
        <v>0</v>
      </c>
      <c r="Q147" s="310" t="s">
        <v>147</v>
      </c>
      <c r="R147" s="310">
        <v>153</v>
      </c>
      <c r="S147" s="310" t="s">
        <v>267</v>
      </c>
      <c r="T147" s="308">
        <v>45569</v>
      </c>
      <c r="U147" s="308">
        <v>45569</v>
      </c>
      <c r="V147" s="308"/>
      <c r="W147" s="315">
        <f t="shared" si="17"/>
        <v>4</v>
      </c>
      <c r="X147" s="310" t="s">
        <v>54</v>
      </c>
      <c r="Y147" s="310" t="s">
        <v>56</v>
      </c>
      <c r="Z147" s="316"/>
      <c r="AA147" s="317">
        <v>45392</v>
      </c>
      <c r="AB147" s="317">
        <v>45392</v>
      </c>
    </row>
    <row r="148" spans="1:28" x14ac:dyDescent="0.25">
      <c r="A148" s="307">
        <f t="shared" si="13"/>
        <v>142</v>
      </c>
      <c r="B148" s="308">
        <v>45565</v>
      </c>
      <c r="C148" s="309">
        <f t="shared" si="14"/>
        <v>45536</v>
      </c>
      <c r="D148" s="310" t="s">
        <v>51</v>
      </c>
      <c r="E148" s="310" t="s">
        <v>556</v>
      </c>
      <c r="F148" s="311">
        <v>9260997958</v>
      </c>
      <c r="G148" s="316" t="s">
        <v>6</v>
      </c>
      <c r="H148" s="316" t="s">
        <v>26</v>
      </c>
      <c r="I148" s="316" t="s">
        <v>413</v>
      </c>
      <c r="J148" s="310" t="s">
        <v>168</v>
      </c>
      <c r="K148" s="312">
        <v>25150</v>
      </c>
      <c r="L148" s="312">
        <v>35600</v>
      </c>
      <c r="M148" s="313">
        <f t="shared" si="15"/>
        <v>10450</v>
      </c>
      <c r="N148" s="314">
        <f t="shared" si="16"/>
        <v>0.293539325842697</v>
      </c>
      <c r="O148" s="312">
        <v>25150</v>
      </c>
      <c r="P148" s="313">
        <f t="shared" si="12"/>
        <v>0</v>
      </c>
      <c r="Q148" s="310" t="s">
        <v>147</v>
      </c>
      <c r="R148" s="310">
        <v>154</v>
      </c>
      <c r="S148" s="310" t="s">
        <v>267</v>
      </c>
      <c r="T148" s="308">
        <v>45569</v>
      </c>
      <c r="U148" s="308">
        <v>45569</v>
      </c>
      <c r="V148" s="308"/>
      <c r="W148" s="315">
        <f t="shared" si="17"/>
        <v>4</v>
      </c>
      <c r="X148" s="310" t="s">
        <v>54</v>
      </c>
      <c r="Y148" s="310" t="s">
        <v>529</v>
      </c>
      <c r="Z148" s="316"/>
      <c r="AA148" s="317">
        <v>45392</v>
      </c>
      <c r="AB148" s="317">
        <v>45392</v>
      </c>
    </row>
    <row r="149" spans="1:28" x14ac:dyDescent="0.25">
      <c r="A149" s="307">
        <f t="shared" si="13"/>
        <v>143</v>
      </c>
      <c r="B149" s="308">
        <v>45565</v>
      </c>
      <c r="C149" s="309">
        <f t="shared" si="14"/>
        <v>45536</v>
      </c>
      <c r="D149" s="310" t="s">
        <v>51</v>
      </c>
      <c r="E149" s="310" t="s">
        <v>557</v>
      </c>
      <c r="F149" s="311">
        <v>9583292343</v>
      </c>
      <c r="G149" s="316" t="s">
        <v>45</v>
      </c>
      <c r="H149" s="316" t="s">
        <v>26</v>
      </c>
      <c r="I149" s="316" t="s">
        <v>662</v>
      </c>
      <c r="J149" s="310" t="s">
        <v>168</v>
      </c>
      <c r="K149" s="312">
        <v>42430</v>
      </c>
      <c r="L149" s="312">
        <v>47250</v>
      </c>
      <c r="M149" s="313">
        <f t="shared" si="15"/>
        <v>4820</v>
      </c>
      <c r="N149" s="314">
        <f t="shared" si="16"/>
        <v>0.102010582010582</v>
      </c>
      <c r="O149" s="312">
        <v>39220</v>
      </c>
      <c r="P149" s="313">
        <f t="shared" si="12"/>
        <v>3210</v>
      </c>
      <c r="Q149" s="310" t="s">
        <v>147</v>
      </c>
      <c r="R149" s="310">
        <v>155</v>
      </c>
      <c r="S149" s="310" t="s">
        <v>267</v>
      </c>
      <c r="T149" s="308">
        <v>45570</v>
      </c>
      <c r="U149" s="308">
        <v>45572</v>
      </c>
      <c r="V149" s="308"/>
      <c r="W149" s="315">
        <f t="shared" si="17"/>
        <v>7</v>
      </c>
      <c r="X149" s="310" t="s">
        <v>54</v>
      </c>
      <c r="Y149" s="310" t="s">
        <v>3752</v>
      </c>
      <c r="Z149" s="316"/>
      <c r="AA149" s="317">
        <v>45422</v>
      </c>
      <c r="AB149" s="317">
        <v>45483</v>
      </c>
    </row>
    <row r="150" spans="1:28" x14ac:dyDescent="0.25">
      <c r="A150" s="307">
        <f t="shared" si="13"/>
        <v>144</v>
      </c>
      <c r="B150" s="308">
        <v>45566</v>
      </c>
      <c r="C150" s="309">
        <f t="shared" si="14"/>
        <v>45566</v>
      </c>
      <c r="D150" s="310" t="s">
        <v>51</v>
      </c>
      <c r="E150" s="310" t="s">
        <v>605</v>
      </c>
      <c r="F150" s="311">
        <v>9670713416</v>
      </c>
      <c r="G150" s="316" t="s">
        <v>6</v>
      </c>
      <c r="H150" s="316" t="s">
        <v>635</v>
      </c>
      <c r="I150" s="316" t="s">
        <v>636</v>
      </c>
      <c r="J150" s="310" t="s">
        <v>623</v>
      </c>
      <c r="K150" s="312">
        <v>29720</v>
      </c>
      <c r="L150" s="312">
        <v>48200</v>
      </c>
      <c r="M150" s="313">
        <f t="shared" si="15"/>
        <v>18480</v>
      </c>
      <c r="N150" s="314">
        <f t="shared" si="16"/>
        <v>0.383402489626556</v>
      </c>
      <c r="O150" s="312">
        <v>29720</v>
      </c>
      <c r="P150" s="313">
        <f t="shared" si="12"/>
        <v>0</v>
      </c>
      <c r="Q150" s="310" t="s">
        <v>147</v>
      </c>
      <c r="R150" s="310">
        <v>156</v>
      </c>
      <c r="S150" s="310" t="s">
        <v>267</v>
      </c>
      <c r="T150" s="308">
        <v>45569</v>
      </c>
      <c r="U150" s="308">
        <v>45570</v>
      </c>
      <c r="V150" s="308"/>
      <c r="W150" s="315">
        <f t="shared" si="17"/>
        <v>4</v>
      </c>
      <c r="X150" s="310" t="s">
        <v>54</v>
      </c>
      <c r="Y150" s="310" t="s">
        <v>529</v>
      </c>
      <c r="Z150" s="316"/>
      <c r="AA150" s="317">
        <v>45392</v>
      </c>
      <c r="AB150" s="317">
        <v>45422</v>
      </c>
    </row>
    <row r="151" spans="1:28" x14ac:dyDescent="0.25">
      <c r="A151" s="307">
        <f t="shared" si="13"/>
        <v>145</v>
      </c>
      <c r="B151" s="308">
        <v>45566</v>
      </c>
      <c r="C151" s="309">
        <f t="shared" si="14"/>
        <v>45566</v>
      </c>
      <c r="D151" s="310" t="s">
        <v>51</v>
      </c>
      <c r="E151" s="310" t="s">
        <v>606</v>
      </c>
      <c r="F151" s="311">
        <v>9590191956</v>
      </c>
      <c r="G151" s="316" t="s">
        <v>377</v>
      </c>
      <c r="H151" s="316" t="s">
        <v>26</v>
      </c>
      <c r="I151" s="316" t="s">
        <v>659</v>
      </c>
      <c r="J151" s="310" t="s">
        <v>107</v>
      </c>
      <c r="K151" s="312">
        <v>84140</v>
      </c>
      <c r="L151" s="312">
        <v>103950</v>
      </c>
      <c r="M151" s="313">
        <f t="shared" si="15"/>
        <v>19810</v>
      </c>
      <c r="N151" s="314">
        <f t="shared" si="16"/>
        <v>0.190572390572391</v>
      </c>
      <c r="O151" s="312">
        <v>84140</v>
      </c>
      <c r="P151" s="313">
        <f t="shared" si="12"/>
        <v>0</v>
      </c>
      <c r="Q151" s="310" t="s">
        <v>147</v>
      </c>
      <c r="R151" s="310">
        <v>157</v>
      </c>
      <c r="S151" s="310" t="s">
        <v>267</v>
      </c>
      <c r="T151" s="308">
        <v>45572</v>
      </c>
      <c r="U151" s="308">
        <v>45572</v>
      </c>
      <c r="V151" s="308"/>
      <c r="W151" s="315">
        <f t="shared" si="17"/>
        <v>6</v>
      </c>
      <c r="X151" s="310" t="s">
        <v>54</v>
      </c>
      <c r="Y151" s="310" t="s">
        <v>3751</v>
      </c>
      <c r="Z151" s="316" t="s">
        <v>3753</v>
      </c>
      <c r="AA151" s="317">
        <v>45483</v>
      </c>
      <c r="AB151" s="317">
        <v>45483</v>
      </c>
    </row>
    <row r="152" spans="1:28" x14ac:dyDescent="0.25">
      <c r="A152" s="307">
        <f t="shared" si="13"/>
        <v>146</v>
      </c>
      <c r="B152" s="308">
        <v>45568</v>
      </c>
      <c r="C152" s="309">
        <f t="shared" si="14"/>
        <v>45566</v>
      </c>
      <c r="D152" s="310" t="s">
        <v>56</v>
      </c>
      <c r="E152" s="310" t="s">
        <v>38</v>
      </c>
      <c r="F152" s="311">
        <v>9515412075</v>
      </c>
      <c r="G152" s="316" t="s">
        <v>6</v>
      </c>
      <c r="H152" s="316" t="s">
        <v>637</v>
      </c>
      <c r="I152" s="316" t="s">
        <v>638</v>
      </c>
      <c r="J152" s="310" t="s">
        <v>59</v>
      </c>
      <c r="K152" s="312">
        <v>45740</v>
      </c>
      <c r="L152" s="312">
        <v>50400</v>
      </c>
      <c r="M152" s="313">
        <f t="shared" si="15"/>
        <v>4660</v>
      </c>
      <c r="N152" s="314">
        <f t="shared" si="16"/>
        <v>0.0924603174603175</v>
      </c>
      <c r="O152" s="312">
        <v>45740</v>
      </c>
      <c r="P152" s="313">
        <f t="shared" si="12"/>
        <v>0</v>
      </c>
      <c r="Q152" s="310" t="s">
        <v>147</v>
      </c>
      <c r="R152" s="310">
        <v>158</v>
      </c>
      <c r="S152" s="310" t="s">
        <v>267</v>
      </c>
      <c r="T152" s="308">
        <v>45572</v>
      </c>
      <c r="U152" s="308">
        <v>45573</v>
      </c>
      <c r="V152" s="308"/>
      <c r="W152" s="315">
        <f t="shared" si="17"/>
        <v>5</v>
      </c>
      <c r="X152" s="310" t="s">
        <v>54</v>
      </c>
      <c r="Y152" s="310" t="s">
        <v>56</v>
      </c>
      <c r="Z152" s="316"/>
      <c r="AA152" s="317">
        <v>45483</v>
      </c>
      <c r="AB152" s="317">
        <v>45514</v>
      </c>
    </row>
    <row r="153" spans="1:28" x14ac:dyDescent="0.25">
      <c r="A153" s="307">
        <f t="shared" si="13"/>
        <v>147</v>
      </c>
      <c r="B153" s="308">
        <v>45569</v>
      </c>
      <c r="C153" s="309">
        <f t="shared" si="14"/>
        <v>45566</v>
      </c>
      <c r="D153" s="310" t="s">
        <v>51</v>
      </c>
      <c r="E153" s="310" t="s">
        <v>438</v>
      </c>
      <c r="F153" s="311">
        <v>9563961453</v>
      </c>
      <c r="G153" s="316" t="s">
        <v>6</v>
      </c>
      <c r="H153" s="316" t="s">
        <v>422</v>
      </c>
      <c r="I153" s="316" t="s">
        <v>639</v>
      </c>
      <c r="J153" s="310" t="s">
        <v>623</v>
      </c>
      <c r="K153" s="312">
        <v>27700</v>
      </c>
      <c r="L153" s="312">
        <v>41900</v>
      </c>
      <c r="M153" s="313">
        <f t="shared" si="15"/>
        <v>14200</v>
      </c>
      <c r="N153" s="314">
        <f t="shared" si="16"/>
        <v>0.33890214797136</v>
      </c>
      <c r="O153" s="312">
        <v>27700</v>
      </c>
      <c r="P153" s="313">
        <f t="shared" si="12"/>
        <v>0</v>
      </c>
      <c r="Q153" s="310" t="s">
        <v>147</v>
      </c>
      <c r="R153" s="310">
        <v>159</v>
      </c>
      <c r="S153" s="310" t="s">
        <v>267</v>
      </c>
      <c r="T153" s="308">
        <v>45572</v>
      </c>
      <c r="U153" s="308">
        <v>45572</v>
      </c>
      <c r="V153" s="308"/>
      <c r="W153" s="315">
        <f t="shared" si="17"/>
        <v>3</v>
      </c>
      <c r="X153" s="310" t="s">
        <v>54</v>
      </c>
      <c r="Y153" s="310" t="s">
        <v>439</v>
      </c>
      <c r="Z153" s="316"/>
      <c r="AA153" s="316" t="s">
        <v>627</v>
      </c>
      <c r="AB153" s="317">
        <v>45483</v>
      </c>
    </row>
    <row r="154" spans="1:28" x14ac:dyDescent="0.25">
      <c r="A154" s="307">
        <f t="shared" si="13"/>
        <v>148</v>
      </c>
      <c r="B154" s="308">
        <v>45569</v>
      </c>
      <c r="C154" s="309">
        <f t="shared" si="14"/>
        <v>45566</v>
      </c>
      <c r="D154" s="310" t="s">
        <v>51</v>
      </c>
      <c r="E154" s="310" t="s">
        <v>612</v>
      </c>
      <c r="F154" s="311">
        <v>9056024121</v>
      </c>
      <c r="G154" s="316" t="s">
        <v>6</v>
      </c>
      <c r="H154" s="316" t="s">
        <v>640</v>
      </c>
      <c r="I154" s="316" t="s">
        <v>641</v>
      </c>
      <c r="J154" s="310" t="s">
        <v>168</v>
      </c>
      <c r="K154" s="312">
        <v>29180</v>
      </c>
      <c r="L154" s="312">
        <v>48200</v>
      </c>
      <c r="M154" s="313">
        <f t="shared" si="15"/>
        <v>19020</v>
      </c>
      <c r="N154" s="314">
        <f t="shared" si="16"/>
        <v>0.394605809128631</v>
      </c>
      <c r="O154" s="312">
        <v>29180</v>
      </c>
      <c r="P154" s="313">
        <f t="shared" si="12"/>
        <v>0</v>
      </c>
      <c r="Q154" s="310" t="s">
        <v>147</v>
      </c>
      <c r="R154" s="310">
        <v>160</v>
      </c>
      <c r="S154" s="310" t="s">
        <v>267</v>
      </c>
      <c r="T154" s="308">
        <v>45573</v>
      </c>
      <c r="U154" s="308">
        <v>45573</v>
      </c>
      <c r="V154" s="308"/>
      <c r="W154" s="315">
        <f t="shared" si="17"/>
        <v>4</v>
      </c>
      <c r="X154" s="310" t="s">
        <v>54</v>
      </c>
      <c r="Y154" s="310" t="s">
        <v>529</v>
      </c>
      <c r="Z154" s="316"/>
      <c r="AA154" s="317">
        <v>45514</v>
      </c>
      <c r="AB154" s="317">
        <v>45514</v>
      </c>
    </row>
    <row r="155" spans="1:28" x14ac:dyDescent="0.25">
      <c r="A155" s="307">
        <f t="shared" si="13"/>
        <v>149</v>
      </c>
      <c r="B155" s="308">
        <v>45570</v>
      </c>
      <c r="C155" s="309">
        <f t="shared" si="14"/>
        <v>45566</v>
      </c>
      <c r="D155" s="310" t="s">
        <v>51</v>
      </c>
      <c r="E155" s="310" t="s">
        <v>616</v>
      </c>
      <c r="F155" s="311">
        <v>9527696652</v>
      </c>
      <c r="G155" s="316" t="s">
        <v>6</v>
      </c>
      <c r="H155" s="316" t="s">
        <v>26</v>
      </c>
      <c r="I155" s="316" t="s">
        <v>642</v>
      </c>
      <c r="J155" s="310" t="s">
        <v>623</v>
      </c>
      <c r="K155" s="312">
        <v>26220</v>
      </c>
      <c r="L155" s="312">
        <v>35600</v>
      </c>
      <c r="M155" s="313">
        <f t="shared" si="15"/>
        <v>9380</v>
      </c>
      <c r="N155" s="314">
        <f t="shared" si="16"/>
        <v>0.263483146067416</v>
      </c>
      <c r="O155" s="312">
        <v>26220</v>
      </c>
      <c r="P155" s="313">
        <f t="shared" si="12"/>
        <v>0</v>
      </c>
      <c r="Q155" s="310" t="s">
        <v>147</v>
      </c>
      <c r="R155" s="310">
        <v>161</v>
      </c>
      <c r="S155" s="310" t="s">
        <v>267</v>
      </c>
      <c r="T155" s="308">
        <v>45574</v>
      </c>
      <c r="U155" s="308">
        <v>45574</v>
      </c>
      <c r="V155" s="308"/>
      <c r="W155" s="315">
        <f t="shared" si="17"/>
        <v>4</v>
      </c>
      <c r="X155" s="310" t="s">
        <v>54</v>
      </c>
      <c r="Y155" s="310" t="s">
        <v>529</v>
      </c>
      <c r="Z155" s="316"/>
      <c r="AA155" s="317">
        <v>45545</v>
      </c>
      <c r="AB155" s="317">
        <v>45545</v>
      </c>
    </row>
    <row r="156" spans="1:28" x14ac:dyDescent="0.25">
      <c r="A156" s="307">
        <f t="shared" si="13"/>
        <v>150</v>
      </c>
      <c r="B156" s="308">
        <v>45570</v>
      </c>
      <c r="C156" s="309">
        <f t="shared" si="14"/>
        <v>45566</v>
      </c>
      <c r="D156" s="310" t="s">
        <v>51</v>
      </c>
      <c r="E156" s="310" t="s">
        <v>617</v>
      </c>
      <c r="F156" s="311">
        <v>9674193351</v>
      </c>
      <c r="G156" s="316" t="s">
        <v>6</v>
      </c>
      <c r="H156" s="316" t="s">
        <v>643</v>
      </c>
      <c r="I156" s="316" t="s">
        <v>644</v>
      </c>
      <c r="J156" s="310" t="s">
        <v>3730</v>
      </c>
      <c r="K156" s="312">
        <v>31090</v>
      </c>
      <c r="L156" s="312">
        <v>46620</v>
      </c>
      <c r="M156" s="313">
        <f t="shared" si="15"/>
        <v>15530</v>
      </c>
      <c r="N156" s="314">
        <f t="shared" si="16"/>
        <v>0.333118833118833</v>
      </c>
      <c r="O156" s="312">
        <v>31090</v>
      </c>
      <c r="P156" s="313">
        <f t="shared" si="12"/>
        <v>0</v>
      </c>
      <c r="Q156" s="310" t="s">
        <v>147</v>
      </c>
      <c r="R156" s="310">
        <v>162</v>
      </c>
      <c r="S156" s="310" t="s">
        <v>267</v>
      </c>
      <c r="T156" s="308">
        <v>45574</v>
      </c>
      <c r="U156" s="308">
        <v>45574</v>
      </c>
      <c r="V156" s="308"/>
      <c r="W156" s="315">
        <f t="shared" si="17"/>
        <v>4</v>
      </c>
      <c r="X156" s="310" t="s">
        <v>54</v>
      </c>
      <c r="Y156" s="310" t="s">
        <v>529</v>
      </c>
      <c r="Z156" s="316"/>
      <c r="AA156" s="317">
        <v>45545</v>
      </c>
      <c r="AB156" s="317">
        <v>45545</v>
      </c>
    </row>
    <row r="157" spans="1:28" x14ac:dyDescent="0.25">
      <c r="A157" s="307">
        <f t="shared" si="13"/>
        <v>151</v>
      </c>
      <c r="B157" s="308">
        <v>45570</v>
      </c>
      <c r="C157" s="309">
        <f t="shared" si="14"/>
        <v>45566</v>
      </c>
      <c r="D157" s="310" t="s">
        <v>56</v>
      </c>
      <c r="E157" s="310" t="s">
        <v>60</v>
      </c>
      <c r="F157" s="311">
        <v>9589264337</v>
      </c>
      <c r="G157" s="316" t="s">
        <v>42</v>
      </c>
      <c r="H157" s="316" t="s">
        <v>657</v>
      </c>
      <c r="I157" s="316" t="s">
        <v>658</v>
      </c>
      <c r="J157" s="310" t="s">
        <v>3730</v>
      </c>
      <c r="K157" s="312">
        <v>53580</v>
      </c>
      <c r="L157" s="312">
        <v>102690</v>
      </c>
      <c r="M157" s="313">
        <f t="shared" si="15"/>
        <v>49110</v>
      </c>
      <c r="N157" s="314">
        <f t="shared" si="16"/>
        <v>0.478235465965527</v>
      </c>
      <c r="O157" s="312">
        <v>53580</v>
      </c>
      <c r="P157" s="313">
        <f t="shared" si="12"/>
        <v>0</v>
      </c>
      <c r="Q157" s="310" t="s">
        <v>147</v>
      </c>
      <c r="R157" s="310">
        <v>163</v>
      </c>
      <c r="S157" s="310" t="s">
        <v>267</v>
      </c>
      <c r="T157" s="308">
        <v>45573</v>
      </c>
      <c r="U157" s="308">
        <v>45573</v>
      </c>
      <c r="V157" s="308"/>
      <c r="W157" s="315">
        <f t="shared" si="17"/>
        <v>3</v>
      </c>
      <c r="X157" s="310" t="s">
        <v>54</v>
      </c>
      <c r="Y157" s="310" t="s">
        <v>56</v>
      </c>
      <c r="Z157" s="316"/>
      <c r="AA157" s="317">
        <v>45514</v>
      </c>
      <c r="AB157" s="317">
        <v>45514</v>
      </c>
    </row>
    <row r="158" spans="1:28" x14ac:dyDescent="0.25">
      <c r="A158" s="307">
        <f t="shared" si="13"/>
        <v>152</v>
      </c>
      <c r="B158" s="308">
        <v>45570</v>
      </c>
      <c r="C158" s="309">
        <f t="shared" si="14"/>
        <v>45566</v>
      </c>
      <c r="D158" s="310" t="s">
        <v>51</v>
      </c>
      <c r="E158" s="310" t="s">
        <v>618</v>
      </c>
      <c r="F158" s="311">
        <v>9654204418</v>
      </c>
      <c r="G158" s="316" t="s">
        <v>42</v>
      </c>
      <c r="H158" s="316" t="s">
        <v>661</v>
      </c>
      <c r="I158" s="316" t="s">
        <v>6</v>
      </c>
      <c r="J158" s="310" t="s">
        <v>107</v>
      </c>
      <c r="K158" s="312">
        <v>85080</v>
      </c>
      <c r="L158" s="312">
        <v>110250</v>
      </c>
      <c r="M158" s="313">
        <f t="shared" si="15"/>
        <v>25170</v>
      </c>
      <c r="N158" s="314">
        <f t="shared" si="16"/>
        <v>0.228299319727891</v>
      </c>
      <c r="O158" s="312">
        <v>85080</v>
      </c>
      <c r="P158" s="313">
        <f t="shared" si="12"/>
        <v>0</v>
      </c>
      <c r="Q158" s="310" t="s">
        <v>147</v>
      </c>
      <c r="R158" s="310">
        <v>164</v>
      </c>
      <c r="S158" s="310" t="s">
        <v>267</v>
      </c>
      <c r="T158" s="308">
        <v>45575</v>
      </c>
      <c r="U158" s="308">
        <v>45576</v>
      </c>
      <c r="V158" s="308"/>
      <c r="W158" s="315">
        <f t="shared" si="17"/>
        <v>6</v>
      </c>
      <c r="X158" s="310" t="s">
        <v>54</v>
      </c>
      <c r="Y158" s="310" t="s">
        <v>453</v>
      </c>
      <c r="Z158" s="316"/>
      <c r="AA158" s="317">
        <v>45575</v>
      </c>
      <c r="AB158" s="317">
        <v>45606</v>
      </c>
    </row>
    <row r="159" spans="1:28" x14ac:dyDescent="0.25">
      <c r="A159" s="307">
        <f t="shared" si="13"/>
        <v>153</v>
      </c>
      <c r="B159" s="308">
        <v>45572</v>
      </c>
      <c r="C159" s="309">
        <f t="shared" si="14"/>
        <v>45566</v>
      </c>
      <c r="D159" s="310" t="s">
        <v>51</v>
      </c>
      <c r="E159" s="310" t="s">
        <v>619</v>
      </c>
      <c r="F159" s="311">
        <v>9625158409</v>
      </c>
      <c r="G159" s="316" t="s">
        <v>6</v>
      </c>
      <c r="H159" s="316" t="s">
        <v>645</v>
      </c>
      <c r="I159" s="316" t="s">
        <v>646</v>
      </c>
      <c r="J159" s="310" t="s">
        <v>168</v>
      </c>
      <c r="K159" s="312">
        <v>29180</v>
      </c>
      <c r="L159" s="312">
        <v>48200</v>
      </c>
      <c r="M159" s="313">
        <f t="shared" si="15"/>
        <v>19020</v>
      </c>
      <c r="N159" s="314">
        <f t="shared" si="16"/>
        <v>0.394605809128631</v>
      </c>
      <c r="O159" s="312">
        <v>29180</v>
      </c>
      <c r="P159" s="313">
        <f t="shared" si="12"/>
        <v>0</v>
      </c>
      <c r="Q159" s="310" t="s">
        <v>147</v>
      </c>
      <c r="R159" s="310">
        <v>165</v>
      </c>
      <c r="S159" s="310" t="s">
        <v>267</v>
      </c>
      <c r="T159" s="308">
        <v>45575</v>
      </c>
      <c r="U159" s="308">
        <v>45579</v>
      </c>
      <c r="V159" s="308"/>
      <c r="W159" s="315">
        <f t="shared" si="17"/>
        <v>7</v>
      </c>
      <c r="X159" s="310" t="s">
        <v>54</v>
      </c>
      <c r="Y159" s="310" t="s">
        <v>529</v>
      </c>
      <c r="Z159" s="316"/>
      <c r="AA159" s="317">
        <v>45575</v>
      </c>
      <c r="AB159" s="316" t="s">
        <v>691</v>
      </c>
    </row>
    <row r="160" spans="1:28" x14ac:dyDescent="0.25">
      <c r="A160" s="307">
        <f t="shared" si="13"/>
        <v>154</v>
      </c>
      <c r="B160" s="308">
        <v>45572</v>
      </c>
      <c r="C160" s="309">
        <f t="shared" si="14"/>
        <v>45566</v>
      </c>
      <c r="D160" s="310" t="s">
        <v>51</v>
      </c>
      <c r="E160" s="310" t="s">
        <v>2334</v>
      </c>
      <c r="F160" s="311"/>
      <c r="G160" s="316" t="s">
        <v>6</v>
      </c>
      <c r="H160" s="316" t="s">
        <v>26</v>
      </c>
      <c r="I160" s="316" t="s">
        <v>654</v>
      </c>
      <c r="J160" s="310" t="s">
        <v>381</v>
      </c>
      <c r="K160" s="312">
        <v>24290</v>
      </c>
      <c r="L160" s="312">
        <v>29940</v>
      </c>
      <c r="M160" s="313">
        <f t="shared" si="15"/>
        <v>5650</v>
      </c>
      <c r="N160" s="314">
        <f t="shared" si="16"/>
        <v>0.188710754843019</v>
      </c>
      <c r="O160" s="312">
        <v>24290</v>
      </c>
      <c r="P160" s="313">
        <f t="shared" si="12"/>
        <v>0</v>
      </c>
      <c r="Q160" s="310" t="s">
        <v>147</v>
      </c>
      <c r="R160" s="310">
        <v>166</v>
      </c>
      <c r="S160" s="310" t="s">
        <v>267</v>
      </c>
      <c r="T160" s="308">
        <v>45573</v>
      </c>
      <c r="U160" s="308">
        <v>45573</v>
      </c>
      <c r="V160" s="308"/>
      <c r="W160" s="315">
        <f t="shared" si="17"/>
        <v>1</v>
      </c>
      <c r="X160" s="310" t="s">
        <v>54</v>
      </c>
      <c r="Y160" s="310" t="s">
        <v>2334</v>
      </c>
      <c r="Z160" s="316" t="s">
        <v>3754</v>
      </c>
      <c r="AA160" s="317">
        <v>45514</v>
      </c>
      <c r="AB160" s="317">
        <v>45514</v>
      </c>
    </row>
    <row r="161" spans="1:28" x14ac:dyDescent="0.25">
      <c r="A161" s="307">
        <f t="shared" si="13"/>
        <v>155</v>
      </c>
      <c r="B161" s="308">
        <v>45572</v>
      </c>
      <c r="C161" s="309">
        <f t="shared" si="14"/>
        <v>45566</v>
      </c>
      <c r="D161" s="310" t="s">
        <v>51</v>
      </c>
      <c r="E161" s="310" t="s">
        <v>621</v>
      </c>
      <c r="F161" s="311">
        <v>9518441522</v>
      </c>
      <c r="G161" s="316" t="s">
        <v>6</v>
      </c>
      <c r="H161" s="316" t="s">
        <v>655</v>
      </c>
      <c r="I161" s="316" t="s">
        <v>656</v>
      </c>
      <c r="J161" s="310" t="s">
        <v>168</v>
      </c>
      <c r="K161" s="312">
        <v>27700</v>
      </c>
      <c r="L161" s="312">
        <v>41900</v>
      </c>
      <c r="M161" s="313">
        <f t="shared" si="15"/>
        <v>14200</v>
      </c>
      <c r="N161" s="314">
        <f t="shared" si="16"/>
        <v>0.33890214797136</v>
      </c>
      <c r="O161" s="312">
        <v>27700</v>
      </c>
      <c r="P161" s="313">
        <f t="shared" si="12"/>
        <v>0</v>
      </c>
      <c r="Q161" s="310" t="s">
        <v>147</v>
      </c>
      <c r="R161" s="310">
        <v>167</v>
      </c>
      <c r="S161" s="310" t="s">
        <v>267</v>
      </c>
      <c r="T161" s="308">
        <v>45576</v>
      </c>
      <c r="U161" s="308">
        <v>45576</v>
      </c>
      <c r="V161" s="308"/>
      <c r="W161" s="315">
        <f t="shared" si="17"/>
        <v>4</v>
      </c>
      <c r="X161" s="310" t="s">
        <v>54</v>
      </c>
      <c r="Y161" s="310" t="s">
        <v>439</v>
      </c>
      <c r="Z161" s="316"/>
      <c r="AA161" s="317">
        <v>45606</v>
      </c>
      <c r="AB161" s="317">
        <v>45606</v>
      </c>
    </row>
    <row r="162" spans="1:28" x14ac:dyDescent="0.25">
      <c r="A162" s="307">
        <f t="shared" si="13"/>
        <v>156</v>
      </c>
      <c r="B162" s="308">
        <v>45573</v>
      </c>
      <c r="C162" s="309">
        <f t="shared" si="14"/>
        <v>45566</v>
      </c>
      <c r="D162" s="310" t="s">
        <v>51</v>
      </c>
      <c r="E162" s="310" t="s">
        <v>2334</v>
      </c>
      <c r="F162" s="311"/>
      <c r="G162" s="316" t="s">
        <v>6</v>
      </c>
      <c r="H162" s="316" t="s">
        <v>26</v>
      </c>
      <c r="I162" s="316" t="s">
        <v>652</v>
      </c>
      <c r="J162" s="310" t="s">
        <v>381</v>
      </c>
      <c r="K162" s="312">
        <v>27010</v>
      </c>
      <c r="L162" s="312">
        <v>33420</v>
      </c>
      <c r="M162" s="313">
        <f t="shared" si="15"/>
        <v>6410</v>
      </c>
      <c r="N162" s="314">
        <f t="shared" si="16"/>
        <v>0.1918013165769</v>
      </c>
      <c r="O162" s="312">
        <v>27010</v>
      </c>
      <c r="P162" s="313">
        <f t="shared" si="12"/>
        <v>0</v>
      </c>
      <c r="Q162" s="310" t="s">
        <v>147</v>
      </c>
      <c r="R162" s="310">
        <v>168</v>
      </c>
      <c r="S162" s="310" t="s">
        <v>267</v>
      </c>
      <c r="T162" s="308">
        <v>45574</v>
      </c>
      <c r="U162" s="308">
        <v>45574</v>
      </c>
      <c r="V162" s="308"/>
      <c r="W162" s="315">
        <f t="shared" si="17"/>
        <v>1</v>
      </c>
      <c r="X162" s="310" t="s">
        <v>54</v>
      </c>
      <c r="Y162" s="310" t="s">
        <v>2334</v>
      </c>
      <c r="Z162" s="316" t="s">
        <v>3754</v>
      </c>
      <c r="AA162" s="317">
        <v>45545</v>
      </c>
      <c r="AB162" s="317">
        <v>45545</v>
      </c>
    </row>
    <row r="163" spans="1:28" x14ac:dyDescent="0.25">
      <c r="A163" s="307">
        <f t="shared" si="13"/>
        <v>157</v>
      </c>
      <c r="B163" s="308">
        <v>45573</v>
      </c>
      <c r="C163" s="309">
        <f t="shared" si="14"/>
        <v>45566</v>
      </c>
      <c r="D163" s="310" t="s">
        <v>51</v>
      </c>
      <c r="E163" s="310" t="s">
        <v>547</v>
      </c>
      <c r="F163" s="311">
        <v>9470447784</v>
      </c>
      <c r="G163" s="316" t="s">
        <v>6</v>
      </c>
      <c r="H163" s="316" t="s">
        <v>26</v>
      </c>
      <c r="I163" s="316" t="s">
        <v>653</v>
      </c>
      <c r="J163" s="310" t="s">
        <v>623</v>
      </c>
      <c r="K163" s="312">
        <v>26220</v>
      </c>
      <c r="L163" s="312">
        <v>35600</v>
      </c>
      <c r="M163" s="313">
        <f t="shared" si="15"/>
        <v>9380</v>
      </c>
      <c r="N163" s="314">
        <f t="shared" si="16"/>
        <v>0.263483146067416</v>
      </c>
      <c r="O163" s="312">
        <v>26220</v>
      </c>
      <c r="P163" s="313">
        <f t="shared" si="12"/>
        <v>0</v>
      </c>
      <c r="Q163" s="310" t="s">
        <v>147</v>
      </c>
      <c r="R163" s="310">
        <v>169</v>
      </c>
      <c r="S163" s="310" t="s">
        <v>267</v>
      </c>
      <c r="T163" s="308">
        <v>45576</v>
      </c>
      <c r="U163" s="308">
        <v>45576</v>
      </c>
      <c r="V163" s="308"/>
      <c r="W163" s="315">
        <f t="shared" si="17"/>
        <v>3</v>
      </c>
      <c r="X163" s="310" t="s">
        <v>54</v>
      </c>
      <c r="Y163" s="310" t="s">
        <v>439</v>
      </c>
      <c r="Z163" s="316"/>
      <c r="AA163" s="317">
        <v>45606</v>
      </c>
      <c r="AB163" s="317">
        <v>45606</v>
      </c>
    </row>
    <row r="164" spans="1:28" x14ac:dyDescent="0.25">
      <c r="A164" s="307">
        <f t="shared" si="13"/>
        <v>158</v>
      </c>
      <c r="B164" s="308">
        <v>45574</v>
      </c>
      <c r="C164" s="309">
        <f t="shared" si="14"/>
        <v>45566</v>
      </c>
      <c r="D164" s="310" t="s">
        <v>51</v>
      </c>
      <c r="E164" s="310" t="s">
        <v>624</v>
      </c>
      <c r="F164" s="311">
        <v>9365060305</v>
      </c>
      <c r="G164" s="316" t="s">
        <v>6</v>
      </c>
      <c r="H164" s="316" t="s">
        <v>650</v>
      </c>
      <c r="I164" s="316" t="s">
        <v>651</v>
      </c>
      <c r="J164" s="310" t="s">
        <v>168</v>
      </c>
      <c r="K164" s="312">
        <v>27700</v>
      </c>
      <c r="L164" s="312">
        <v>41900</v>
      </c>
      <c r="M164" s="313">
        <f t="shared" si="15"/>
        <v>14200</v>
      </c>
      <c r="N164" s="314">
        <f t="shared" si="16"/>
        <v>0.33890214797136</v>
      </c>
      <c r="O164" s="312">
        <v>27700</v>
      </c>
      <c r="P164" s="313">
        <f t="shared" si="12"/>
        <v>0</v>
      </c>
      <c r="Q164" s="310" t="s">
        <v>147</v>
      </c>
      <c r="R164" s="310">
        <v>170</v>
      </c>
      <c r="S164" s="310" t="s">
        <v>267</v>
      </c>
      <c r="T164" s="308">
        <v>45578</v>
      </c>
      <c r="U164" s="308">
        <v>45579</v>
      </c>
      <c r="V164" s="308"/>
      <c r="W164" s="315">
        <f t="shared" si="17"/>
        <v>5</v>
      </c>
      <c r="X164" s="310" t="s">
        <v>54</v>
      </c>
      <c r="Y164" s="310" t="s">
        <v>439</v>
      </c>
      <c r="Z164" s="316"/>
      <c r="AA164" s="316" t="s">
        <v>692</v>
      </c>
      <c r="AB164" s="316" t="s">
        <v>691</v>
      </c>
    </row>
    <row r="165" spans="1:28" x14ac:dyDescent="0.25">
      <c r="A165" s="307">
        <f t="shared" si="13"/>
        <v>159</v>
      </c>
      <c r="B165" s="308">
        <v>45574</v>
      </c>
      <c r="C165" s="309">
        <f t="shared" si="14"/>
        <v>45566</v>
      </c>
      <c r="D165" s="310" t="s">
        <v>51</v>
      </c>
      <c r="E165" s="310" t="s">
        <v>625</v>
      </c>
      <c r="F165" s="311">
        <v>9995112513</v>
      </c>
      <c r="G165" s="316" t="s">
        <v>42</v>
      </c>
      <c r="H165" s="316" t="s">
        <v>26</v>
      </c>
      <c r="I165" s="316" t="s">
        <v>660</v>
      </c>
      <c r="J165" s="310" t="s">
        <v>168</v>
      </c>
      <c r="K165" s="312">
        <v>50750</v>
      </c>
      <c r="L165" s="312">
        <v>59850</v>
      </c>
      <c r="M165" s="313">
        <f t="shared" si="15"/>
        <v>9100</v>
      </c>
      <c r="N165" s="314">
        <f t="shared" si="16"/>
        <v>0.152046783625731</v>
      </c>
      <c r="O165" s="312">
        <v>50750</v>
      </c>
      <c r="P165" s="313">
        <f t="shared" si="12"/>
        <v>0</v>
      </c>
      <c r="Q165" s="310" t="s">
        <v>147</v>
      </c>
      <c r="R165" s="310">
        <v>171</v>
      </c>
      <c r="S165" s="310" t="s">
        <v>267</v>
      </c>
      <c r="T165" s="308">
        <v>45578</v>
      </c>
      <c r="U165" s="308">
        <v>45578</v>
      </c>
      <c r="V165" s="308"/>
      <c r="W165" s="315">
        <f t="shared" si="17"/>
        <v>4</v>
      </c>
      <c r="X165" s="310" t="s">
        <v>54</v>
      </c>
      <c r="Y165" s="310" t="s">
        <v>453</v>
      </c>
      <c r="Z165" s="316"/>
      <c r="AA165" s="316" t="s">
        <v>692</v>
      </c>
      <c r="AB165" s="316" t="s">
        <v>692</v>
      </c>
    </row>
    <row r="166" spans="1:28" x14ac:dyDescent="0.25">
      <c r="A166" s="307">
        <f t="shared" si="13"/>
        <v>160</v>
      </c>
      <c r="B166" s="308">
        <v>45575</v>
      </c>
      <c r="C166" s="309">
        <f t="shared" si="14"/>
        <v>45566</v>
      </c>
      <c r="D166" s="310" t="s">
        <v>51</v>
      </c>
      <c r="E166" s="310" t="s">
        <v>2334</v>
      </c>
      <c r="F166" s="311"/>
      <c r="G166" s="316" t="s">
        <v>6</v>
      </c>
      <c r="H166" s="316" t="s">
        <v>26</v>
      </c>
      <c r="I166" s="316" t="s">
        <v>649</v>
      </c>
      <c r="J166" s="310" t="s">
        <v>381</v>
      </c>
      <c r="K166" s="312">
        <v>25270</v>
      </c>
      <c r="L166" s="312">
        <v>31220</v>
      </c>
      <c r="M166" s="313">
        <f t="shared" si="15"/>
        <v>5950</v>
      </c>
      <c r="N166" s="314">
        <f t="shared" si="16"/>
        <v>0.190582959641256</v>
      </c>
      <c r="O166" s="312">
        <v>25270</v>
      </c>
      <c r="P166" s="313">
        <f t="shared" si="12"/>
        <v>0</v>
      </c>
      <c r="Q166" s="310" t="s">
        <v>147</v>
      </c>
      <c r="R166" s="310">
        <v>172</v>
      </c>
      <c r="S166" s="310" t="s">
        <v>267</v>
      </c>
      <c r="T166" s="308">
        <v>45576</v>
      </c>
      <c r="U166" s="308">
        <v>45576</v>
      </c>
      <c r="V166" s="308"/>
      <c r="W166" s="315">
        <f t="shared" si="17"/>
        <v>1</v>
      </c>
      <c r="X166" s="310" t="s">
        <v>54</v>
      </c>
      <c r="Y166" s="310" t="s">
        <v>2334</v>
      </c>
      <c r="Z166" s="316" t="s">
        <v>3755</v>
      </c>
      <c r="AA166" s="317">
        <v>45606</v>
      </c>
      <c r="AB166" s="317">
        <v>45606</v>
      </c>
    </row>
    <row r="167" spans="1:28" x14ac:dyDescent="0.25">
      <c r="A167" s="307">
        <f t="shared" si="13"/>
        <v>161</v>
      </c>
      <c r="B167" s="308">
        <v>45575</v>
      </c>
      <c r="C167" s="309">
        <f t="shared" si="14"/>
        <v>45566</v>
      </c>
      <c r="D167" s="310" t="s">
        <v>56</v>
      </c>
      <c r="E167" s="310" t="s">
        <v>38</v>
      </c>
      <c r="F167" s="311">
        <v>9515412075</v>
      </c>
      <c r="G167" s="316" t="s">
        <v>42</v>
      </c>
      <c r="H167" s="316" t="s">
        <v>689</v>
      </c>
      <c r="I167" s="316" t="s">
        <v>690</v>
      </c>
      <c r="J167" s="310" t="s">
        <v>59</v>
      </c>
      <c r="K167" s="312">
        <v>52820</v>
      </c>
      <c r="L167" s="312">
        <v>97650</v>
      </c>
      <c r="M167" s="313">
        <f t="shared" si="15"/>
        <v>44830</v>
      </c>
      <c r="N167" s="314">
        <f t="shared" si="16"/>
        <v>0.459088581669227</v>
      </c>
      <c r="O167" s="312">
        <v>52820</v>
      </c>
      <c r="P167" s="313">
        <f t="shared" si="12"/>
        <v>0</v>
      </c>
      <c r="Q167" s="310" t="s">
        <v>147</v>
      </c>
      <c r="R167" s="310">
        <v>173</v>
      </c>
      <c r="S167" s="310" t="s">
        <v>267</v>
      </c>
      <c r="T167" s="308">
        <v>45578</v>
      </c>
      <c r="U167" s="308">
        <v>45579</v>
      </c>
      <c r="V167" s="308"/>
      <c r="W167" s="315">
        <f t="shared" si="17"/>
        <v>4</v>
      </c>
      <c r="X167" s="310" t="s">
        <v>54</v>
      </c>
      <c r="Y167" s="310" t="s">
        <v>56</v>
      </c>
      <c r="Z167" s="316"/>
      <c r="AA167" s="316" t="s">
        <v>692</v>
      </c>
      <c r="AB167" s="316" t="s">
        <v>691</v>
      </c>
    </row>
    <row r="168" spans="1:28" x14ac:dyDescent="0.25">
      <c r="A168" s="307">
        <f t="shared" si="13"/>
        <v>162</v>
      </c>
      <c r="B168" s="308">
        <v>45576</v>
      </c>
      <c r="C168" s="309">
        <f t="shared" si="14"/>
        <v>45566</v>
      </c>
      <c r="D168" s="310" t="s">
        <v>51</v>
      </c>
      <c r="E168" s="310" t="s">
        <v>631</v>
      </c>
      <c r="F168" s="311">
        <v>9753829236</v>
      </c>
      <c r="G168" s="316" t="s">
        <v>6</v>
      </c>
      <c r="H168" s="316" t="s">
        <v>647</v>
      </c>
      <c r="I168" s="316" t="s">
        <v>648</v>
      </c>
      <c r="J168" s="310" t="s">
        <v>168</v>
      </c>
      <c r="K168" s="312">
        <v>27700</v>
      </c>
      <c r="L168" s="312">
        <v>41900</v>
      </c>
      <c r="M168" s="313">
        <f t="shared" si="15"/>
        <v>14200</v>
      </c>
      <c r="N168" s="314">
        <f t="shared" si="16"/>
        <v>0.33890214797136</v>
      </c>
      <c r="O168" s="312">
        <v>27700</v>
      </c>
      <c r="P168" s="313">
        <f t="shared" si="12"/>
        <v>0</v>
      </c>
      <c r="Q168" s="310" t="s">
        <v>147</v>
      </c>
      <c r="R168" s="310">
        <v>174</v>
      </c>
      <c r="S168" s="310" t="s">
        <v>267</v>
      </c>
      <c r="T168" s="308">
        <v>45578</v>
      </c>
      <c r="U168" s="308">
        <v>45579</v>
      </c>
      <c r="V168" s="308"/>
      <c r="W168" s="315">
        <f t="shared" si="17"/>
        <v>3</v>
      </c>
      <c r="X168" s="310" t="s">
        <v>54</v>
      </c>
      <c r="Y168" s="310" t="s">
        <v>439</v>
      </c>
      <c r="Z168" s="316"/>
      <c r="AA168" s="316" t="s">
        <v>692</v>
      </c>
      <c r="AB168" s="316" t="s">
        <v>691</v>
      </c>
    </row>
    <row r="169" spans="1:28" x14ac:dyDescent="0.25">
      <c r="A169" s="307">
        <f t="shared" si="13"/>
        <v>163</v>
      </c>
      <c r="B169" s="308">
        <v>45580</v>
      </c>
      <c r="C169" s="309">
        <f t="shared" si="14"/>
        <v>45566</v>
      </c>
      <c r="D169" s="310" t="s">
        <v>56</v>
      </c>
      <c r="E169" s="310" t="s">
        <v>60</v>
      </c>
      <c r="F169" s="311">
        <v>9589264337</v>
      </c>
      <c r="G169" s="316" t="s">
        <v>6</v>
      </c>
      <c r="H169" s="316" t="s">
        <v>723</v>
      </c>
      <c r="I169" s="316" t="s">
        <v>724</v>
      </c>
      <c r="J169" s="310" t="s">
        <v>3730</v>
      </c>
      <c r="K169" s="312">
        <v>47150</v>
      </c>
      <c r="L169" s="312">
        <v>59850</v>
      </c>
      <c r="M169" s="313">
        <f t="shared" si="15"/>
        <v>12700</v>
      </c>
      <c r="N169" s="314">
        <f t="shared" si="16"/>
        <v>0.212197159565581</v>
      </c>
      <c r="O169" s="312">
        <v>47150</v>
      </c>
      <c r="P169" s="313">
        <f t="shared" si="12"/>
        <v>0</v>
      </c>
      <c r="Q169" s="310" t="s">
        <v>147</v>
      </c>
      <c r="R169" s="310">
        <v>175</v>
      </c>
      <c r="S169" s="310"/>
      <c r="T169" s="308">
        <v>45584</v>
      </c>
      <c r="U169" s="308">
        <v>45585</v>
      </c>
      <c r="V169" s="308"/>
      <c r="W169" s="315">
        <f t="shared" si="17"/>
        <v>5</v>
      </c>
      <c r="X169" s="310" t="s">
        <v>54</v>
      </c>
      <c r="Y169" s="310" t="s">
        <v>56</v>
      </c>
      <c r="Z169" s="316"/>
      <c r="AA169" s="316" t="s">
        <v>708</v>
      </c>
      <c r="AB169" s="316" t="s">
        <v>709</v>
      </c>
    </row>
    <row r="170" spans="1:28" x14ac:dyDescent="0.25">
      <c r="A170" s="307">
        <f t="shared" si="13"/>
        <v>164</v>
      </c>
      <c r="B170" s="308">
        <v>45580</v>
      </c>
      <c r="C170" s="309">
        <f t="shared" si="14"/>
        <v>45566</v>
      </c>
      <c r="D170" s="310" t="s">
        <v>51</v>
      </c>
      <c r="E170" s="310" t="s">
        <v>694</v>
      </c>
      <c r="F170" s="311">
        <v>9271848168</v>
      </c>
      <c r="G170" s="316" t="s">
        <v>42</v>
      </c>
      <c r="H170" s="316" t="s">
        <v>740</v>
      </c>
      <c r="I170" s="316" t="s">
        <v>6</v>
      </c>
      <c r="J170" s="310" t="s">
        <v>107</v>
      </c>
      <c r="K170" s="312">
        <v>81330</v>
      </c>
      <c r="L170" s="312">
        <v>110250</v>
      </c>
      <c r="M170" s="313">
        <f t="shared" si="15"/>
        <v>28920</v>
      </c>
      <c r="N170" s="314">
        <f t="shared" si="16"/>
        <v>0.262312925170068</v>
      </c>
      <c r="O170" s="312">
        <v>73940</v>
      </c>
      <c r="P170" s="313">
        <f t="shared" si="12"/>
        <v>7390</v>
      </c>
      <c r="Q170" s="310" t="s">
        <v>147</v>
      </c>
      <c r="R170" s="310">
        <v>176</v>
      </c>
      <c r="S170" s="310"/>
      <c r="T170" s="308">
        <v>45587</v>
      </c>
      <c r="U170" s="308">
        <v>45588</v>
      </c>
      <c r="V170" s="308"/>
      <c r="W170" s="315">
        <f t="shared" si="17"/>
        <v>8</v>
      </c>
      <c r="X170" s="310" t="s">
        <v>54</v>
      </c>
      <c r="Y170" s="310" t="s">
        <v>695</v>
      </c>
      <c r="Z170" s="316"/>
      <c r="AA170" s="316" t="s">
        <v>714</v>
      </c>
      <c r="AB170" s="316" t="s">
        <v>715</v>
      </c>
    </row>
    <row r="171" spans="1:28" x14ac:dyDescent="0.25">
      <c r="A171" s="307">
        <f t="shared" si="13"/>
        <v>165</v>
      </c>
      <c r="B171" s="308">
        <v>45581</v>
      </c>
      <c r="C171" s="309">
        <f t="shared" si="14"/>
        <v>45566</v>
      </c>
      <c r="D171" s="310" t="s">
        <v>56</v>
      </c>
      <c r="E171" s="310" t="s">
        <v>38</v>
      </c>
      <c r="F171" s="311">
        <v>9515412075</v>
      </c>
      <c r="G171" s="316" t="s">
        <v>6</v>
      </c>
      <c r="H171" s="316" t="s">
        <v>721</v>
      </c>
      <c r="I171" s="316" t="s">
        <v>722</v>
      </c>
      <c r="J171" s="310" t="s">
        <v>59</v>
      </c>
      <c r="K171" s="312">
        <v>46680</v>
      </c>
      <c r="L171" s="312">
        <v>56700</v>
      </c>
      <c r="M171" s="313">
        <f t="shared" si="15"/>
        <v>10020</v>
      </c>
      <c r="N171" s="314">
        <f t="shared" si="16"/>
        <v>0.176719576719577</v>
      </c>
      <c r="O171" s="312">
        <v>46680</v>
      </c>
      <c r="P171" s="313">
        <f t="shared" si="12"/>
        <v>0</v>
      </c>
      <c r="Q171" s="310" t="s">
        <v>147</v>
      </c>
      <c r="R171" s="310">
        <v>177</v>
      </c>
      <c r="S171" s="310"/>
      <c r="T171" s="308">
        <v>45585</v>
      </c>
      <c r="U171" s="308">
        <v>45586</v>
      </c>
      <c r="V171" s="308"/>
      <c r="W171" s="315">
        <f t="shared" si="17"/>
        <v>5</v>
      </c>
      <c r="X171" s="310" t="s">
        <v>54</v>
      </c>
      <c r="Y171" s="310" t="s">
        <v>56</v>
      </c>
      <c r="Z171" s="316"/>
      <c r="AA171" s="316" t="s">
        <v>709</v>
      </c>
      <c r="AB171" s="316" t="s">
        <v>704</v>
      </c>
    </row>
    <row r="172" spans="1:28" x14ac:dyDescent="0.25">
      <c r="A172" s="307">
        <f t="shared" si="13"/>
        <v>166</v>
      </c>
      <c r="B172" s="308">
        <v>45582</v>
      </c>
      <c r="C172" s="309">
        <f t="shared" si="14"/>
        <v>45566</v>
      </c>
      <c r="D172" s="310" t="s">
        <v>51</v>
      </c>
      <c r="E172" s="310" t="s">
        <v>438</v>
      </c>
      <c r="F172" s="311">
        <v>9563961453</v>
      </c>
      <c r="G172" s="316" t="s">
        <v>6</v>
      </c>
      <c r="H172" s="316" t="s">
        <v>719</v>
      </c>
      <c r="I172" s="316" t="s">
        <v>720</v>
      </c>
      <c r="J172" s="310" t="s">
        <v>168</v>
      </c>
      <c r="K172" s="312">
        <v>27440</v>
      </c>
      <c r="L172" s="312">
        <v>41900</v>
      </c>
      <c r="M172" s="313">
        <f t="shared" si="15"/>
        <v>14460</v>
      </c>
      <c r="N172" s="314">
        <f t="shared" si="16"/>
        <v>0.345107398568019</v>
      </c>
      <c r="O172" s="312">
        <v>27440</v>
      </c>
      <c r="P172" s="313">
        <f t="shared" si="12"/>
        <v>0</v>
      </c>
      <c r="Q172" s="310" t="s">
        <v>147</v>
      </c>
      <c r="R172" s="310">
        <v>178</v>
      </c>
      <c r="S172" s="310"/>
      <c r="T172" s="308">
        <v>45586</v>
      </c>
      <c r="U172" s="308">
        <v>45586</v>
      </c>
      <c r="V172" s="308"/>
      <c r="W172" s="315">
        <f t="shared" si="17"/>
        <v>4</v>
      </c>
      <c r="X172" s="310" t="s">
        <v>54</v>
      </c>
      <c r="Y172" s="310" t="s">
        <v>439</v>
      </c>
      <c r="Z172" s="316"/>
      <c r="AA172" s="316" t="s">
        <v>704</v>
      </c>
      <c r="AB172" s="316" t="s">
        <v>704</v>
      </c>
    </row>
    <row r="173" spans="1:28" x14ac:dyDescent="0.25">
      <c r="A173" s="307">
        <f t="shared" si="13"/>
        <v>167</v>
      </c>
      <c r="B173" s="308">
        <v>45583</v>
      </c>
      <c r="C173" s="309">
        <f t="shared" si="14"/>
        <v>45566</v>
      </c>
      <c r="D173" s="310" t="s">
        <v>51</v>
      </c>
      <c r="E173" s="310" t="s">
        <v>696</v>
      </c>
      <c r="F173" s="311">
        <v>9754088991</v>
      </c>
      <c r="G173" s="316" t="s">
        <v>6</v>
      </c>
      <c r="H173" s="316" t="s">
        <v>725</v>
      </c>
      <c r="I173" s="316" t="s">
        <v>726</v>
      </c>
      <c r="J173" s="310" t="s">
        <v>172</v>
      </c>
      <c r="K173" s="312">
        <v>35780</v>
      </c>
      <c r="L173" s="312">
        <v>52920</v>
      </c>
      <c r="M173" s="313">
        <f t="shared" si="15"/>
        <v>17140</v>
      </c>
      <c r="N173" s="314">
        <f t="shared" si="16"/>
        <v>0.323885109599395</v>
      </c>
      <c r="O173" s="312">
        <v>35780</v>
      </c>
      <c r="P173" s="313">
        <f t="shared" si="12"/>
        <v>0</v>
      </c>
      <c r="Q173" s="310" t="s">
        <v>147</v>
      </c>
      <c r="R173" s="310">
        <v>179</v>
      </c>
      <c r="S173" s="310"/>
      <c r="T173" s="308">
        <v>45586</v>
      </c>
      <c r="U173" s="308">
        <v>45588</v>
      </c>
      <c r="V173" s="308"/>
      <c r="W173" s="315">
        <f t="shared" si="17"/>
        <v>5</v>
      </c>
      <c r="X173" s="310" t="s">
        <v>54</v>
      </c>
      <c r="Y173" s="310" t="s">
        <v>529</v>
      </c>
      <c r="Z173" s="316"/>
      <c r="AA173" s="316" t="s">
        <v>704</v>
      </c>
      <c r="AB173" s="316" t="s">
        <v>715</v>
      </c>
    </row>
    <row r="174" spans="1:28" x14ac:dyDescent="0.25">
      <c r="A174" s="307">
        <f t="shared" si="13"/>
        <v>168</v>
      </c>
      <c r="B174" s="308">
        <v>45583</v>
      </c>
      <c r="C174" s="309">
        <f t="shared" si="14"/>
        <v>45566</v>
      </c>
      <c r="D174" s="310" t="s">
        <v>51</v>
      </c>
      <c r="E174" s="310" t="s">
        <v>697</v>
      </c>
      <c r="F174" s="311">
        <v>9251441941</v>
      </c>
      <c r="G174" s="316" t="s">
        <v>6</v>
      </c>
      <c r="H174" s="316" t="s">
        <v>717</v>
      </c>
      <c r="I174" s="316" t="s">
        <v>718</v>
      </c>
      <c r="J174" s="310" t="s">
        <v>168</v>
      </c>
      <c r="K174" s="312">
        <v>29370</v>
      </c>
      <c r="L174" s="312">
        <v>44100</v>
      </c>
      <c r="M174" s="313">
        <f t="shared" si="15"/>
        <v>14730</v>
      </c>
      <c r="N174" s="314">
        <f t="shared" si="16"/>
        <v>0.334013605442177</v>
      </c>
      <c r="O174" s="312">
        <v>29370</v>
      </c>
      <c r="P174" s="313">
        <f t="shared" si="12"/>
        <v>0</v>
      </c>
      <c r="Q174" s="310" t="s">
        <v>147</v>
      </c>
      <c r="R174" s="310">
        <v>180</v>
      </c>
      <c r="S174" s="310"/>
      <c r="T174" s="308">
        <v>45588</v>
      </c>
      <c r="U174" s="308">
        <v>45588</v>
      </c>
      <c r="V174" s="308"/>
      <c r="W174" s="315">
        <f t="shared" si="17"/>
        <v>5</v>
      </c>
      <c r="X174" s="310" t="s">
        <v>54</v>
      </c>
      <c r="Y174" s="310" t="s">
        <v>529</v>
      </c>
      <c r="Z174" s="316"/>
      <c r="AA174" s="316" t="s">
        <v>715</v>
      </c>
      <c r="AB174" s="316" t="s">
        <v>715</v>
      </c>
    </row>
    <row r="175" spans="1:28" x14ac:dyDescent="0.25">
      <c r="A175" s="307">
        <f t="shared" si="13"/>
        <v>169</v>
      </c>
      <c r="B175" s="308">
        <v>45583</v>
      </c>
      <c r="C175" s="309">
        <f t="shared" si="14"/>
        <v>45566</v>
      </c>
      <c r="D175" s="310" t="s">
        <v>51</v>
      </c>
      <c r="E175" s="310" t="s">
        <v>698</v>
      </c>
      <c r="F175" s="311">
        <v>9482584161</v>
      </c>
      <c r="G175" s="316" t="s">
        <v>6</v>
      </c>
      <c r="H175" s="316" t="s">
        <v>26</v>
      </c>
      <c r="I175" s="316" t="s">
        <v>749</v>
      </c>
      <c r="J175" s="310" t="s">
        <v>222</v>
      </c>
      <c r="K175" s="312">
        <v>1670</v>
      </c>
      <c r="L175" s="312">
        <v>2200</v>
      </c>
      <c r="M175" s="313">
        <f t="shared" si="15"/>
        <v>530</v>
      </c>
      <c r="N175" s="314">
        <f t="shared" si="16"/>
        <v>0.240909090909091</v>
      </c>
      <c r="O175" s="312">
        <v>1670</v>
      </c>
      <c r="P175" s="313">
        <f t="shared" si="12"/>
        <v>0</v>
      </c>
      <c r="Q175" s="310" t="s">
        <v>147</v>
      </c>
      <c r="R175" s="310">
        <v>181</v>
      </c>
      <c r="S175" s="310"/>
      <c r="T175" s="308">
        <v>45583</v>
      </c>
      <c r="U175" s="308">
        <v>45583</v>
      </c>
      <c r="V175" s="308"/>
      <c r="W175" s="315">
        <f t="shared" si="17"/>
        <v>0</v>
      </c>
      <c r="X175" s="310" t="s">
        <v>54</v>
      </c>
      <c r="Y175" s="310" t="s">
        <v>3756</v>
      </c>
      <c r="Z175" s="316" t="s">
        <v>3757</v>
      </c>
      <c r="AA175" s="316" t="s">
        <v>699</v>
      </c>
      <c r="AB175" s="316" t="s">
        <v>699</v>
      </c>
    </row>
    <row r="176" spans="1:28" x14ac:dyDescent="0.25">
      <c r="A176" s="307">
        <f t="shared" si="13"/>
        <v>170</v>
      </c>
      <c r="B176" s="308">
        <v>45583</v>
      </c>
      <c r="C176" s="309">
        <f t="shared" si="14"/>
        <v>45566</v>
      </c>
      <c r="D176" s="310" t="s">
        <v>51</v>
      </c>
      <c r="E176" s="310" t="s">
        <v>702</v>
      </c>
      <c r="F176" s="311">
        <v>9486457334</v>
      </c>
      <c r="G176" s="316" t="s">
        <v>703</v>
      </c>
      <c r="H176" s="316" t="s">
        <v>26</v>
      </c>
      <c r="I176" s="316" t="s">
        <v>741</v>
      </c>
      <c r="J176" s="310" t="s">
        <v>3741</v>
      </c>
      <c r="K176" s="312">
        <v>29300</v>
      </c>
      <c r="L176" s="312">
        <v>34650</v>
      </c>
      <c r="M176" s="313">
        <f t="shared" si="15"/>
        <v>5350</v>
      </c>
      <c r="N176" s="314">
        <f t="shared" si="16"/>
        <v>0.154401154401154</v>
      </c>
      <c r="O176" s="312">
        <v>29300</v>
      </c>
      <c r="P176" s="313">
        <f t="shared" si="12"/>
        <v>0</v>
      </c>
      <c r="Q176" s="310" t="s">
        <v>147</v>
      </c>
      <c r="R176" s="310">
        <v>182</v>
      </c>
      <c r="S176" s="310"/>
      <c r="T176" s="308">
        <v>45586</v>
      </c>
      <c r="U176" s="308">
        <v>45586</v>
      </c>
      <c r="V176" s="308"/>
      <c r="W176" s="315">
        <f t="shared" si="17"/>
        <v>3</v>
      </c>
      <c r="X176" s="310" t="s">
        <v>54</v>
      </c>
      <c r="Y176" s="310" t="s">
        <v>3758</v>
      </c>
      <c r="Z176" s="316"/>
      <c r="AA176" s="316" t="s">
        <v>704</v>
      </c>
      <c r="AB176" s="316" t="s">
        <v>704</v>
      </c>
    </row>
    <row r="177" spans="1:28" x14ac:dyDescent="0.25">
      <c r="A177" s="307">
        <f t="shared" si="13"/>
        <v>171</v>
      </c>
      <c r="B177" s="308">
        <v>45584</v>
      </c>
      <c r="C177" s="309">
        <f t="shared" si="14"/>
        <v>45566</v>
      </c>
      <c r="D177" s="310" t="s">
        <v>51</v>
      </c>
      <c r="E177" s="310" t="s">
        <v>706</v>
      </c>
      <c r="F177" s="311">
        <v>9723865045</v>
      </c>
      <c r="G177" s="316" t="s">
        <v>6</v>
      </c>
      <c r="H177" s="316" t="s">
        <v>729</v>
      </c>
      <c r="I177" s="316" t="s">
        <v>730</v>
      </c>
      <c r="J177" s="310" t="s">
        <v>168</v>
      </c>
      <c r="K177" s="312">
        <v>27440</v>
      </c>
      <c r="L177" s="312">
        <v>41900</v>
      </c>
      <c r="M177" s="313">
        <f t="shared" si="15"/>
        <v>14460</v>
      </c>
      <c r="N177" s="314">
        <f t="shared" si="16"/>
        <v>0.345107398568019</v>
      </c>
      <c r="O177" s="312">
        <v>27440</v>
      </c>
      <c r="P177" s="313">
        <f t="shared" si="12"/>
        <v>0</v>
      </c>
      <c r="Q177" s="310" t="s">
        <v>147</v>
      </c>
      <c r="R177" s="310">
        <v>183</v>
      </c>
      <c r="S177" s="310"/>
      <c r="T177" s="308">
        <v>45588</v>
      </c>
      <c r="U177" s="308">
        <v>45589</v>
      </c>
      <c r="V177" s="308"/>
      <c r="W177" s="315">
        <f t="shared" si="17"/>
        <v>5</v>
      </c>
      <c r="X177" s="310" t="s">
        <v>54</v>
      </c>
      <c r="Y177" s="310" t="s">
        <v>439</v>
      </c>
      <c r="Z177" s="316"/>
      <c r="AA177" s="316" t="s">
        <v>715</v>
      </c>
      <c r="AB177" s="316" t="s">
        <v>739</v>
      </c>
    </row>
    <row r="178" spans="1:28" x14ac:dyDescent="0.25">
      <c r="A178" s="307">
        <f t="shared" si="13"/>
        <v>172</v>
      </c>
      <c r="B178" s="308">
        <v>45584</v>
      </c>
      <c r="C178" s="309">
        <f t="shared" si="14"/>
        <v>45566</v>
      </c>
      <c r="D178" s="310" t="s">
        <v>51</v>
      </c>
      <c r="E178" s="310" t="s">
        <v>707</v>
      </c>
      <c r="F178" s="311">
        <v>9709521772</v>
      </c>
      <c r="G178" s="316" t="s">
        <v>6</v>
      </c>
      <c r="H178" s="316" t="s">
        <v>727</v>
      </c>
      <c r="I178" s="316" t="s">
        <v>728</v>
      </c>
      <c r="J178" s="310" t="s">
        <v>168</v>
      </c>
      <c r="K178" s="312">
        <v>29640</v>
      </c>
      <c r="L178" s="312">
        <v>44100</v>
      </c>
      <c r="M178" s="313">
        <f t="shared" si="15"/>
        <v>14460</v>
      </c>
      <c r="N178" s="314">
        <f t="shared" si="16"/>
        <v>0.327891156462585</v>
      </c>
      <c r="O178" s="312">
        <v>29640</v>
      </c>
      <c r="P178" s="313">
        <f t="shared" si="12"/>
        <v>0</v>
      </c>
      <c r="Q178" s="310" t="s">
        <v>147</v>
      </c>
      <c r="R178" s="310">
        <v>184</v>
      </c>
      <c r="S178" s="310"/>
      <c r="T178" s="308">
        <v>45588</v>
      </c>
      <c r="U178" s="308">
        <v>45589</v>
      </c>
      <c r="V178" s="308"/>
      <c r="W178" s="315">
        <f t="shared" si="17"/>
        <v>5</v>
      </c>
      <c r="X178" s="310" t="s">
        <v>54</v>
      </c>
      <c r="Y178" s="310" t="s">
        <v>439</v>
      </c>
      <c r="Z178" s="316"/>
      <c r="AA178" s="316" t="s">
        <v>715</v>
      </c>
      <c r="AB178" s="316" t="s">
        <v>739</v>
      </c>
    </row>
    <row r="179" spans="1:28" x14ac:dyDescent="0.25">
      <c r="A179" s="307">
        <f t="shared" si="13"/>
        <v>173</v>
      </c>
      <c r="B179" s="308">
        <v>45586</v>
      </c>
      <c r="C179" s="309">
        <f t="shared" si="14"/>
        <v>45566</v>
      </c>
      <c r="D179" s="310" t="s">
        <v>51</v>
      </c>
      <c r="E179" s="310" t="s">
        <v>710</v>
      </c>
      <c r="F179" s="311">
        <v>9001199747</v>
      </c>
      <c r="G179" s="316" t="s">
        <v>6</v>
      </c>
      <c r="H179" s="316" t="s">
        <v>732</v>
      </c>
      <c r="I179" s="316" t="s">
        <v>733</v>
      </c>
      <c r="J179" s="310" t="s">
        <v>168</v>
      </c>
      <c r="K179" s="312">
        <v>27440</v>
      </c>
      <c r="L179" s="312">
        <v>41900</v>
      </c>
      <c r="M179" s="313">
        <f t="shared" si="15"/>
        <v>14460</v>
      </c>
      <c r="N179" s="314">
        <f t="shared" si="16"/>
        <v>0.345107398568019</v>
      </c>
      <c r="O179" s="312">
        <v>27440</v>
      </c>
      <c r="P179" s="313">
        <f t="shared" si="12"/>
        <v>0</v>
      </c>
      <c r="Q179" s="310" t="s">
        <v>147</v>
      </c>
      <c r="R179" s="310">
        <v>185</v>
      </c>
      <c r="S179" s="310"/>
      <c r="T179" s="308">
        <v>45590</v>
      </c>
      <c r="U179" s="308">
        <v>45590</v>
      </c>
      <c r="V179" s="308"/>
      <c r="W179" s="315">
        <f t="shared" si="17"/>
        <v>4</v>
      </c>
      <c r="X179" s="310" t="s">
        <v>54</v>
      </c>
      <c r="Y179" s="310" t="s">
        <v>439</v>
      </c>
      <c r="Z179" s="316"/>
      <c r="AA179" s="316" t="s">
        <v>756</v>
      </c>
      <c r="AB179" s="316" t="s">
        <v>756</v>
      </c>
    </row>
    <row r="180" spans="1:28" x14ac:dyDescent="0.25">
      <c r="A180" s="307">
        <f t="shared" si="13"/>
        <v>174</v>
      </c>
      <c r="B180" s="308">
        <v>45586</v>
      </c>
      <c r="C180" s="309">
        <f t="shared" si="14"/>
        <v>45566</v>
      </c>
      <c r="D180" s="310" t="s">
        <v>51</v>
      </c>
      <c r="E180" s="310" t="s">
        <v>711</v>
      </c>
      <c r="F180" s="311">
        <v>9023138543</v>
      </c>
      <c r="G180" s="316" t="s">
        <v>6</v>
      </c>
      <c r="H180" s="316" t="s">
        <v>394</v>
      </c>
      <c r="I180" s="316" t="s">
        <v>731</v>
      </c>
      <c r="J180" s="310" t="s">
        <v>168</v>
      </c>
      <c r="K180" s="312">
        <v>29640</v>
      </c>
      <c r="L180" s="312">
        <v>44100</v>
      </c>
      <c r="M180" s="313">
        <f t="shared" si="15"/>
        <v>14460</v>
      </c>
      <c r="N180" s="314">
        <f t="shared" si="16"/>
        <v>0.327891156462585</v>
      </c>
      <c r="O180" s="312">
        <v>29640</v>
      </c>
      <c r="P180" s="313">
        <f t="shared" si="12"/>
        <v>0</v>
      </c>
      <c r="Q180" s="310" t="s">
        <v>147</v>
      </c>
      <c r="R180" s="310">
        <v>187</v>
      </c>
      <c r="S180" s="310"/>
      <c r="T180" s="308">
        <v>45590</v>
      </c>
      <c r="U180" s="308">
        <v>45591</v>
      </c>
      <c r="V180" s="308"/>
      <c r="W180" s="315">
        <f t="shared" si="17"/>
        <v>5</v>
      </c>
      <c r="X180" s="310" t="s">
        <v>54</v>
      </c>
      <c r="Y180" s="310" t="s">
        <v>529</v>
      </c>
      <c r="Z180" s="316"/>
      <c r="AA180" s="316" t="s">
        <v>756</v>
      </c>
      <c r="AB180" s="316" t="s">
        <v>763</v>
      </c>
    </row>
    <row r="181" spans="1:28" x14ac:dyDescent="0.25">
      <c r="A181" s="307">
        <f t="shared" si="13"/>
        <v>175</v>
      </c>
      <c r="B181" s="308">
        <v>45587</v>
      </c>
      <c r="C181" s="309">
        <f t="shared" si="14"/>
        <v>45566</v>
      </c>
      <c r="D181" s="310" t="s">
        <v>51</v>
      </c>
      <c r="E181" s="310" t="s">
        <v>712</v>
      </c>
      <c r="F181" s="311">
        <v>9707438801</v>
      </c>
      <c r="G181" s="316" t="s">
        <v>6</v>
      </c>
      <c r="H181" s="316" t="s">
        <v>734</v>
      </c>
      <c r="I181" s="316" t="s">
        <v>735</v>
      </c>
      <c r="J181" s="310" t="s">
        <v>623</v>
      </c>
      <c r="K181" s="312">
        <v>30180</v>
      </c>
      <c r="L181" s="312">
        <v>44100</v>
      </c>
      <c r="M181" s="313">
        <f t="shared" si="15"/>
        <v>13920</v>
      </c>
      <c r="N181" s="314">
        <f t="shared" si="16"/>
        <v>0.315646258503401</v>
      </c>
      <c r="O181" s="312">
        <v>30180</v>
      </c>
      <c r="P181" s="313">
        <f t="shared" si="12"/>
        <v>0</v>
      </c>
      <c r="Q181" s="310" t="s">
        <v>147</v>
      </c>
      <c r="R181" s="310">
        <v>188</v>
      </c>
      <c r="S181" s="310"/>
      <c r="T181" s="308">
        <v>45591</v>
      </c>
      <c r="U181" s="308">
        <v>45591</v>
      </c>
      <c r="V181" s="308"/>
      <c r="W181" s="315">
        <f t="shared" si="17"/>
        <v>4</v>
      </c>
      <c r="X181" s="310" t="s">
        <v>54</v>
      </c>
      <c r="Y181" s="310" t="s">
        <v>439</v>
      </c>
      <c r="Z181" s="316"/>
      <c r="AA181" s="316" t="s">
        <v>763</v>
      </c>
      <c r="AB181" s="316" t="s">
        <v>763</v>
      </c>
    </row>
    <row r="182" spans="1:28" x14ac:dyDescent="0.25">
      <c r="A182" s="307">
        <f t="shared" si="13"/>
        <v>176</v>
      </c>
      <c r="B182" s="308">
        <v>45587</v>
      </c>
      <c r="C182" s="309">
        <f t="shared" si="14"/>
        <v>45566</v>
      </c>
      <c r="D182" s="310" t="s">
        <v>51</v>
      </c>
      <c r="E182" s="310" t="s">
        <v>711</v>
      </c>
      <c r="F182" s="311">
        <v>9023138543</v>
      </c>
      <c r="G182" s="316" t="s">
        <v>6</v>
      </c>
      <c r="H182" s="316" t="s">
        <v>609</v>
      </c>
      <c r="I182" s="316" t="s">
        <v>738</v>
      </c>
      <c r="J182" s="310" t="s">
        <v>3741</v>
      </c>
      <c r="K182" s="312">
        <v>0</v>
      </c>
      <c r="L182" s="312">
        <v>20640</v>
      </c>
      <c r="M182" s="313">
        <f t="shared" si="15"/>
        <v>20640</v>
      </c>
      <c r="N182" s="314">
        <f t="shared" si="16"/>
        <v>1</v>
      </c>
      <c r="O182" s="312"/>
      <c r="P182" s="313" t="str">
        <f t="shared" si="12"/>
        <v/>
      </c>
      <c r="Q182" s="310" t="s">
        <v>147</v>
      </c>
      <c r="R182" s="310">
        <v>186</v>
      </c>
      <c r="S182" s="310"/>
      <c r="T182" s="308">
        <v>45590</v>
      </c>
      <c r="U182" s="308">
        <v>45591</v>
      </c>
      <c r="V182" s="308"/>
      <c r="W182" s="315">
        <f t="shared" si="17"/>
        <v>4</v>
      </c>
      <c r="X182" s="310" t="s">
        <v>54</v>
      </c>
      <c r="Y182" s="310" t="s">
        <v>529</v>
      </c>
      <c r="Z182" s="316" t="s">
        <v>713</v>
      </c>
      <c r="AA182" s="316" t="s">
        <v>756</v>
      </c>
      <c r="AB182" s="316" t="s">
        <v>763</v>
      </c>
    </row>
    <row r="183" spans="1:28" x14ac:dyDescent="0.25">
      <c r="A183" s="307">
        <f t="shared" si="13"/>
        <v>177</v>
      </c>
      <c r="B183" s="308">
        <v>45587</v>
      </c>
      <c r="C183" s="309">
        <f t="shared" si="14"/>
        <v>45566</v>
      </c>
      <c r="D183" s="310" t="s">
        <v>56</v>
      </c>
      <c r="E183" s="310" t="s">
        <v>38</v>
      </c>
      <c r="F183" s="311">
        <v>9515412075</v>
      </c>
      <c r="G183" s="316" t="s">
        <v>45</v>
      </c>
      <c r="H183" s="316" t="s">
        <v>803</v>
      </c>
      <c r="I183" s="316" t="s">
        <v>804</v>
      </c>
      <c r="J183" s="310" t="s">
        <v>59</v>
      </c>
      <c r="K183" s="312">
        <v>49230</v>
      </c>
      <c r="L183" s="312">
        <v>73710</v>
      </c>
      <c r="M183" s="313">
        <f t="shared" si="15"/>
        <v>24480</v>
      </c>
      <c r="N183" s="314">
        <f t="shared" si="16"/>
        <v>0.332112332112332</v>
      </c>
      <c r="O183" s="312">
        <v>49230</v>
      </c>
      <c r="P183" s="313">
        <f t="shared" si="12"/>
        <v>0</v>
      </c>
      <c r="Q183" s="310" t="s">
        <v>147</v>
      </c>
      <c r="R183" s="310">
        <v>189</v>
      </c>
      <c r="S183" s="310"/>
      <c r="T183" s="308">
        <v>45593</v>
      </c>
      <c r="U183" s="308">
        <v>45594</v>
      </c>
      <c r="V183" s="308"/>
      <c r="W183" s="315">
        <f t="shared" si="17"/>
        <v>7</v>
      </c>
      <c r="X183" s="310" t="s">
        <v>54</v>
      </c>
      <c r="Y183" s="310" t="s">
        <v>56</v>
      </c>
      <c r="Z183" s="316"/>
      <c r="AA183" s="316" t="s">
        <v>761</v>
      </c>
      <c r="AB183" s="316" t="s">
        <v>762</v>
      </c>
    </row>
    <row r="184" spans="1:28" x14ac:dyDescent="0.25">
      <c r="A184" s="307">
        <f t="shared" si="13"/>
        <v>178</v>
      </c>
      <c r="B184" s="308">
        <v>45588</v>
      </c>
      <c r="C184" s="309">
        <f t="shared" si="14"/>
        <v>45566</v>
      </c>
      <c r="D184" s="310" t="s">
        <v>51</v>
      </c>
      <c r="E184" s="310" t="s">
        <v>716</v>
      </c>
      <c r="F184" s="311">
        <v>9400347476</v>
      </c>
      <c r="G184" s="316" t="s">
        <v>6</v>
      </c>
      <c r="H184" s="316" t="s">
        <v>737</v>
      </c>
      <c r="I184" s="316" t="s">
        <v>736</v>
      </c>
      <c r="J184" s="310" t="s">
        <v>623</v>
      </c>
      <c r="K184" s="312">
        <v>28650</v>
      </c>
      <c r="L184" s="312">
        <v>48200</v>
      </c>
      <c r="M184" s="313">
        <f t="shared" si="15"/>
        <v>19550</v>
      </c>
      <c r="N184" s="314">
        <f t="shared" si="16"/>
        <v>0.405601659751037</v>
      </c>
      <c r="O184" s="312">
        <v>28650</v>
      </c>
      <c r="P184" s="313">
        <f t="shared" si="12"/>
        <v>0</v>
      </c>
      <c r="Q184" s="310" t="s">
        <v>147</v>
      </c>
      <c r="R184" s="310">
        <v>190</v>
      </c>
      <c r="S184" s="310"/>
      <c r="T184" s="308">
        <v>45592</v>
      </c>
      <c r="U184" s="308">
        <v>45593</v>
      </c>
      <c r="V184" s="308"/>
      <c r="W184" s="315">
        <f t="shared" si="17"/>
        <v>5</v>
      </c>
      <c r="X184" s="310" t="s">
        <v>54</v>
      </c>
      <c r="Y184" s="310" t="s">
        <v>529</v>
      </c>
      <c r="Z184" s="316"/>
      <c r="AA184" s="316" t="s">
        <v>760</v>
      </c>
      <c r="AB184" s="316" t="s">
        <v>761</v>
      </c>
    </row>
    <row r="185" spans="1:28" x14ac:dyDescent="0.25">
      <c r="A185" s="307">
        <f t="shared" si="13"/>
        <v>179</v>
      </c>
      <c r="B185" s="308">
        <v>45588</v>
      </c>
      <c r="C185" s="309">
        <f t="shared" si="14"/>
        <v>45566</v>
      </c>
      <c r="D185" s="310" t="s">
        <v>56</v>
      </c>
      <c r="E185" s="310" t="s">
        <v>60</v>
      </c>
      <c r="F185" s="311">
        <v>9589264337</v>
      </c>
      <c r="G185" s="316" t="s">
        <v>42</v>
      </c>
      <c r="H185" s="316" t="s">
        <v>810</v>
      </c>
      <c r="I185" s="316" t="s">
        <v>809</v>
      </c>
      <c r="J185" s="310" t="s">
        <v>172</v>
      </c>
      <c r="K185" s="312">
        <v>53580</v>
      </c>
      <c r="L185" s="312">
        <v>102690</v>
      </c>
      <c r="M185" s="313">
        <f t="shared" si="15"/>
        <v>49110</v>
      </c>
      <c r="N185" s="314">
        <f t="shared" si="16"/>
        <v>0.478235465965527</v>
      </c>
      <c r="O185" s="312">
        <v>53580</v>
      </c>
      <c r="P185" s="313">
        <f t="shared" si="12"/>
        <v>0</v>
      </c>
      <c r="Q185" s="310" t="s">
        <v>147</v>
      </c>
      <c r="R185" s="310">
        <v>191</v>
      </c>
      <c r="S185" s="310"/>
      <c r="T185" s="308">
        <v>45591</v>
      </c>
      <c r="U185" s="308">
        <v>45591</v>
      </c>
      <c r="V185" s="308"/>
      <c r="W185" s="315">
        <f t="shared" si="17"/>
        <v>3</v>
      </c>
      <c r="X185" s="310" t="s">
        <v>54</v>
      </c>
      <c r="Y185" s="310" t="s">
        <v>56</v>
      </c>
      <c r="Z185" s="316"/>
      <c r="AA185" s="316" t="s">
        <v>763</v>
      </c>
      <c r="AB185" s="316" t="s">
        <v>763</v>
      </c>
    </row>
    <row r="186" spans="1:28" x14ac:dyDescent="0.25">
      <c r="A186" s="307">
        <f t="shared" si="13"/>
        <v>180</v>
      </c>
      <c r="B186" s="308">
        <v>45589</v>
      </c>
      <c r="C186" s="309">
        <f t="shared" si="14"/>
        <v>45566</v>
      </c>
      <c r="D186" s="310" t="s">
        <v>51</v>
      </c>
      <c r="E186" s="310" t="s">
        <v>554</v>
      </c>
      <c r="F186" s="311">
        <v>9474958824</v>
      </c>
      <c r="G186" s="316" t="s">
        <v>42</v>
      </c>
      <c r="H186" s="316" t="s">
        <v>26</v>
      </c>
      <c r="I186" s="316" t="s">
        <v>794</v>
      </c>
      <c r="J186" s="310" t="s">
        <v>107</v>
      </c>
      <c r="K186" s="312">
        <v>87880</v>
      </c>
      <c r="L186" s="312">
        <v>103950</v>
      </c>
      <c r="M186" s="313">
        <f t="shared" si="15"/>
        <v>16070</v>
      </c>
      <c r="N186" s="314">
        <f t="shared" si="16"/>
        <v>0.154593554593555</v>
      </c>
      <c r="O186" s="312">
        <v>87880</v>
      </c>
      <c r="P186" s="313">
        <f t="shared" si="12"/>
        <v>0</v>
      </c>
      <c r="Q186" s="310" t="s">
        <v>147</v>
      </c>
      <c r="R186" s="310">
        <v>192</v>
      </c>
      <c r="S186" s="310"/>
      <c r="T186" s="308">
        <v>45593</v>
      </c>
      <c r="U186" s="308">
        <v>45593</v>
      </c>
      <c r="V186" s="308"/>
      <c r="W186" s="315">
        <f t="shared" si="17"/>
        <v>4</v>
      </c>
      <c r="X186" s="310" t="s">
        <v>54</v>
      </c>
      <c r="Y186" s="310" t="s">
        <v>453</v>
      </c>
      <c r="Z186" s="316"/>
      <c r="AA186" s="316" t="s">
        <v>761</v>
      </c>
      <c r="AB186" s="316" t="s">
        <v>761</v>
      </c>
    </row>
    <row r="187" spans="1:28" x14ac:dyDescent="0.25">
      <c r="A187" s="307">
        <f t="shared" si="13"/>
        <v>181</v>
      </c>
      <c r="B187" s="308">
        <v>45589</v>
      </c>
      <c r="C187" s="309">
        <f t="shared" si="14"/>
        <v>45566</v>
      </c>
      <c r="D187" s="310" t="s">
        <v>51</v>
      </c>
      <c r="E187" s="310" t="s">
        <v>754</v>
      </c>
      <c r="F187" s="311">
        <v>9088752472</v>
      </c>
      <c r="G187" s="316" t="s">
        <v>6</v>
      </c>
      <c r="H187" s="316" t="s">
        <v>784</v>
      </c>
      <c r="I187" s="316" t="s">
        <v>783</v>
      </c>
      <c r="J187" s="310" t="s">
        <v>168</v>
      </c>
      <c r="K187" s="312">
        <v>31660</v>
      </c>
      <c r="L187" s="312">
        <v>50400</v>
      </c>
      <c r="M187" s="313">
        <f t="shared" si="15"/>
        <v>18740</v>
      </c>
      <c r="N187" s="314">
        <f t="shared" si="16"/>
        <v>0.371825396825397</v>
      </c>
      <c r="O187" s="312">
        <v>31660</v>
      </c>
      <c r="P187" s="313">
        <f t="shared" si="12"/>
        <v>0</v>
      </c>
      <c r="Q187" s="310" t="s">
        <v>147</v>
      </c>
      <c r="R187" s="310">
        <v>193</v>
      </c>
      <c r="S187" s="310"/>
      <c r="T187" s="308">
        <v>45593</v>
      </c>
      <c r="U187" s="308">
        <v>45594</v>
      </c>
      <c r="V187" s="308"/>
      <c r="W187" s="315">
        <f t="shared" si="17"/>
        <v>5</v>
      </c>
      <c r="X187" s="310" t="s">
        <v>54</v>
      </c>
      <c r="Y187" s="310" t="s">
        <v>439</v>
      </c>
      <c r="Z187" s="316"/>
      <c r="AA187" s="316" t="s">
        <v>761</v>
      </c>
      <c r="AB187" s="316" t="s">
        <v>762</v>
      </c>
    </row>
    <row r="188" spans="1:28" x14ac:dyDescent="0.25">
      <c r="A188" s="307">
        <f t="shared" si="13"/>
        <v>182</v>
      </c>
      <c r="B188" s="308">
        <v>45590</v>
      </c>
      <c r="C188" s="309">
        <f t="shared" si="14"/>
        <v>45566</v>
      </c>
      <c r="D188" s="310" t="s">
        <v>51</v>
      </c>
      <c r="E188" s="310" t="s">
        <v>755</v>
      </c>
      <c r="F188" s="311">
        <v>9397929762</v>
      </c>
      <c r="G188" s="316" t="s">
        <v>6</v>
      </c>
      <c r="H188" s="316" t="s">
        <v>788</v>
      </c>
      <c r="I188" s="316" t="s">
        <v>787</v>
      </c>
      <c r="J188" s="310" t="s">
        <v>168</v>
      </c>
      <c r="K188" s="312">
        <v>27440</v>
      </c>
      <c r="L188" s="312">
        <v>41900</v>
      </c>
      <c r="M188" s="313">
        <f t="shared" si="15"/>
        <v>14460</v>
      </c>
      <c r="N188" s="314">
        <f t="shared" si="16"/>
        <v>0.345107398568019</v>
      </c>
      <c r="O188" s="312">
        <v>27440</v>
      </c>
      <c r="P188" s="313">
        <f t="shared" si="12"/>
        <v>0</v>
      </c>
      <c r="Q188" s="310" t="s">
        <v>147</v>
      </c>
      <c r="R188" s="310">
        <v>194</v>
      </c>
      <c r="S188" s="310"/>
      <c r="T188" s="308">
        <v>45594</v>
      </c>
      <c r="U188" s="308">
        <v>45594</v>
      </c>
      <c r="V188" s="308"/>
      <c r="W188" s="315">
        <f t="shared" si="17"/>
        <v>4</v>
      </c>
      <c r="X188" s="310" t="s">
        <v>54</v>
      </c>
      <c r="Y188" s="310" t="s">
        <v>439</v>
      </c>
      <c r="Z188" s="316"/>
      <c r="AA188" s="316" t="s">
        <v>762</v>
      </c>
      <c r="AB188" s="316" t="s">
        <v>762</v>
      </c>
    </row>
    <row r="189" spans="1:28" x14ac:dyDescent="0.25">
      <c r="A189" s="307">
        <f t="shared" si="13"/>
        <v>183</v>
      </c>
      <c r="B189" s="308">
        <v>45590</v>
      </c>
      <c r="C189" s="309">
        <f t="shared" si="14"/>
        <v>45566</v>
      </c>
      <c r="D189" s="310" t="s">
        <v>56</v>
      </c>
      <c r="E189" s="310" t="s">
        <v>38</v>
      </c>
      <c r="F189" s="311">
        <v>9515412075</v>
      </c>
      <c r="G189" s="316" t="s">
        <v>6</v>
      </c>
      <c r="H189" s="316" t="s">
        <v>785</v>
      </c>
      <c r="I189" s="316" t="s">
        <v>786</v>
      </c>
      <c r="J189" s="310" t="s">
        <v>59</v>
      </c>
      <c r="K189" s="312">
        <v>45740</v>
      </c>
      <c r="L189" s="312">
        <v>50400</v>
      </c>
      <c r="M189" s="313">
        <f t="shared" si="15"/>
        <v>4660</v>
      </c>
      <c r="N189" s="314">
        <f t="shared" si="16"/>
        <v>0.0924603174603175</v>
      </c>
      <c r="O189" s="312">
        <v>45740</v>
      </c>
      <c r="P189" s="313">
        <f t="shared" si="12"/>
        <v>0</v>
      </c>
      <c r="Q189" s="310" t="s">
        <v>147</v>
      </c>
      <c r="R189" s="310">
        <v>195</v>
      </c>
      <c r="S189" s="310"/>
      <c r="T189" s="308">
        <v>45593</v>
      </c>
      <c r="U189" s="308">
        <v>45594</v>
      </c>
      <c r="V189" s="308"/>
      <c r="W189" s="315">
        <f t="shared" si="17"/>
        <v>4</v>
      </c>
      <c r="X189" s="310" t="s">
        <v>54</v>
      </c>
      <c r="Y189" s="310" t="s">
        <v>56</v>
      </c>
      <c r="Z189" s="316"/>
      <c r="AA189" s="316" t="s">
        <v>761</v>
      </c>
      <c r="AB189" s="316" t="s">
        <v>762</v>
      </c>
    </row>
    <row r="190" spans="1:28" x14ac:dyDescent="0.25">
      <c r="A190" s="307">
        <f t="shared" si="13"/>
        <v>184</v>
      </c>
      <c r="B190" s="308">
        <v>45591</v>
      </c>
      <c r="C190" s="309">
        <f t="shared" si="14"/>
        <v>45566</v>
      </c>
      <c r="D190" s="310" t="s">
        <v>56</v>
      </c>
      <c r="E190" s="310" t="s">
        <v>60</v>
      </c>
      <c r="F190" s="311">
        <v>9589264337</v>
      </c>
      <c r="G190" s="316" t="s">
        <v>6</v>
      </c>
      <c r="H190" s="316" t="s">
        <v>790</v>
      </c>
      <c r="I190" s="316" t="s">
        <v>789</v>
      </c>
      <c r="J190" s="310" t="s">
        <v>3730</v>
      </c>
      <c r="K190" s="312">
        <v>48100</v>
      </c>
      <c r="L190" s="312">
        <v>66150</v>
      </c>
      <c r="M190" s="313">
        <f t="shared" si="15"/>
        <v>18050</v>
      </c>
      <c r="N190" s="314">
        <f t="shared" si="16"/>
        <v>0.27286470143613</v>
      </c>
      <c r="O190" s="312">
        <v>48100</v>
      </c>
      <c r="P190" s="313">
        <f t="shared" si="12"/>
        <v>0</v>
      </c>
      <c r="Q190" s="310" t="s">
        <v>147</v>
      </c>
      <c r="R190" s="310">
        <v>196</v>
      </c>
      <c r="S190" s="310"/>
      <c r="T190" s="308">
        <v>45595</v>
      </c>
      <c r="U190" s="308">
        <v>45595</v>
      </c>
      <c r="V190" s="308"/>
      <c r="W190" s="315">
        <f t="shared" si="17"/>
        <v>4</v>
      </c>
      <c r="X190" s="310" t="s">
        <v>54</v>
      </c>
      <c r="Y190" s="310" t="s">
        <v>56</v>
      </c>
      <c r="Z190" s="316"/>
      <c r="AA190" s="316" t="s">
        <v>781</v>
      </c>
      <c r="AB190" s="316" t="s">
        <v>781</v>
      </c>
    </row>
    <row r="191" spans="1:28" x14ac:dyDescent="0.25">
      <c r="A191" s="307">
        <f t="shared" si="13"/>
        <v>185</v>
      </c>
      <c r="B191" s="308">
        <v>45593</v>
      </c>
      <c r="C191" s="309">
        <f t="shared" si="14"/>
        <v>45566</v>
      </c>
      <c r="D191" s="310" t="s">
        <v>51</v>
      </c>
      <c r="E191" s="310" t="s">
        <v>757</v>
      </c>
      <c r="F191" s="311">
        <v>9722355492</v>
      </c>
      <c r="G191" s="316" t="s">
        <v>6</v>
      </c>
      <c r="H191" s="316" t="s">
        <v>26</v>
      </c>
      <c r="I191" s="316" t="s">
        <v>791</v>
      </c>
      <c r="J191" s="310" t="s">
        <v>168</v>
      </c>
      <c r="K191" s="312">
        <v>25960</v>
      </c>
      <c r="L191" s="312">
        <v>35600</v>
      </c>
      <c r="M191" s="313">
        <f t="shared" si="15"/>
        <v>9640</v>
      </c>
      <c r="N191" s="314">
        <f t="shared" si="16"/>
        <v>0.270786516853933</v>
      </c>
      <c r="O191" s="312">
        <v>25960</v>
      </c>
      <c r="P191" s="313">
        <f t="shared" si="12"/>
        <v>0</v>
      </c>
      <c r="Q191" s="310" t="s">
        <v>147</v>
      </c>
      <c r="R191" s="310">
        <v>197</v>
      </c>
      <c r="S191" s="310"/>
      <c r="T191" s="308">
        <v>45597</v>
      </c>
      <c r="U191" s="308">
        <v>45600</v>
      </c>
      <c r="V191" s="308"/>
      <c r="W191" s="315">
        <f t="shared" si="17"/>
        <v>7</v>
      </c>
      <c r="X191" s="310" t="s">
        <v>54</v>
      </c>
      <c r="Y191" s="310" t="s">
        <v>439</v>
      </c>
      <c r="Z191" s="316"/>
      <c r="AA191" s="317">
        <v>45302</v>
      </c>
      <c r="AB191" s="317">
        <v>45393</v>
      </c>
    </row>
    <row r="192" spans="1:28" x14ac:dyDescent="0.25">
      <c r="A192" s="307">
        <f t="shared" si="13"/>
        <v>186</v>
      </c>
      <c r="B192" s="308">
        <v>45593</v>
      </c>
      <c r="C192" s="309">
        <f t="shared" si="14"/>
        <v>45566</v>
      </c>
      <c r="D192" s="310" t="s">
        <v>51</v>
      </c>
      <c r="E192" s="310" t="s">
        <v>758</v>
      </c>
      <c r="F192" s="311">
        <v>9535562730</v>
      </c>
      <c r="G192" s="316" t="s">
        <v>6</v>
      </c>
      <c r="H192" s="316" t="s">
        <v>793</v>
      </c>
      <c r="I192" s="316" t="s">
        <v>792</v>
      </c>
      <c r="J192" s="310" t="s">
        <v>3730</v>
      </c>
      <c r="K192" s="312">
        <v>31630</v>
      </c>
      <c r="L192" s="312">
        <v>46620</v>
      </c>
      <c r="M192" s="313">
        <f t="shared" si="15"/>
        <v>14990</v>
      </c>
      <c r="N192" s="314">
        <f t="shared" si="16"/>
        <v>0.321535821535822</v>
      </c>
      <c r="O192" s="312">
        <v>31630</v>
      </c>
      <c r="P192" s="313">
        <f t="shared" si="12"/>
        <v>0</v>
      </c>
      <c r="Q192" s="310" t="s">
        <v>147</v>
      </c>
      <c r="R192" s="310">
        <v>198</v>
      </c>
      <c r="S192" s="310"/>
      <c r="T192" s="308">
        <v>45597</v>
      </c>
      <c r="U192" s="308">
        <v>45600</v>
      </c>
      <c r="V192" s="308"/>
      <c r="W192" s="315">
        <f t="shared" si="17"/>
        <v>7</v>
      </c>
      <c r="X192" s="310" t="s">
        <v>54</v>
      </c>
      <c r="Y192" s="310" t="s">
        <v>759</v>
      </c>
      <c r="Z192" s="316"/>
      <c r="AA192" s="317">
        <v>45302</v>
      </c>
      <c r="AB192" s="317">
        <v>45393</v>
      </c>
    </row>
    <row r="193" spans="1:28" x14ac:dyDescent="0.25">
      <c r="A193" s="307">
        <f t="shared" si="13"/>
        <v>187</v>
      </c>
      <c r="B193" s="308">
        <v>45595</v>
      </c>
      <c r="C193" s="309">
        <f t="shared" si="14"/>
        <v>45566</v>
      </c>
      <c r="D193" s="310" t="s">
        <v>51</v>
      </c>
      <c r="E193" s="310" t="s">
        <v>795</v>
      </c>
      <c r="F193" s="311">
        <v>9146962394</v>
      </c>
      <c r="G193" s="316" t="s">
        <v>6</v>
      </c>
      <c r="H193" s="316" t="s">
        <v>797</v>
      </c>
      <c r="I193" s="316" t="s">
        <v>796</v>
      </c>
      <c r="J193" s="310" t="s">
        <v>59</v>
      </c>
      <c r="K193" s="312">
        <v>31120</v>
      </c>
      <c r="L193" s="312">
        <v>50400</v>
      </c>
      <c r="M193" s="313">
        <f t="shared" si="15"/>
        <v>19280</v>
      </c>
      <c r="N193" s="314">
        <f t="shared" si="16"/>
        <v>0.382539682539683</v>
      </c>
      <c r="O193" s="312">
        <v>31120</v>
      </c>
      <c r="P193" s="313">
        <f t="shared" si="12"/>
        <v>0</v>
      </c>
      <c r="Q193" s="310" t="s">
        <v>147</v>
      </c>
      <c r="R193" s="310">
        <v>199</v>
      </c>
      <c r="S193" s="310"/>
      <c r="T193" s="308">
        <v>45603</v>
      </c>
      <c r="U193" s="308">
        <v>45604</v>
      </c>
      <c r="V193" s="308"/>
      <c r="W193" s="315">
        <f t="shared" si="17"/>
        <v>9</v>
      </c>
      <c r="X193" s="310" t="s">
        <v>54</v>
      </c>
      <c r="Y193" s="310" t="s">
        <v>529</v>
      </c>
      <c r="Z193" s="316"/>
      <c r="AA193" s="317">
        <v>45484</v>
      </c>
      <c r="AB193" s="317">
        <v>45515</v>
      </c>
    </row>
    <row r="194" spans="1:28" x14ac:dyDescent="0.25">
      <c r="A194" s="307">
        <f t="shared" si="13"/>
        <v>188</v>
      </c>
      <c r="B194" s="308">
        <v>45595</v>
      </c>
      <c r="C194" s="309">
        <f t="shared" si="14"/>
        <v>45566</v>
      </c>
      <c r="D194" s="310" t="s">
        <v>51</v>
      </c>
      <c r="E194" s="310" t="s">
        <v>764</v>
      </c>
      <c r="F194" s="311">
        <v>9188117880</v>
      </c>
      <c r="G194" s="316" t="s">
        <v>6</v>
      </c>
      <c r="H194" s="316" t="s">
        <v>798</v>
      </c>
      <c r="I194" s="316" t="s">
        <v>799</v>
      </c>
      <c r="J194" s="310" t="s">
        <v>765</v>
      </c>
      <c r="K194" s="312">
        <v>35280</v>
      </c>
      <c r="L194" s="312">
        <v>56700</v>
      </c>
      <c r="M194" s="313">
        <f t="shared" si="15"/>
        <v>21420</v>
      </c>
      <c r="N194" s="314">
        <f t="shared" si="16"/>
        <v>0.377777777777778</v>
      </c>
      <c r="O194" s="312">
        <v>35280</v>
      </c>
      <c r="P194" s="313">
        <f t="shared" si="12"/>
        <v>0</v>
      </c>
      <c r="Q194" s="310" t="s">
        <v>147</v>
      </c>
      <c r="R194" s="310">
        <v>200</v>
      </c>
      <c r="S194" s="310"/>
      <c r="T194" s="308">
        <v>45603</v>
      </c>
      <c r="U194" s="308">
        <v>45604</v>
      </c>
      <c r="V194" s="308"/>
      <c r="W194" s="315">
        <f t="shared" si="17"/>
        <v>9</v>
      </c>
      <c r="X194" s="310" t="s">
        <v>54</v>
      </c>
      <c r="Y194" s="310" t="s">
        <v>529</v>
      </c>
      <c r="Z194" s="316"/>
      <c r="AA194" s="317">
        <v>45484</v>
      </c>
      <c r="AB194" s="317">
        <v>45515</v>
      </c>
    </row>
    <row r="195" spans="1:28" x14ac:dyDescent="0.25">
      <c r="A195" s="307">
        <f t="shared" si="13"/>
        <v>189</v>
      </c>
      <c r="B195" s="308">
        <v>45596</v>
      </c>
      <c r="C195" s="309">
        <f t="shared" si="14"/>
        <v>45566</v>
      </c>
      <c r="D195" s="310" t="s">
        <v>56</v>
      </c>
      <c r="E195" s="310" t="s">
        <v>38</v>
      </c>
      <c r="F195" s="311">
        <v>9515412075</v>
      </c>
      <c r="G195" s="316" t="s">
        <v>45</v>
      </c>
      <c r="H195" s="316" t="s">
        <v>805</v>
      </c>
      <c r="I195" s="316" t="s">
        <v>806</v>
      </c>
      <c r="J195" s="310" t="s">
        <v>59</v>
      </c>
      <c r="K195" s="312">
        <v>49230</v>
      </c>
      <c r="L195" s="312">
        <v>73710</v>
      </c>
      <c r="M195" s="313">
        <f t="shared" si="15"/>
        <v>24480</v>
      </c>
      <c r="N195" s="314">
        <f t="shared" si="16"/>
        <v>0.332112332112332</v>
      </c>
      <c r="O195" s="312">
        <v>49230</v>
      </c>
      <c r="P195" s="313">
        <f t="shared" si="12"/>
        <v>0</v>
      </c>
      <c r="Q195" s="310" t="s">
        <v>147</v>
      </c>
      <c r="R195" s="310">
        <v>201</v>
      </c>
      <c r="S195" s="310"/>
      <c r="T195" s="308">
        <v>45599</v>
      </c>
      <c r="U195" s="308">
        <v>45600</v>
      </c>
      <c r="V195" s="308"/>
      <c r="W195" s="315">
        <f t="shared" si="17"/>
        <v>4</v>
      </c>
      <c r="X195" s="310" t="s">
        <v>54</v>
      </c>
      <c r="Y195" s="310" t="s">
        <v>56</v>
      </c>
      <c r="Z195" s="316"/>
      <c r="AA195" s="317">
        <v>45362</v>
      </c>
      <c r="AB195" s="317">
        <v>45393</v>
      </c>
    </row>
    <row r="196" spans="1:28" x14ac:dyDescent="0.25">
      <c r="A196" s="307">
        <f t="shared" si="13"/>
        <v>190</v>
      </c>
      <c r="B196" s="308">
        <v>45600</v>
      </c>
      <c r="C196" s="309">
        <f t="shared" si="14"/>
        <v>45597</v>
      </c>
      <c r="D196" s="310" t="s">
        <v>56</v>
      </c>
      <c r="E196" s="310" t="s">
        <v>38</v>
      </c>
      <c r="F196" s="311">
        <v>9515412075</v>
      </c>
      <c r="G196" s="316" t="s">
        <v>6</v>
      </c>
      <c r="H196" s="316" t="s">
        <v>802</v>
      </c>
      <c r="I196" s="316" t="s">
        <v>801</v>
      </c>
      <c r="J196" s="310" t="s">
        <v>59</v>
      </c>
      <c r="K196" s="312">
        <v>45780</v>
      </c>
      <c r="L196" s="312">
        <v>50720</v>
      </c>
      <c r="M196" s="313">
        <f t="shared" si="15"/>
        <v>4940</v>
      </c>
      <c r="N196" s="314">
        <f t="shared" si="16"/>
        <v>0.097397476340694</v>
      </c>
      <c r="O196" s="312">
        <v>45780</v>
      </c>
      <c r="P196" s="313">
        <f t="shared" si="12"/>
        <v>0</v>
      </c>
      <c r="Q196" s="310" t="s">
        <v>147</v>
      </c>
      <c r="R196" s="310">
        <v>202</v>
      </c>
      <c r="S196" s="310"/>
      <c r="T196" s="308">
        <v>45604</v>
      </c>
      <c r="U196" s="308">
        <v>45604</v>
      </c>
      <c r="V196" s="308"/>
      <c r="W196" s="315">
        <f t="shared" si="17"/>
        <v>4</v>
      </c>
      <c r="X196" s="310" t="s">
        <v>54</v>
      </c>
      <c r="Y196" s="310" t="s">
        <v>56</v>
      </c>
      <c r="Z196" s="316" t="s">
        <v>154</v>
      </c>
      <c r="AA196" s="317">
        <v>45515</v>
      </c>
      <c r="AB196" s="317">
        <v>45515</v>
      </c>
    </row>
    <row r="197" spans="1:28" x14ac:dyDescent="0.25">
      <c r="A197" s="307">
        <f t="shared" si="13"/>
        <v>191</v>
      </c>
      <c r="B197" s="308">
        <v>45600</v>
      </c>
      <c r="C197" s="309">
        <f t="shared" si="14"/>
        <v>45597</v>
      </c>
      <c r="D197" s="310" t="s">
        <v>51</v>
      </c>
      <c r="E197" s="310" t="s">
        <v>771</v>
      </c>
      <c r="F197" s="311">
        <v>9126901473</v>
      </c>
      <c r="G197" s="316" t="s">
        <v>6</v>
      </c>
      <c r="H197" s="316" t="s">
        <v>800</v>
      </c>
      <c r="I197" s="316" t="s">
        <v>26</v>
      </c>
      <c r="J197" s="310" t="s">
        <v>168</v>
      </c>
      <c r="K197" s="312">
        <v>27070</v>
      </c>
      <c r="L197" s="312">
        <v>41260</v>
      </c>
      <c r="M197" s="313">
        <f t="shared" si="15"/>
        <v>14190</v>
      </c>
      <c r="N197" s="314">
        <f t="shared" si="16"/>
        <v>0.343916626272419</v>
      </c>
      <c r="O197" s="312">
        <v>27070</v>
      </c>
      <c r="P197" s="313">
        <f t="shared" si="12"/>
        <v>0</v>
      </c>
      <c r="Q197" s="310" t="s">
        <v>147</v>
      </c>
      <c r="R197" s="310">
        <v>203</v>
      </c>
      <c r="S197" s="310"/>
      <c r="T197" s="308">
        <v>45603</v>
      </c>
      <c r="U197" s="308">
        <v>45604</v>
      </c>
      <c r="V197" s="308"/>
      <c r="W197" s="315">
        <f t="shared" si="17"/>
        <v>4</v>
      </c>
      <c r="X197" s="310" t="s">
        <v>54</v>
      </c>
      <c r="Y197" s="310" t="s">
        <v>439</v>
      </c>
      <c r="Z197" s="316" t="s">
        <v>154</v>
      </c>
      <c r="AA197" s="317">
        <v>45484</v>
      </c>
      <c r="AB197" s="317">
        <v>45515</v>
      </c>
    </row>
    <row r="198" spans="1:28" x14ac:dyDescent="0.25">
      <c r="A198" s="307">
        <f t="shared" si="13"/>
        <v>192</v>
      </c>
      <c r="B198" s="308">
        <v>45601</v>
      </c>
      <c r="C198" s="309">
        <f t="shared" si="14"/>
        <v>45597</v>
      </c>
      <c r="D198" s="310" t="s">
        <v>51</v>
      </c>
      <c r="E198" s="310" t="s">
        <v>403</v>
      </c>
      <c r="F198" s="311">
        <v>9165942602</v>
      </c>
      <c r="G198" s="316" t="s">
        <v>6</v>
      </c>
      <c r="H198" s="316" t="s">
        <v>836</v>
      </c>
      <c r="I198" s="316" t="s">
        <v>837</v>
      </c>
      <c r="J198" s="310" t="s">
        <v>623</v>
      </c>
      <c r="K198" s="312">
        <v>31030</v>
      </c>
      <c r="L198" s="312">
        <v>49770</v>
      </c>
      <c r="M198" s="313">
        <f t="shared" si="15"/>
        <v>18740</v>
      </c>
      <c r="N198" s="314">
        <f t="shared" si="16"/>
        <v>0.376532047418123</v>
      </c>
      <c r="O198" s="312">
        <v>31030</v>
      </c>
      <c r="P198" s="313">
        <f t="shared" si="12"/>
        <v>0</v>
      </c>
      <c r="Q198" s="310" t="s">
        <v>147</v>
      </c>
      <c r="R198" s="310">
        <v>204</v>
      </c>
      <c r="S198" s="310"/>
      <c r="T198" s="308">
        <v>45604</v>
      </c>
      <c r="U198" s="308">
        <v>45604</v>
      </c>
      <c r="V198" s="308"/>
      <c r="W198" s="315">
        <f t="shared" si="17"/>
        <v>3</v>
      </c>
      <c r="X198" s="310" t="s">
        <v>54</v>
      </c>
      <c r="Y198" s="310" t="s">
        <v>529</v>
      </c>
      <c r="Z198" s="316"/>
      <c r="AA198" s="317">
        <v>45515</v>
      </c>
      <c r="AB198" s="317">
        <v>45515</v>
      </c>
    </row>
    <row r="199" spans="1:28" x14ac:dyDescent="0.25">
      <c r="A199" s="307">
        <f t="shared" si="13"/>
        <v>193</v>
      </c>
      <c r="B199" s="308">
        <v>45601</v>
      </c>
      <c r="C199" s="309">
        <f t="shared" si="14"/>
        <v>45597</v>
      </c>
      <c r="D199" s="310" t="s">
        <v>51</v>
      </c>
      <c r="E199" s="310" t="s">
        <v>772</v>
      </c>
      <c r="F199" s="311">
        <v>9683768334</v>
      </c>
      <c r="G199" s="316" t="s">
        <v>6</v>
      </c>
      <c r="H199" s="316" t="s">
        <v>26</v>
      </c>
      <c r="I199" s="316" t="s">
        <v>835</v>
      </c>
      <c r="J199" s="310" t="s">
        <v>623</v>
      </c>
      <c r="K199" s="312">
        <v>27070</v>
      </c>
      <c r="L199" s="312">
        <v>41260</v>
      </c>
      <c r="M199" s="313">
        <f t="shared" si="15"/>
        <v>14190</v>
      </c>
      <c r="N199" s="314">
        <f t="shared" si="16"/>
        <v>0.343916626272419</v>
      </c>
      <c r="O199" s="312">
        <v>27070</v>
      </c>
      <c r="P199" s="313">
        <f t="shared" ref="P199:P262" si="18">IF(OR($K199="",$O199=""),"",$K199-$O199)</f>
        <v>0</v>
      </c>
      <c r="Q199" s="310" t="s">
        <v>147</v>
      </c>
      <c r="R199" s="310">
        <v>205</v>
      </c>
      <c r="S199" s="310"/>
      <c r="T199" s="308">
        <v>45604</v>
      </c>
      <c r="U199" s="308">
        <v>45604</v>
      </c>
      <c r="V199" s="308"/>
      <c r="W199" s="315">
        <f t="shared" si="17"/>
        <v>3</v>
      </c>
      <c r="X199" s="310" t="s">
        <v>54</v>
      </c>
      <c r="Y199" s="310" t="s">
        <v>529</v>
      </c>
      <c r="Z199" s="316" t="s">
        <v>154</v>
      </c>
      <c r="AA199" s="317">
        <v>45515</v>
      </c>
      <c r="AB199" s="317">
        <v>45515</v>
      </c>
    </row>
    <row r="200" spans="1:28" x14ac:dyDescent="0.25">
      <c r="A200" s="307">
        <f t="shared" ref="A200:A263" si="19">IF($B200="","",ROW()-6)</f>
        <v>194</v>
      </c>
      <c r="B200" s="308">
        <v>45602</v>
      </c>
      <c r="C200" s="309">
        <f t="shared" ref="C200:C263" si="20">IF($B200="","",EOMONTH($B200,-1)+1)</f>
        <v>45597</v>
      </c>
      <c r="D200" s="310" t="s">
        <v>51</v>
      </c>
      <c r="E200" s="310" t="s">
        <v>773</v>
      </c>
      <c r="F200" s="311">
        <v>9665106493</v>
      </c>
      <c r="G200" s="316" t="s">
        <v>42</v>
      </c>
      <c r="H200" s="316" t="s">
        <v>26</v>
      </c>
      <c r="I200" s="316" t="s">
        <v>843</v>
      </c>
      <c r="J200" s="310" t="s">
        <v>3730</v>
      </c>
      <c r="K200" s="312">
        <v>66400</v>
      </c>
      <c r="L200" s="312">
        <v>96390</v>
      </c>
      <c r="M200" s="313">
        <f t="shared" ref="M200:M263" si="21">IF(OR($K200="",$L200=""),"",$L200-$K200)</f>
        <v>29990</v>
      </c>
      <c r="N200" s="314">
        <f t="shared" ref="N200:N263" si="22">IF(OR($L200="",$L200=0,$M200=""),"",$M200/$L200)</f>
        <v>0.311131860151468</v>
      </c>
      <c r="O200" s="312">
        <v>66400</v>
      </c>
      <c r="P200" s="313">
        <f t="shared" si="18"/>
        <v>0</v>
      </c>
      <c r="Q200" s="310" t="s">
        <v>147</v>
      </c>
      <c r="R200" s="310">
        <v>206</v>
      </c>
      <c r="S200" s="310"/>
      <c r="T200" s="308">
        <v>45606</v>
      </c>
      <c r="U200" s="308">
        <v>45607</v>
      </c>
      <c r="V200" s="308"/>
      <c r="W200" s="315">
        <f t="shared" ref="W200:W263" si="23">IF(OR($B200="",$U200=""),"",$U200-$B200)</f>
        <v>5</v>
      </c>
      <c r="X200" s="310" t="s">
        <v>54</v>
      </c>
      <c r="Y200" s="310" t="s">
        <v>3748</v>
      </c>
      <c r="Z200" s="316"/>
      <c r="AA200" s="317">
        <v>45576</v>
      </c>
      <c r="AB200" s="317">
        <v>45607</v>
      </c>
    </row>
    <row r="201" spans="1:28" x14ac:dyDescent="0.25">
      <c r="A201" s="307">
        <f t="shared" si="19"/>
        <v>195</v>
      </c>
      <c r="B201" s="308">
        <v>45602</v>
      </c>
      <c r="C201" s="309">
        <f t="shared" si="20"/>
        <v>45597</v>
      </c>
      <c r="D201" s="310" t="s">
        <v>51</v>
      </c>
      <c r="E201" s="310" t="s">
        <v>2334</v>
      </c>
      <c r="F201" s="311"/>
      <c r="G201" s="316" t="s">
        <v>6</v>
      </c>
      <c r="H201" s="316" t="s">
        <v>26</v>
      </c>
      <c r="I201" s="316" t="s">
        <v>838</v>
      </c>
      <c r="J201" s="310" t="s">
        <v>381</v>
      </c>
      <c r="K201" s="312">
        <v>69440</v>
      </c>
      <c r="L201" s="312">
        <v>79950</v>
      </c>
      <c r="M201" s="313">
        <f t="shared" si="21"/>
        <v>10510</v>
      </c>
      <c r="N201" s="314">
        <f t="shared" si="22"/>
        <v>0.131457160725453</v>
      </c>
      <c r="O201" s="312">
        <v>69440</v>
      </c>
      <c r="P201" s="313">
        <f t="shared" si="18"/>
        <v>0</v>
      </c>
      <c r="Q201" s="310" t="s">
        <v>147</v>
      </c>
      <c r="R201" s="310">
        <v>207</v>
      </c>
      <c r="S201" s="310"/>
      <c r="T201" s="308">
        <v>45602</v>
      </c>
      <c r="U201" s="308">
        <v>45603</v>
      </c>
      <c r="V201" s="308"/>
      <c r="W201" s="315">
        <f t="shared" si="23"/>
        <v>1</v>
      </c>
      <c r="X201" s="310" t="s">
        <v>54</v>
      </c>
      <c r="Y201" s="310" t="s">
        <v>2334</v>
      </c>
      <c r="Z201" s="316"/>
      <c r="AA201" s="317">
        <v>45454</v>
      </c>
      <c r="AB201" s="317">
        <v>45484</v>
      </c>
    </row>
    <row r="202" spans="1:28" x14ac:dyDescent="0.25">
      <c r="A202" s="307">
        <f t="shared" si="19"/>
        <v>196</v>
      </c>
      <c r="B202" s="308">
        <v>45602</v>
      </c>
      <c r="C202" s="309">
        <f t="shared" si="20"/>
        <v>45597</v>
      </c>
      <c r="D202" s="310" t="s">
        <v>51</v>
      </c>
      <c r="E202" s="310" t="s">
        <v>2334</v>
      </c>
      <c r="F202" s="311"/>
      <c r="G202" s="316" t="s">
        <v>6</v>
      </c>
      <c r="H202" s="316" t="s">
        <v>26</v>
      </c>
      <c r="I202" s="316" t="s">
        <v>839</v>
      </c>
      <c r="J202" s="310" t="s">
        <v>381</v>
      </c>
      <c r="K202" s="312">
        <v>51730</v>
      </c>
      <c r="L202" s="312">
        <v>57640</v>
      </c>
      <c r="M202" s="313">
        <f t="shared" si="21"/>
        <v>5910</v>
      </c>
      <c r="N202" s="314">
        <f t="shared" si="22"/>
        <v>0.102532963219986</v>
      </c>
      <c r="O202" s="312">
        <v>51730</v>
      </c>
      <c r="P202" s="313">
        <f t="shared" si="18"/>
        <v>0</v>
      </c>
      <c r="Q202" s="310" t="s">
        <v>147</v>
      </c>
      <c r="R202" s="310">
        <v>208</v>
      </c>
      <c r="S202" s="310"/>
      <c r="T202" s="308">
        <v>45602</v>
      </c>
      <c r="U202" s="308">
        <v>45603</v>
      </c>
      <c r="V202" s="308"/>
      <c r="W202" s="315">
        <f t="shared" si="23"/>
        <v>1</v>
      </c>
      <c r="X202" s="310" t="s">
        <v>54</v>
      </c>
      <c r="Y202" s="310" t="s">
        <v>2334</v>
      </c>
      <c r="Z202" s="316"/>
      <c r="AA202" s="317">
        <v>45454</v>
      </c>
      <c r="AB202" s="317">
        <v>45484</v>
      </c>
    </row>
    <row r="203" spans="1:28" x14ac:dyDescent="0.25">
      <c r="A203" s="307">
        <f t="shared" si="19"/>
        <v>197</v>
      </c>
      <c r="B203" s="308">
        <v>45603</v>
      </c>
      <c r="C203" s="309">
        <f t="shared" si="20"/>
        <v>45597</v>
      </c>
      <c r="D203" s="310" t="s">
        <v>51</v>
      </c>
      <c r="E203" s="310" t="s">
        <v>2334</v>
      </c>
      <c r="F203" s="311"/>
      <c r="G203" s="316" t="s">
        <v>6</v>
      </c>
      <c r="H203" s="316" t="s">
        <v>26</v>
      </c>
      <c r="I203" s="316" t="s">
        <v>842</v>
      </c>
      <c r="J203" s="310" t="s">
        <v>381</v>
      </c>
      <c r="K203" s="312">
        <v>49900</v>
      </c>
      <c r="L203" s="312">
        <v>54950</v>
      </c>
      <c r="M203" s="313">
        <f t="shared" si="21"/>
        <v>5050</v>
      </c>
      <c r="N203" s="314">
        <f t="shared" si="22"/>
        <v>0.091901728844404</v>
      </c>
      <c r="O203" s="312">
        <v>49900</v>
      </c>
      <c r="P203" s="313">
        <f t="shared" si="18"/>
        <v>0</v>
      </c>
      <c r="Q203" s="310" t="s">
        <v>147</v>
      </c>
      <c r="R203" s="310">
        <v>209</v>
      </c>
      <c r="S203" s="310"/>
      <c r="T203" s="308">
        <v>45603</v>
      </c>
      <c r="U203" s="308">
        <v>45604</v>
      </c>
      <c r="V203" s="308"/>
      <c r="W203" s="315">
        <f t="shared" si="23"/>
        <v>1</v>
      </c>
      <c r="X203" s="310" t="s">
        <v>54</v>
      </c>
      <c r="Y203" s="310" t="s">
        <v>2334</v>
      </c>
      <c r="Z203" s="316"/>
      <c r="AA203" s="317">
        <v>45484</v>
      </c>
      <c r="AB203" s="317">
        <v>45515</v>
      </c>
    </row>
    <row r="204" spans="1:28" x14ac:dyDescent="0.25">
      <c r="A204" s="307">
        <f t="shared" si="19"/>
        <v>198</v>
      </c>
      <c r="B204" s="308">
        <v>45603</v>
      </c>
      <c r="C204" s="309">
        <f t="shared" si="20"/>
        <v>45597</v>
      </c>
      <c r="D204" s="310" t="s">
        <v>51</v>
      </c>
      <c r="E204" s="310" t="s">
        <v>2334</v>
      </c>
      <c r="F204" s="311"/>
      <c r="G204" s="316" t="s">
        <v>6</v>
      </c>
      <c r="H204" s="316" t="s">
        <v>26</v>
      </c>
      <c r="I204" s="316" t="s">
        <v>841</v>
      </c>
      <c r="J204" s="310" t="s">
        <v>381</v>
      </c>
      <c r="K204" s="312">
        <v>35910</v>
      </c>
      <c r="L204" s="312">
        <v>38410</v>
      </c>
      <c r="M204" s="313">
        <f t="shared" si="21"/>
        <v>2500</v>
      </c>
      <c r="N204" s="314">
        <f t="shared" si="22"/>
        <v>0.0650872168706066</v>
      </c>
      <c r="O204" s="312">
        <v>35910</v>
      </c>
      <c r="P204" s="313">
        <f t="shared" si="18"/>
        <v>0</v>
      </c>
      <c r="Q204" s="310" t="s">
        <v>147</v>
      </c>
      <c r="R204" s="310">
        <v>210</v>
      </c>
      <c r="S204" s="310"/>
      <c r="T204" s="308">
        <v>45603</v>
      </c>
      <c r="U204" s="308">
        <v>45603</v>
      </c>
      <c r="V204" s="308"/>
      <c r="W204" s="315">
        <f t="shared" si="23"/>
        <v>0</v>
      </c>
      <c r="X204" s="310" t="s">
        <v>54</v>
      </c>
      <c r="Y204" s="310" t="s">
        <v>2334</v>
      </c>
      <c r="Z204" s="316"/>
      <c r="AA204" s="317">
        <v>45484</v>
      </c>
      <c r="AB204" s="317">
        <v>45484</v>
      </c>
    </row>
    <row r="205" spans="1:28" x14ac:dyDescent="0.25">
      <c r="A205" s="307">
        <f t="shared" si="19"/>
        <v>199</v>
      </c>
      <c r="B205" s="308">
        <v>45603</v>
      </c>
      <c r="C205" s="309">
        <f t="shared" si="20"/>
        <v>45597</v>
      </c>
      <c r="D205" s="310" t="s">
        <v>56</v>
      </c>
      <c r="E205" s="310" t="s">
        <v>60</v>
      </c>
      <c r="F205" s="311">
        <v>9589264337</v>
      </c>
      <c r="G205" s="316" t="s">
        <v>42</v>
      </c>
      <c r="H205" s="316" t="s">
        <v>812</v>
      </c>
      <c r="I205" s="316" t="s">
        <v>811</v>
      </c>
      <c r="J205" s="310" t="s">
        <v>3730</v>
      </c>
      <c r="K205" s="312">
        <v>54520</v>
      </c>
      <c r="L205" s="312">
        <v>108990</v>
      </c>
      <c r="M205" s="313">
        <f t="shared" si="21"/>
        <v>54470</v>
      </c>
      <c r="N205" s="314">
        <f t="shared" si="22"/>
        <v>0.499770621157904</v>
      </c>
      <c r="O205" s="312">
        <v>54520</v>
      </c>
      <c r="P205" s="313">
        <f t="shared" si="18"/>
        <v>0</v>
      </c>
      <c r="Q205" s="310" t="s">
        <v>147</v>
      </c>
      <c r="R205" s="310">
        <v>211</v>
      </c>
      <c r="S205" s="310"/>
      <c r="T205" s="308">
        <v>45606</v>
      </c>
      <c r="U205" s="308">
        <v>45607</v>
      </c>
      <c r="V205" s="308"/>
      <c r="W205" s="315">
        <f t="shared" si="23"/>
        <v>4</v>
      </c>
      <c r="X205" s="310" t="s">
        <v>54</v>
      </c>
      <c r="Y205" s="310" t="s">
        <v>56</v>
      </c>
      <c r="Z205" s="316"/>
      <c r="AA205" s="317">
        <v>45576</v>
      </c>
      <c r="AB205" s="317">
        <v>45607</v>
      </c>
    </row>
    <row r="206" spans="1:28" x14ac:dyDescent="0.25">
      <c r="A206" s="307">
        <f t="shared" si="19"/>
        <v>200</v>
      </c>
      <c r="B206" s="308">
        <v>45603</v>
      </c>
      <c r="C206" s="309">
        <f t="shared" si="20"/>
        <v>45597</v>
      </c>
      <c r="D206" s="310" t="s">
        <v>51</v>
      </c>
      <c r="E206" s="310" t="s">
        <v>547</v>
      </c>
      <c r="F206" s="311">
        <v>9470447784</v>
      </c>
      <c r="G206" s="316" t="s">
        <v>6</v>
      </c>
      <c r="H206" s="316" t="s">
        <v>26</v>
      </c>
      <c r="I206" s="316" t="s">
        <v>840</v>
      </c>
      <c r="J206" s="310" t="s">
        <v>623</v>
      </c>
      <c r="K206" s="312">
        <v>26220</v>
      </c>
      <c r="L206" s="312">
        <v>35600</v>
      </c>
      <c r="M206" s="313">
        <f t="shared" si="21"/>
        <v>9380</v>
      </c>
      <c r="N206" s="314">
        <f t="shared" si="22"/>
        <v>0.263483146067416</v>
      </c>
      <c r="O206" s="312">
        <v>26220</v>
      </c>
      <c r="P206" s="313">
        <f t="shared" si="18"/>
        <v>0</v>
      </c>
      <c r="Q206" s="310" t="s">
        <v>147</v>
      </c>
      <c r="R206" s="310">
        <v>212</v>
      </c>
      <c r="S206" s="310"/>
      <c r="T206" s="308">
        <v>45606</v>
      </c>
      <c r="U206" s="308">
        <v>45607</v>
      </c>
      <c r="V206" s="308"/>
      <c r="W206" s="315">
        <f t="shared" si="23"/>
        <v>4</v>
      </c>
      <c r="X206" s="310" t="s">
        <v>54</v>
      </c>
      <c r="Y206" s="310" t="s">
        <v>439</v>
      </c>
      <c r="Z206" s="316"/>
      <c r="AA206" s="317">
        <v>45576</v>
      </c>
      <c r="AB206" s="317">
        <v>45607</v>
      </c>
    </row>
    <row r="207" spans="1:28" x14ac:dyDescent="0.25">
      <c r="A207" s="307">
        <f t="shared" si="19"/>
        <v>201</v>
      </c>
      <c r="B207" s="308">
        <v>45604</v>
      </c>
      <c r="C207" s="309">
        <f t="shared" si="20"/>
        <v>45597</v>
      </c>
      <c r="D207" s="310" t="s">
        <v>51</v>
      </c>
      <c r="E207" s="310" t="s">
        <v>776</v>
      </c>
      <c r="F207" s="311">
        <v>9817472201</v>
      </c>
      <c r="G207" s="316" t="s">
        <v>6</v>
      </c>
      <c r="H207" s="316" t="s">
        <v>941</v>
      </c>
      <c r="I207" s="316" t="s">
        <v>942</v>
      </c>
      <c r="J207" s="310" t="s">
        <v>623</v>
      </c>
      <c r="K207" s="312">
        <v>27170</v>
      </c>
      <c r="L207" s="312">
        <v>41900</v>
      </c>
      <c r="M207" s="313">
        <f t="shared" si="21"/>
        <v>14730</v>
      </c>
      <c r="N207" s="314">
        <f t="shared" si="22"/>
        <v>0.351551312649165</v>
      </c>
      <c r="O207" s="312">
        <v>27170</v>
      </c>
      <c r="P207" s="313">
        <f t="shared" si="18"/>
        <v>0</v>
      </c>
      <c r="Q207" s="310" t="s">
        <v>147</v>
      </c>
      <c r="R207" s="310">
        <v>213</v>
      </c>
      <c r="S207" s="310"/>
      <c r="T207" s="308">
        <v>45608</v>
      </c>
      <c r="U207" s="308">
        <v>45608</v>
      </c>
      <c r="V207" s="308"/>
      <c r="W207" s="315">
        <f t="shared" si="23"/>
        <v>4</v>
      </c>
      <c r="X207" s="310" t="s">
        <v>54</v>
      </c>
      <c r="Y207" s="310" t="s">
        <v>529</v>
      </c>
      <c r="Z207" s="316"/>
      <c r="AA207" s="317">
        <v>45637</v>
      </c>
      <c r="AB207" s="317">
        <v>45637</v>
      </c>
    </row>
    <row r="208" spans="1:28" x14ac:dyDescent="0.25">
      <c r="A208" s="307">
        <f t="shared" si="19"/>
        <v>202</v>
      </c>
      <c r="B208" s="308">
        <v>45604</v>
      </c>
      <c r="C208" s="309">
        <f t="shared" si="20"/>
        <v>45597</v>
      </c>
      <c r="D208" s="310" t="s">
        <v>51</v>
      </c>
      <c r="E208" s="310" t="s">
        <v>777</v>
      </c>
      <c r="F208" s="311">
        <v>9853187999</v>
      </c>
      <c r="G208" s="316" t="s">
        <v>6</v>
      </c>
      <c r="H208" s="316" t="s">
        <v>26</v>
      </c>
      <c r="I208" s="316" t="s">
        <v>943</v>
      </c>
      <c r="J208" s="310" t="s">
        <v>168</v>
      </c>
      <c r="K208" s="312">
        <v>25960</v>
      </c>
      <c r="L208" s="312">
        <v>35600</v>
      </c>
      <c r="M208" s="313">
        <f t="shared" si="21"/>
        <v>9640</v>
      </c>
      <c r="N208" s="314">
        <f t="shared" si="22"/>
        <v>0.270786516853933</v>
      </c>
      <c r="O208" s="312">
        <v>25960</v>
      </c>
      <c r="P208" s="313">
        <f t="shared" si="18"/>
        <v>0</v>
      </c>
      <c r="Q208" s="310" t="s">
        <v>147</v>
      </c>
      <c r="R208" s="310">
        <v>214</v>
      </c>
      <c r="S208" s="310"/>
      <c r="T208" s="308">
        <v>45608</v>
      </c>
      <c r="U208" s="308">
        <v>45608</v>
      </c>
      <c r="V208" s="308"/>
      <c r="W208" s="315">
        <f t="shared" si="23"/>
        <v>4</v>
      </c>
      <c r="X208" s="310" t="s">
        <v>54</v>
      </c>
      <c r="Y208" s="310" t="s">
        <v>439</v>
      </c>
      <c r="Z208" s="316"/>
      <c r="AA208" s="317">
        <v>45637</v>
      </c>
      <c r="AB208" s="317">
        <v>45637</v>
      </c>
    </row>
    <row r="209" spans="1:28" x14ac:dyDescent="0.25">
      <c r="A209" s="307">
        <f t="shared" si="19"/>
        <v>203</v>
      </c>
      <c r="B209" s="308">
        <v>45605</v>
      </c>
      <c r="C209" s="309">
        <f t="shared" si="20"/>
        <v>45597</v>
      </c>
      <c r="D209" s="310" t="s">
        <v>51</v>
      </c>
      <c r="E209" s="310" t="s">
        <v>778</v>
      </c>
      <c r="F209" s="311">
        <v>9551078621</v>
      </c>
      <c r="G209" s="316" t="s">
        <v>6</v>
      </c>
      <c r="H209" s="316" t="s">
        <v>944</v>
      </c>
      <c r="I209" s="316" t="s">
        <v>945</v>
      </c>
      <c r="J209" s="310" t="s">
        <v>623</v>
      </c>
      <c r="K209" s="312">
        <v>29450</v>
      </c>
      <c r="L209" s="312">
        <v>48200</v>
      </c>
      <c r="M209" s="313">
        <f t="shared" si="21"/>
        <v>18750</v>
      </c>
      <c r="N209" s="314">
        <f t="shared" si="22"/>
        <v>0.389004149377593</v>
      </c>
      <c r="O209" s="312">
        <v>29450</v>
      </c>
      <c r="P209" s="313">
        <f t="shared" si="18"/>
        <v>0</v>
      </c>
      <c r="Q209" s="310" t="s">
        <v>147</v>
      </c>
      <c r="R209" s="310">
        <v>215</v>
      </c>
      <c r="S209" s="310"/>
      <c r="T209" s="308">
        <v>45608</v>
      </c>
      <c r="U209" s="308">
        <v>45611</v>
      </c>
      <c r="V209" s="308"/>
      <c r="W209" s="315">
        <f t="shared" si="23"/>
        <v>6</v>
      </c>
      <c r="X209" s="310" t="s">
        <v>54</v>
      </c>
      <c r="Y209" s="310" t="s">
        <v>439</v>
      </c>
      <c r="Z209" s="316"/>
      <c r="AA209" s="317">
        <v>45637</v>
      </c>
      <c r="AB209" s="316" t="s">
        <v>852</v>
      </c>
    </row>
    <row r="210" spans="1:28" x14ac:dyDescent="0.25">
      <c r="A210" s="307">
        <f t="shared" si="19"/>
        <v>204</v>
      </c>
      <c r="B210" s="308">
        <v>45605</v>
      </c>
      <c r="C210" s="309">
        <f t="shared" si="20"/>
        <v>45597</v>
      </c>
      <c r="D210" s="310" t="s">
        <v>56</v>
      </c>
      <c r="E210" s="310" t="s">
        <v>38</v>
      </c>
      <c r="F210" s="311">
        <v>9515412075</v>
      </c>
      <c r="G210" s="316" t="s">
        <v>42</v>
      </c>
      <c r="H210" s="316" t="s">
        <v>807</v>
      </c>
      <c r="I210" s="316" t="s">
        <v>808</v>
      </c>
      <c r="J210" s="310" t="s">
        <v>59</v>
      </c>
      <c r="K210" s="312">
        <v>52820</v>
      </c>
      <c r="L210" s="312">
        <v>97650</v>
      </c>
      <c r="M210" s="313">
        <f t="shared" si="21"/>
        <v>44830</v>
      </c>
      <c r="N210" s="314">
        <f t="shared" si="22"/>
        <v>0.459088581669227</v>
      </c>
      <c r="O210" s="312">
        <v>52820</v>
      </c>
      <c r="P210" s="313">
        <f t="shared" si="18"/>
        <v>0</v>
      </c>
      <c r="Q210" s="310" t="s">
        <v>147</v>
      </c>
      <c r="R210" s="310">
        <v>216</v>
      </c>
      <c r="S210" s="310"/>
      <c r="T210" s="308">
        <v>45608</v>
      </c>
      <c r="U210" s="308">
        <v>45609</v>
      </c>
      <c r="V210" s="308"/>
      <c r="W210" s="315">
        <f t="shared" si="23"/>
        <v>4</v>
      </c>
      <c r="X210" s="310" t="s">
        <v>54</v>
      </c>
      <c r="Y210" s="310" t="s">
        <v>56</v>
      </c>
      <c r="Z210" s="316"/>
      <c r="AA210" s="317">
        <v>45637</v>
      </c>
      <c r="AB210" s="316" t="s">
        <v>851</v>
      </c>
    </row>
    <row r="211" spans="1:28" x14ac:dyDescent="0.25">
      <c r="A211" s="307">
        <f t="shared" si="19"/>
        <v>205</v>
      </c>
      <c r="B211" s="308">
        <v>45608</v>
      </c>
      <c r="C211" s="309">
        <f t="shared" si="20"/>
        <v>45597</v>
      </c>
      <c r="D211" s="310" t="s">
        <v>51</v>
      </c>
      <c r="E211" s="310" t="s">
        <v>849</v>
      </c>
      <c r="F211" s="311">
        <v>9169038336</v>
      </c>
      <c r="G211" s="316" t="s">
        <v>6</v>
      </c>
      <c r="H211" s="316" t="s">
        <v>893</v>
      </c>
      <c r="I211" s="316" t="s">
        <v>894</v>
      </c>
      <c r="J211" s="310" t="s">
        <v>168</v>
      </c>
      <c r="K211" s="312">
        <v>29180</v>
      </c>
      <c r="L211" s="312">
        <v>48200</v>
      </c>
      <c r="M211" s="313">
        <f t="shared" si="21"/>
        <v>19020</v>
      </c>
      <c r="N211" s="314">
        <f t="shared" si="22"/>
        <v>0.394605809128631</v>
      </c>
      <c r="O211" s="312">
        <v>29180</v>
      </c>
      <c r="P211" s="313">
        <f t="shared" si="18"/>
        <v>0</v>
      </c>
      <c r="Q211" s="310" t="s">
        <v>147</v>
      </c>
      <c r="R211" s="310">
        <v>217</v>
      </c>
      <c r="S211" s="310"/>
      <c r="T211" s="308">
        <v>45612</v>
      </c>
      <c r="U211" s="308">
        <v>45612</v>
      </c>
      <c r="V211" s="308"/>
      <c r="W211" s="315">
        <f t="shared" si="23"/>
        <v>4</v>
      </c>
      <c r="X211" s="310" t="s">
        <v>54</v>
      </c>
      <c r="Y211" s="310" t="s">
        <v>439</v>
      </c>
      <c r="Z211" s="316"/>
      <c r="AA211" s="316" t="s">
        <v>854</v>
      </c>
      <c r="AB211" s="316" t="s">
        <v>854</v>
      </c>
    </row>
    <row r="212" spans="1:28" x14ac:dyDescent="0.25">
      <c r="A212" s="307">
        <f t="shared" si="19"/>
        <v>206</v>
      </c>
      <c r="B212" s="308">
        <v>45608</v>
      </c>
      <c r="C212" s="309">
        <f t="shared" si="20"/>
        <v>45597</v>
      </c>
      <c r="D212" s="310" t="s">
        <v>56</v>
      </c>
      <c r="E212" s="310" t="s">
        <v>60</v>
      </c>
      <c r="F212" s="311">
        <v>9589264337</v>
      </c>
      <c r="G212" s="316" t="s">
        <v>6</v>
      </c>
      <c r="H212" s="316" t="s">
        <v>895</v>
      </c>
      <c r="I212" s="316" t="s">
        <v>896</v>
      </c>
      <c r="J212" s="310" t="s">
        <v>3730</v>
      </c>
      <c r="K212" s="312">
        <v>46210</v>
      </c>
      <c r="L212" s="312">
        <v>53550</v>
      </c>
      <c r="M212" s="313">
        <f t="shared" si="21"/>
        <v>7340</v>
      </c>
      <c r="N212" s="314">
        <f t="shared" si="22"/>
        <v>0.137068160597572</v>
      </c>
      <c r="O212" s="312">
        <v>46210</v>
      </c>
      <c r="P212" s="313">
        <f t="shared" si="18"/>
        <v>0</v>
      </c>
      <c r="Q212" s="310" t="s">
        <v>147</v>
      </c>
      <c r="R212" s="310">
        <v>218</v>
      </c>
      <c r="S212" s="310"/>
      <c r="T212" s="308">
        <v>45612</v>
      </c>
      <c r="U212" s="308">
        <v>45613</v>
      </c>
      <c r="V212" s="308"/>
      <c r="W212" s="315">
        <f t="shared" si="23"/>
        <v>5</v>
      </c>
      <c r="X212" s="310" t="s">
        <v>54</v>
      </c>
      <c r="Y212" s="310" t="s">
        <v>56</v>
      </c>
      <c r="Z212" s="316"/>
      <c r="AA212" s="316" t="s">
        <v>854</v>
      </c>
      <c r="AB212" s="316" t="s">
        <v>855</v>
      </c>
    </row>
    <row r="213" spans="1:28" x14ac:dyDescent="0.25">
      <c r="A213" s="307">
        <f t="shared" si="19"/>
        <v>207</v>
      </c>
      <c r="B213" s="308">
        <v>45610</v>
      </c>
      <c r="C213" s="309">
        <f t="shared" si="20"/>
        <v>45597</v>
      </c>
      <c r="D213" s="310" t="s">
        <v>56</v>
      </c>
      <c r="E213" s="310" t="s">
        <v>38</v>
      </c>
      <c r="F213" s="311">
        <v>9515412075</v>
      </c>
      <c r="G213" s="316" t="s">
        <v>6</v>
      </c>
      <c r="H213" s="316" t="s">
        <v>897</v>
      </c>
      <c r="I213" s="316" t="s">
        <v>898</v>
      </c>
      <c r="J213" s="310" t="s">
        <v>59</v>
      </c>
      <c r="K213" s="312">
        <v>45880</v>
      </c>
      <c r="L213" s="312">
        <v>51340</v>
      </c>
      <c r="M213" s="313">
        <f t="shared" si="21"/>
        <v>5460</v>
      </c>
      <c r="N213" s="314">
        <f t="shared" si="22"/>
        <v>0.106349824698091</v>
      </c>
      <c r="O213" s="312">
        <v>45880</v>
      </c>
      <c r="P213" s="313">
        <f t="shared" si="18"/>
        <v>0</v>
      </c>
      <c r="Q213" s="310" t="s">
        <v>147</v>
      </c>
      <c r="R213" s="310">
        <v>219</v>
      </c>
      <c r="S213" s="310"/>
      <c r="T213" s="308">
        <v>45613</v>
      </c>
      <c r="U213" s="308">
        <v>45614</v>
      </c>
      <c r="V213" s="308"/>
      <c r="W213" s="315">
        <f t="shared" si="23"/>
        <v>4</v>
      </c>
      <c r="X213" s="310" t="s">
        <v>54</v>
      </c>
      <c r="Y213" s="310" t="s">
        <v>56</v>
      </c>
      <c r="Z213" s="316"/>
      <c r="AA213" s="316" t="s">
        <v>855</v>
      </c>
      <c r="AB213" s="316" t="s">
        <v>856</v>
      </c>
    </row>
    <row r="214" spans="1:28" x14ac:dyDescent="0.25">
      <c r="A214" s="307">
        <f t="shared" si="19"/>
        <v>208</v>
      </c>
      <c r="B214" s="308">
        <v>45612</v>
      </c>
      <c r="C214" s="309">
        <f t="shared" si="20"/>
        <v>45597</v>
      </c>
      <c r="D214" s="310" t="s">
        <v>51</v>
      </c>
      <c r="E214" s="310" t="s">
        <v>853</v>
      </c>
      <c r="F214" s="311">
        <v>9050410588</v>
      </c>
      <c r="G214" s="316" t="s">
        <v>6</v>
      </c>
      <c r="H214" s="316" t="s">
        <v>962</v>
      </c>
      <c r="I214" s="316" t="s">
        <v>963</v>
      </c>
      <c r="J214" s="310" t="s">
        <v>168</v>
      </c>
      <c r="K214" s="312">
        <v>34810</v>
      </c>
      <c r="L214" s="312">
        <v>42840</v>
      </c>
      <c r="M214" s="313">
        <f t="shared" si="21"/>
        <v>8030</v>
      </c>
      <c r="N214" s="314">
        <f t="shared" si="22"/>
        <v>0.187441643323996</v>
      </c>
      <c r="O214" s="312">
        <v>34810</v>
      </c>
      <c r="P214" s="313">
        <f t="shared" si="18"/>
        <v>0</v>
      </c>
      <c r="Q214" s="310" t="s">
        <v>147</v>
      </c>
      <c r="R214" s="310">
        <v>220</v>
      </c>
      <c r="S214" s="310"/>
      <c r="T214" s="308">
        <v>45617</v>
      </c>
      <c r="U214" s="308">
        <v>45618</v>
      </c>
      <c r="V214" s="308"/>
      <c r="W214" s="315">
        <f t="shared" si="23"/>
        <v>6</v>
      </c>
      <c r="X214" s="310" t="s">
        <v>54</v>
      </c>
      <c r="Y214" s="310" t="s">
        <v>439</v>
      </c>
      <c r="Z214" s="316"/>
      <c r="AA214" s="316" t="s">
        <v>863</v>
      </c>
      <c r="AB214" s="316" t="s">
        <v>864</v>
      </c>
    </row>
    <row r="215" spans="1:28" x14ac:dyDescent="0.25">
      <c r="A215" s="307">
        <f t="shared" si="19"/>
        <v>209</v>
      </c>
      <c r="B215" s="308">
        <v>45612</v>
      </c>
      <c r="C215" s="309">
        <f t="shared" si="20"/>
        <v>45597</v>
      </c>
      <c r="D215" s="310" t="s">
        <v>51</v>
      </c>
      <c r="E215" s="310" t="s">
        <v>438</v>
      </c>
      <c r="F215" s="311">
        <v>9563961453</v>
      </c>
      <c r="G215" s="316" t="s">
        <v>6</v>
      </c>
      <c r="H215" s="316" t="s">
        <v>899</v>
      </c>
      <c r="I215" s="316" t="s">
        <v>900</v>
      </c>
      <c r="J215" s="310" t="s">
        <v>168</v>
      </c>
      <c r="K215" s="312">
        <v>27440</v>
      </c>
      <c r="L215" s="312">
        <v>41900</v>
      </c>
      <c r="M215" s="313">
        <f t="shared" si="21"/>
        <v>14460</v>
      </c>
      <c r="N215" s="314">
        <f t="shared" si="22"/>
        <v>0.345107398568019</v>
      </c>
      <c r="O215" s="312">
        <v>27440</v>
      </c>
      <c r="P215" s="313">
        <f t="shared" si="18"/>
        <v>0</v>
      </c>
      <c r="Q215" s="310" t="s">
        <v>147</v>
      </c>
      <c r="R215" s="310">
        <v>221</v>
      </c>
      <c r="S215" s="310"/>
      <c r="T215" s="308">
        <v>45617</v>
      </c>
      <c r="U215" s="308">
        <v>45617</v>
      </c>
      <c r="V215" s="308"/>
      <c r="W215" s="315">
        <f t="shared" si="23"/>
        <v>5</v>
      </c>
      <c r="X215" s="310" t="s">
        <v>54</v>
      </c>
      <c r="Y215" s="310" t="s">
        <v>439</v>
      </c>
      <c r="Z215" s="316"/>
      <c r="AA215" s="316" t="s">
        <v>863</v>
      </c>
      <c r="AB215" s="316" t="s">
        <v>863</v>
      </c>
    </row>
    <row r="216" spans="1:28" x14ac:dyDescent="0.25">
      <c r="A216" s="307">
        <f t="shared" si="19"/>
        <v>210</v>
      </c>
      <c r="B216" s="308">
        <v>45614</v>
      </c>
      <c r="C216" s="309">
        <f t="shared" si="20"/>
        <v>45597</v>
      </c>
      <c r="D216" s="310" t="s">
        <v>51</v>
      </c>
      <c r="E216" s="310" t="s">
        <v>548</v>
      </c>
      <c r="F216" s="311">
        <v>9802258584</v>
      </c>
      <c r="G216" s="316" t="s">
        <v>6</v>
      </c>
      <c r="H216" s="316" t="s">
        <v>901</v>
      </c>
      <c r="I216" s="316" t="s">
        <v>902</v>
      </c>
      <c r="J216" s="310" t="s">
        <v>623</v>
      </c>
      <c r="K216" s="312">
        <v>29180</v>
      </c>
      <c r="L216" s="312">
        <v>48200</v>
      </c>
      <c r="M216" s="313">
        <f t="shared" si="21"/>
        <v>19020</v>
      </c>
      <c r="N216" s="314">
        <f t="shared" si="22"/>
        <v>0.394605809128631</v>
      </c>
      <c r="O216" s="312">
        <v>29180</v>
      </c>
      <c r="P216" s="313">
        <f t="shared" si="18"/>
        <v>0</v>
      </c>
      <c r="Q216" s="310" t="s">
        <v>147</v>
      </c>
      <c r="R216" s="310">
        <v>222</v>
      </c>
      <c r="S216" s="310"/>
      <c r="T216" s="308">
        <v>45619</v>
      </c>
      <c r="U216" s="308">
        <v>45621</v>
      </c>
      <c r="V216" s="308"/>
      <c r="W216" s="315">
        <f t="shared" si="23"/>
        <v>7</v>
      </c>
      <c r="X216" s="310" t="s">
        <v>54</v>
      </c>
      <c r="Y216" s="310" t="s">
        <v>439</v>
      </c>
      <c r="Z216" s="316"/>
      <c r="AA216" s="316" t="s">
        <v>867</v>
      </c>
      <c r="AB216" s="316" t="s">
        <v>868</v>
      </c>
    </row>
    <row r="217" spans="1:28" x14ac:dyDescent="0.25">
      <c r="A217" s="307">
        <f t="shared" si="19"/>
        <v>211</v>
      </c>
      <c r="B217" s="308">
        <v>45615</v>
      </c>
      <c r="C217" s="309">
        <f t="shared" si="20"/>
        <v>45597</v>
      </c>
      <c r="D217" s="310" t="s">
        <v>51</v>
      </c>
      <c r="E217" s="310" t="s">
        <v>857</v>
      </c>
      <c r="F217" s="311">
        <v>9036446308</v>
      </c>
      <c r="G217" s="316" t="s">
        <v>6</v>
      </c>
      <c r="H217" s="316" t="s">
        <v>903</v>
      </c>
      <c r="I217" s="316" t="s">
        <v>904</v>
      </c>
      <c r="J217" s="310" t="s">
        <v>3730</v>
      </c>
      <c r="K217" s="312">
        <v>36950</v>
      </c>
      <c r="L217" s="312">
        <v>53550</v>
      </c>
      <c r="M217" s="313">
        <f t="shared" si="21"/>
        <v>16600</v>
      </c>
      <c r="N217" s="314">
        <f t="shared" si="22"/>
        <v>0.309990662931839</v>
      </c>
      <c r="O217" s="312">
        <v>36950</v>
      </c>
      <c r="P217" s="313">
        <f t="shared" si="18"/>
        <v>0</v>
      </c>
      <c r="Q217" s="310" t="s">
        <v>147</v>
      </c>
      <c r="R217" s="310">
        <v>223</v>
      </c>
      <c r="S217" s="310"/>
      <c r="T217" s="308">
        <v>45617</v>
      </c>
      <c r="U217" s="308">
        <v>45618</v>
      </c>
      <c r="V217" s="308"/>
      <c r="W217" s="315">
        <f t="shared" si="23"/>
        <v>3</v>
      </c>
      <c r="X217" s="310" t="s">
        <v>54</v>
      </c>
      <c r="Y217" s="310" t="s">
        <v>859</v>
      </c>
      <c r="Z217" s="316"/>
      <c r="AA217" s="316" t="s">
        <v>863</v>
      </c>
      <c r="AB217" s="316" t="s">
        <v>864</v>
      </c>
    </row>
    <row r="218" spans="1:28" x14ac:dyDescent="0.25">
      <c r="A218" s="307">
        <f t="shared" si="19"/>
        <v>212</v>
      </c>
      <c r="B218" s="308">
        <v>45615</v>
      </c>
      <c r="C218" s="309">
        <f t="shared" si="20"/>
        <v>45597</v>
      </c>
      <c r="D218" s="310" t="s">
        <v>51</v>
      </c>
      <c r="E218" s="310" t="s">
        <v>858</v>
      </c>
      <c r="F218" s="311">
        <v>9029731204</v>
      </c>
      <c r="G218" s="316" t="s">
        <v>6</v>
      </c>
      <c r="H218" s="316" t="s">
        <v>905</v>
      </c>
      <c r="I218" s="316" t="s">
        <v>906</v>
      </c>
      <c r="J218" s="310" t="s">
        <v>168</v>
      </c>
      <c r="K218" s="312">
        <v>27440</v>
      </c>
      <c r="L218" s="312">
        <v>41900</v>
      </c>
      <c r="M218" s="313">
        <f t="shared" si="21"/>
        <v>14460</v>
      </c>
      <c r="N218" s="314">
        <f t="shared" si="22"/>
        <v>0.345107398568019</v>
      </c>
      <c r="O218" s="312">
        <v>27440</v>
      </c>
      <c r="P218" s="313">
        <f t="shared" si="18"/>
        <v>0</v>
      </c>
      <c r="Q218" s="310" t="s">
        <v>147</v>
      </c>
      <c r="R218" s="310">
        <v>224</v>
      </c>
      <c r="S218" s="310"/>
      <c r="T218" s="308">
        <v>45621</v>
      </c>
      <c r="U218" s="308">
        <v>45621</v>
      </c>
      <c r="V218" s="308"/>
      <c r="W218" s="315">
        <f t="shared" si="23"/>
        <v>6</v>
      </c>
      <c r="X218" s="310" t="s">
        <v>54</v>
      </c>
      <c r="Y218" s="310" t="s">
        <v>439</v>
      </c>
      <c r="Z218" s="316"/>
      <c r="AA218" s="316" t="s">
        <v>868</v>
      </c>
      <c r="AB218" s="316" t="s">
        <v>868</v>
      </c>
    </row>
    <row r="219" spans="1:28" x14ac:dyDescent="0.25">
      <c r="A219" s="307">
        <f t="shared" si="19"/>
        <v>213</v>
      </c>
      <c r="B219" s="308">
        <v>45615</v>
      </c>
      <c r="C219" s="309">
        <f t="shared" si="20"/>
        <v>45597</v>
      </c>
      <c r="D219" s="310" t="s">
        <v>56</v>
      </c>
      <c r="E219" s="310" t="s">
        <v>865</v>
      </c>
      <c r="F219" s="311">
        <v>9589264337</v>
      </c>
      <c r="G219" s="316" t="s">
        <v>42</v>
      </c>
      <c r="H219" s="316" t="s">
        <v>937</v>
      </c>
      <c r="I219" s="316" t="s">
        <v>938</v>
      </c>
      <c r="J219" s="310" t="s">
        <v>3730</v>
      </c>
      <c r="K219" s="312">
        <v>53580</v>
      </c>
      <c r="L219" s="312">
        <v>102690</v>
      </c>
      <c r="M219" s="313">
        <f t="shared" si="21"/>
        <v>49110</v>
      </c>
      <c r="N219" s="314">
        <f t="shared" si="22"/>
        <v>0.478235465965527</v>
      </c>
      <c r="O219" s="312">
        <v>53580</v>
      </c>
      <c r="P219" s="313">
        <f t="shared" si="18"/>
        <v>0</v>
      </c>
      <c r="Q219" s="310" t="s">
        <v>147</v>
      </c>
      <c r="R219" s="310">
        <v>225</v>
      </c>
      <c r="S219" s="310"/>
      <c r="T219" s="308">
        <v>45618</v>
      </c>
      <c r="U219" s="308">
        <v>45618</v>
      </c>
      <c r="V219" s="308"/>
      <c r="W219" s="315">
        <f t="shared" si="23"/>
        <v>3</v>
      </c>
      <c r="X219" s="310" t="s">
        <v>54</v>
      </c>
      <c r="Y219" s="310" t="s">
        <v>56</v>
      </c>
      <c r="Z219" s="316"/>
      <c r="AA219" s="316" t="s">
        <v>864</v>
      </c>
      <c r="AB219" s="316" t="s">
        <v>864</v>
      </c>
    </row>
    <row r="220" spans="1:28" x14ac:dyDescent="0.25">
      <c r="A220" s="307">
        <f t="shared" si="19"/>
        <v>214</v>
      </c>
      <c r="B220" s="308">
        <v>45617</v>
      </c>
      <c r="C220" s="309">
        <f t="shared" si="20"/>
        <v>45597</v>
      </c>
      <c r="D220" s="310" t="s">
        <v>51</v>
      </c>
      <c r="E220" s="310" t="s">
        <v>860</v>
      </c>
      <c r="F220" s="311">
        <v>9082312445</v>
      </c>
      <c r="G220" s="316" t="s">
        <v>6</v>
      </c>
      <c r="H220" s="316" t="s">
        <v>26</v>
      </c>
      <c r="I220" s="316" t="s">
        <v>908</v>
      </c>
      <c r="J220" s="310" t="s">
        <v>623</v>
      </c>
      <c r="K220" s="312">
        <v>28700</v>
      </c>
      <c r="L220" s="312">
        <v>37800</v>
      </c>
      <c r="M220" s="313">
        <f t="shared" si="21"/>
        <v>9100</v>
      </c>
      <c r="N220" s="314">
        <f t="shared" si="22"/>
        <v>0.240740740740741</v>
      </c>
      <c r="O220" s="312">
        <v>28700</v>
      </c>
      <c r="P220" s="313">
        <f t="shared" si="18"/>
        <v>0</v>
      </c>
      <c r="Q220" s="310" t="s">
        <v>147</v>
      </c>
      <c r="R220" s="310">
        <v>226</v>
      </c>
      <c r="S220" s="310"/>
      <c r="T220" s="308">
        <v>45621</v>
      </c>
      <c r="U220" s="308">
        <v>45621</v>
      </c>
      <c r="V220" s="308"/>
      <c r="W220" s="315">
        <f t="shared" si="23"/>
        <v>4</v>
      </c>
      <c r="X220" s="310" t="s">
        <v>54</v>
      </c>
      <c r="Y220" s="310" t="s">
        <v>439</v>
      </c>
      <c r="Z220" s="316"/>
      <c r="AA220" s="316" t="s">
        <v>868</v>
      </c>
      <c r="AB220" s="316" t="s">
        <v>868</v>
      </c>
    </row>
    <row r="221" spans="1:28" x14ac:dyDescent="0.25">
      <c r="A221" s="307">
        <f t="shared" si="19"/>
        <v>215</v>
      </c>
      <c r="B221" s="308">
        <v>45617</v>
      </c>
      <c r="C221" s="309">
        <f t="shared" si="20"/>
        <v>45597</v>
      </c>
      <c r="D221" s="310" t="s">
        <v>51</v>
      </c>
      <c r="E221" s="310" t="s">
        <v>861</v>
      </c>
      <c r="F221" s="311">
        <v>9758657650</v>
      </c>
      <c r="G221" s="316" t="s">
        <v>6</v>
      </c>
      <c r="H221" s="316" t="s">
        <v>26</v>
      </c>
      <c r="I221" s="316" t="s">
        <v>907</v>
      </c>
      <c r="J221" s="310" t="s">
        <v>168</v>
      </c>
      <c r="K221" s="312">
        <v>25960</v>
      </c>
      <c r="L221" s="312">
        <v>35600</v>
      </c>
      <c r="M221" s="313">
        <f t="shared" si="21"/>
        <v>9640</v>
      </c>
      <c r="N221" s="314">
        <f t="shared" si="22"/>
        <v>0.270786516853933</v>
      </c>
      <c r="O221" s="312">
        <v>25960</v>
      </c>
      <c r="P221" s="313">
        <f t="shared" si="18"/>
        <v>0</v>
      </c>
      <c r="Q221" s="310" t="s">
        <v>147</v>
      </c>
      <c r="R221" s="310">
        <v>227</v>
      </c>
      <c r="S221" s="310"/>
      <c r="T221" s="308">
        <v>45621</v>
      </c>
      <c r="U221" s="308">
        <v>45621</v>
      </c>
      <c r="V221" s="308"/>
      <c r="W221" s="315">
        <f t="shared" si="23"/>
        <v>4</v>
      </c>
      <c r="X221" s="310" t="s">
        <v>54</v>
      </c>
      <c r="Y221" s="310" t="s">
        <v>439</v>
      </c>
      <c r="Z221" s="316"/>
      <c r="AA221" s="316" t="s">
        <v>868</v>
      </c>
      <c r="AB221" s="316" t="s">
        <v>868</v>
      </c>
    </row>
    <row r="222" spans="1:28" x14ac:dyDescent="0.25">
      <c r="A222" s="307">
        <f t="shared" si="19"/>
        <v>216</v>
      </c>
      <c r="B222" s="308">
        <v>45617</v>
      </c>
      <c r="C222" s="309">
        <f t="shared" si="20"/>
        <v>45597</v>
      </c>
      <c r="D222" s="310" t="s">
        <v>51</v>
      </c>
      <c r="E222" s="310" t="s">
        <v>862</v>
      </c>
      <c r="F222" s="311">
        <v>9732647052</v>
      </c>
      <c r="G222" s="316" t="s">
        <v>6</v>
      </c>
      <c r="H222" s="316" t="s">
        <v>909</v>
      </c>
      <c r="I222" s="316" t="s">
        <v>910</v>
      </c>
      <c r="J222" s="310" t="s">
        <v>623</v>
      </c>
      <c r="K222" s="312">
        <v>27440</v>
      </c>
      <c r="L222" s="312">
        <v>41900</v>
      </c>
      <c r="M222" s="313">
        <f t="shared" si="21"/>
        <v>14460</v>
      </c>
      <c r="N222" s="314">
        <f t="shared" si="22"/>
        <v>0.345107398568019</v>
      </c>
      <c r="O222" s="312">
        <v>27440</v>
      </c>
      <c r="P222" s="313">
        <f t="shared" si="18"/>
        <v>0</v>
      </c>
      <c r="Q222" s="310" t="s">
        <v>147</v>
      </c>
      <c r="R222" s="310">
        <v>228</v>
      </c>
      <c r="S222" s="310"/>
      <c r="T222" s="308">
        <v>45621</v>
      </c>
      <c r="U222" s="308">
        <v>45621</v>
      </c>
      <c r="V222" s="308"/>
      <c r="W222" s="315">
        <f t="shared" si="23"/>
        <v>4</v>
      </c>
      <c r="X222" s="310" t="s">
        <v>54</v>
      </c>
      <c r="Y222" s="310" t="s">
        <v>439</v>
      </c>
      <c r="Z222" s="316"/>
      <c r="AA222" s="316" t="s">
        <v>868</v>
      </c>
      <c r="AB222" s="316" t="s">
        <v>868</v>
      </c>
    </row>
    <row r="223" spans="1:28" x14ac:dyDescent="0.25">
      <c r="A223" s="307">
        <f t="shared" si="19"/>
        <v>217</v>
      </c>
      <c r="B223" s="308">
        <v>45618</v>
      </c>
      <c r="C223" s="309">
        <f t="shared" si="20"/>
        <v>45597</v>
      </c>
      <c r="D223" s="310" t="s">
        <v>51</v>
      </c>
      <c r="E223" s="310" t="s">
        <v>60</v>
      </c>
      <c r="F223" s="311">
        <v>9589264337</v>
      </c>
      <c r="G223" s="316" t="s">
        <v>6</v>
      </c>
      <c r="H223" s="316" t="s">
        <v>911</v>
      </c>
      <c r="I223" s="316" t="s">
        <v>912</v>
      </c>
      <c r="J223" s="310" t="s">
        <v>3730</v>
      </c>
      <c r="K223" s="312">
        <v>48100</v>
      </c>
      <c r="L223" s="312">
        <v>66150</v>
      </c>
      <c r="M223" s="313">
        <f t="shared" si="21"/>
        <v>18050</v>
      </c>
      <c r="N223" s="314">
        <f t="shared" si="22"/>
        <v>0.27286470143613</v>
      </c>
      <c r="O223" s="312">
        <v>48100</v>
      </c>
      <c r="P223" s="313">
        <f t="shared" si="18"/>
        <v>0</v>
      </c>
      <c r="Q223" s="310" t="s">
        <v>147</v>
      </c>
      <c r="R223" s="310">
        <v>229</v>
      </c>
      <c r="S223" s="310"/>
      <c r="T223" s="308">
        <v>45622</v>
      </c>
      <c r="U223" s="308">
        <v>45623</v>
      </c>
      <c r="V223" s="308"/>
      <c r="W223" s="315">
        <f t="shared" si="23"/>
        <v>5</v>
      </c>
      <c r="X223" s="310" t="s">
        <v>54</v>
      </c>
      <c r="Y223" s="310" t="s">
        <v>56</v>
      </c>
      <c r="Z223" s="316"/>
      <c r="AA223" s="316" t="s">
        <v>872</v>
      </c>
      <c r="AB223" s="316" t="s">
        <v>873</v>
      </c>
    </row>
    <row r="224" spans="1:28" x14ac:dyDescent="0.25">
      <c r="A224" s="307">
        <f t="shared" si="19"/>
        <v>218</v>
      </c>
      <c r="B224" s="308">
        <v>45619</v>
      </c>
      <c r="C224" s="309">
        <f t="shared" si="20"/>
        <v>45597</v>
      </c>
      <c r="D224" s="310" t="s">
        <v>51</v>
      </c>
      <c r="E224" s="310" t="s">
        <v>866</v>
      </c>
      <c r="F224" s="311">
        <v>9026978556</v>
      </c>
      <c r="G224" s="316" t="s">
        <v>6</v>
      </c>
      <c r="H224" s="316" t="s">
        <v>26</v>
      </c>
      <c r="I224" s="316" t="s">
        <v>913</v>
      </c>
      <c r="J224" s="310" t="s">
        <v>623</v>
      </c>
      <c r="K224" s="312">
        <v>25960</v>
      </c>
      <c r="L224" s="312">
        <v>35600</v>
      </c>
      <c r="M224" s="313">
        <f t="shared" si="21"/>
        <v>9640</v>
      </c>
      <c r="N224" s="314">
        <f t="shared" si="22"/>
        <v>0.270786516853933</v>
      </c>
      <c r="O224" s="312">
        <v>25960</v>
      </c>
      <c r="P224" s="313">
        <f t="shared" si="18"/>
        <v>0</v>
      </c>
      <c r="Q224" s="310" t="s">
        <v>147</v>
      </c>
      <c r="R224" s="310">
        <v>230</v>
      </c>
      <c r="S224" s="310"/>
      <c r="T224" s="308">
        <v>45622</v>
      </c>
      <c r="U224" s="308">
        <v>45622</v>
      </c>
      <c r="V224" s="308"/>
      <c r="W224" s="315">
        <f t="shared" si="23"/>
        <v>3</v>
      </c>
      <c r="X224" s="310" t="s">
        <v>54</v>
      </c>
      <c r="Y224" s="310" t="s">
        <v>439</v>
      </c>
      <c r="Z224" s="316"/>
      <c r="AA224" s="316" t="s">
        <v>872</v>
      </c>
      <c r="AB224" s="316" t="s">
        <v>872</v>
      </c>
    </row>
    <row r="225" spans="1:28" x14ac:dyDescent="0.25">
      <c r="A225" s="307">
        <f t="shared" si="19"/>
        <v>219</v>
      </c>
      <c r="B225" s="308">
        <v>45619</v>
      </c>
      <c r="C225" s="309">
        <f t="shared" si="20"/>
        <v>45597</v>
      </c>
      <c r="D225" s="310" t="s">
        <v>56</v>
      </c>
      <c r="E225" s="310" t="s">
        <v>38</v>
      </c>
      <c r="F225" s="311">
        <v>9515412075</v>
      </c>
      <c r="G225" s="316" t="s">
        <v>42</v>
      </c>
      <c r="H225" s="316" t="s">
        <v>940</v>
      </c>
      <c r="I225" s="316" t="s">
        <v>939</v>
      </c>
      <c r="J225" s="310" t="s">
        <v>59</v>
      </c>
      <c r="K225" s="312">
        <v>52350</v>
      </c>
      <c r="L225" s="312">
        <v>94500</v>
      </c>
      <c r="M225" s="313">
        <f t="shared" si="21"/>
        <v>42150</v>
      </c>
      <c r="N225" s="314">
        <f t="shared" si="22"/>
        <v>0.446031746031746</v>
      </c>
      <c r="O225" s="312">
        <v>52350</v>
      </c>
      <c r="P225" s="313">
        <f t="shared" si="18"/>
        <v>0</v>
      </c>
      <c r="Q225" s="310" t="s">
        <v>147</v>
      </c>
      <c r="R225" s="310">
        <v>231</v>
      </c>
      <c r="S225" s="310"/>
      <c r="T225" s="308">
        <v>45621</v>
      </c>
      <c r="U225" s="308">
        <v>45621</v>
      </c>
      <c r="V225" s="308"/>
      <c r="W225" s="315">
        <f t="shared" si="23"/>
        <v>2</v>
      </c>
      <c r="X225" s="310" t="s">
        <v>54</v>
      </c>
      <c r="Y225" s="310" t="s">
        <v>56</v>
      </c>
      <c r="Z225" s="316" t="s">
        <v>154</v>
      </c>
      <c r="AA225" s="316" t="s">
        <v>868</v>
      </c>
      <c r="AB225" s="316" t="s">
        <v>868</v>
      </c>
    </row>
    <row r="226" spans="1:28" x14ac:dyDescent="0.25">
      <c r="A226" s="307">
        <f t="shared" si="19"/>
        <v>220</v>
      </c>
      <c r="B226" s="308">
        <v>45621</v>
      </c>
      <c r="C226" s="309">
        <f t="shared" si="20"/>
        <v>45597</v>
      </c>
      <c r="D226" s="310" t="s">
        <v>51</v>
      </c>
      <c r="E226" s="310" t="s">
        <v>869</v>
      </c>
      <c r="F226" s="311">
        <v>9347327227</v>
      </c>
      <c r="G226" s="316" t="s">
        <v>6</v>
      </c>
      <c r="H226" s="316" t="s">
        <v>26</v>
      </c>
      <c r="I226" s="316" t="s">
        <v>916</v>
      </c>
      <c r="J226" s="310" t="s">
        <v>168</v>
      </c>
      <c r="K226" s="312">
        <v>28700</v>
      </c>
      <c r="L226" s="312">
        <v>37800</v>
      </c>
      <c r="M226" s="313">
        <f t="shared" si="21"/>
        <v>9100</v>
      </c>
      <c r="N226" s="314">
        <f t="shared" si="22"/>
        <v>0.240740740740741</v>
      </c>
      <c r="O226" s="312">
        <v>28700</v>
      </c>
      <c r="P226" s="313">
        <f t="shared" si="18"/>
        <v>0</v>
      </c>
      <c r="Q226" s="310" t="s">
        <v>147</v>
      </c>
      <c r="R226" s="310">
        <v>232</v>
      </c>
      <c r="S226" s="310"/>
      <c r="T226" s="308">
        <v>45625</v>
      </c>
      <c r="U226" s="308">
        <v>45625</v>
      </c>
      <c r="V226" s="308"/>
      <c r="W226" s="315">
        <f t="shared" si="23"/>
        <v>4</v>
      </c>
      <c r="X226" s="310" t="s">
        <v>54</v>
      </c>
      <c r="Y226" s="310" t="s">
        <v>439</v>
      </c>
      <c r="Z226" s="316"/>
      <c r="AA226" s="316" t="s">
        <v>881</v>
      </c>
      <c r="AB226" s="316" t="s">
        <v>881</v>
      </c>
    </row>
    <row r="227" spans="1:28" x14ac:dyDescent="0.25">
      <c r="A227" s="307">
        <f t="shared" si="19"/>
        <v>221</v>
      </c>
      <c r="B227" s="308">
        <v>45621</v>
      </c>
      <c r="C227" s="309">
        <f t="shared" si="20"/>
        <v>45597</v>
      </c>
      <c r="D227" s="310" t="s">
        <v>51</v>
      </c>
      <c r="E227" s="310" t="s">
        <v>870</v>
      </c>
      <c r="F227" s="311">
        <v>9512143615</v>
      </c>
      <c r="G227" s="316" t="s">
        <v>6</v>
      </c>
      <c r="H227" s="316" t="s">
        <v>26</v>
      </c>
      <c r="I227" s="316" t="s">
        <v>917</v>
      </c>
      <c r="J227" s="310" t="s">
        <v>168</v>
      </c>
      <c r="K227" s="312">
        <v>25960</v>
      </c>
      <c r="L227" s="312">
        <v>35600</v>
      </c>
      <c r="M227" s="313">
        <f t="shared" si="21"/>
        <v>9640</v>
      </c>
      <c r="N227" s="314">
        <f t="shared" si="22"/>
        <v>0.270786516853933</v>
      </c>
      <c r="O227" s="312">
        <v>25960</v>
      </c>
      <c r="P227" s="313">
        <f t="shared" si="18"/>
        <v>0</v>
      </c>
      <c r="Q227" s="310" t="s">
        <v>147</v>
      </c>
      <c r="R227" s="310">
        <v>233</v>
      </c>
      <c r="S227" s="310"/>
      <c r="T227" s="308">
        <v>45625</v>
      </c>
      <c r="U227" s="308">
        <v>45625</v>
      </c>
      <c r="V227" s="308"/>
      <c r="W227" s="315">
        <f t="shared" si="23"/>
        <v>4</v>
      </c>
      <c r="X227" s="310" t="s">
        <v>54</v>
      </c>
      <c r="Y227" s="310" t="s">
        <v>439</v>
      </c>
      <c r="Z227" s="316"/>
      <c r="AA227" s="316" t="s">
        <v>881</v>
      </c>
      <c r="AB227" s="316" t="s">
        <v>881</v>
      </c>
    </row>
    <row r="228" spans="1:28" x14ac:dyDescent="0.25">
      <c r="A228" s="307">
        <f t="shared" si="19"/>
        <v>222</v>
      </c>
      <c r="B228" s="308">
        <v>45621</v>
      </c>
      <c r="C228" s="309">
        <f t="shared" si="20"/>
        <v>45597</v>
      </c>
      <c r="D228" s="310" t="s">
        <v>51</v>
      </c>
      <c r="E228" s="310" t="s">
        <v>871</v>
      </c>
      <c r="F228" s="311">
        <v>9495341173</v>
      </c>
      <c r="G228" s="316" t="s">
        <v>6</v>
      </c>
      <c r="H228" s="316" t="s">
        <v>914</v>
      </c>
      <c r="I228" s="316" t="s">
        <v>915</v>
      </c>
      <c r="J228" s="310" t="s">
        <v>623</v>
      </c>
      <c r="K228" s="312">
        <v>27440</v>
      </c>
      <c r="L228" s="312">
        <v>41900</v>
      </c>
      <c r="M228" s="313">
        <f t="shared" si="21"/>
        <v>14460</v>
      </c>
      <c r="N228" s="314">
        <f t="shared" si="22"/>
        <v>0.345107398568019</v>
      </c>
      <c r="O228" s="312">
        <v>27440</v>
      </c>
      <c r="P228" s="313">
        <f t="shared" si="18"/>
        <v>0</v>
      </c>
      <c r="Q228" s="310" t="s">
        <v>147</v>
      </c>
      <c r="R228" s="310">
        <v>234</v>
      </c>
      <c r="S228" s="310"/>
      <c r="T228" s="308">
        <v>45624</v>
      </c>
      <c r="U228" s="308">
        <v>45624</v>
      </c>
      <c r="V228" s="308"/>
      <c r="W228" s="315">
        <f t="shared" si="23"/>
        <v>3</v>
      </c>
      <c r="X228" s="310" t="s">
        <v>54</v>
      </c>
      <c r="Y228" s="310" t="s">
        <v>439</v>
      </c>
      <c r="Z228" s="316"/>
      <c r="AA228" s="316" t="s">
        <v>882</v>
      </c>
      <c r="AB228" s="316" t="s">
        <v>882</v>
      </c>
    </row>
    <row r="229" spans="1:28" x14ac:dyDescent="0.25">
      <c r="A229" s="307">
        <f t="shared" si="19"/>
        <v>223</v>
      </c>
      <c r="B229" s="308">
        <v>45622</v>
      </c>
      <c r="C229" s="309">
        <f t="shared" si="20"/>
        <v>45597</v>
      </c>
      <c r="D229" s="310" t="s">
        <v>51</v>
      </c>
      <c r="E229" s="310" t="s">
        <v>2334</v>
      </c>
      <c r="F229" s="311"/>
      <c r="G229" s="316" t="s">
        <v>6</v>
      </c>
      <c r="H229" s="316" t="s">
        <v>26</v>
      </c>
      <c r="I229" s="316" t="s">
        <v>918</v>
      </c>
      <c r="J229" s="310" t="s">
        <v>381</v>
      </c>
      <c r="K229" s="312">
        <v>84130</v>
      </c>
      <c r="L229" s="312">
        <v>91240</v>
      </c>
      <c r="M229" s="313">
        <f t="shared" si="21"/>
        <v>7110</v>
      </c>
      <c r="N229" s="314">
        <f t="shared" si="22"/>
        <v>0.0779263480929417</v>
      </c>
      <c r="O229" s="312">
        <v>84130</v>
      </c>
      <c r="P229" s="313">
        <f t="shared" si="18"/>
        <v>0</v>
      </c>
      <c r="Q229" s="310" t="s">
        <v>147</v>
      </c>
      <c r="R229" s="310">
        <v>235</v>
      </c>
      <c r="S229" s="310"/>
      <c r="T229" s="308">
        <v>45623</v>
      </c>
      <c r="U229" s="308">
        <v>45623</v>
      </c>
      <c r="V229" s="308"/>
      <c r="W229" s="315">
        <f t="shared" si="23"/>
        <v>1</v>
      </c>
      <c r="X229" s="310" t="s">
        <v>54</v>
      </c>
      <c r="Y229" s="310" t="s">
        <v>2334</v>
      </c>
      <c r="Z229" s="316" t="s">
        <v>875</v>
      </c>
      <c r="AA229" s="316" t="s">
        <v>873</v>
      </c>
      <c r="AB229" s="316" t="s">
        <v>873</v>
      </c>
    </row>
    <row r="230" spans="1:28" x14ac:dyDescent="0.25">
      <c r="A230" s="307">
        <f t="shared" si="19"/>
        <v>224</v>
      </c>
      <c r="B230" s="308">
        <v>45622</v>
      </c>
      <c r="C230" s="309">
        <f t="shared" si="20"/>
        <v>45597</v>
      </c>
      <c r="D230" s="310" t="s">
        <v>51</v>
      </c>
      <c r="E230" s="310" t="s">
        <v>874</v>
      </c>
      <c r="F230" s="311">
        <v>9725063707</v>
      </c>
      <c r="G230" s="316" t="s">
        <v>6</v>
      </c>
      <c r="H230" s="316" t="s">
        <v>919</v>
      </c>
      <c r="I230" s="316" t="s">
        <v>920</v>
      </c>
      <c r="J230" s="310" t="s">
        <v>168</v>
      </c>
      <c r="K230" s="312">
        <v>27440</v>
      </c>
      <c r="L230" s="312">
        <v>41900</v>
      </c>
      <c r="M230" s="313">
        <f t="shared" si="21"/>
        <v>14460</v>
      </c>
      <c r="N230" s="314">
        <f t="shared" si="22"/>
        <v>0.345107398568019</v>
      </c>
      <c r="O230" s="312">
        <v>27440</v>
      </c>
      <c r="P230" s="313">
        <f t="shared" si="18"/>
        <v>0</v>
      </c>
      <c r="Q230" s="310" t="s">
        <v>147</v>
      </c>
      <c r="R230" s="310">
        <v>236</v>
      </c>
      <c r="S230" s="310"/>
      <c r="T230" s="308">
        <v>45626</v>
      </c>
      <c r="U230" s="308">
        <v>45626</v>
      </c>
      <c r="V230" s="308"/>
      <c r="W230" s="315">
        <f t="shared" si="23"/>
        <v>4</v>
      </c>
      <c r="X230" s="310" t="s">
        <v>54</v>
      </c>
      <c r="Y230" s="310" t="s">
        <v>439</v>
      </c>
      <c r="Z230" s="316"/>
      <c r="AA230" s="316" t="s">
        <v>886</v>
      </c>
      <c r="AB230" s="316" t="s">
        <v>886</v>
      </c>
    </row>
    <row r="231" spans="1:28" x14ac:dyDescent="0.25">
      <c r="A231" s="307">
        <f t="shared" si="19"/>
        <v>225</v>
      </c>
      <c r="B231" s="308">
        <v>45623</v>
      </c>
      <c r="C231" s="309">
        <f t="shared" si="20"/>
        <v>45597</v>
      </c>
      <c r="D231" s="310" t="s">
        <v>56</v>
      </c>
      <c r="E231" s="310" t="s">
        <v>38</v>
      </c>
      <c r="F231" s="311">
        <v>9515412075</v>
      </c>
      <c r="G231" s="316" t="s">
        <v>6</v>
      </c>
      <c r="H231" s="316" t="s">
        <v>923</v>
      </c>
      <c r="I231" s="316" t="s">
        <v>924</v>
      </c>
      <c r="J231" s="310" t="s">
        <v>59</v>
      </c>
      <c r="K231" s="312">
        <v>45780</v>
      </c>
      <c r="L231" s="312">
        <v>50720</v>
      </c>
      <c r="M231" s="313">
        <f t="shared" si="21"/>
        <v>4940</v>
      </c>
      <c r="N231" s="314">
        <f t="shared" si="22"/>
        <v>0.097397476340694</v>
      </c>
      <c r="O231" s="312">
        <v>45780</v>
      </c>
      <c r="P231" s="313">
        <f t="shared" si="18"/>
        <v>0</v>
      </c>
      <c r="Q231" s="310" t="s">
        <v>147</v>
      </c>
      <c r="R231" s="310">
        <v>237</v>
      </c>
      <c r="S231" s="310"/>
      <c r="T231" s="308">
        <v>45626</v>
      </c>
      <c r="U231" s="308">
        <v>45626</v>
      </c>
      <c r="V231" s="308"/>
      <c r="W231" s="315">
        <f t="shared" si="23"/>
        <v>3</v>
      </c>
      <c r="X231" s="310" t="s">
        <v>54</v>
      </c>
      <c r="Y231" s="310" t="s">
        <v>56</v>
      </c>
      <c r="Z231" s="316" t="s">
        <v>154</v>
      </c>
      <c r="AA231" s="316" t="s">
        <v>886</v>
      </c>
      <c r="AB231" s="316" t="s">
        <v>886</v>
      </c>
    </row>
    <row r="232" spans="1:28" x14ac:dyDescent="0.25">
      <c r="A232" s="307">
        <f t="shared" si="19"/>
        <v>226</v>
      </c>
      <c r="B232" s="308">
        <v>45623</v>
      </c>
      <c r="C232" s="309">
        <f t="shared" si="20"/>
        <v>45597</v>
      </c>
      <c r="D232" s="310" t="s">
        <v>51</v>
      </c>
      <c r="E232" s="310" t="s">
        <v>876</v>
      </c>
      <c r="F232" s="311">
        <v>9216040168</v>
      </c>
      <c r="G232" s="316" t="s">
        <v>6</v>
      </c>
      <c r="H232" s="316" t="s">
        <v>921</v>
      </c>
      <c r="I232" s="316" t="s">
        <v>922</v>
      </c>
      <c r="J232" s="310" t="s">
        <v>623</v>
      </c>
      <c r="K232" s="312">
        <v>29910</v>
      </c>
      <c r="L232" s="312">
        <v>44100</v>
      </c>
      <c r="M232" s="313">
        <f t="shared" si="21"/>
        <v>14190</v>
      </c>
      <c r="N232" s="314">
        <f t="shared" si="22"/>
        <v>0.321768707482993</v>
      </c>
      <c r="O232" s="312">
        <v>29910</v>
      </c>
      <c r="P232" s="313">
        <f t="shared" si="18"/>
        <v>0</v>
      </c>
      <c r="Q232" s="310" t="s">
        <v>147</v>
      </c>
      <c r="R232" s="310">
        <v>238</v>
      </c>
      <c r="S232" s="310"/>
      <c r="T232" s="308">
        <v>45627</v>
      </c>
      <c r="U232" s="308">
        <v>45628</v>
      </c>
      <c r="V232" s="308"/>
      <c r="W232" s="315">
        <f t="shared" si="23"/>
        <v>5</v>
      </c>
      <c r="X232" s="310" t="s">
        <v>54</v>
      </c>
      <c r="Y232" s="310" t="s">
        <v>439</v>
      </c>
      <c r="Z232" s="316"/>
      <c r="AA232" s="317">
        <v>45303</v>
      </c>
      <c r="AB232" s="317">
        <v>45334</v>
      </c>
    </row>
    <row r="233" spans="1:28" x14ac:dyDescent="0.25">
      <c r="A233" s="307">
        <f t="shared" si="19"/>
        <v>227</v>
      </c>
      <c r="B233" s="308">
        <v>45624</v>
      </c>
      <c r="C233" s="309">
        <f t="shared" si="20"/>
        <v>45597</v>
      </c>
      <c r="D233" s="310" t="s">
        <v>51</v>
      </c>
      <c r="E233" s="310" t="s">
        <v>877</v>
      </c>
      <c r="F233" s="311">
        <v>9951385085</v>
      </c>
      <c r="G233" s="316" t="s">
        <v>6</v>
      </c>
      <c r="H233" s="316" t="s">
        <v>927</v>
      </c>
      <c r="I233" s="316" t="s">
        <v>928</v>
      </c>
      <c r="J233" s="310" t="s">
        <v>168</v>
      </c>
      <c r="K233" s="312">
        <v>27440</v>
      </c>
      <c r="L233" s="312">
        <v>41900</v>
      </c>
      <c r="M233" s="313">
        <f t="shared" si="21"/>
        <v>14460</v>
      </c>
      <c r="N233" s="314">
        <f t="shared" si="22"/>
        <v>0.345107398568019</v>
      </c>
      <c r="O233" s="312">
        <v>27440</v>
      </c>
      <c r="P233" s="313">
        <f t="shared" si="18"/>
        <v>0</v>
      </c>
      <c r="Q233" s="310" t="s">
        <v>147</v>
      </c>
      <c r="R233" s="310">
        <v>239</v>
      </c>
      <c r="S233" s="310"/>
      <c r="T233" s="308">
        <v>45628</v>
      </c>
      <c r="U233" s="308">
        <v>45628</v>
      </c>
      <c r="V233" s="308"/>
      <c r="W233" s="315">
        <f t="shared" si="23"/>
        <v>4</v>
      </c>
      <c r="X233" s="310" t="s">
        <v>54</v>
      </c>
      <c r="Y233" s="310" t="s">
        <v>439</v>
      </c>
      <c r="Z233" s="316"/>
      <c r="AA233" s="317">
        <v>45334</v>
      </c>
      <c r="AB233" s="317">
        <v>45334</v>
      </c>
    </row>
    <row r="234" spans="1:28" x14ac:dyDescent="0.25">
      <c r="A234" s="307">
        <f t="shared" si="19"/>
        <v>228</v>
      </c>
      <c r="B234" s="308">
        <v>45624</v>
      </c>
      <c r="C234" s="309">
        <f t="shared" si="20"/>
        <v>45597</v>
      </c>
      <c r="D234" s="310" t="s">
        <v>51</v>
      </c>
      <c r="E234" s="310" t="s">
        <v>878</v>
      </c>
      <c r="F234" s="311">
        <v>9709943303</v>
      </c>
      <c r="G234" s="316" t="s">
        <v>6</v>
      </c>
      <c r="H234" s="316" t="s">
        <v>925</v>
      </c>
      <c r="I234" s="316" t="s">
        <v>926</v>
      </c>
      <c r="J234" s="310" t="s">
        <v>623</v>
      </c>
      <c r="K234" s="312">
        <v>30850</v>
      </c>
      <c r="L234" s="312">
        <v>50400</v>
      </c>
      <c r="M234" s="313">
        <f t="shared" si="21"/>
        <v>19550</v>
      </c>
      <c r="N234" s="314">
        <f t="shared" si="22"/>
        <v>0.387896825396825</v>
      </c>
      <c r="O234" s="312">
        <v>30850</v>
      </c>
      <c r="P234" s="313">
        <f t="shared" si="18"/>
        <v>0</v>
      </c>
      <c r="Q234" s="310" t="s">
        <v>147</v>
      </c>
      <c r="R234" s="310">
        <v>240</v>
      </c>
      <c r="S234" s="310"/>
      <c r="T234" s="308">
        <v>45629</v>
      </c>
      <c r="U234" s="308">
        <v>45629</v>
      </c>
      <c r="V234" s="308"/>
      <c r="W234" s="315">
        <f t="shared" si="23"/>
        <v>5</v>
      </c>
      <c r="X234" s="310" t="s">
        <v>54</v>
      </c>
      <c r="Y234" s="310" t="s">
        <v>439</v>
      </c>
      <c r="Z234" s="316"/>
      <c r="AA234" s="317">
        <v>45363</v>
      </c>
      <c r="AB234" s="317">
        <v>45363</v>
      </c>
    </row>
    <row r="235" spans="1:28" x14ac:dyDescent="0.25">
      <c r="A235" s="307">
        <f t="shared" si="19"/>
        <v>229</v>
      </c>
      <c r="B235" s="308">
        <v>45625</v>
      </c>
      <c r="C235" s="309">
        <f t="shared" si="20"/>
        <v>45597</v>
      </c>
      <c r="D235" s="310" t="s">
        <v>51</v>
      </c>
      <c r="E235" s="310" t="s">
        <v>879</v>
      </c>
      <c r="F235" s="311">
        <v>9714368652</v>
      </c>
      <c r="G235" s="316" t="s">
        <v>6</v>
      </c>
      <c r="H235" s="316" t="s">
        <v>26</v>
      </c>
      <c r="I235" s="316" t="s">
        <v>929</v>
      </c>
      <c r="J235" s="310" t="s">
        <v>59</v>
      </c>
      <c r="K235" s="312">
        <v>28300</v>
      </c>
      <c r="L235" s="312">
        <v>38740</v>
      </c>
      <c r="M235" s="313">
        <f t="shared" si="21"/>
        <v>10440</v>
      </c>
      <c r="N235" s="314">
        <f t="shared" si="22"/>
        <v>0.269488900361384</v>
      </c>
      <c r="O235" s="312">
        <v>28300</v>
      </c>
      <c r="P235" s="313">
        <f t="shared" si="18"/>
        <v>0</v>
      </c>
      <c r="Q235" s="310" t="s">
        <v>147</v>
      </c>
      <c r="R235" s="310">
        <v>241</v>
      </c>
      <c r="S235" s="310"/>
      <c r="T235" s="308">
        <v>45629</v>
      </c>
      <c r="U235" s="308">
        <v>45629</v>
      </c>
      <c r="V235" s="308"/>
      <c r="W235" s="315">
        <f t="shared" si="23"/>
        <v>4</v>
      </c>
      <c r="X235" s="310" t="s">
        <v>54</v>
      </c>
      <c r="Y235" s="310" t="s">
        <v>439</v>
      </c>
      <c r="Z235" s="316"/>
      <c r="AA235" s="317">
        <v>45363</v>
      </c>
      <c r="AB235" s="317">
        <v>45363</v>
      </c>
    </row>
    <row r="236" spans="1:28" x14ac:dyDescent="0.25">
      <c r="A236" s="307">
        <f t="shared" si="19"/>
        <v>230</v>
      </c>
      <c r="B236" s="308">
        <v>45625</v>
      </c>
      <c r="C236" s="309">
        <f t="shared" si="20"/>
        <v>45597</v>
      </c>
      <c r="D236" s="310" t="s">
        <v>51</v>
      </c>
      <c r="E236" s="310" t="s">
        <v>880</v>
      </c>
      <c r="F236" s="311">
        <v>9517980736</v>
      </c>
      <c r="G236" s="316" t="s">
        <v>6</v>
      </c>
      <c r="H236" s="316" t="s">
        <v>930</v>
      </c>
      <c r="I236" s="316" t="s">
        <v>931</v>
      </c>
      <c r="J236" s="310" t="s">
        <v>3730</v>
      </c>
      <c r="K236" s="312">
        <v>36950</v>
      </c>
      <c r="L236" s="312">
        <v>53550</v>
      </c>
      <c r="M236" s="313">
        <f t="shared" si="21"/>
        <v>16600</v>
      </c>
      <c r="N236" s="314">
        <f t="shared" si="22"/>
        <v>0.309990662931839</v>
      </c>
      <c r="O236" s="312">
        <v>36950</v>
      </c>
      <c r="P236" s="313">
        <f t="shared" si="18"/>
        <v>0</v>
      </c>
      <c r="Q236" s="310" t="s">
        <v>147</v>
      </c>
      <c r="R236" s="310">
        <v>242</v>
      </c>
      <c r="S236" s="310"/>
      <c r="T236" s="308">
        <v>45632</v>
      </c>
      <c r="U236" s="308">
        <v>45632</v>
      </c>
      <c r="V236" s="308"/>
      <c r="W236" s="315">
        <f t="shared" si="23"/>
        <v>7</v>
      </c>
      <c r="X236" s="310" t="s">
        <v>54</v>
      </c>
      <c r="Y236" s="310" t="s">
        <v>529</v>
      </c>
      <c r="Z236" s="316"/>
      <c r="AA236" s="317">
        <v>45455</v>
      </c>
      <c r="AB236" s="317">
        <v>45455</v>
      </c>
    </row>
    <row r="237" spans="1:28" x14ac:dyDescent="0.25">
      <c r="A237" s="307">
        <f t="shared" si="19"/>
        <v>231</v>
      </c>
      <c r="B237" s="308">
        <v>45625</v>
      </c>
      <c r="C237" s="309">
        <f t="shared" si="20"/>
        <v>45597</v>
      </c>
      <c r="D237" s="310" t="s">
        <v>56</v>
      </c>
      <c r="E237" s="310" t="s">
        <v>60</v>
      </c>
      <c r="F237" s="311">
        <v>9589264337</v>
      </c>
      <c r="G237" s="316" t="s">
        <v>42</v>
      </c>
      <c r="H237" s="316" t="s">
        <v>1045</v>
      </c>
      <c r="I237" s="316" t="s">
        <v>1046</v>
      </c>
      <c r="J237" s="310" t="s">
        <v>3730</v>
      </c>
      <c r="K237" s="312">
        <v>53580</v>
      </c>
      <c r="L237" s="312">
        <v>102690</v>
      </c>
      <c r="M237" s="313">
        <f t="shared" si="21"/>
        <v>49110</v>
      </c>
      <c r="N237" s="314">
        <f t="shared" si="22"/>
        <v>0.478235465965527</v>
      </c>
      <c r="O237" s="312">
        <v>53580</v>
      </c>
      <c r="P237" s="313">
        <f t="shared" si="18"/>
        <v>0</v>
      </c>
      <c r="Q237" s="310" t="s">
        <v>147</v>
      </c>
      <c r="R237" s="310">
        <v>243</v>
      </c>
      <c r="S237" s="310"/>
      <c r="T237" s="308">
        <v>45628</v>
      </c>
      <c r="U237" s="308">
        <v>45628</v>
      </c>
      <c r="V237" s="308"/>
      <c r="W237" s="315">
        <f t="shared" si="23"/>
        <v>3</v>
      </c>
      <c r="X237" s="310" t="s">
        <v>54</v>
      </c>
      <c r="Y237" s="310" t="s">
        <v>56</v>
      </c>
      <c r="Z237" s="316"/>
      <c r="AA237" s="317">
        <v>45334</v>
      </c>
      <c r="AB237" s="317">
        <v>45334</v>
      </c>
    </row>
    <row r="238" spans="1:28" x14ac:dyDescent="0.25">
      <c r="A238" s="307">
        <f t="shared" si="19"/>
        <v>232</v>
      </c>
      <c r="B238" s="308">
        <v>45626</v>
      </c>
      <c r="C238" s="309">
        <f t="shared" si="20"/>
        <v>45597</v>
      </c>
      <c r="D238" s="310" t="s">
        <v>51</v>
      </c>
      <c r="E238" s="310" t="s">
        <v>883</v>
      </c>
      <c r="F238" s="311">
        <v>9016721327</v>
      </c>
      <c r="G238" s="316" t="s">
        <v>6</v>
      </c>
      <c r="H238" s="316" t="s">
        <v>933</v>
      </c>
      <c r="I238" s="316" t="s">
        <v>934</v>
      </c>
      <c r="J238" s="310" t="s">
        <v>623</v>
      </c>
      <c r="K238" s="312">
        <v>31660</v>
      </c>
      <c r="L238" s="312">
        <v>50400</v>
      </c>
      <c r="M238" s="313">
        <f t="shared" si="21"/>
        <v>18740</v>
      </c>
      <c r="N238" s="314">
        <f t="shared" si="22"/>
        <v>0.371825396825397</v>
      </c>
      <c r="O238" s="312">
        <v>31660</v>
      </c>
      <c r="P238" s="313">
        <f t="shared" si="18"/>
        <v>0</v>
      </c>
      <c r="Q238" s="310" t="s">
        <v>147</v>
      </c>
      <c r="R238" s="310">
        <v>244</v>
      </c>
      <c r="S238" s="310"/>
      <c r="T238" s="308">
        <v>45630</v>
      </c>
      <c r="U238" s="308">
        <v>45630</v>
      </c>
      <c r="V238" s="308"/>
      <c r="W238" s="315">
        <f t="shared" si="23"/>
        <v>4</v>
      </c>
      <c r="X238" s="310" t="s">
        <v>54</v>
      </c>
      <c r="Y238" s="310" t="s">
        <v>439</v>
      </c>
      <c r="Z238" s="316"/>
      <c r="AA238" s="317">
        <v>45394</v>
      </c>
      <c r="AB238" s="317">
        <v>45394</v>
      </c>
    </row>
    <row r="239" spans="1:28" x14ac:dyDescent="0.25">
      <c r="A239" s="307">
        <f t="shared" si="19"/>
        <v>233</v>
      </c>
      <c r="B239" s="308">
        <v>45626</v>
      </c>
      <c r="C239" s="309">
        <f t="shared" si="20"/>
        <v>45597</v>
      </c>
      <c r="D239" s="310" t="s">
        <v>51</v>
      </c>
      <c r="E239" s="310" t="s">
        <v>712</v>
      </c>
      <c r="F239" s="311">
        <v>9343941401</v>
      </c>
      <c r="G239" s="316" t="s">
        <v>6</v>
      </c>
      <c r="H239" s="316" t="s">
        <v>26</v>
      </c>
      <c r="I239" s="316" t="s">
        <v>932</v>
      </c>
      <c r="J239" s="310" t="s">
        <v>168</v>
      </c>
      <c r="K239" s="312">
        <v>25960</v>
      </c>
      <c r="L239" s="312">
        <v>35600</v>
      </c>
      <c r="M239" s="313">
        <f t="shared" si="21"/>
        <v>9640</v>
      </c>
      <c r="N239" s="314">
        <f t="shared" si="22"/>
        <v>0.270786516853933</v>
      </c>
      <c r="O239" s="312">
        <v>25960</v>
      </c>
      <c r="P239" s="313">
        <f t="shared" si="18"/>
        <v>0</v>
      </c>
      <c r="Q239" s="310" t="s">
        <v>147</v>
      </c>
      <c r="R239" s="310">
        <v>245</v>
      </c>
      <c r="S239" s="310"/>
      <c r="T239" s="308">
        <v>45630</v>
      </c>
      <c r="U239" s="308">
        <v>45630</v>
      </c>
      <c r="V239" s="308"/>
      <c r="W239" s="315">
        <f t="shared" si="23"/>
        <v>4</v>
      </c>
      <c r="X239" s="310" t="s">
        <v>54</v>
      </c>
      <c r="Y239" s="310" t="s">
        <v>439</v>
      </c>
      <c r="Z239" s="316"/>
      <c r="AA239" s="317">
        <v>45394</v>
      </c>
      <c r="AB239" s="317">
        <v>45394</v>
      </c>
    </row>
    <row r="240" spans="1:28" x14ac:dyDescent="0.25">
      <c r="A240" s="307">
        <f t="shared" si="19"/>
        <v>234</v>
      </c>
      <c r="B240" s="308">
        <v>45626</v>
      </c>
      <c r="C240" s="309">
        <f t="shared" si="20"/>
        <v>45597</v>
      </c>
      <c r="D240" s="310" t="s">
        <v>51</v>
      </c>
      <c r="E240" s="310" t="s">
        <v>884</v>
      </c>
      <c r="F240" s="311">
        <v>9929566403</v>
      </c>
      <c r="G240" s="316" t="s">
        <v>42</v>
      </c>
      <c r="H240" s="316" t="s">
        <v>26</v>
      </c>
      <c r="I240" s="316" t="s">
        <v>1037</v>
      </c>
      <c r="J240" s="310" t="s">
        <v>3730</v>
      </c>
      <c r="K240" s="312">
        <v>68950</v>
      </c>
      <c r="L240" s="312">
        <v>102690</v>
      </c>
      <c r="M240" s="313">
        <f t="shared" si="21"/>
        <v>33740</v>
      </c>
      <c r="N240" s="314">
        <f t="shared" si="22"/>
        <v>0.328561690524881</v>
      </c>
      <c r="O240" s="312">
        <v>68950</v>
      </c>
      <c r="P240" s="313">
        <f t="shared" si="18"/>
        <v>0</v>
      </c>
      <c r="Q240" s="310" t="s">
        <v>147</v>
      </c>
      <c r="R240" s="310">
        <v>246</v>
      </c>
      <c r="S240" s="310"/>
      <c r="T240" s="308">
        <v>45629</v>
      </c>
      <c r="U240" s="308">
        <v>45629</v>
      </c>
      <c r="V240" s="308"/>
      <c r="W240" s="315">
        <f t="shared" si="23"/>
        <v>3</v>
      </c>
      <c r="X240" s="310" t="s">
        <v>54</v>
      </c>
      <c r="Y240" s="310" t="s">
        <v>453</v>
      </c>
      <c r="Z240" s="316" t="s">
        <v>3759</v>
      </c>
      <c r="AA240" s="317">
        <v>45363</v>
      </c>
      <c r="AB240" s="317">
        <v>45363</v>
      </c>
    </row>
    <row r="241" spans="1:28" x14ac:dyDescent="0.25">
      <c r="A241" s="307">
        <f t="shared" si="19"/>
        <v>235</v>
      </c>
      <c r="B241" s="308">
        <v>45627</v>
      </c>
      <c r="C241" s="309">
        <f t="shared" si="20"/>
        <v>45627</v>
      </c>
      <c r="D241" s="310" t="s">
        <v>51</v>
      </c>
      <c r="E241" s="310" t="s">
        <v>438</v>
      </c>
      <c r="F241" s="311">
        <v>9563961453</v>
      </c>
      <c r="G241" s="316" t="s">
        <v>6</v>
      </c>
      <c r="H241" s="316" t="s">
        <v>935</v>
      </c>
      <c r="I241" s="316" t="s">
        <v>936</v>
      </c>
      <c r="J241" s="310" t="s">
        <v>623</v>
      </c>
      <c r="K241" s="312">
        <v>27440</v>
      </c>
      <c r="L241" s="312">
        <v>41900</v>
      </c>
      <c r="M241" s="313">
        <f t="shared" si="21"/>
        <v>14460</v>
      </c>
      <c r="N241" s="314">
        <f t="shared" si="22"/>
        <v>0.345107398568019</v>
      </c>
      <c r="O241" s="312">
        <v>27440</v>
      </c>
      <c r="P241" s="313">
        <f t="shared" si="18"/>
        <v>0</v>
      </c>
      <c r="Q241" s="310" t="s">
        <v>147</v>
      </c>
      <c r="R241" s="310">
        <v>247</v>
      </c>
      <c r="S241" s="310"/>
      <c r="T241" s="308">
        <v>45631</v>
      </c>
      <c r="U241" s="308">
        <v>45631</v>
      </c>
      <c r="V241" s="308"/>
      <c r="W241" s="315">
        <f t="shared" si="23"/>
        <v>4</v>
      </c>
      <c r="X241" s="310" t="s">
        <v>54</v>
      </c>
      <c r="Y241" s="310" t="s">
        <v>439</v>
      </c>
      <c r="Z241" s="316"/>
      <c r="AA241" s="317">
        <v>45424</v>
      </c>
      <c r="AB241" s="317">
        <v>45424</v>
      </c>
    </row>
    <row r="242" spans="1:28" x14ac:dyDescent="0.25">
      <c r="A242" s="307">
        <f t="shared" si="19"/>
        <v>236</v>
      </c>
      <c r="B242" s="308">
        <v>45628</v>
      </c>
      <c r="C242" s="309">
        <f t="shared" si="20"/>
        <v>45627</v>
      </c>
      <c r="D242" s="310" t="s">
        <v>51</v>
      </c>
      <c r="E242" s="310" t="s">
        <v>974</v>
      </c>
      <c r="F242" s="311">
        <v>9164062545</v>
      </c>
      <c r="G242" s="316" t="s">
        <v>6</v>
      </c>
      <c r="H242" s="316" t="s">
        <v>26</v>
      </c>
      <c r="I242" s="316" t="s">
        <v>1005</v>
      </c>
      <c r="J242" s="310" t="s">
        <v>168</v>
      </c>
      <c r="K242" s="312">
        <v>29810</v>
      </c>
      <c r="L242" s="312">
        <v>43470</v>
      </c>
      <c r="M242" s="313">
        <f t="shared" si="21"/>
        <v>13660</v>
      </c>
      <c r="N242" s="314">
        <f t="shared" si="22"/>
        <v>0.314239705544053</v>
      </c>
      <c r="O242" s="312">
        <v>29810</v>
      </c>
      <c r="P242" s="313">
        <f t="shared" si="18"/>
        <v>0</v>
      </c>
      <c r="Q242" s="310" t="s">
        <v>147</v>
      </c>
      <c r="R242" s="310">
        <v>248</v>
      </c>
      <c r="S242" s="310"/>
      <c r="T242" s="308">
        <v>45632</v>
      </c>
      <c r="U242" s="308">
        <v>45632</v>
      </c>
      <c r="V242" s="308"/>
      <c r="W242" s="315">
        <f t="shared" si="23"/>
        <v>4</v>
      </c>
      <c r="X242" s="310" t="s">
        <v>54</v>
      </c>
      <c r="Y242" s="310" t="s">
        <v>439</v>
      </c>
      <c r="Z242" s="316" t="s">
        <v>154</v>
      </c>
      <c r="AA242" s="317">
        <v>45455</v>
      </c>
      <c r="AB242" s="317">
        <v>45455</v>
      </c>
    </row>
    <row r="243" spans="1:28" x14ac:dyDescent="0.25">
      <c r="A243" s="307">
        <f t="shared" si="19"/>
        <v>237</v>
      </c>
      <c r="B243" s="308">
        <v>45628</v>
      </c>
      <c r="C243" s="309">
        <f t="shared" si="20"/>
        <v>45627</v>
      </c>
      <c r="D243" s="310" t="s">
        <v>51</v>
      </c>
      <c r="E243" s="310" t="s">
        <v>975</v>
      </c>
      <c r="F243" s="311">
        <v>9907354664</v>
      </c>
      <c r="G243" s="316" t="s">
        <v>6</v>
      </c>
      <c r="H243" s="316" t="s">
        <v>1006</v>
      </c>
      <c r="I243" s="316" t="s">
        <v>1007</v>
      </c>
      <c r="J243" s="310" t="s">
        <v>623</v>
      </c>
      <c r="K243" s="312">
        <v>29770</v>
      </c>
      <c r="L243" s="312">
        <v>53860</v>
      </c>
      <c r="M243" s="313">
        <f t="shared" si="21"/>
        <v>24090</v>
      </c>
      <c r="N243" s="314">
        <f t="shared" si="22"/>
        <v>0.447270701819532</v>
      </c>
      <c r="O243" s="312">
        <v>29770</v>
      </c>
      <c r="P243" s="313">
        <f t="shared" si="18"/>
        <v>0</v>
      </c>
      <c r="Q243" s="310" t="s">
        <v>147</v>
      </c>
      <c r="R243" s="310">
        <v>249</v>
      </c>
      <c r="S243" s="310"/>
      <c r="T243" s="308">
        <v>45632</v>
      </c>
      <c r="U243" s="308">
        <v>45632</v>
      </c>
      <c r="V243" s="308"/>
      <c r="W243" s="315">
        <f t="shared" si="23"/>
        <v>4</v>
      </c>
      <c r="X243" s="310" t="s">
        <v>54</v>
      </c>
      <c r="Y243" s="310" t="s">
        <v>439</v>
      </c>
      <c r="Z243" s="316" t="s">
        <v>154</v>
      </c>
      <c r="AA243" s="317">
        <v>45455</v>
      </c>
      <c r="AB243" s="317">
        <v>45455</v>
      </c>
    </row>
    <row r="244" spans="1:28" x14ac:dyDescent="0.25">
      <c r="A244" s="307">
        <f t="shared" si="19"/>
        <v>238</v>
      </c>
      <c r="B244" s="308">
        <v>45629</v>
      </c>
      <c r="C244" s="309">
        <f t="shared" si="20"/>
        <v>45627</v>
      </c>
      <c r="D244" s="310" t="s">
        <v>51</v>
      </c>
      <c r="E244" s="310" t="s">
        <v>976</v>
      </c>
      <c r="F244" s="311">
        <v>9389071211</v>
      </c>
      <c r="G244" s="316" t="s">
        <v>6</v>
      </c>
      <c r="H244" s="316" t="s">
        <v>1010</v>
      </c>
      <c r="I244" s="316" t="s">
        <v>1011</v>
      </c>
      <c r="J244" s="310" t="s">
        <v>623</v>
      </c>
      <c r="K244" s="312">
        <v>29040</v>
      </c>
      <c r="L244" s="312">
        <v>41900</v>
      </c>
      <c r="M244" s="313">
        <f t="shared" si="21"/>
        <v>12860</v>
      </c>
      <c r="N244" s="314">
        <f t="shared" si="22"/>
        <v>0.306921241050119</v>
      </c>
      <c r="O244" s="312">
        <v>29040</v>
      </c>
      <c r="P244" s="313">
        <f t="shared" si="18"/>
        <v>0</v>
      </c>
      <c r="Q244" s="310" t="s">
        <v>147</v>
      </c>
      <c r="R244" s="310">
        <v>250</v>
      </c>
      <c r="S244" s="310"/>
      <c r="T244" s="308">
        <v>45632</v>
      </c>
      <c r="U244" s="308">
        <v>45632</v>
      </c>
      <c r="V244" s="308"/>
      <c r="W244" s="315">
        <f t="shared" si="23"/>
        <v>3</v>
      </c>
      <c r="X244" s="310" t="s">
        <v>54</v>
      </c>
      <c r="Y244" s="310" t="s">
        <v>439</v>
      </c>
      <c r="Z244" s="316" t="s">
        <v>986</v>
      </c>
      <c r="AA244" s="317">
        <v>45455</v>
      </c>
      <c r="AB244" s="317">
        <v>45455</v>
      </c>
    </row>
    <row r="245" spans="1:28" x14ac:dyDescent="0.25">
      <c r="A245" s="307">
        <f t="shared" si="19"/>
        <v>239</v>
      </c>
      <c r="B245" s="308">
        <v>45629</v>
      </c>
      <c r="C245" s="309">
        <f t="shared" si="20"/>
        <v>45627</v>
      </c>
      <c r="D245" s="310" t="s">
        <v>51</v>
      </c>
      <c r="E245" s="310" t="s">
        <v>60</v>
      </c>
      <c r="F245" s="311">
        <v>9281983602</v>
      </c>
      <c r="G245" s="316" t="s">
        <v>6</v>
      </c>
      <c r="H245" s="316" t="s">
        <v>1008</v>
      </c>
      <c r="I245" s="316" t="s">
        <v>1009</v>
      </c>
      <c r="J245" s="310" t="s">
        <v>3730</v>
      </c>
      <c r="K245" s="312">
        <v>46210</v>
      </c>
      <c r="L245" s="312">
        <v>53550</v>
      </c>
      <c r="M245" s="313">
        <f t="shared" si="21"/>
        <v>7340</v>
      </c>
      <c r="N245" s="314">
        <f t="shared" si="22"/>
        <v>0.137068160597572</v>
      </c>
      <c r="O245" s="312">
        <v>46210</v>
      </c>
      <c r="P245" s="313">
        <f t="shared" si="18"/>
        <v>0</v>
      </c>
      <c r="Q245" s="310" t="s">
        <v>147</v>
      </c>
      <c r="R245" s="310">
        <v>251</v>
      </c>
      <c r="S245" s="310"/>
      <c r="T245" s="308">
        <v>45632</v>
      </c>
      <c r="U245" s="308">
        <v>45633</v>
      </c>
      <c r="V245" s="308"/>
      <c r="W245" s="315">
        <f t="shared" si="23"/>
        <v>4</v>
      </c>
      <c r="X245" s="310" t="s">
        <v>54</v>
      </c>
      <c r="Y245" s="310" t="s">
        <v>56</v>
      </c>
      <c r="Z245" s="316"/>
      <c r="AA245" s="317">
        <v>45455</v>
      </c>
      <c r="AB245" s="317">
        <v>45485</v>
      </c>
    </row>
    <row r="246" spans="1:28" x14ac:dyDescent="0.25">
      <c r="A246" s="307">
        <f t="shared" si="19"/>
        <v>240</v>
      </c>
      <c r="B246" s="308">
        <v>45629</v>
      </c>
      <c r="C246" s="309">
        <f t="shared" si="20"/>
        <v>45627</v>
      </c>
      <c r="D246" s="310" t="s">
        <v>51</v>
      </c>
      <c r="E246" s="310" t="s">
        <v>38</v>
      </c>
      <c r="F246" s="311">
        <v>9025368773</v>
      </c>
      <c r="G246" s="316" t="s">
        <v>42</v>
      </c>
      <c r="H246" s="316" t="s">
        <v>26</v>
      </c>
      <c r="I246" s="316" t="s">
        <v>1047</v>
      </c>
      <c r="J246" s="310" t="s">
        <v>59</v>
      </c>
      <c r="K246" s="312">
        <v>51880</v>
      </c>
      <c r="L246" s="312">
        <v>91350</v>
      </c>
      <c r="M246" s="313">
        <f t="shared" si="21"/>
        <v>39470</v>
      </c>
      <c r="N246" s="314">
        <f t="shared" si="22"/>
        <v>0.432074438970991</v>
      </c>
      <c r="O246" s="312">
        <v>51880</v>
      </c>
      <c r="P246" s="313">
        <f t="shared" si="18"/>
        <v>0</v>
      </c>
      <c r="Q246" s="310" t="s">
        <v>147</v>
      </c>
      <c r="R246" s="310">
        <v>252</v>
      </c>
      <c r="S246" s="310"/>
      <c r="T246" s="308">
        <v>45632</v>
      </c>
      <c r="U246" s="308">
        <v>45632</v>
      </c>
      <c r="V246" s="308"/>
      <c r="W246" s="315">
        <f t="shared" si="23"/>
        <v>3</v>
      </c>
      <c r="X246" s="310" t="s">
        <v>54</v>
      </c>
      <c r="Y246" s="310" t="s">
        <v>56</v>
      </c>
      <c r="Z246" s="316"/>
      <c r="AA246" s="317">
        <v>45455</v>
      </c>
      <c r="AB246" s="317">
        <v>45455</v>
      </c>
    </row>
    <row r="247" spans="1:28" x14ac:dyDescent="0.25">
      <c r="A247" s="307">
        <f t="shared" si="19"/>
        <v>241</v>
      </c>
      <c r="B247" s="308">
        <v>45630</v>
      </c>
      <c r="C247" s="309">
        <f t="shared" si="20"/>
        <v>45627</v>
      </c>
      <c r="D247" s="310" t="s">
        <v>51</v>
      </c>
      <c r="E247" s="310" t="s">
        <v>2334</v>
      </c>
      <c r="F247" s="311"/>
      <c r="G247" s="316" t="s">
        <v>6</v>
      </c>
      <c r="H247" s="316" t="s">
        <v>26</v>
      </c>
      <c r="I247" s="316" t="s">
        <v>1014</v>
      </c>
      <c r="J247" s="310" t="s">
        <v>381</v>
      </c>
      <c r="K247" s="312">
        <v>115500</v>
      </c>
      <c r="L247" s="312">
        <v>135880</v>
      </c>
      <c r="M247" s="313">
        <f t="shared" si="21"/>
        <v>20380</v>
      </c>
      <c r="N247" s="314">
        <f t="shared" si="22"/>
        <v>0.149985281130409</v>
      </c>
      <c r="O247" s="312">
        <v>115500</v>
      </c>
      <c r="P247" s="313">
        <f t="shared" si="18"/>
        <v>0</v>
      </c>
      <c r="Q247" s="310" t="s">
        <v>147</v>
      </c>
      <c r="R247" s="310">
        <v>253</v>
      </c>
      <c r="S247" s="310"/>
      <c r="T247" s="308">
        <v>45631</v>
      </c>
      <c r="U247" s="308">
        <v>45632</v>
      </c>
      <c r="V247" s="308"/>
      <c r="W247" s="315">
        <f t="shared" si="23"/>
        <v>2</v>
      </c>
      <c r="X247" s="310" t="s">
        <v>54</v>
      </c>
      <c r="Y247" s="310" t="s">
        <v>2334</v>
      </c>
      <c r="Z247" s="316" t="s">
        <v>1000</v>
      </c>
      <c r="AA247" s="317">
        <v>45424</v>
      </c>
      <c r="AB247" s="317">
        <v>45455</v>
      </c>
    </row>
    <row r="248" spans="1:28" x14ac:dyDescent="0.25">
      <c r="A248" s="307">
        <f t="shared" si="19"/>
        <v>242</v>
      </c>
      <c r="B248" s="308">
        <v>45630</v>
      </c>
      <c r="C248" s="309">
        <f t="shared" si="20"/>
        <v>45627</v>
      </c>
      <c r="D248" s="310" t="s">
        <v>51</v>
      </c>
      <c r="E248" s="310" t="s">
        <v>2334</v>
      </c>
      <c r="F248" s="311"/>
      <c r="G248" s="316" t="s">
        <v>6</v>
      </c>
      <c r="H248" s="316" t="s">
        <v>26</v>
      </c>
      <c r="I248" s="316" t="s">
        <v>1015</v>
      </c>
      <c r="J248" s="310" t="s">
        <v>381</v>
      </c>
      <c r="K248" s="312">
        <v>65920</v>
      </c>
      <c r="L248" s="312">
        <v>75250</v>
      </c>
      <c r="M248" s="313">
        <f t="shared" si="21"/>
        <v>9330</v>
      </c>
      <c r="N248" s="314">
        <f t="shared" si="22"/>
        <v>0.123986710963455</v>
      </c>
      <c r="O248" s="312">
        <v>65920</v>
      </c>
      <c r="P248" s="313">
        <f t="shared" si="18"/>
        <v>0</v>
      </c>
      <c r="Q248" s="310" t="s">
        <v>147</v>
      </c>
      <c r="R248" s="310">
        <v>254</v>
      </c>
      <c r="S248" s="310"/>
      <c r="T248" s="308">
        <v>45631</v>
      </c>
      <c r="U248" s="308">
        <v>45996</v>
      </c>
      <c r="V248" s="308"/>
      <c r="W248" s="315">
        <f t="shared" si="23"/>
        <v>366</v>
      </c>
      <c r="X248" s="310" t="s">
        <v>54</v>
      </c>
      <c r="Y248" s="310" t="s">
        <v>2334</v>
      </c>
      <c r="Z248" s="316" t="s">
        <v>1001</v>
      </c>
      <c r="AA248" s="317">
        <v>45424</v>
      </c>
      <c r="AB248" s="317">
        <v>45789</v>
      </c>
    </row>
    <row r="249" spans="1:28" x14ac:dyDescent="0.25">
      <c r="A249" s="307">
        <f t="shared" si="19"/>
        <v>243</v>
      </c>
      <c r="B249" s="308">
        <v>45630</v>
      </c>
      <c r="C249" s="309">
        <f t="shared" si="20"/>
        <v>45627</v>
      </c>
      <c r="D249" s="310" t="s">
        <v>51</v>
      </c>
      <c r="E249" s="310" t="s">
        <v>2334</v>
      </c>
      <c r="F249" s="311"/>
      <c r="G249" s="316" t="s">
        <v>6</v>
      </c>
      <c r="H249" s="316" t="s">
        <v>26</v>
      </c>
      <c r="I249" s="316" t="s">
        <v>1016</v>
      </c>
      <c r="J249" s="310" t="s">
        <v>381</v>
      </c>
      <c r="K249" s="312">
        <v>85230</v>
      </c>
      <c r="L249" s="312">
        <v>99820</v>
      </c>
      <c r="M249" s="313">
        <f t="shared" si="21"/>
        <v>14590</v>
      </c>
      <c r="N249" s="314">
        <f t="shared" si="22"/>
        <v>0.146163093568423</v>
      </c>
      <c r="O249" s="312">
        <v>85230</v>
      </c>
      <c r="P249" s="313">
        <f t="shared" si="18"/>
        <v>0</v>
      </c>
      <c r="Q249" s="310" t="s">
        <v>147</v>
      </c>
      <c r="R249" s="310">
        <v>255</v>
      </c>
      <c r="S249" s="310"/>
      <c r="T249" s="308">
        <v>45631</v>
      </c>
      <c r="U249" s="308">
        <v>45632</v>
      </c>
      <c r="V249" s="308"/>
      <c r="W249" s="315">
        <f t="shared" si="23"/>
        <v>2</v>
      </c>
      <c r="X249" s="310" t="s">
        <v>54</v>
      </c>
      <c r="Y249" s="310" t="s">
        <v>2334</v>
      </c>
      <c r="Z249" s="316" t="s">
        <v>1002</v>
      </c>
      <c r="AA249" s="317">
        <v>45424</v>
      </c>
      <c r="AB249" s="317">
        <v>45455</v>
      </c>
    </row>
    <row r="250" spans="1:28" x14ac:dyDescent="0.25">
      <c r="A250" s="307">
        <f t="shared" si="19"/>
        <v>244</v>
      </c>
      <c r="B250" s="308">
        <v>45630</v>
      </c>
      <c r="C250" s="309">
        <f t="shared" si="20"/>
        <v>45627</v>
      </c>
      <c r="D250" s="310" t="s">
        <v>51</v>
      </c>
      <c r="E250" s="310" t="s">
        <v>153</v>
      </c>
      <c r="F250" s="311">
        <v>9950818773</v>
      </c>
      <c r="G250" s="316" t="s">
        <v>6</v>
      </c>
      <c r="H250" s="316" t="s">
        <v>1012</v>
      </c>
      <c r="I250" s="316" t="s">
        <v>1013</v>
      </c>
      <c r="J250" s="310" t="s">
        <v>3730</v>
      </c>
      <c r="K250" s="312">
        <v>38020</v>
      </c>
      <c r="L250" s="312">
        <v>53550</v>
      </c>
      <c r="M250" s="313">
        <f t="shared" si="21"/>
        <v>15530</v>
      </c>
      <c r="N250" s="314">
        <f t="shared" si="22"/>
        <v>0.290009337068161</v>
      </c>
      <c r="O250" s="312">
        <v>38020</v>
      </c>
      <c r="P250" s="313">
        <f t="shared" si="18"/>
        <v>0</v>
      </c>
      <c r="Q250" s="310" t="s">
        <v>147</v>
      </c>
      <c r="R250" s="310">
        <v>256</v>
      </c>
      <c r="S250" s="310"/>
      <c r="T250" s="308">
        <v>45634</v>
      </c>
      <c r="U250" s="308">
        <v>45635</v>
      </c>
      <c r="V250" s="308"/>
      <c r="W250" s="315">
        <f t="shared" si="23"/>
        <v>5</v>
      </c>
      <c r="X250" s="310" t="s">
        <v>54</v>
      </c>
      <c r="Y250" s="310" t="s">
        <v>439</v>
      </c>
      <c r="Z250" s="316"/>
      <c r="AA250" s="317">
        <v>45516</v>
      </c>
      <c r="AB250" s="317">
        <v>45547</v>
      </c>
    </row>
    <row r="251" spans="1:28" x14ac:dyDescent="0.25">
      <c r="A251" s="307">
        <f t="shared" si="19"/>
        <v>245</v>
      </c>
      <c r="B251" s="308">
        <v>45631</v>
      </c>
      <c r="C251" s="309">
        <f t="shared" si="20"/>
        <v>45627</v>
      </c>
      <c r="D251" s="310" t="s">
        <v>51</v>
      </c>
      <c r="E251" s="310" t="s">
        <v>977</v>
      </c>
      <c r="F251" s="311">
        <v>9146962394</v>
      </c>
      <c r="G251" s="316" t="s">
        <v>6</v>
      </c>
      <c r="H251" s="316" t="s">
        <v>26</v>
      </c>
      <c r="I251" s="316" t="s">
        <v>1019</v>
      </c>
      <c r="J251" s="310" t="s">
        <v>623</v>
      </c>
      <c r="K251" s="312">
        <v>26220</v>
      </c>
      <c r="L251" s="312">
        <v>35600</v>
      </c>
      <c r="M251" s="313">
        <f t="shared" si="21"/>
        <v>9380</v>
      </c>
      <c r="N251" s="314">
        <f t="shared" si="22"/>
        <v>0.263483146067416</v>
      </c>
      <c r="O251" s="312">
        <v>26220</v>
      </c>
      <c r="P251" s="313">
        <f t="shared" si="18"/>
        <v>0</v>
      </c>
      <c r="Q251" s="310" t="s">
        <v>147</v>
      </c>
      <c r="R251" s="310">
        <v>257</v>
      </c>
      <c r="S251" s="310"/>
      <c r="T251" s="308">
        <v>45635</v>
      </c>
      <c r="U251" s="308">
        <v>45635</v>
      </c>
      <c r="V251" s="308"/>
      <c r="W251" s="315">
        <f t="shared" si="23"/>
        <v>4</v>
      </c>
      <c r="X251" s="310" t="s">
        <v>54</v>
      </c>
      <c r="Y251" s="310" t="s">
        <v>439</v>
      </c>
      <c r="Z251" s="316"/>
      <c r="AA251" s="317">
        <v>45547</v>
      </c>
      <c r="AB251" s="317">
        <v>45547</v>
      </c>
    </row>
    <row r="252" spans="1:28" x14ac:dyDescent="0.25">
      <c r="A252" s="307">
        <f t="shared" si="19"/>
        <v>246</v>
      </c>
      <c r="B252" s="308">
        <v>45631</v>
      </c>
      <c r="C252" s="309">
        <f t="shared" si="20"/>
        <v>45627</v>
      </c>
      <c r="D252" s="310" t="s">
        <v>51</v>
      </c>
      <c r="E252" s="310" t="s">
        <v>696</v>
      </c>
      <c r="F252" s="311">
        <v>9754088991</v>
      </c>
      <c r="G252" s="316" t="s">
        <v>42</v>
      </c>
      <c r="H252" s="316" t="s">
        <v>1043</v>
      </c>
      <c r="I252" s="316" t="s">
        <v>1042</v>
      </c>
      <c r="J252" s="310" t="s">
        <v>3730</v>
      </c>
      <c r="K252" s="312">
        <v>69240</v>
      </c>
      <c r="L252" s="312">
        <v>104580</v>
      </c>
      <c r="M252" s="313">
        <f t="shared" si="21"/>
        <v>35340</v>
      </c>
      <c r="N252" s="314">
        <f t="shared" si="22"/>
        <v>0.337923121055651</v>
      </c>
      <c r="O252" s="312">
        <v>69240</v>
      </c>
      <c r="P252" s="313">
        <f t="shared" si="18"/>
        <v>0</v>
      </c>
      <c r="Q252" s="310" t="s">
        <v>147</v>
      </c>
      <c r="R252" s="310">
        <v>258</v>
      </c>
      <c r="S252" s="310"/>
      <c r="T252" s="308">
        <v>45640</v>
      </c>
      <c r="U252" s="308">
        <v>45640</v>
      </c>
      <c r="V252" s="308"/>
      <c r="W252" s="315">
        <f t="shared" si="23"/>
        <v>9</v>
      </c>
      <c r="X252" s="310" t="s">
        <v>54</v>
      </c>
      <c r="Y252" s="310" t="s">
        <v>439</v>
      </c>
      <c r="Z252" s="316" t="s">
        <v>978</v>
      </c>
      <c r="AA252" s="316" t="s">
        <v>993</v>
      </c>
      <c r="AB252" s="316" t="s">
        <v>993</v>
      </c>
    </row>
    <row r="253" spans="1:28" x14ac:dyDescent="0.25">
      <c r="A253" s="307">
        <f t="shared" si="19"/>
        <v>247</v>
      </c>
      <c r="B253" s="308">
        <v>45632</v>
      </c>
      <c r="C253" s="309">
        <f t="shared" si="20"/>
        <v>45627</v>
      </c>
      <c r="D253" s="310" t="s">
        <v>56</v>
      </c>
      <c r="E253" s="310" t="s">
        <v>38</v>
      </c>
      <c r="F253" s="311">
        <v>9515412075</v>
      </c>
      <c r="G253" s="316" t="s">
        <v>6</v>
      </c>
      <c r="H253" s="316" t="s">
        <v>1020</v>
      </c>
      <c r="I253" s="316" t="s">
        <v>1021</v>
      </c>
      <c r="J253" s="310" t="s">
        <v>59</v>
      </c>
      <c r="K253" s="312">
        <v>45880</v>
      </c>
      <c r="L253" s="312">
        <v>51340</v>
      </c>
      <c r="M253" s="313">
        <f t="shared" si="21"/>
        <v>5460</v>
      </c>
      <c r="N253" s="314">
        <f t="shared" si="22"/>
        <v>0.106349824698091</v>
      </c>
      <c r="O253" s="312">
        <v>45880</v>
      </c>
      <c r="P253" s="313">
        <f t="shared" si="18"/>
        <v>0</v>
      </c>
      <c r="Q253" s="310" t="s">
        <v>147</v>
      </c>
      <c r="R253" s="310">
        <v>259</v>
      </c>
      <c r="S253" s="310"/>
      <c r="T253" s="308">
        <v>45637</v>
      </c>
      <c r="U253" s="308">
        <v>45637</v>
      </c>
      <c r="V253" s="308"/>
      <c r="W253" s="315">
        <f t="shared" si="23"/>
        <v>5</v>
      </c>
      <c r="X253" s="310" t="s">
        <v>54</v>
      </c>
      <c r="Y253" s="310" t="s">
        <v>56</v>
      </c>
      <c r="Z253" s="316"/>
      <c r="AA253" s="317">
        <v>45608</v>
      </c>
      <c r="AB253" s="317">
        <v>45608</v>
      </c>
    </row>
    <row r="254" spans="1:28" x14ac:dyDescent="0.25">
      <c r="A254" s="307">
        <f t="shared" si="19"/>
        <v>248</v>
      </c>
      <c r="B254" s="308">
        <v>45632</v>
      </c>
      <c r="C254" s="309">
        <f t="shared" si="20"/>
        <v>45627</v>
      </c>
      <c r="D254" s="310" t="s">
        <v>51</v>
      </c>
      <c r="E254" s="310" t="s">
        <v>2334</v>
      </c>
      <c r="F254" s="311"/>
      <c r="G254" s="316" t="s">
        <v>6</v>
      </c>
      <c r="H254" s="316" t="s">
        <v>26</v>
      </c>
      <c r="I254" s="316" t="s">
        <v>1017</v>
      </c>
      <c r="J254" s="310" t="s">
        <v>381</v>
      </c>
      <c r="K254" s="312">
        <v>48410</v>
      </c>
      <c r="L254" s="312">
        <v>55270</v>
      </c>
      <c r="M254" s="313">
        <f t="shared" si="21"/>
        <v>6860</v>
      </c>
      <c r="N254" s="314">
        <f t="shared" si="22"/>
        <v>0.124117966347024</v>
      </c>
      <c r="O254" s="312">
        <v>48410</v>
      </c>
      <c r="P254" s="313">
        <f t="shared" si="18"/>
        <v>0</v>
      </c>
      <c r="Q254" s="310" t="s">
        <v>147</v>
      </c>
      <c r="R254" s="310">
        <v>260</v>
      </c>
      <c r="S254" s="310"/>
      <c r="T254" s="308">
        <v>45633</v>
      </c>
      <c r="U254" s="308">
        <v>45634</v>
      </c>
      <c r="V254" s="308"/>
      <c r="W254" s="315">
        <f t="shared" si="23"/>
        <v>2</v>
      </c>
      <c r="X254" s="310" t="s">
        <v>54</v>
      </c>
      <c r="Y254" s="310" t="s">
        <v>2334</v>
      </c>
      <c r="Z254" s="316" t="s">
        <v>1004</v>
      </c>
      <c r="AA254" s="317">
        <v>45485</v>
      </c>
      <c r="AB254" s="317">
        <v>45516</v>
      </c>
    </row>
    <row r="255" spans="1:28" x14ac:dyDescent="0.25">
      <c r="A255" s="307">
        <f t="shared" si="19"/>
        <v>249</v>
      </c>
      <c r="B255" s="308">
        <v>45632</v>
      </c>
      <c r="C255" s="309">
        <f t="shared" si="20"/>
        <v>45627</v>
      </c>
      <c r="D255" s="310" t="s">
        <v>51</v>
      </c>
      <c r="E255" s="310" t="s">
        <v>2334</v>
      </c>
      <c r="F255" s="311"/>
      <c r="G255" s="316" t="s">
        <v>6</v>
      </c>
      <c r="H255" s="316" t="s">
        <v>26</v>
      </c>
      <c r="I255" s="316" t="s">
        <v>1018</v>
      </c>
      <c r="J255" s="310" t="s">
        <v>381</v>
      </c>
      <c r="K255" s="312">
        <v>148380</v>
      </c>
      <c r="L255" s="312">
        <v>174690</v>
      </c>
      <c r="M255" s="313">
        <f t="shared" si="21"/>
        <v>26310</v>
      </c>
      <c r="N255" s="314">
        <f t="shared" si="22"/>
        <v>0.150609651382449</v>
      </c>
      <c r="O255" s="312">
        <v>148380</v>
      </c>
      <c r="P255" s="313">
        <f t="shared" si="18"/>
        <v>0</v>
      </c>
      <c r="Q255" s="310" t="s">
        <v>147</v>
      </c>
      <c r="R255" s="310">
        <v>261</v>
      </c>
      <c r="S255" s="310"/>
      <c r="T255" s="308">
        <v>45633</v>
      </c>
      <c r="U255" s="308">
        <v>45634</v>
      </c>
      <c r="V255" s="308"/>
      <c r="W255" s="315">
        <f t="shared" si="23"/>
        <v>2</v>
      </c>
      <c r="X255" s="310" t="s">
        <v>54</v>
      </c>
      <c r="Y255" s="310" t="s">
        <v>2334</v>
      </c>
      <c r="Z255" s="316" t="s">
        <v>1003</v>
      </c>
      <c r="AA255" s="317">
        <v>45485</v>
      </c>
      <c r="AB255" s="317">
        <v>45516</v>
      </c>
    </row>
    <row r="256" spans="1:28" x14ac:dyDescent="0.25">
      <c r="A256" s="307">
        <f t="shared" si="19"/>
        <v>250</v>
      </c>
      <c r="B256" s="308">
        <v>45632</v>
      </c>
      <c r="C256" s="309">
        <f t="shared" si="20"/>
        <v>45627</v>
      </c>
      <c r="D256" s="310" t="s">
        <v>51</v>
      </c>
      <c r="E256" s="310" t="s">
        <v>979</v>
      </c>
      <c r="F256" s="311">
        <v>9336977588</v>
      </c>
      <c r="G256" s="316" t="s">
        <v>45</v>
      </c>
      <c r="H256" s="316" t="s">
        <v>26</v>
      </c>
      <c r="I256" s="316" t="s">
        <v>1038</v>
      </c>
      <c r="J256" s="310" t="s">
        <v>168</v>
      </c>
      <c r="K256" s="312">
        <v>46490</v>
      </c>
      <c r="L256" s="312">
        <v>52920</v>
      </c>
      <c r="M256" s="313">
        <f t="shared" si="21"/>
        <v>6430</v>
      </c>
      <c r="N256" s="314">
        <f t="shared" si="22"/>
        <v>0.121504157218443</v>
      </c>
      <c r="O256" s="312">
        <v>46490</v>
      </c>
      <c r="P256" s="313">
        <f t="shared" si="18"/>
        <v>0</v>
      </c>
      <c r="Q256" s="310" t="s">
        <v>147</v>
      </c>
      <c r="R256" s="310">
        <v>261</v>
      </c>
      <c r="S256" s="310"/>
      <c r="T256" s="308">
        <v>45635</v>
      </c>
      <c r="U256" s="308">
        <v>45635</v>
      </c>
      <c r="V256" s="308"/>
      <c r="W256" s="315">
        <f t="shared" si="23"/>
        <v>3</v>
      </c>
      <c r="X256" s="310" t="s">
        <v>54</v>
      </c>
      <c r="Y256" s="310" t="s">
        <v>439</v>
      </c>
      <c r="Z256" s="316" t="s">
        <v>154</v>
      </c>
      <c r="AA256" s="317">
        <v>45547</v>
      </c>
      <c r="AB256" s="317">
        <v>45547</v>
      </c>
    </row>
    <row r="257" spans="1:28" x14ac:dyDescent="0.25">
      <c r="A257" s="307">
        <f t="shared" si="19"/>
        <v>251</v>
      </c>
      <c r="B257" s="308">
        <v>45634</v>
      </c>
      <c r="C257" s="309">
        <f t="shared" si="20"/>
        <v>45627</v>
      </c>
      <c r="D257" s="310" t="s">
        <v>51</v>
      </c>
      <c r="E257" s="310" t="s">
        <v>980</v>
      </c>
      <c r="F257" s="311">
        <v>9997445803</v>
      </c>
      <c r="G257" s="316" t="s">
        <v>42</v>
      </c>
      <c r="H257" s="316" t="s">
        <v>26</v>
      </c>
      <c r="I257" s="316" t="s">
        <v>1039</v>
      </c>
      <c r="J257" s="310" t="s">
        <v>3730</v>
      </c>
      <c r="K257" s="312">
        <v>67470</v>
      </c>
      <c r="L257" s="312">
        <v>96390</v>
      </c>
      <c r="M257" s="313">
        <f t="shared" si="21"/>
        <v>28920</v>
      </c>
      <c r="N257" s="314">
        <f t="shared" si="22"/>
        <v>0.300031123560535</v>
      </c>
      <c r="O257" s="312">
        <v>67470</v>
      </c>
      <c r="P257" s="313">
        <f t="shared" si="18"/>
        <v>0</v>
      </c>
      <c r="Q257" s="310" t="s">
        <v>147</v>
      </c>
      <c r="R257" s="310">
        <v>262</v>
      </c>
      <c r="S257" s="310"/>
      <c r="T257" s="308">
        <v>45642</v>
      </c>
      <c r="U257" s="308">
        <v>45642</v>
      </c>
      <c r="V257" s="308"/>
      <c r="W257" s="315">
        <f t="shared" si="23"/>
        <v>8</v>
      </c>
      <c r="X257" s="310" t="s">
        <v>54</v>
      </c>
      <c r="Y257" s="310" t="s">
        <v>439</v>
      </c>
      <c r="Z257" s="316"/>
      <c r="AA257" s="316" t="s">
        <v>997</v>
      </c>
      <c r="AB257" s="316" t="s">
        <v>997</v>
      </c>
    </row>
    <row r="258" spans="1:28" x14ac:dyDescent="0.25">
      <c r="A258" s="307">
        <f t="shared" si="19"/>
        <v>252</v>
      </c>
      <c r="B258" s="308">
        <v>45636</v>
      </c>
      <c r="C258" s="309">
        <f t="shared" si="20"/>
        <v>45627</v>
      </c>
      <c r="D258" s="310" t="s">
        <v>51</v>
      </c>
      <c r="E258" s="310" t="s">
        <v>987</v>
      </c>
      <c r="F258" s="311">
        <v>9747427246</v>
      </c>
      <c r="G258" s="316" t="s">
        <v>6</v>
      </c>
      <c r="H258" s="316" t="s">
        <v>1022</v>
      </c>
      <c r="I258" s="316" t="s">
        <v>1023</v>
      </c>
      <c r="J258" s="310" t="s">
        <v>3730</v>
      </c>
      <c r="K258" s="312">
        <v>37480</v>
      </c>
      <c r="L258" s="312">
        <v>53550</v>
      </c>
      <c r="M258" s="313">
        <f t="shared" si="21"/>
        <v>16070</v>
      </c>
      <c r="N258" s="314">
        <f t="shared" si="22"/>
        <v>0.300093370681606</v>
      </c>
      <c r="O258" s="312">
        <v>37480</v>
      </c>
      <c r="P258" s="313">
        <f t="shared" si="18"/>
        <v>0</v>
      </c>
      <c r="Q258" s="310" t="s">
        <v>147</v>
      </c>
      <c r="R258" s="310">
        <v>263</v>
      </c>
      <c r="S258" s="310"/>
      <c r="T258" s="308">
        <v>45643</v>
      </c>
      <c r="U258" s="308">
        <v>45643</v>
      </c>
      <c r="V258" s="308"/>
      <c r="W258" s="315">
        <f t="shared" si="23"/>
        <v>7</v>
      </c>
      <c r="X258" s="310" t="s">
        <v>54</v>
      </c>
      <c r="Y258" s="310" t="s">
        <v>529</v>
      </c>
      <c r="Z258" s="316"/>
      <c r="AA258" s="316" t="s">
        <v>995</v>
      </c>
      <c r="AB258" s="316" t="s">
        <v>995</v>
      </c>
    </row>
    <row r="259" spans="1:28" x14ac:dyDescent="0.25">
      <c r="A259" s="307">
        <f t="shared" si="19"/>
        <v>253</v>
      </c>
      <c r="B259" s="308">
        <v>45636</v>
      </c>
      <c r="C259" s="309">
        <f t="shared" si="20"/>
        <v>45627</v>
      </c>
      <c r="D259" s="310" t="s">
        <v>51</v>
      </c>
      <c r="E259" s="310" t="s">
        <v>979</v>
      </c>
      <c r="F259" s="311">
        <v>9336977588</v>
      </c>
      <c r="G259" s="316" t="s">
        <v>6</v>
      </c>
      <c r="H259" s="316" t="s">
        <v>1024</v>
      </c>
      <c r="I259" s="316" t="s">
        <v>1025</v>
      </c>
      <c r="J259" s="310" t="s">
        <v>168</v>
      </c>
      <c r="K259" s="312">
        <v>27700</v>
      </c>
      <c r="L259" s="312">
        <v>41900</v>
      </c>
      <c r="M259" s="313">
        <f t="shared" si="21"/>
        <v>14200</v>
      </c>
      <c r="N259" s="314">
        <f t="shared" si="22"/>
        <v>0.33890214797136</v>
      </c>
      <c r="O259" s="312">
        <v>27700</v>
      </c>
      <c r="P259" s="313">
        <f t="shared" si="18"/>
        <v>0</v>
      </c>
      <c r="Q259" s="310" t="s">
        <v>147</v>
      </c>
      <c r="R259" s="310">
        <v>264</v>
      </c>
      <c r="S259" s="310"/>
      <c r="T259" s="308">
        <v>45642</v>
      </c>
      <c r="U259" s="308">
        <v>45642</v>
      </c>
      <c r="V259" s="308"/>
      <c r="W259" s="315">
        <f t="shared" si="23"/>
        <v>6</v>
      </c>
      <c r="X259" s="310" t="s">
        <v>54</v>
      </c>
      <c r="Y259" s="310" t="s">
        <v>439</v>
      </c>
      <c r="Z259" s="316"/>
      <c r="AA259" s="316" t="s">
        <v>997</v>
      </c>
      <c r="AB259" s="316" t="s">
        <v>997</v>
      </c>
    </row>
    <row r="260" spans="1:28" x14ac:dyDescent="0.25">
      <c r="A260" s="307">
        <f t="shared" si="19"/>
        <v>254</v>
      </c>
      <c r="B260" s="308">
        <v>45636</v>
      </c>
      <c r="C260" s="309">
        <f t="shared" si="20"/>
        <v>45627</v>
      </c>
      <c r="D260" s="310" t="s">
        <v>51</v>
      </c>
      <c r="E260" s="310" t="s">
        <v>880</v>
      </c>
      <c r="F260" s="311">
        <v>9517980736</v>
      </c>
      <c r="G260" s="316" t="s">
        <v>42</v>
      </c>
      <c r="H260" s="316" t="s">
        <v>26</v>
      </c>
      <c r="I260" s="316" t="s">
        <v>1040</v>
      </c>
      <c r="J260" s="310" t="s">
        <v>3730</v>
      </c>
      <c r="K260" s="312">
        <v>66400</v>
      </c>
      <c r="L260" s="312">
        <v>96390</v>
      </c>
      <c r="M260" s="313">
        <f t="shared" si="21"/>
        <v>29990</v>
      </c>
      <c r="N260" s="314">
        <f t="shared" si="22"/>
        <v>0.311131860151468</v>
      </c>
      <c r="O260" s="312">
        <v>66400</v>
      </c>
      <c r="P260" s="313">
        <f t="shared" si="18"/>
        <v>0</v>
      </c>
      <c r="Q260" s="310" t="s">
        <v>147</v>
      </c>
      <c r="R260" s="310">
        <v>265</v>
      </c>
      <c r="S260" s="310"/>
      <c r="T260" s="308">
        <v>45640</v>
      </c>
      <c r="U260" s="308">
        <v>45640</v>
      </c>
      <c r="V260" s="308"/>
      <c r="W260" s="315">
        <f t="shared" si="23"/>
        <v>4</v>
      </c>
      <c r="X260" s="310" t="s">
        <v>54</v>
      </c>
      <c r="Y260" s="310" t="s">
        <v>529</v>
      </c>
      <c r="Z260" s="316"/>
      <c r="AA260" s="316" t="s">
        <v>993</v>
      </c>
      <c r="AB260" s="316" t="s">
        <v>993</v>
      </c>
    </row>
    <row r="261" spans="1:28" x14ac:dyDescent="0.25">
      <c r="A261" s="307">
        <f t="shared" si="19"/>
        <v>255</v>
      </c>
      <c r="B261" s="308">
        <v>45637</v>
      </c>
      <c r="C261" s="309">
        <f t="shared" si="20"/>
        <v>45627</v>
      </c>
      <c r="D261" s="310" t="s">
        <v>51</v>
      </c>
      <c r="E261" s="310" t="s">
        <v>696</v>
      </c>
      <c r="F261" s="311">
        <v>9754088991</v>
      </c>
      <c r="G261" s="316" t="s">
        <v>6</v>
      </c>
      <c r="H261" s="316" t="s">
        <v>26</v>
      </c>
      <c r="I261" s="316" t="s">
        <v>1041</v>
      </c>
      <c r="J261" s="310" t="s">
        <v>3730</v>
      </c>
      <c r="K261" s="312">
        <v>32020</v>
      </c>
      <c r="L261" s="312">
        <v>40320</v>
      </c>
      <c r="M261" s="313">
        <f t="shared" si="21"/>
        <v>8300</v>
      </c>
      <c r="N261" s="314">
        <f t="shared" si="22"/>
        <v>0.205853174603175</v>
      </c>
      <c r="O261" s="312">
        <v>32020</v>
      </c>
      <c r="P261" s="313">
        <f t="shared" si="18"/>
        <v>0</v>
      </c>
      <c r="Q261" s="310" t="s">
        <v>147</v>
      </c>
      <c r="R261" s="310">
        <v>266</v>
      </c>
      <c r="S261" s="310"/>
      <c r="T261" s="308">
        <v>45640</v>
      </c>
      <c r="U261" s="308">
        <v>45640</v>
      </c>
      <c r="V261" s="308"/>
      <c r="W261" s="315">
        <f t="shared" si="23"/>
        <v>3</v>
      </c>
      <c r="X261" s="310" t="s">
        <v>54</v>
      </c>
      <c r="Y261" s="310" t="s">
        <v>439</v>
      </c>
      <c r="Z261" s="316"/>
      <c r="AA261" s="316" t="s">
        <v>993</v>
      </c>
      <c r="AB261" s="316" t="s">
        <v>993</v>
      </c>
    </row>
    <row r="262" spans="1:28" x14ac:dyDescent="0.25">
      <c r="A262" s="307">
        <f t="shared" si="19"/>
        <v>256</v>
      </c>
      <c r="B262" s="308">
        <v>45637</v>
      </c>
      <c r="C262" s="309">
        <f t="shared" si="20"/>
        <v>45627</v>
      </c>
      <c r="D262" s="310" t="s">
        <v>51</v>
      </c>
      <c r="E262" s="310" t="s">
        <v>980</v>
      </c>
      <c r="F262" s="311">
        <v>9997445803</v>
      </c>
      <c r="G262" s="316" t="s">
        <v>6</v>
      </c>
      <c r="H262" s="316" t="s">
        <v>1026</v>
      </c>
      <c r="I262" s="316" t="s">
        <v>1027</v>
      </c>
      <c r="J262" s="310" t="s">
        <v>3730</v>
      </c>
      <c r="K262" s="312">
        <v>35250</v>
      </c>
      <c r="L262" s="312">
        <v>52920</v>
      </c>
      <c r="M262" s="313">
        <f t="shared" si="21"/>
        <v>17670</v>
      </c>
      <c r="N262" s="314">
        <f t="shared" si="22"/>
        <v>0.33390022675737</v>
      </c>
      <c r="O262" s="312">
        <v>35250</v>
      </c>
      <c r="P262" s="313">
        <f t="shared" si="18"/>
        <v>0</v>
      </c>
      <c r="Q262" s="310" t="s">
        <v>147</v>
      </c>
      <c r="R262" s="310">
        <v>267</v>
      </c>
      <c r="S262" s="310"/>
      <c r="T262" s="308">
        <v>45642</v>
      </c>
      <c r="U262" s="308">
        <v>45642</v>
      </c>
      <c r="V262" s="308"/>
      <c r="W262" s="315">
        <f t="shared" si="23"/>
        <v>5</v>
      </c>
      <c r="X262" s="310" t="s">
        <v>54</v>
      </c>
      <c r="Y262" s="310" t="s">
        <v>439</v>
      </c>
      <c r="Z262" s="316"/>
      <c r="AA262" s="316" t="s">
        <v>997</v>
      </c>
      <c r="AB262" s="316" t="s">
        <v>997</v>
      </c>
    </row>
    <row r="263" spans="1:28" x14ac:dyDescent="0.25">
      <c r="A263" s="307">
        <f t="shared" si="19"/>
        <v>257</v>
      </c>
      <c r="B263" s="308">
        <v>45638</v>
      </c>
      <c r="C263" s="309">
        <f t="shared" si="20"/>
        <v>45627</v>
      </c>
      <c r="D263" s="310" t="s">
        <v>51</v>
      </c>
      <c r="E263" s="310" t="s">
        <v>605</v>
      </c>
      <c r="F263" s="311">
        <v>9142370650</v>
      </c>
      <c r="G263" s="316" t="s">
        <v>6</v>
      </c>
      <c r="H263" s="316" t="s">
        <v>440</v>
      </c>
      <c r="I263" s="316" t="s">
        <v>1028</v>
      </c>
      <c r="J263" s="310" t="s">
        <v>623</v>
      </c>
      <c r="K263" s="312">
        <v>27170</v>
      </c>
      <c r="L263" s="312">
        <v>41900</v>
      </c>
      <c r="M263" s="313">
        <f t="shared" si="21"/>
        <v>14730</v>
      </c>
      <c r="N263" s="314">
        <f t="shared" si="22"/>
        <v>0.351551312649165</v>
      </c>
      <c r="O263" s="312">
        <v>27170</v>
      </c>
      <c r="P263" s="313">
        <f t="shared" ref="P263:P326" si="24">IF(OR($K263="",$O263=""),"",$K263-$O263)</f>
        <v>0</v>
      </c>
      <c r="Q263" s="310" t="s">
        <v>147</v>
      </c>
      <c r="R263" s="310">
        <v>268</v>
      </c>
      <c r="S263" s="310"/>
      <c r="T263" s="308">
        <v>45642</v>
      </c>
      <c r="U263" s="308">
        <v>45642</v>
      </c>
      <c r="V263" s="308"/>
      <c r="W263" s="315">
        <f t="shared" si="23"/>
        <v>4</v>
      </c>
      <c r="X263" s="310" t="s">
        <v>54</v>
      </c>
      <c r="Y263" s="310" t="s">
        <v>439</v>
      </c>
      <c r="Z263" s="316"/>
      <c r="AA263" s="316" t="s">
        <v>997</v>
      </c>
      <c r="AB263" s="316" t="s">
        <v>997</v>
      </c>
    </row>
    <row r="264" spans="1:28" x14ac:dyDescent="0.25">
      <c r="A264" s="307">
        <f t="shared" ref="A264:A327" si="25">IF($B264="","",ROW()-6)</f>
        <v>258</v>
      </c>
      <c r="B264" s="308">
        <v>45637</v>
      </c>
      <c r="C264" s="309">
        <f t="shared" ref="C264:C327" si="26">IF($B264="","",EOMONTH($B264,-1)+1)</f>
        <v>45627</v>
      </c>
      <c r="D264" s="310" t="s">
        <v>56</v>
      </c>
      <c r="E264" s="310" t="s">
        <v>60</v>
      </c>
      <c r="F264" s="311">
        <v>9589264337</v>
      </c>
      <c r="G264" s="316" t="s">
        <v>42</v>
      </c>
      <c r="H264" s="316" t="s">
        <v>1048</v>
      </c>
      <c r="I264" s="316" t="s">
        <v>1049</v>
      </c>
      <c r="J264" s="310" t="s">
        <v>3730</v>
      </c>
      <c r="K264" s="312">
        <v>53580</v>
      </c>
      <c r="L264" s="312">
        <v>102690</v>
      </c>
      <c r="M264" s="313">
        <f t="shared" ref="M264:M327" si="27">IF(OR($K264="",$L264=""),"",$L264-$K264)</f>
        <v>49110</v>
      </c>
      <c r="N264" s="314">
        <f t="shared" ref="N264:N327" si="28">IF(OR($L264="",$L264=0,$M264=""),"",$M264/$L264)</f>
        <v>0.478235465965527</v>
      </c>
      <c r="O264" s="312">
        <v>53580</v>
      </c>
      <c r="P264" s="313">
        <f t="shared" si="24"/>
        <v>0</v>
      </c>
      <c r="Q264" s="310" t="s">
        <v>147</v>
      </c>
      <c r="R264" s="310">
        <v>269</v>
      </c>
      <c r="S264" s="310"/>
      <c r="T264" s="308">
        <v>45640</v>
      </c>
      <c r="U264" s="308">
        <v>45640</v>
      </c>
      <c r="V264" s="308"/>
      <c r="W264" s="315">
        <f t="shared" ref="W264:W327" si="29">IF(OR($B264="",$U264=""),"",$U264-$B264)</f>
        <v>3</v>
      </c>
      <c r="X264" s="310" t="s">
        <v>54</v>
      </c>
      <c r="Y264" s="310" t="s">
        <v>56</v>
      </c>
      <c r="Z264" s="316"/>
      <c r="AA264" s="316" t="s">
        <v>993</v>
      </c>
      <c r="AB264" s="316" t="s">
        <v>993</v>
      </c>
    </row>
    <row r="265" spans="1:28" x14ac:dyDescent="0.25">
      <c r="A265" s="307">
        <f t="shared" si="25"/>
        <v>259</v>
      </c>
      <c r="B265" s="308">
        <v>45639</v>
      </c>
      <c r="C265" s="309">
        <f t="shared" si="26"/>
        <v>45627</v>
      </c>
      <c r="D265" s="310" t="s">
        <v>51</v>
      </c>
      <c r="E265" s="310" t="s">
        <v>988</v>
      </c>
      <c r="F265" s="311">
        <v>9192326126</v>
      </c>
      <c r="G265" s="316" t="s">
        <v>6</v>
      </c>
      <c r="H265" s="316" t="s">
        <v>1029</v>
      </c>
      <c r="I265" s="316" t="s">
        <v>1030</v>
      </c>
      <c r="J265" s="310" t="s">
        <v>623</v>
      </c>
      <c r="K265" s="312">
        <v>31250</v>
      </c>
      <c r="L265" s="312">
        <v>44100</v>
      </c>
      <c r="M265" s="313">
        <f t="shared" si="27"/>
        <v>12850</v>
      </c>
      <c r="N265" s="314">
        <f t="shared" si="28"/>
        <v>0.291383219954649</v>
      </c>
      <c r="O265" s="312">
        <v>31250</v>
      </c>
      <c r="P265" s="313">
        <f t="shared" si="24"/>
        <v>0</v>
      </c>
      <c r="Q265" s="310" t="s">
        <v>147</v>
      </c>
      <c r="R265" s="310">
        <v>270</v>
      </c>
      <c r="S265" s="310"/>
      <c r="T265" s="308">
        <v>45644</v>
      </c>
      <c r="U265" s="308">
        <v>45644</v>
      </c>
      <c r="V265" s="308"/>
      <c r="W265" s="315">
        <f t="shared" si="29"/>
        <v>5</v>
      </c>
      <c r="X265" s="310" t="s">
        <v>54</v>
      </c>
      <c r="Y265" s="310" t="s">
        <v>529</v>
      </c>
      <c r="Z265" s="316"/>
      <c r="AA265" s="316" t="s">
        <v>996</v>
      </c>
      <c r="AB265" s="316" t="s">
        <v>996</v>
      </c>
    </row>
    <row r="266" spans="1:28" x14ac:dyDescent="0.25">
      <c r="A266" s="307">
        <f t="shared" si="25"/>
        <v>260</v>
      </c>
      <c r="B266" s="308">
        <v>45639</v>
      </c>
      <c r="C266" s="309">
        <f t="shared" si="26"/>
        <v>45627</v>
      </c>
      <c r="D266" s="310" t="s">
        <v>56</v>
      </c>
      <c r="E266" s="310" t="s">
        <v>38</v>
      </c>
      <c r="F266" s="311">
        <v>9025368773</v>
      </c>
      <c r="G266" s="316" t="s">
        <v>42</v>
      </c>
      <c r="H266" s="316" t="s">
        <v>1050</v>
      </c>
      <c r="I266" s="316" t="s">
        <v>1051</v>
      </c>
      <c r="J266" s="310" t="s">
        <v>59</v>
      </c>
      <c r="K266" s="312">
        <v>52820</v>
      </c>
      <c r="L266" s="312">
        <v>97650</v>
      </c>
      <c r="M266" s="313">
        <f t="shared" si="27"/>
        <v>44830</v>
      </c>
      <c r="N266" s="314">
        <f t="shared" si="28"/>
        <v>0.459088581669227</v>
      </c>
      <c r="O266" s="312">
        <v>52820</v>
      </c>
      <c r="P266" s="313">
        <f t="shared" si="24"/>
        <v>0</v>
      </c>
      <c r="Q266" s="310" t="s">
        <v>147</v>
      </c>
      <c r="R266" s="310">
        <v>271</v>
      </c>
      <c r="S266" s="310"/>
      <c r="T266" s="308">
        <v>45642</v>
      </c>
      <c r="U266" s="308">
        <v>45642</v>
      </c>
      <c r="V266" s="308"/>
      <c r="W266" s="315">
        <f t="shared" si="29"/>
        <v>3</v>
      </c>
      <c r="X266" s="310" t="s">
        <v>54</v>
      </c>
      <c r="Y266" s="310" t="s">
        <v>56</v>
      </c>
      <c r="Z266" s="316"/>
      <c r="AA266" s="316" t="s">
        <v>997</v>
      </c>
      <c r="AB266" s="316" t="s">
        <v>997</v>
      </c>
    </row>
    <row r="267" spans="1:28" x14ac:dyDescent="0.25">
      <c r="A267" s="307">
        <f t="shared" si="25"/>
        <v>261</v>
      </c>
      <c r="B267" s="308">
        <v>45640</v>
      </c>
      <c r="C267" s="309">
        <f t="shared" si="26"/>
        <v>45627</v>
      </c>
      <c r="D267" s="310" t="s">
        <v>51</v>
      </c>
      <c r="E267" s="310" t="s">
        <v>989</v>
      </c>
      <c r="F267" s="311">
        <v>9707438801</v>
      </c>
      <c r="G267" s="316" t="s">
        <v>6</v>
      </c>
      <c r="H267" s="316" t="s">
        <v>1032</v>
      </c>
      <c r="I267" s="316" t="s">
        <v>1031</v>
      </c>
      <c r="J267" s="310" t="s">
        <v>623</v>
      </c>
      <c r="K267" s="312">
        <v>27700</v>
      </c>
      <c r="L267" s="312">
        <v>41900</v>
      </c>
      <c r="M267" s="313">
        <f t="shared" si="27"/>
        <v>14200</v>
      </c>
      <c r="N267" s="314">
        <f t="shared" si="28"/>
        <v>0.33890214797136</v>
      </c>
      <c r="O267" s="312">
        <v>27700</v>
      </c>
      <c r="P267" s="313">
        <f t="shared" si="24"/>
        <v>0</v>
      </c>
      <c r="Q267" s="310" t="s">
        <v>147</v>
      </c>
      <c r="R267" s="310">
        <v>272</v>
      </c>
      <c r="S267" s="310"/>
      <c r="T267" s="308">
        <v>45644</v>
      </c>
      <c r="U267" s="308">
        <v>45644</v>
      </c>
      <c r="V267" s="308"/>
      <c r="W267" s="315">
        <f t="shared" si="29"/>
        <v>4</v>
      </c>
      <c r="X267" s="310" t="s">
        <v>54</v>
      </c>
      <c r="Y267" s="310" t="s">
        <v>439</v>
      </c>
      <c r="Z267" s="316"/>
      <c r="AA267" s="316" t="s">
        <v>996</v>
      </c>
      <c r="AB267" s="316" t="s">
        <v>996</v>
      </c>
    </row>
    <row r="268" spans="1:28" x14ac:dyDescent="0.25">
      <c r="A268" s="307">
        <f t="shared" si="25"/>
        <v>262</v>
      </c>
      <c r="B268" s="308">
        <v>45640</v>
      </c>
      <c r="C268" s="309">
        <f t="shared" si="26"/>
        <v>45627</v>
      </c>
      <c r="D268" s="310" t="s">
        <v>51</v>
      </c>
      <c r="E268" s="310" t="s">
        <v>990</v>
      </c>
      <c r="F268" s="311">
        <v>9618930252</v>
      </c>
      <c r="G268" s="316" t="s">
        <v>42</v>
      </c>
      <c r="H268" s="316" t="s">
        <v>26</v>
      </c>
      <c r="I268" s="316" t="s">
        <v>1044</v>
      </c>
      <c r="J268" s="310" t="s">
        <v>3730</v>
      </c>
      <c r="K268" s="312">
        <v>68010</v>
      </c>
      <c r="L268" s="312">
        <v>96390</v>
      </c>
      <c r="M268" s="313">
        <f t="shared" si="27"/>
        <v>28380</v>
      </c>
      <c r="N268" s="314">
        <f t="shared" si="28"/>
        <v>0.294428882664177</v>
      </c>
      <c r="O268" s="312">
        <v>68010</v>
      </c>
      <c r="P268" s="313">
        <f t="shared" si="24"/>
        <v>0</v>
      </c>
      <c r="Q268" s="310" t="s">
        <v>147</v>
      </c>
      <c r="R268" s="310">
        <v>273</v>
      </c>
      <c r="S268" s="310"/>
      <c r="T268" s="308">
        <v>45644</v>
      </c>
      <c r="U268" s="308">
        <v>45644</v>
      </c>
      <c r="V268" s="308"/>
      <c r="W268" s="315">
        <f t="shared" si="29"/>
        <v>4</v>
      </c>
      <c r="X268" s="310" t="s">
        <v>54</v>
      </c>
      <c r="Y268" s="310" t="s">
        <v>439</v>
      </c>
      <c r="Z268" s="316"/>
      <c r="AA268" s="316" t="s">
        <v>996</v>
      </c>
      <c r="AB268" s="316" t="s">
        <v>996</v>
      </c>
    </row>
    <row r="269" spans="1:28" x14ac:dyDescent="0.25">
      <c r="A269" s="307">
        <f t="shared" si="25"/>
        <v>263</v>
      </c>
      <c r="B269" s="308">
        <v>45640</v>
      </c>
      <c r="C269" s="309">
        <f t="shared" si="26"/>
        <v>45627</v>
      </c>
      <c r="D269" s="310" t="s">
        <v>56</v>
      </c>
      <c r="E269" s="310" t="s">
        <v>60</v>
      </c>
      <c r="F269" s="311">
        <v>9589264337</v>
      </c>
      <c r="G269" s="316" t="s">
        <v>6</v>
      </c>
      <c r="H269" s="316" t="s">
        <v>26</v>
      </c>
      <c r="I269" s="316" t="s">
        <v>1033</v>
      </c>
      <c r="J269" s="310" t="s">
        <v>3730</v>
      </c>
      <c r="K269" s="312">
        <v>45170</v>
      </c>
      <c r="L269" s="312">
        <v>46620</v>
      </c>
      <c r="M269" s="313">
        <f t="shared" si="27"/>
        <v>1450</v>
      </c>
      <c r="N269" s="314">
        <f t="shared" si="28"/>
        <v>0.0311025311025311</v>
      </c>
      <c r="O269" s="312">
        <v>45170</v>
      </c>
      <c r="P269" s="313">
        <f t="shared" si="24"/>
        <v>0</v>
      </c>
      <c r="Q269" s="310" t="s">
        <v>147</v>
      </c>
      <c r="R269" s="310">
        <v>274</v>
      </c>
      <c r="S269" s="310"/>
      <c r="T269" s="308">
        <v>45643</v>
      </c>
      <c r="U269" s="308">
        <v>45643</v>
      </c>
      <c r="V269" s="308"/>
      <c r="W269" s="315">
        <f t="shared" si="29"/>
        <v>3</v>
      </c>
      <c r="X269" s="310" t="s">
        <v>54</v>
      </c>
      <c r="Y269" s="310" t="s">
        <v>56</v>
      </c>
      <c r="Z269" s="316" t="s">
        <v>154</v>
      </c>
      <c r="AA269" s="316" t="s">
        <v>995</v>
      </c>
      <c r="AB269" s="316" t="s">
        <v>995</v>
      </c>
    </row>
    <row r="270" spans="1:28" x14ac:dyDescent="0.25">
      <c r="A270" s="307">
        <f t="shared" si="25"/>
        <v>264</v>
      </c>
      <c r="B270" s="308">
        <v>45642</v>
      </c>
      <c r="C270" s="309">
        <f t="shared" si="26"/>
        <v>45627</v>
      </c>
      <c r="D270" s="310" t="s">
        <v>51</v>
      </c>
      <c r="E270" s="310" t="s">
        <v>974</v>
      </c>
      <c r="F270" s="311">
        <v>9695227535</v>
      </c>
      <c r="G270" s="316" t="s">
        <v>6</v>
      </c>
      <c r="H270" s="316" t="s">
        <v>1034</v>
      </c>
      <c r="I270" s="316" t="s">
        <v>1035</v>
      </c>
      <c r="J270" s="310" t="s">
        <v>168</v>
      </c>
      <c r="K270" s="312">
        <v>27700</v>
      </c>
      <c r="L270" s="312">
        <v>41900</v>
      </c>
      <c r="M270" s="313">
        <f t="shared" si="27"/>
        <v>14200</v>
      </c>
      <c r="N270" s="314">
        <f t="shared" si="28"/>
        <v>0.33890214797136</v>
      </c>
      <c r="O270" s="312">
        <v>27700</v>
      </c>
      <c r="P270" s="313">
        <f t="shared" si="24"/>
        <v>0</v>
      </c>
      <c r="Q270" s="310" t="s">
        <v>147</v>
      </c>
      <c r="R270" s="310">
        <v>275</v>
      </c>
      <c r="S270" s="310"/>
      <c r="T270" s="308">
        <v>45646</v>
      </c>
      <c r="U270" s="308">
        <v>45646</v>
      </c>
      <c r="V270" s="308"/>
      <c r="W270" s="315">
        <f t="shared" si="29"/>
        <v>4</v>
      </c>
      <c r="X270" s="310" t="s">
        <v>54</v>
      </c>
      <c r="Y270" s="310" t="s">
        <v>439</v>
      </c>
      <c r="Z270" s="316"/>
      <c r="AA270" s="316" t="s">
        <v>1091</v>
      </c>
      <c r="AB270" s="316" t="s">
        <v>1091</v>
      </c>
    </row>
    <row r="271" spans="1:28" x14ac:dyDescent="0.25">
      <c r="A271" s="307">
        <f t="shared" si="25"/>
        <v>265</v>
      </c>
      <c r="B271" s="308">
        <v>45644</v>
      </c>
      <c r="C271" s="309">
        <f t="shared" si="26"/>
        <v>45627</v>
      </c>
      <c r="D271" s="310" t="s">
        <v>56</v>
      </c>
      <c r="E271" s="310" t="s">
        <v>38</v>
      </c>
      <c r="F271" s="311">
        <v>9515412075</v>
      </c>
      <c r="G271" s="316" t="s">
        <v>6</v>
      </c>
      <c r="H271" s="316" t="s">
        <v>1052</v>
      </c>
      <c r="I271" s="316" t="s">
        <v>1053</v>
      </c>
      <c r="J271" s="310" t="s">
        <v>59</v>
      </c>
      <c r="K271" s="312">
        <v>46680</v>
      </c>
      <c r="L271" s="312">
        <v>56700</v>
      </c>
      <c r="M271" s="313">
        <f t="shared" si="27"/>
        <v>10020</v>
      </c>
      <c r="N271" s="314">
        <f t="shared" si="28"/>
        <v>0.176719576719577</v>
      </c>
      <c r="O271" s="312">
        <v>46680</v>
      </c>
      <c r="P271" s="313">
        <f t="shared" si="24"/>
        <v>0</v>
      </c>
      <c r="Q271" s="310" t="s">
        <v>147</v>
      </c>
      <c r="R271" s="310">
        <v>276</v>
      </c>
      <c r="S271" s="310"/>
      <c r="T271" s="308">
        <v>45648</v>
      </c>
      <c r="U271" s="308">
        <v>45649</v>
      </c>
      <c r="V271" s="308"/>
      <c r="W271" s="315">
        <f t="shared" si="29"/>
        <v>5</v>
      </c>
      <c r="X271" s="310" t="s">
        <v>54</v>
      </c>
      <c r="Y271" s="310" t="s">
        <v>56</v>
      </c>
      <c r="Z271" s="316"/>
      <c r="AA271" s="316" t="s">
        <v>1095</v>
      </c>
      <c r="AB271" s="316" t="s">
        <v>1094</v>
      </c>
    </row>
    <row r="272" spans="1:28" x14ac:dyDescent="0.25">
      <c r="A272" s="307">
        <f t="shared" si="25"/>
        <v>266</v>
      </c>
      <c r="B272" s="308">
        <v>45644</v>
      </c>
      <c r="C272" s="309">
        <f t="shared" si="26"/>
        <v>45627</v>
      </c>
      <c r="D272" s="310" t="s">
        <v>51</v>
      </c>
      <c r="E272" s="310" t="s">
        <v>990</v>
      </c>
      <c r="F272" s="311">
        <v>9618930252</v>
      </c>
      <c r="G272" s="316" t="s">
        <v>6</v>
      </c>
      <c r="H272" s="316" t="s">
        <v>26</v>
      </c>
      <c r="I272" s="316" t="s">
        <v>1036</v>
      </c>
      <c r="J272" s="310" t="s">
        <v>3730</v>
      </c>
      <c r="K272" s="312">
        <v>31750</v>
      </c>
      <c r="L272" s="312">
        <v>40320</v>
      </c>
      <c r="M272" s="313">
        <f t="shared" si="27"/>
        <v>8570</v>
      </c>
      <c r="N272" s="314">
        <f t="shared" si="28"/>
        <v>0.212549603174603</v>
      </c>
      <c r="O272" s="312">
        <v>31750</v>
      </c>
      <c r="P272" s="313">
        <f t="shared" si="24"/>
        <v>0</v>
      </c>
      <c r="Q272" s="310" t="s">
        <v>147</v>
      </c>
      <c r="R272" s="310">
        <v>277</v>
      </c>
      <c r="S272" s="310"/>
      <c r="T272" s="308">
        <v>45647</v>
      </c>
      <c r="U272" s="308">
        <v>45649</v>
      </c>
      <c r="V272" s="308"/>
      <c r="W272" s="315">
        <f t="shared" si="29"/>
        <v>5</v>
      </c>
      <c r="X272" s="310" t="s">
        <v>54</v>
      </c>
      <c r="Y272" s="310" t="s">
        <v>439</v>
      </c>
      <c r="Z272" s="316"/>
      <c r="AA272" s="316" t="s">
        <v>1096</v>
      </c>
      <c r="AB272" s="316" t="s">
        <v>1094</v>
      </c>
    </row>
    <row r="273" spans="1:28" x14ac:dyDescent="0.25">
      <c r="A273" s="307">
        <f t="shared" si="25"/>
        <v>267</v>
      </c>
      <c r="B273" s="308">
        <v>45645</v>
      </c>
      <c r="C273" s="309">
        <f t="shared" si="26"/>
        <v>45627</v>
      </c>
      <c r="D273" s="310" t="s">
        <v>51</v>
      </c>
      <c r="E273" s="310" t="s">
        <v>1090</v>
      </c>
      <c r="F273" s="311">
        <v>9984938345</v>
      </c>
      <c r="G273" s="316" t="s">
        <v>6</v>
      </c>
      <c r="H273" s="316" t="s">
        <v>1127</v>
      </c>
      <c r="I273" s="316" t="s">
        <v>1128</v>
      </c>
      <c r="J273" s="310" t="s">
        <v>3730</v>
      </c>
      <c r="K273" s="312">
        <v>32700</v>
      </c>
      <c r="L273" s="312">
        <v>46620</v>
      </c>
      <c r="M273" s="313">
        <f t="shared" si="27"/>
        <v>13920</v>
      </c>
      <c r="N273" s="314">
        <f t="shared" si="28"/>
        <v>0.298584298584299</v>
      </c>
      <c r="O273" s="312">
        <v>32700</v>
      </c>
      <c r="P273" s="313">
        <f t="shared" si="24"/>
        <v>0</v>
      </c>
      <c r="Q273" s="310" t="s">
        <v>147</v>
      </c>
      <c r="R273" s="310">
        <v>278</v>
      </c>
      <c r="S273" s="310"/>
      <c r="T273" s="308">
        <v>45651</v>
      </c>
      <c r="U273" s="308">
        <v>45651</v>
      </c>
      <c r="V273" s="308"/>
      <c r="W273" s="315">
        <f t="shared" si="29"/>
        <v>6</v>
      </c>
      <c r="X273" s="310" t="s">
        <v>54</v>
      </c>
      <c r="Y273" s="310" t="s">
        <v>529</v>
      </c>
      <c r="Z273" s="316"/>
      <c r="AA273" s="316" t="s">
        <v>1100</v>
      </c>
      <c r="AB273" s="316" t="s">
        <v>1100</v>
      </c>
    </row>
    <row r="274" spans="1:28" x14ac:dyDescent="0.25">
      <c r="A274" s="307">
        <f t="shared" si="25"/>
        <v>268</v>
      </c>
      <c r="B274" s="308">
        <v>45646</v>
      </c>
      <c r="C274" s="309">
        <f t="shared" si="26"/>
        <v>45627</v>
      </c>
      <c r="D274" s="310" t="s">
        <v>51</v>
      </c>
      <c r="E274" s="310" t="s">
        <v>876</v>
      </c>
      <c r="F274" s="311">
        <v>9216040168</v>
      </c>
      <c r="G274" s="316" t="s">
        <v>6</v>
      </c>
      <c r="H274" s="316" t="s">
        <v>1129</v>
      </c>
      <c r="I274" s="316" t="s">
        <v>1130</v>
      </c>
      <c r="J274" s="310" t="s">
        <v>623</v>
      </c>
      <c r="K274" s="312">
        <v>27700</v>
      </c>
      <c r="L274" s="312">
        <v>41900</v>
      </c>
      <c r="M274" s="313">
        <f t="shared" si="27"/>
        <v>14200</v>
      </c>
      <c r="N274" s="314">
        <f t="shared" si="28"/>
        <v>0.33890214797136</v>
      </c>
      <c r="O274" s="312">
        <v>27700</v>
      </c>
      <c r="P274" s="313">
        <f t="shared" si="24"/>
        <v>0</v>
      </c>
      <c r="Q274" s="310" t="s">
        <v>147</v>
      </c>
      <c r="R274" s="310">
        <v>279</v>
      </c>
      <c r="S274" s="310"/>
      <c r="T274" s="308">
        <v>45651</v>
      </c>
      <c r="U274" s="308">
        <v>45651</v>
      </c>
      <c r="V274" s="308"/>
      <c r="W274" s="315">
        <f t="shared" si="29"/>
        <v>5</v>
      </c>
      <c r="X274" s="310" t="s">
        <v>54</v>
      </c>
      <c r="Y274" s="310" t="s">
        <v>439</v>
      </c>
      <c r="Z274" s="316"/>
      <c r="AA274" s="316" t="s">
        <v>1100</v>
      </c>
      <c r="AB274" s="316" t="s">
        <v>1100</v>
      </c>
    </row>
    <row r="275" spans="1:28" x14ac:dyDescent="0.25">
      <c r="A275" s="307">
        <f t="shared" si="25"/>
        <v>269</v>
      </c>
      <c r="B275" s="308">
        <v>45647</v>
      </c>
      <c r="C275" s="309">
        <f t="shared" si="26"/>
        <v>45627</v>
      </c>
      <c r="D275" s="310" t="s">
        <v>51</v>
      </c>
      <c r="E275" s="310" t="s">
        <v>2334</v>
      </c>
      <c r="F275" s="311"/>
      <c r="G275" s="316" t="s">
        <v>6</v>
      </c>
      <c r="H275" s="316" t="s">
        <v>26</v>
      </c>
      <c r="I275" s="316" t="s">
        <v>1162</v>
      </c>
      <c r="J275" s="310" t="s">
        <v>381</v>
      </c>
      <c r="K275" s="312">
        <v>2320</v>
      </c>
      <c r="L275" s="312">
        <v>3150</v>
      </c>
      <c r="M275" s="313">
        <f t="shared" si="27"/>
        <v>830</v>
      </c>
      <c r="N275" s="314">
        <f t="shared" si="28"/>
        <v>0.263492063492064</v>
      </c>
      <c r="O275" s="312">
        <v>2320</v>
      </c>
      <c r="P275" s="313">
        <f t="shared" si="24"/>
        <v>0</v>
      </c>
      <c r="Q275" s="310" t="s">
        <v>147</v>
      </c>
      <c r="R275" s="310">
        <v>280</v>
      </c>
      <c r="S275" s="310"/>
      <c r="T275" s="308">
        <v>45647</v>
      </c>
      <c r="U275" s="308">
        <v>45649</v>
      </c>
      <c r="V275" s="308"/>
      <c r="W275" s="315">
        <f t="shared" si="29"/>
        <v>2</v>
      </c>
      <c r="X275" s="310" t="s">
        <v>54</v>
      </c>
      <c r="Y275" s="310" t="s">
        <v>2334</v>
      </c>
      <c r="Z275" s="316" t="s">
        <v>1187</v>
      </c>
      <c r="AA275" s="316" t="s">
        <v>1096</v>
      </c>
      <c r="AB275" s="316" t="s">
        <v>1094</v>
      </c>
    </row>
    <row r="276" spans="1:28" x14ac:dyDescent="0.25">
      <c r="A276" s="307">
        <f t="shared" si="25"/>
        <v>270</v>
      </c>
      <c r="B276" s="308">
        <v>45647</v>
      </c>
      <c r="C276" s="309">
        <f t="shared" si="26"/>
        <v>45627</v>
      </c>
      <c r="D276" s="310" t="s">
        <v>51</v>
      </c>
      <c r="E276" s="310" t="s">
        <v>1092</v>
      </c>
      <c r="F276" s="311">
        <v>9152054393</v>
      </c>
      <c r="G276" s="316" t="s">
        <v>6</v>
      </c>
      <c r="H276" s="316" t="s">
        <v>26</v>
      </c>
      <c r="I276" s="316" t="s">
        <v>1131</v>
      </c>
      <c r="J276" s="310" t="s">
        <v>3730</v>
      </c>
      <c r="K276" s="312">
        <v>31750</v>
      </c>
      <c r="L276" s="312">
        <v>40320</v>
      </c>
      <c r="M276" s="313">
        <f t="shared" si="27"/>
        <v>8570</v>
      </c>
      <c r="N276" s="314">
        <f t="shared" si="28"/>
        <v>0.212549603174603</v>
      </c>
      <c r="O276" s="312">
        <v>31750</v>
      </c>
      <c r="P276" s="313">
        <f t="shared" si="24"/>
        <v>0</v>
      </c>
      <c r="Q276" s="310" t="s">
        <v>147</v>
      </c>
      <c r="R276" s="310">
        <v>281</v>
      </c>
      <c r="S276" s="310"/>
      <c r="T276" s="308">
        <v>45653</v>
      </c>
      <c r="U276" s="308">
        <v>45653</v>
      </c>
      <c r="V276" s="308"/>
      <c r="W276" s="315">
        <f t="shared" si="29"/>
        <v>6</v>
      </c>
      <c r="X276" s="310" t="s">
        <v>54</v>
      </c>
      <c r="Y276" s="310" t="s">
        <v>529</v>
      </c>
      <c r="Z276" s="316"/>
      <c r="AA276" s="316" t="s">
        <v>1107</v>
      </c>
      <c r="AB276" s="316" t="s">
        <v>1107</v>
      </c>
    </row>
    <row r="277" spans="1:28" x14ac:dyDescent="0.25">
      <c r="A277" s="307">
        <f t="shared" si="25"/>
        <v>271</v>
      </c>
      <c r="B277" s="308">
        <v>45647</v>
      </c>
      <c r="C277" s="309">
        <f t="shared" si="26"/>
        <v>45627</v>
      </c>
      <c r="D277" s="310" t="s">
        <v>51</v>
      </c>
      <c r="E277" s="310" t="s">
        <v>60</v>
      </c>
      <c r="F277" s="311">
        <v>9281983602</v>
      </c>
      <c r="G277" s="316" t="s">
        <v>1093</v>
      </c>
      <c r="H277" s="316" t="s">
        <v>1156</v>
      </c>
      <c r="I277" s="316" t="s">
        <v>1157</v>
      </c>
      <c r="J277" s="310" t="s">
        <v>3730</v>
      </c>
      <c r="K277" s="312">
        <v>53580</v>
      </c>
      <c r="L277" s="312">
        <v>102690</v>
      </c>
      <c r="M277" s="313">
        <f t="shared" si="27"/>
        <v>49110</v>
      </c>
      <c r="N277" s="314">
        <f t="shared" si="28"/>
        <v>0.478235465965527</v>
      </c>
      <c r="O277" s="312">
        <v>53580</v>
      </c>
      <c r="P277" s="313">
        <f t="shared" si="24"/>
        <v>0</v>
      </c>
      <c r="Q277" s="310" t="s">
        <v>147</v>
      </c>
      <c r="R277" s="310">
        <v>282</v>
      </c>
      <c r="S277" s="310"/>
      <c r="T277" s="308">
        <v>45651</v>
      </c>
      <c r="U277" s="308">
        <v>45651</v>
      </c>
      <c r="V277" s="308"/>
      <c r="W277" s="315">
        <f t="shared" si="29"/>
        <v>4</v>
      </c>
      <c r="X277" s="310" t="s">
        <v>54</v>
      </c>
      <c r="Y277" s="310" t="s">
        <v>56</v>
      </c>
      <c r="Z277" s="316"/>
      <c r="AA277" s="316" t="s">
        <v>1100</v>
      </c>
      <c r="AB277" s="316" t="s">
        <v>1100</v>
      </c>
    </row>
    <row r="278" spans="1:28" x14ac:dyDescent="0.25">
      <c r="A278" s="307">
        <f t="shared" si="25"/>
        <v>272</v>
      </c>
      <c r="B278" s="308">
        <v>45648</v>
      </c>
      <c r="C278" s="309">
        <f t="shared" si="26"/>
        <v>45627</v>
      </c>
      <c r="D278" s="310" t="s">
        <v>51</v>
      </c>
      <c r="E278" s="310" t="s">
        <v>2334</v>
      </c>
      <c r="F278" s="311"/>
      <c r="G278" s="316" t="s">
        <v>6</v>
      </c>
      <c r="H278" s="316" t="s">
        <v>26</v>
      </c>
      <c r="I278" s="316" t="s">
        <v>1152</v>
      </c>
      <c r="J278" s="310" t="s">
        <v>381</v>
      </c>
      <c r="K278" s="312">
        <v>3560</v>
      </c>
      <c r="L278" s="312">
        <v>4410</v>
      </c>
      <c r="M278" s="313">
        <f t="shared" si="27"/>
        <v>850</v>
      </c>
      <c r="N278" s="314">
        <f t="shared" si="28"/>
        <v>0.192743764172336</v>
      </c>
      <c r="O278" s="312">
        <v>3560</v>
      </c>
      <c r="P278" s="313">
        <f t="shared" si="24"/>
        <v>0</v>
      </c>
      <c r="Q278" s="310" t="s">
        <v>147</v>
      </c>
      <c r="R278" s="310">
        <v>283</v>
      </c>
      <c r="S278" s="310"/>
      <c r="T278" s="308">
        <v>45648</v>
      </c>
      <c r="U278" s="308">
        <v>45649</v>
      </c>
      <c r="V278" s="308"/>
      <c r="W278" s="315">
        <f t="shared" si="29"/>
        <v>1</v>
      </c>
      <c r="X278" s="310" t="s">
        <v>54</v>
      </c>
      <c r="Y278" s="310" t="s">
        <v>2334</v>
      </c>
      <c r="Z278" s="316" t="s">
        <v>3760</v>
      </c>
      <c r="AA278" s="316" t="s">
        <v>1095</v>
      </c>
      <c r="AB278" s="316" t="s">
        <v>1094</v>
      </c>
    </row>
    <row r="279" spans="1:28" x14ac:dyDescent="0.25">
      <c r="A279" s="307">
        <f t="shared" si="25"/>
        <v>273</v>
      </c>
      <c r="B279" s="308">
        <v>45649</v>
      </c>
      <c r="C279" s="309">
        <f t="shared" si="26"/>
        <v>45627</v>
      </c>
      <c r="D279" s="310" t="s">
        <v>51</v>
      </c>
      <c r="E279" s="310" t="s">
        <v>2334</v>
      </c>
      <c r="F279" s="311"/>
      <c r="G279" s="316" t="s">
        <v>6</v>
      </c>
      <c r="H279" s="316" t="s">
        <v>26</v>
      </c>
      <c r="I279" s="316" t="s">
        <v>1153</v>
      </c>
      <c r="J279" s="310" t="s">
        <v>381</v>
      </c>
      <c r="K279" s="312">
        <v>4610</v>
      </c>
      <c r="L279" s="312">
        <v>5420</v>
      </c>
      <c r="M279" s="313">
        <f t="shared" si="27"/>
        <v>810</v>
      </c>
      <c r="N279" s="314">
        <f t="shared" si="28"/>
        <v>0.149446494464945</v>
      </c>
      <c r="O279" s="312">
        <v>4610</v>
      </c>
      <c r="P279" s="313">
        <f t="shared" si="24"/>
        <v>0</v>
      </c>
      <c r="Q279" s="310" t="s">
        <v>147</v>
      </c>
      <c r="R279" s="310">
        <v>284</v>
      </c>
      <c r="S279" s="310"/>
      <c r="T279" s="308">
        <v>45649</v>
      </c>
      <c r="U279" s="308">
        <v>45650</v>
      </c>
      <c r="V279" s="308"/>
      <c r="W279" s="315">
        <f t="shared" si="29"/>
        <v>1</v>
      </c>
      <c r="X279" s="310" t="s">
        <v>54</v>
      </c>
      <c r="Y279" s="310" t="s">
        <v>2334</v>
      </c>
      <c r="Z279" s="316" t="s">
        <v>3761</v>
      </c>
      <c r="AA279" s="316" t="s">
        <v>1094</v>
      </c>
      <c r="AB279" s="316" t="s">
        <v>1097</v>
      </c>
    </row>
    <row r="280" spans="1:28" x14ac:dyDescent="0.25">
      <c r="A280" s="307">
        <f t="shared" si="25"/>
        <v>274</v>
      </c>
      <c r="B280" s="308">
        <v>45649</v>
      </c>
      <c r="C280" s="309">
        <f t="shared" si="26"/>
        <v>45627</v>
      </c>
      <c r="D280" s="310" t="s">
        <v>51</v>
      </c>
      <c r="E280" s="310" t="s">
        <v>696</v>
      </c>
      <c r="F280" s="311">
        <v>9754088991</v>
      </c>
      <c r="G280" s="316" t="s">
        <v>6</v>
      </c>
      <c r="H280" s="316" t="s">
        <v>1132</v>
      </c>
      <c r="I280" s="316" t="s">
        <v>1133</v>
      </c>
      <c r="J280" s="310" t="s">
        <v>3730</v>
      </c>
      <c r="K280" s="312">
        <v>33770</v>
      </c>
      <c r="L280" s="312">
        <v>46620</v>
      </c>
      <c r="M280" s="313">
        <f t="shared" si="27"/>
        <v>12850</v>
      </c>
      <c r="N280" s="314">
        <f t="shared" si="28"/>
        <v>0.275632775632776</v>
      </c>
      <c r="O280" s="312">
        <v>33770</v>
      </c>
      <c r="P280" s="313">
        <f t="shared" si="24"/>
        <v>0</v>
      </c>
      <c r="Q280" s="310" t="s">
        <v>147</v>
      </c>
      <c r="R280" s="310">
        <v>285</v>
      </c>
      <c r="S280" s="310"/>
      <c r="T280" s="308">
        <v>45653</v>
      </c>
      <c r="U280" s="308">
        <v>45653</v>
      </c>
      <c r="V280" s="308"/>
      <c r="W280" s="315">
        <f t="shared" si="29"/>
        <v>4</v>
      </c>
      <c r="X280" s="310" t="s">
        <v>54</v>
      </c>
      <c r="Y280" s="310" t="s">
        <v>439</v>
      </c>
      <c r="Z280" s="316"/>
      <c r="AA280" s="316" t="s">
        <v>1107</v>
      </c>
      <c r="AB280" s="316" t="s">
        <v>1107</v>
      </c>
    </row>
    <row r="281" spans="1:28" x14ac:dyDescent="0.25">
      <c r="A281" s="307">
        <f t="shared" si="25"/>
        <v>275</v>
      </c>
      <c r="B281" s="308">
        <v>45650</v>
      </c>
      <c r="C281" s="309">
        <f t="shared" si="26"/>
        <v>45627</v>
      </c>
      <c r="D281" s="310" t="s">
        <v>51</v>
      </c>
      <c r="E281" s="310" t="s">
        <v>1098</v>
      </c>
      <c r="F281" s="311">
        <v>9403897623</v>
      </c>
      <c r="G281" s="316" t="s">
        <v>6</v>
      </c>
      <c r="H281" s="316" t="s">
        <v>26</v>
      </c>
      <c r="I281" s="316" t="s">
        <v>1134</v>
      </c>
      <c r="J281" s="310" t="s">
        <v>1099</v>
      </c>
      <c r="K281" s="312">
        <v>25690</v>
      </c>
      <c r="L281" s="312">
        <v>35600</v>
      </c>
      <c r="M281" s="313">
        <f t="shared" si="27"/>
        <v>9910</v>
      </c>
      <c r="N281" s="314">
        <f t="shared" si="28"/>
        <v>0.278370786516854</v>
      </c>
      <c r="O281" s="312">
        <v>25690</v>
      </c>
      <c r="P281" s="313">
        <f t="shared" si="24"/>
        <v>0</v>
      </c>
      <c r="Q281" s="310" t="s">
        <v>147</v>
      </c>
      <c r="R281" s="310">
        <v>286</v>
      </c>
      <c r="S281" s="310"/>
      <c r="T281" s="308">
        <v>45653</v>
      </c>
      <c r="U281" s="308">
        <v>45653</v>
      </c>
      <c r="V281" s="308"/>
      <c r="W281" s="315">
        <f t="shared" si="29"/>
        <v>3</v>
      </c>
      <c r="X281" s="310" t="s">
        <v>54</v>
      </c>
      <c r="Y281" s="310" t="s">
        <v>439</v>
      </c>
      <c r="Z281" s="316"/>
      <c r="AA281" s="316" t="s">
        <v>1107</v>
      </c>
      <c r="AB281" s="316" t="s">
        <v>1107</v>
      </c>
    </row>
    <row r="282" spans="1:28" x14ac:dyDescent="0.25">
      <c r="A282" s="307">
        <f t="shared" si="25"/>
        <v>276</v>
      </c>
      <c r="B282" s="308">
        <v>45651</v>
      </c>
      <c r="C282" s="309">
        <f t="shared" si="26"/>
        <v>45627</v>
      </c>
      <c r="D282" s="310" t="s">
        <v>56</v>
      </c>
      <c r="E282" s="310" t="s">
        <v>38</v>
      </c>
      <c r="F282" s="311">
        <v>9025368773</v>
      </c>
      <c r="G282" s="316" t="s">
        <v>1093</v>
      </c>
      <c r="H282" s="316" t="s">
        <v>1166</v>
      </c>
      <c r="I282" s="316" t="s">
        <v>1167</v>
      </c>
      <c r="J282" s="310" t="s">
        <v>59</v>
      </c>
      <c r="K282" s="312">
        <v>52820</v>
      </c>
      <c r="L282" s="312">
        <v>97650</v>
      </c>
      <c r="M282" s="313">
        <f t="shared" si="27"/>
        <v>44830</v>
      </c>
      <c r="N282" s="314">
        <f t="shared" si="28"/>
        <v>0.459088581669227</v>
      </c>
      <c r="O282" s="312">
        <v>52820</v>
      </c>
      <c r="P282" s="313">
        <f t="shared" si="24"/>
        <v>0</v>
      </c>
      <c r="Q282" s="310" t="s">
        <v>147</v>
      </c>
      <c r="R282" s="310">
        <v>287</v>
      </c>
      <c r="S282" s="310"/>
      <c r="T282" s="308">
        <v>45653</v>
      </c>
      <c r="U282" s="308">
        <v>45653</v>
      </c>
      <c r="V282" s="308"/>
      <c r="W282" s="315">
        <f t="shared" si="29"/>
        <v>2</v>
      </c>
      <c r="X282" s="310" t="s">
        <v>54</v>
      </c>
      <c r="Y282" s="310" t="s">
        <v>56</v>
      </c>
      <c r="Z282" s="316"/>
      <c r="AA282" s="316" t="s">
        <v>1107</v>
      </c>
      <c r="AB282" s="316" t="s">
        <v>1107</v>
      </c>
    </row>
    <row r="283" spans="1:28" x14ac:dyDescent="0.25">
      <c r="A283" s="307">
        <f t="shared" si="25"/>
        <v>277</v>
      </c>
      <c r="B283" s="308">
        <v>45651</v>
      </c>
      <c r="C283" s="309">
        <f t="shared" si="26"/>
        <v>45627</v>
      </c>
      <c r="D283" s="310" t="s">
        <v>56</v>
      </c>
      <c r="E283" s="310" t="s">
        <v>60</v>
      </c>
      <c r="F283" s="311">
        <v>9589264337</v>
      </c>
      <c r="G283" s="316" t="s">
        <v>6</v>
      </c>
      <c r="H283" s="316" t="s">
        <v>1135</v>
      </c>
      <c r="I283" s="316" t="s">
        <v>1136</v>
      </c>
      <c r="J283" s="310" t="s">
        <v>3730</v>
      </c>
      <c r="K283" s="312">
        <v>47150</v>
      </c>
      <c r="L283" s="312">
        <v>59850</v>
      </c>
      <c r="M283" s="313">
        <f t="shared" si="27"/>
        <v>12700</v>
      </c>
      <c r="N283" s="314">
        <f t="shared" si="28"/>
        <v>0.212197159565581</v>
      </c>
      <c r="O283" s="312">
        <v>47150</v>
      </c>
      <c r="P283" s="313">
        <f t="shared" si="24"/>
        <v>0</v>
      </c>
      <c r="Q283" s="310" t="s">
        <v>147</v>
      </c>
      <c r="R283" s="310">
        <v>288</v>
      </c>
      <c r="S283" s="310"/>
      <c r="T283" s="308">
        <v>45656</v>
      </c>
      <c r="U283" s="308">
        <v>45656</v>
      </c>
      <c r="V283" s="308"/>
      <c r="W283" s="315">
        <f t="shared" si="29"/>
        <v>5</v>
      </c>
      <c r="X283" s="310" t="s">
        <v>54</v>
      </c>
      <c r="Y283" s="310" t="s">
        <v>56</v>
      </c>
      <c r="Z283" s="316"/>
      <c r="AA283" s="316" t="s">
        <v>1116</v>
      </c>
      <c r="AB283" s="316" t="s">
        <v>1116</v>
      </c>
    </row>
    <row r="284" spans="1:28" x14ac:dyDescent="0.25">
      <c r="A284" s="307">
        <f t="shared" si="25"/>
        <v>278</v>
      </c>
      <c r="B284" s="308">
        <v>45652</v>
      </c>
      <c r="C284" s="309">
        <f t="shared" si="26"/>
        <v>45627</v>
      </c>
      <c r="D284" s="310" t="s">
        <v>51</v>
      </c>
      <c r="E284" s="310" t="s">
        <v>1101</v>
      </c>
      <c r="F284" s="311">
        <v>9022147346</v>
      </c>
      <c r="G284" s="316" t="s">
        <v>6</v>
      </c>
      <c r="H284" s="316" t="s">
        <v>26</v>
      </c>
      <c r="I284" s="316" t="s">
        <v>1137</v>
      </c>
      <c r="J284" s="310" t="s">
        <v>3730</v>
      </c>
      <c r="K284" s="312">
        <v>31750</v>
      </c>
      <c r="L284" s="312">
        <v>40320</v>
      </c>
      <c r="M284" s="313">
        <f t="shared" si="27"/>
        <v>8570</v>
      </c>
      <c r="N284" s="314">
        <f t="shared" si="28"/>
        <v>0.212549603174603</v>
      </c>
      <c r="O284" s="312">
        <v>31750</v>
      </c>
      <c r="P284" s="313">
        <f t="shared" si="24"/>
        <v>0</v>
      </c>
      <c r="Q284" s="310" t="s">
        <v>147</v>
      </c>
      <c r="R284" s="310">
        <v>289</v>
      </c>
      <c r="S284" s="310"/>
      <c r="T284" s="308">
        <v>45656</v>
      </c>
      <c r="U284" s="308">
        <v>45656</v>
      </c>
      <c r="V284" s="308"/>
      <c r="W284" s="315">
        <f t="shared" si="29"/>
        <v>4</v>
      </c>
      <c r="X284" s="310" t="s">
        <v>54</v>
      </c>
      <c r="Y284" s="310" t="s">
        <v>529</v>
      </c>
      <c r="Z284" s="316"/>
      <c r="AA284" s="316" t="s">
        <v>1116</v>
      </c>
      <c r="AB284" s="316" t="s">
        <v>1116</v>
      </c>
    </row>
    <row r="285" spans="1:28" x14ac:dyDescent="0.25">
      <c r="A285" s="307">
        <f t="shared" si="25"/>
        <v>279</v>
      </c>
      <c r="B285" s="308">
        <v>46017</v>
      </c>
      <c r="C285" s="309">
        <f t="shared" si="26"/>
        <v>45992</v>
      </c>
      <c r="D285" s="310" t="s">
        <v>51</v>
      </c>
      <c r="E285" s="310" t="s">
        <v>1103</v>
      </c>
      <c r="F285" s="311">
        <v>9599562696</v>
      </c>
      <c r="G285" s="316" t="s">
        <v>6</v>
      </c>
      <c r="H285" s="316" t="s">
        <v>26</v>
      </c>
      <c r="I285" s="316" t="s">
        <v>1138</v>
      </c>
      <c r="J285" s="310" t="s">
        <v>168</v>
      </c>
      <c r="K285" s="312">
        <v>25690</v>
      </c>
      <c r="L285" s="312">
        <v>35600</v>
      </c>
      <c r="M285" s="313">
        <f t="shared" si="27"/>
        <v>9910</v>
      </c>
      <c r="N285" s="314">
        <f t="shared" si="28"/>
        <v>0.278370786516854</v>
      </c>
      <c r="O285" s="312">
        <v>25690</v>
      </c>
      <c r="P285" s="313">
        <f t="shared" si="24"/>
        <v>0</v>
      </c>
      <c r="Q285" s="310" t="s">
        <v>147</v>
      </c>
      <c r="R285" s="310">
        <v>290</v>
      </c>
      <c r="S285" s="310"/>
      <c r="T285" s="308">
        <v>45656</v>
      </c>
      <c r="U285" s="308">
        <v>45656</v>
      </c>
      <c r="V285" s="308"/>
      <c r="W285" s="315">
        <f t="shared" si="29"/>
        <v>-361</v>
      </c>
      <c r="X285" s="310" t="s">
        <v>54</v>
      </c>
      <c r="Y285" s="310" t="s">
        <v>439</v>
      </c>
      <c r="Z285" s="316"/>
      <c r="AA285" s="316" t="s">
        <v>1116</v>
      </c>
      <c r="AB285" s="316" t="s">
        <v>1116</v>
      </c>
    </row>
    <row r="286" spans="1:28" x14ac:dyDescent="0.25">
      <c r="A286" s="307">
        <f t="shared" si="25"/>
        <v>280</v>
      </c>
      <c r="B286" s="308">
        <v>45652</v>
      </c>
      <c r="C286" s="309">
        <f t="shared" si="26"/>
        <v>45627</v>
      </c>
      <c r="D286" s="310" t="s">
        <v>51</v>
      </c>
      <c r="E286" s="310" t="s">
        <v>778</v>
      </c>
      <c r="F286" s="311">
        <v>9327858616</v>
      </c>
      <c r="G286" s="316" t="s">
        <v>45</v>
      </c>
      <c r="H286" s="316" t="s">
        <v>26</v>
      </c>
      <c r="I286" s="316" t="s">
        <v>1164</v>
      </c>
      <c r="J286" s="310" t="s">
        <v>623</v>
      </c>
      <c r="K286" s="312">
        <v>45770</v>
      </c>
      <c r="L286" s="312">
        <v>51660</v>
      </c>
      <c r="M286" s="313">
        <f t="shared" si="27"/>
        <v>5890</v>
      </c>
      <c r="N286" s="314">
        <f t="shared" si="28"/>
        <v>0.114014711575687</v>
      </c>
      <c r="O286" s="312">
        <v>45770</v>
      </c>
      <c r="P286" s="313">
        <f t="shared" si="24"/>
        <v>0</v>
      </c>
      <c r="Q286" s="310" t="s">
        <v>147</v>
      </c>
      <c r="R286" s="310">
        <v>291</v>
      </c>
      <c r="S286" s="310"/>
      <c r="T286" s="308">
        <v>45656</v>
      </c>
      <c r="U286" s="308">
        <v>45656</v>
      </c>
      <c r="V286" s="308"/>
      <c r="W286" s="315">
        <f t="shared" si="29"/>
        <v>4</v>
      </c>
      <c r="X286" s="310" t="s">
        <v>54</v>
      </c>
      <c r="Y286" s="310" t="s">
        <v>439</v>
      </c>
      <c r="Z286" s="316"/>
      <c r="AA286" s="316" t="s">
        <v>1116</v>
      </c>
      <c r="AB286" s="316" t="s">
        <v>1116</v>
      </c>
    </row>
    <row r="287" spans="1:28" x14ac:dyDescent="0.25">
      <c r="A287" s="307">
        <f t="shared" si="25"/>
        <v>281</v>
      </c>
      <c r="B287" s="308">
        <v>45653</v>
      </c>
      <c r="C287" s="309">
        <f t="shared" si="26"/>
        <v>45627</v>
      </c>
      <c r="D287" s="310" t="s">
        <v>51</v>
      </c>
      <c r="E287" s="310" t="s">
        <v>1104</v>
      </c>
      <c r="F287" s="311">
        <v>9858090286</v>
      </c>
      <c r="G287" s="316" t="s">
        <v>6</v>
      </c>
      <c r="H287" s="316" t="s">
        <v>26</v>
      </c>
      <c r="I287" s="316" t="s">
        <v>1139</v>
      </c>
      <c r="J287" s="310" t="s">
        <v>3730</v>
      </c>
      <c r="K287" s="312">
        <v>32020</v>
      </c>
      <c r="L287" s="312">
        <v>40320</v>
      </c>
      <c r="M287" s="313">
        <f t="shared" si="27"/>
        <v>8300</v>
      </c>
      <c r="N287" s="314">
        <f t="shared" si="28"/>
        <v>0.205853174603175</v>
      </c>
      <c r="O287" s="312">
        <v>32020</v>
      </c>
      <c r="P287" s="313">
        <f t="shared" si="24"/>
        <v>0</v>
      </c>
      <c r="Q287" s="310" t="s">
        <v>147</v>
      </c>
      <c r="R287" s="310">
        <v>292</v>
      </c>
      <c r="S287" s="310"/>
      <c r="T287" s="308">
        <v>45656</v>
      </c>
      <c r="U287" s="308">
        <v>45656</v>
      </c>
      <c r="V287" s="308"/>
      <c r="W287" s="315">
        <f t="shared" si="29"/>
        <v>3</v>
      </c>
      <c r="X287" s="310" t="s">
        <v>54</v>
      </c>
      <c r="Y287" s="310" t="s">
        <v>439</v>
      </c>
      <c r="Z287" s="316"/>
      <c r="AA287" s="316" t="s">
        <v>1116</v>
      </c>
      <c r="AB287" s="316" t="s">
        <v>1116</v>
      </c>
    </row>
    <row r="288" spans="1:28" x14ac:dyDescent="0.25">
      <c r="A288" s="307">
        <f t="shared" si="25"/>
        <v>282</v>
      </c>
      <c r="B288" s="308">
        <v>45653</v>
      </c>
      <c r="C288" s="309">
        <f t="shared" si="26"/>
        <v>45627</v>
      </c>
      <c r="D288" s="310" t="s">
        <v>51</v>
      </c>
      <c r="E288" s="310" t="s">
        <v>1105</v>
      </c>
      <c r="F288" s="311">
        <v>9685078300</v>
      </c>
      <c r="G288" s="316" t="s">
        <v>6</v>
      </c>
      <c r="H288" s="316" t="s">
        <v>1140</v>
      </c>
      <c r="I288" s="316" t="s">
        <v>1141</v>
      </c>
      <c r="J288" s="310" t="s">
        <v>623</v>
      </c>
      <c r="K288" s="312">
        <v>27700</v>
      </c>
      <c r="L288" s="312">
        <v>41900</v>
      </c>
      <c r="M288" s="313">
        <f t="shared" si="27"/>
        <v>14200</v>
      </c>
      <c r="N288" s="314">
        <f t="shared" si="28"/>
        <v>0.33890214797136</v>
      </c>
      <c r="O288" s="312">
        <v>27700</v>
      </c>
      <c r="P288" s="313">
        <f t="shared" si="24"/>
        <v>0</v>
      </c>
      <c r="Q288" s="310" t="s">
        <v>147</v>
      </c>
      <c r="R288" s="310">
        <v>293</v>
      </c>
      <c r="S288" s="310"/>
      <c r="T288" s="308">
        <v>45657</v>
      </c>
      <c r="U288" s="308">
        <v>45657</v>
      </c>
      <c r="V288" s="308"/>
      <c r="W288" s="315">
        <f t="shared" si="29"/>
        <v>4</v>
      </c>
      <c r="X288" s="310" t="s">
        <v>54</v>
      </c>
      <c r="Y288" s="310" t="s">
        <v>439</v>
      </c>
      <c r="Z288" s="316"/>
      <c r="AA288" s="316" t="s">
        <v>1119</v>
      </c>
      <c r="AB288" s="316" t="s">
        <v>1119</v>
      </c>
    </row>
    <row r="289" spans="1:28" x14ac:dyDescent="0.25">
      <c r="A289" s="307">
        <f t="shared" si="25"/>
        <v>283</v>
      </c>
      <c r="B289" s="308">
        <v>45654</v>
      </c>
      <c r="C289" s="309">
        <f t="shared" si="26"/>
        <v>45627</v>
      </c>
      <c r="D289" s="310" t="s">
        <v>51</v>
      </c>
      <c r="E289" s="310" t="s">
        <v>1106</v>
      </c>
      <c r="F289" s="311">
        <v>9313909358</v>
      </c>
      <c r="G289" s="316" t="s">
        <v>1093</v>
      </c>
      <c r="H289" s="316" t="s">
        <v>26</v>
      </c>
      <c r="I289" s="316" t="s">
        <v>1197</v>
      </c>
      <c r="J289" s="310" t="s">
        <v>3730</v>
      </c>
      <c r="K289" s="312">
        <v>70690</v>
      </c>
      <c r="L289" s="312">
        <v>96390</v>
      </c>
      <c r="M289" s="313">
        <f t="shared" si="27"/>
        <v>25700</v>
      </c>
      <c r="N289" s="314">
        <f t="shared" si="28"/>
        <v>0.266625168585953</v>
      </c>
      <c r="O289" s="312">
        <v>70690</v>
      </c>
      <c r="P289" s="313">
        <f t="shared" si="24"/>
        <v>0</v>
      </c>
      <c r="Q289" s="310" t="s">
        <v>147</v>
      </c>
      <c r="R289" s="310">
        <v>294</v>
      </c>
      <c r="S289" s="310"/>
      <c r="T289" s="308">
        <v>45658</v>
      </c>
      <c r="U289" s="308">
        <v>45658</v>
      </c>
      <c r="V289" s="308"/>
      <c r="W289" s="315">
        <f t="shared" si="29"/>
        <v>4</v>
      </c>
      <c r="X289" s="310" t="s">
        <v>54</v>
      </c>
      <c r="Y289" s="310" t="s">
        <v>3737</v>
      </c>
      <c r="Z289" s="316"/>
      <c r="AA289" s="317">
        <v>45658</v>
      </c>
      <c r="AB289" s="317">
        <v>45658</v>
      </c>
    </row>
    <row r="290" spans="1:28" x14ac:dyDescent="0.25">
      <c r="A290" s="307">
        <f t="shared" si="25"/>
        <v>284</v>
      </c>
      <c r="B290" s="308">
        <v>45654</v>
      </c>
      <c r="C290" s="309">
        <f t="shared" si="26"/>
        <v>45627</v>
      </c>
      <c r="D290" s="310" t="s">
        <v>51</v>
      </c>
      <c r="E290" s="310" t="s">
        <v>980</v>
      </c>
      <c r="F290" s="311">
        <v>9921512989</v>
      </c>
      <c r="G290" s="316" t="s">
        <v>6</v>
      </c>
      <c r="H290" s="316" t="s">
        <v>26</v>
      </c>
      <c r="I290" s="316" t="s">
        <v>1144</v>
      </c>
      <c r="J290" s="310" t="s">
        <v>3730</v>
      </c>
      <c r="K290" s="312">
        <v>32020</v>
      </c>
      <c r="L290" s="312">
        <v>40320</v>
      </c>
      <c r="M290" s="313">
        <f t="shared" si="27"/>
        <v>8300</v>
      </c>
      <c r="N290" s="314">
        <f t="shared" si="28"/>
        <v>0.205853174603175</v>
      </c>
      <c r="O290" s="312">
        <v>32020</v>
      </c>
      <c r="P290" s="313">
        <f t="shared" si="24"/>
        <v>0</v>
      </c>
      <c r="Q290" s="310" t="s">
        <v>147</v>
      </c>
      <c r="R290" s="310">
        <v>295</v>
      </c>
      <c r="S290" s="310"/>
      <c r="T290" s="308">
        <v>45657</v>
      </c>
      <c r="U290" s="308">
        <v>46022</v>
      </c>
      <c r="V290" s="308"/>
      <c r="W290" s="315">
        <f t="shared" si="29"/>
        <v>368</v>
      </c>
      <c r="X290" s="310" t="s">
        <v>54</v>
      </c>
      <c r="Y290" s="310" t="s">
        <v>439</v>
      </c>
      <c r="Z290" s="316"/>
      <c r="AA290" s="316" t="s">
        <v>1119</v>
      </c>
      <c r="AB290" s="316" t="s">
        <v>1120</v>
      </c>
    </row>
    <row r="291" spans="1:28" x14ac:dyDescent="0.25">
      <c r="A291" s="307">
        <f t="shared" si="25"/>
        <v>285</v>
      </c>
      <c r="B291" s="308">
        <v>45654</v>
      </c>
      <c r="C291" s="309">
        <f t="shared" si="26"/>
        <v>45627</v>
      </c>
      <c r="D291" s="310" t="s">
        <v>56</v>
      </c>
      <c r="E291" s="310" t="s">
        <v>38</v>
      </c>
      <c r="F291" s="311">
        <v>9515412075</v>
      </c>
      <c r="G291" s="316" t="s">
        <v>6</v>
      </c>
      <c r="H291" s="316" t="s">
        <v>1142</v>
      </c>
      <c r="I291" s="316" t="s">
        <v>1143</v>
      </c>
      <c r="J291" s="310" t="s">
        <v>59</v>
      </c>
      <c r="K291" s="312">
        <v>47630</v>
      </c>
      <c r="L291" s="312">
        <v>63000</v>
      </c>
      <c r="M291" s="313">
        <f t="shared" si="27"/>
        <v>15370</v>
      </c>
      <c r="N291" s="314">
        <f t="shared" si="28"/>
        <v>0.243968253968254</v>
      </c>
      <c r="O291" s="312">
        <v>47630</v>
      </c>
      <c r="P291" s="313">
        <f t="shared" si="24"/>
        <v>0</v>
      </c>
      <c r="Q291" s="310" t="s">
        <v>147</v>
      </c>
      <c r="R291" s="310">
        <v>296</v>
      </c>
      <c r="S291" s="310"/>
      <c r="T291" s="308">
        <v>45658</v>
      </c>
      <c r="U291" s="308">
        <v>45658</v>
      </c>
      <c r="V291" s="308"/>
      <c r="W291" s="315">
        <f t="shared" si="29"/>
        <v>4</v>
      </c>
      <c r="X291" s="310" t="s">
        <v>54</v>
      </c>
      <c r="Y291" s="310" t="s">
        <v>56</v>
      </c>
      <c r="Z291" s="316"/>
      <c r="AA291" s="317">
        <v>45658</v>
      </c>
      <c r="AB291" s="317">
        <v>45658</v>
      </c>
    </row>
    <row r="292" spans="1:28" x14ac:dyDescent="0.25">
      <c r="A292" s="307">
        <f t="shared" si="25"/>
        <v>286</v>
      </c>
      <c r="B292" s="308">
        <v>45654</v>
      </c>
      <c r="C292" s="309">
        <f t="shared" si="26"/>
        <v>45627</v>
      </c>
      <c r="D292" s="310" t="s">
        <v>51</v>
      </c>
      <c r="E292" s="310" t="s">
        <v>153</v>
      </c>
      <c r="F292" s="311">
        <v>9950818773</v>
      </c>
      <c r="G292" s="316" t="s">
        <v>1093</v>
      </c>
      <c r="H292" s="316" t="s">
        <v>26</v>
      </c>
      <c r="I292" s="316" t="s">
        <v>1165</v>
      </c>
      <c r="J292" s="310" t="s">
        <v>3730</v>
      </c>
      <c r="K292" s="312">
        <v>68010</v>
      </c>
      <c r="L292" s="312">
        <v>96390</v>
      </c>
      <c r="M292" s="313">
        <f t="shared" si="27"/>
        <v>28380</v>
      </c>
      <c r="N292" s="314">
        <f t="shared" si="28"/>
        <v>0.294428882664177</v>
      </c>
      <c r="O292" s="312">
        <v>68010</v>
      </c>
      <c r="P292" s="313">
        <f t="shared" si="24"/>
        <v>0</v>
      </c>
      <c r="Q292" s="310" t="s">
        <v>147</v>
      </c>
      <c r="R292" s="310">
        <v>297</v>
      </c>
      <c r="S292" s="310"/>
      <c r="T292" s="308">
        <v>45658</v>
      </c>
      <c r="U292" s="308">
        <v>45658</v>
      </c>
      <c r="V292" s="308"/>
      <c r="W292" s="315">
        <f t="shared" si="29"/>
        <v>4</v>
      </c>
      <c r="X292" s="310" t="s">
        <v>54</v>
      </c>
      <c r="Y292" s="310" t="s">
        <v>439</v>
      </c>
      <c r="Z292" s="316"/>
      <c r="AA292" s="317">
        <v>45658</v>
      </c>
      <c r="AB292" s="317">
        <v>45658</v>
      </c>
    </row>
    <row r="293" spans="1:28" x14ac:dyDescent="0.25">
      <c r="A293" s="307">
        <f t="shared" si="25"/>
        <v>287</v>
      </c>
      <c r="B293" s="308">
        <v>45655</v>
      </c>
      <c r="C293" s="309">
        <f t="shared" si="26"/>
        <v>45627</v>
      </c>
      <c r="D293" s="310" t="s">
        <v>51</v>
      </c>
      <c r="E293" s="310" t="s">
        <v>1108</v>
      </c>
      <c r="F293" s="311">
        <v>9299677001</v>
      </c>
      <c r="G293" s="316" t="s">
        <v>1093</v>
      </c>
      <c r="H293" s="316" t="s">
        <v>1154</v>
      </c>
      <c r="I293" s="316" t="s">
        <v>1155</v>
      </c>
      <c r="J293" s="310" t="s">
        <v>3730</v>
      </c>
      <c r="K293" s="312">
        <v>71630</v>
      </c>
      <c r="L293" s="312">
        <v>102690</v>
      </c>
      <c r="M293" s="313">
        <f t="shared" si="27"/>
        <v>31060</v>
      </c>
      <c r="N293" s="314">
        <f t="shared" si="28"/>
        <v>0.302463725776609</v>
      </c>
      <c r="O293" s="312">
        <v>71630</v>
      </c>
      <c r="P293" s="313">
        <f t="shared" si="24"/>
        <v>0</v>
      </c>
      <c r="Q293" s="310" t="s">
        <v>147</v>
      </c>
      <c r="R293" s="310">
        <v>298</v>
      </c>
      <c r="S293" s="310"/>
      <c r="T293" s="308">
        <v>45293</v>
      </c>
      <c r="U293" s="308">
        <v>45659</v>
      </c>
      <c r="V293" s="308"/>
      <c r="W293" s="315">
        <f t="shared" si="29"/>
        <v>4</v>
      </c>
      <c r="X293" s="310" t="s">
        <v>54</v>
      </c>
      <c r="Y293" s="310" t="s">
        <v>439</v>
      </c>
      <c r="Z293" s="316"/>
      <c r="AA293" s="317">
        <v>45323</v>
      </c>
      <c r="AB293" s="317">
        <v>45689</v>
      </c>
    </row>
    <row r="294" spans="1:28" x14ac:dyDescent="0.25">
      <c r="A294" s="307">
        <f t="shared" si="25"/>
        <v>288</v>
      </c>
      <c r="B294" s="308">
        <v>45656</v>
      </c>
      <c r="C294" s="309">
        <f t="shared" si="26"/>
        <v>45627</v>
      </c>
      <c r="D294" s="310" t="s">
        <v>51</v>
      </c>
      <c r="E294" s="310" t="s">
        <v>1109</v>
      </c>
      <c r="F294" s="311">
        <v>9686204165</v>
      </c>
      <c r="G294" s="316" t="s">
        <v>6</v>
      </c>
      <c r="H294" s="316" t="s">
        <v>26</v>
      </c>
      <c r="I294" s="316" t="s">
        <v>1145</v>
      </c>
      <c r="J294" s="310" t="s">
        <v>3730</v>
      </c>
      <c r="K294" s="312">
        <v>32600</v>
      </c>
      <c r="L294" s="312">
        <v>45990</v>
      </c>
      <c r="M294" s="313">
        <f t="shared" si="27"/>
        <v>13390</v>
      </c>
      <c r="N294" s="314">
        <f t="shared" si="28"/>
        <v>0.29115025005436</v>
      </c>
      <c r="O294" s="312">
        <v>32600</v>
      </c>
      <c r="P294" s="313">
        <f t="shared" si="24"/>
        <v>0</v>
      </c>
      <c r="Q294" s="310" t="s">
        <v>147</v>
      </c>
      <c r="R294" s="310">
        <v>299</v>
      </c>
      <c r="S294" s="310"/>
      <c r="T294" s="308">
        <v>45659</v>
      </c>
      <c r="U294" s="308">
        <v>45659</v>
      </c>
      <c r="V294" s="308"/>
      <c r="W294" s="315">
        <f t="shared" si="29"/>
        <v>3</v>
      </c>
      <c r="X294" s="310" t="s">
        <v>54</v>
      </c>
      <c r="Y294" s="310" t="s">
        <v>529</v>
      </c>
      <c r="Z294" s="316" t="s">
        <v>154</v>
      </c>
      <c r="AA294" s="317">
        <v>45689</v>
      </c>
      <c r="AB294" s="317">
        <v>45689</v>
      </c>
    </row>
    <row r="295" spans="1:28" x14ac:dyDescent="0.25">
      <c r="A295" s="307">
        <f t="shared" si="25"/>
        <v>289</v>
      </c>
      <c r="B295" s="308">
        <v>45656</v>
      </c>
      <c r="C295" s="309">
        <f t="shared" si="26"/>
        <v>45627</v>
      </c>
      <c r="D295" s="310" t="s">
        <v>51</v>
      </c>
      <c r="E295" s="310" t="s">
        <v>1110</v>
      </c>
      <c r="F295" s="311">
        <v>9021645012</v>
      </c>
      <c r="G295" s="316" t="s">
        <v>6</v>
      </c>
      <c r="H295" s="316" t="s">
        <v>1146</v>
      </c>
      <c r="I295" s="316" t="s">
        <v>1147</v>
      </c>
      <c r="J295" s="310" t="s">
        <v>3730</v>
      </c>
      <c r="K295" s="312">
        <v>33140</v>
      </c>
      <c r="L295" s="312">
        <v>45990</v>
      </c>
      <c r="M295" s="313">
        <f t="shared" si="27"/>
        <v>12850</v>
      </c>
      <c r="N295" s="314">
        <f t="shared" si="28"/>
        <v>0.2794085670798</v>
      </c>
      <c r="O295" s="312">
        <v>33140</v>
      </c>
      <c r="P295" s="313">
        <f t="shared" si="24"/>
        <v>0</v>
      </c>
      <c r="Q295" s="310" t="s">
        <v>147</v>
      </c>
      <c r="R295" s="310">
        <v>300</v>
      </c>
      <c r="S295" s="310"/>
      <c r="T295" s="308">
        <v>45659</v>
      </c>
      <c r="U295" s="308">
        <v>45660</v>
      </c>
      <c r="V295" s="308"/>
      <c r="W295" s="315">
        <f t="shared" si="29"/>
        <v>4</v>
      </c>
      <c r="X295" s="310" t="s">
        <v>54</v>
      </c>
      <c r="Y295" s="310" t="s">
        <v>529</v>
      </c>
      <c r="Z295" s="316" t="s">
        <v>154</v>
      </c>
      <c r="AA295" s="317">
        <v>45689</v>
      </c>
      <c r="AB295" s="317">
        <v>45717</v>
      </c>
    </row>
    <row r="296" spans="1:28" x14ac:dyDescent="0.25">
      <c r="A296" s="307">
        <f t="shared" si="25"/>
        <v>290</v>
      </c>
      <c r="B296" s="308">
        <v>45658</v>
      </c>
      <c r="C296" s="309">
        <f t="shared" si="26"/>
        <v>45658</v>
      </c>
      <c r="D296" s="310" t="s">
        <v>51</v>
      </c>
      <c r="E296" s="310" t="s">
        <v>1112</v>
      </c>
      <c r="F296" s="311">
        <v>9951474484</v>
      </c>
      <c r="G296" s="316" t="s">
        <v>6</v>
      </c>
      <c r="H296" s="316" t="s">
        <v>1160</v>
      </c>
      <c r="I296" s="316" t="s">
        <v>1161</v>
      </c>
      <c r="J296" s="310" t="s">
        <v>3730</v>
      </c>
      <c r="K296" s="312">
        <v>32600</v>
      </c>
      <c r="L296" s="312">
        <v>45990</v>
      </c>
      <c r="M296" s="313">
        <f t="shared" si="27"/>
        <v>13390</v>
      </c>
      <c r="N296" s="314">
        <f t="shared" si="28"/>
        <v>0.29115025005436</v>
      </c>
      <c r="O296" s="312">
        <v>32600</v>
      </c>
      <c r="P296" s="313">
        <f t="shared" si="24"/>
        <v>0</v>
      </c>
      <c r="Q296" s="310" t="s">
        <v>147</v>
      </c>
      <c r="R296" s="310">
        <v>301</v>
      </c>
      <c r="S296" s="310"/>
      <c r="T296" s="308">
        <v>45659</v>
      </c>
      <c r="U296" s="308">
        <v>45659</v>
      </c>
      <c r="V296" s="308"/>
      <c r="W296" s="315">
        <f t="shared" si="29"/>
        <v>1</v>
      </c>
      <c r="X296" s="310" t="s">
        <v>54</v>
      </c>
      <c r="Y296" s="310" t="s">
        <v>529</v>
      </c>
      <c r="Z296" s="316" t="s">
        <v>1113</v>
      </c>
      <c r="AA296" s="317">
        <v>45689</v>
      </c>
      <c r="AB296" s="317">
        <v>45689</v>
      </c>
    </row>
    <row r="297" spans="1:28" x14ac:dyDescent="0.25">
      <c r="A297" s="307">
        <f t="shared" si="25"/>
        <v>291</v>
      </c>
      <c r="B297" s="308">
        <v>45659</v>
      </c>
      <c r="C297" s="309">
        <f t="shared" si="26"/>
        <v>45658</v>
      </c>
      <c r="D297" s="310" t="s">
        <v>56</v>
      </c>
      <c r="E297" s="310" t="s">
        <v>60</v>
      </c>
      <c r="F297" s="311">
        <v>9281983602</v>
      </c>
      <c r="G297" s="316" t="s">
        <v>1093</v>
      </c>
      <c r="H297" s="316" t="s">
        <v>1158</v>
      </c>
      <c r="I297" s="316" t="s">
        <v>1159</v>
      </c>
      <c r="J297" s="310" t="s">
        <v>3730</v>
      </c>
      <c r="K297" s="312">
        <v>53580</v>
      </c>
      <c r="L297" s="312">
        <v>102690</v>
      </c>
      <c r="M297" s="313">
        <f t="shared" si="27"/>
        <v>49110</v>
      </c>
      <c r="N297" s="314">
        <f t="shared" si="28"/>
        <v>0.478235465965527</v>
      </c>
      <c r="O297" s="312">
        <v>53580</v>
      </c>
      <c r="P297" s="313">
        <f t="shared" si="24"/>
        <v>0</v>
      </c>
      <c r="Q297" s="310" t="s">
        <v>147</v>
      </c>
      <c r="R297" s="310">
        <v>302</v>
      </c>
      <c r="S297" s="310"/>
      <c r="T297" s="308">
        <v>45662</v>
      </c>
      <c r="U297" s="308">
        <v>45662</v>
      </c>
      <c r="V297" s="308"/>
      <c r="W297" s="315">
        <f t="shared" si="29"/>
        <v>3</v>
      </c>
      <c r="X297" s="310" t="s">
        <v>54</v>
      </c>
      <c r="Y297" s="310" t="s">
        <v>56</v>
      </c>
      <c r="Z297" s="316"/>
      <c r="AA297" s="317">
        <v>45778</v>
      </c>
      <c r="AB297" s="317">
        <v>45778</v>
      </c>
    </row>
    <row r="298" spans="1:28" x14ac:dyDescent="0.25">
      <c r="A298" s="307">
        <f t="shared" si="25"/>
        <v>292</v>
      </c>
      <c r="B298" s="308">
        <v>45659</v>
      </c>
      <c r="C298" s="309">
        <f t="shared" si="26"/>
        <v>45658</v>
      </c>
      <c r="D298" s="310" t="s">
        <v>51</v>
      </c>
      <c r="E298" s="310" t="s">
        <v>1115</v>
      </c>
      <c r="F298" s="311">
        <v>9273186420</v>
      </c>
      <c r="G298" s="316" t="s">
        <v>1093</v>
      </c>
      <c r="H298" s="316" t="s">
        <v>26</v>
      </c>
      <c r="I298" s="316" t="s">
        <v>1163</v>
      </c>
      <c r="J298" s="310" t="s">
        <v>3730</v>
      </c>
      <c r="K298" s="312">
        <v>65870</v>
      </c>
      <c r="L298" s="312">
        <v>96390</v>
      </c>
      <c r="M298" s="313">
        <f t="shared" si="27"/>
        <v>30520</v>
      </c>
      <c r="N298" s="314">
        <f t="shared" si="28"/>
        <v>0.316630355846042</v>
      </c>
      <c r="O298" s="312">
        <v>65870</v>
      </c>
      <c r="P298" s="313">
        <f t="shared" si="24"/>
        <v>0</v>
      </c>
      <c r="Q298" s="310" t="s">
        <v>147</v>
      </c>
      <c r="R298" s="310">
        <v>303</v>
      </c>
      <c r="S298" s="310"/>
      <c r="T298" s="308">
        <v>45663</v>
      </c>
      <c r="U298" s="308">
        <v>45663</v>
      </c>
      <c r="V298" s="308"/>
      <c r="W298" s="315">
        <f t="shared" si="29"/>
        <v>4</v>
      </c>
      <c r="X298" s="310" t="s">
        <v>54</v>
      </c>
      <c r="Y298" s="310" t="s">
        <v>3744</v>
      </c>
      <c r="Z298" s="316"/>
      <c r="AA298" s="317">
        <v>45809</v>
      </c>
      <c r="AB298" s="317">
        <v>45809</v>
      </c>
    </row>
    <row r="299" spans="1:28" x14ac:dyDescent="0.25">
      <c r="A299" s="307">
        <f t="shared" si="25"/>
        <v>293</v>
      </c>
      <c r="B299" s="308">
        <v>45661</v>
      </c>
      <c r="C299" s="309">
        <f t="shared" si="26"/>
        <v>45658</v>
      </c>
      <c r="D299" s="310" t="s">
        <v>56</v>
      </c>
      <c r="E299" s="310" t="s">
        <v>38</v>
      </c>
      <c r="F299" s="311">
        <v>9515412075</v>
      </c>
      <c r="G299" s="316" t="s">
        <v>1093</v>
      </c>
      <c r="H299" s="316" t="s">
        <v>26</v>
      </c>
      <c r="I299" s="316" t="s">
        <v>1168</v>
      </c>
      <c r="J299" s="310" t="s">
        <v>59</v>
      </c>
      <c r="K299" s="312">
        <v>52630</v>
      </c>
      <c r="L299" s="312">
        <v>96390</v>
      </c>
      <c r="M299" s="313">
        <f t="shared" si="27"/>
        <v>43760</v>
      </c>
      <c r="N299" s="314">
        <f t="shared" si="28"/>
        <v>0.453989003008611</v>
      </c>
      <c r="O299" s="312">
        <v>52630</v>
      </c>
      <c r="P299" s="313">
        <f t="shared" si="24"/>
        <v>0</v>
      </c>
      <c r="Q299" s="310" t="s">
        <v>147</v>
      </c>
      <c r="R299" s="310">
        <v>304</v>
      </c>
      <c r="S299" s="310"/>
      <c r="T299" s="308">
        <v>45664</v>
      </c>
      <c r="U299" s="308">
        <v>45664</v>
      </c>
      <c r="V299" s="308"/>
      <c r="W299" s="315">
        <f t="shared" si="29"/>
        <v>3</v>
      </c>
      <c r="X299" s="310" t="s">
        <v>54</v>
      </c>
      <c r="Y299" s="310" t="s">
        <v>56</v>
      </c>
      <c r="Z299" s="316"/>
      <c r="AA299" s="317">
        <v>45839</v>
      </c>
      <c r="AB299" s="317">
        <v>45839</v>
      </c>
    </row>
    <row r="300" spans="1:28" x14ac:dyDescent="0.25">
      <c r="A300" s="307">
        <f t="shared" si="25"/>
        <v>294</v>
      </c>
      <c r="B300" s="308">
        <v>45659</v>
      </c>
      <c r="C300" s="309">
        <f t="shared" si="26"/>
        <v>45658</v>
      </c>
      <c r="D300" s="310" t="s">
        <v>51</v>
      </c>
      <c r="E300" s="310" t="s">
        <v>2334</v>
      </c>
      <c r="F300" s="311"/>
      <c r="G300" s="316" t="s">
        <v>6</v>
      </c>
      <c r="H300" s="316" t="s">
        <v>26</v>
      </c>
      <c r="I300" s="316" t="s">
        <v>1148</v>
      </c>
      <c r="J300" s="310" t="s">
        <v>381</v>
      </c>
      <c r="K300" s="312">
        <v>49630</v>
      </c>
      <c r="L300" s="312">
        <v>54680</v>
      </c>
      <c r="M300" s="313">
        <f t="shared" si="27"/>
        <v>5050</v>
      </c>
      <c r="N300" s="314">
        <f t="shared" si="28"/>
        <v>0.0923555230431602</v>
      </c>
      <c r="O300" s="312">
        <v>49630</v>
      </c>
      <c r="P300" s="313">
        <f t="shared" si="24"/>
        <v>0</v>
      </c>
      <c r="Q300" s="310" t="s">
        <v>147</v>
      </c>
      <c r="R300" s="310">
        <v>305</v>
      </c>
      <c r="S300" s="310"/>
      <c r="T300" s="308">
        <v>45660</v>
      </c>
      <c r="U300" s="308">
        <v>45661</v>
      </c>
      <c r="V300" s="308"/>
      <c r="W300" s="315">
        <f t="shared" si="29"/>
        <v>2</v>
      </c>
      <c r="X300" s="310" t="s">
        <v>54</v>
      </c>
      <c r="Y300" s="310" t="s">
        <v>2334</v>
      </c>
      <c r="Z300" s="316" t="s">
        <v>1203</v>
      </c>
      <c r="AA300" s="317">
        <v>45717</v>
      </c>
      <c r="AB300" s="317">
        <v>45748</v>
      </c>
    </row>
    <row r="301" spans="1:28" x14ac:dyDescent="0.25">
      <c r="A301" s="307">
        <f t="shared" si="25"/>
        <v>295</v>
      </c>
      <c r="B301" s="308">
        <v>45659</v>
      </c>
      <c r="C301" s="309">
        <f t="shared" si="26"/>
        <v>45658</v>
      </c>
      <c r="D301" s="310" t="s">
        <v>51</v>
      </c>
      <c r="E301" s="310" t="s">
        <v>2334</v>
      </c>
      <c r="F301" s="311"/>
      <c r="G301" s="316" t="s">
        <v>6</v>
      </c>
      <c r="H301" s="316" t="s">
        <v>26</v>
      </c>
      <c r="I301" s="316" t="s">
        <v>1149</v>
      </c>
      <c r="J301" s="310" t="s">
        <v>381</v>
      </c>
      <c r="K301" s="312">
        <v>96230</v>
      </c>
      <c r="L301" s="312">
        <v>103190</v>
      </c>
      <c r="M301" s="313">
        <f t="shared" si="27"/>
        <v>6960</v>
      </c>
      <c r="N301" s="314">
        <f t="shared" si="28"/>
        <v>0.0674483961624188</v>
      </c>
      <c r="O301" s="312">
        <v>96230</v>
      </c>
      <c r="P301" s="313">
        <f t="shared" si="24"/>
        <v>0</v>
      </c>
      <c r="Q301" s="310" t="s">
        <v>147</v>
      </c>
      <c r="R301" s="310">
        <v>306</v>
      </c>
      <c r="S301" s="310"/>
      <c r="T301" s="308">
        <v>45660</v>
      </c>
      <c r="U301" s="308">
        <v>45661</v>
      </c>
      <c r="V301" s="308"/>
      <c r="W301" s="315">
        <f t="shared" si="29"/>
        <v>2</v>
      </c>
      <c r="X301" s="310" t="s">
        <v>54</v>
      </c>
      <c r="Y301" s="310" t="s">
        <v>2334</v>
      </c>
      <c r="Z301" s="316" t="s">
        <v>1204</v>
      </c>
      <c r="AA301" s="317">
        <v>45717</v>
      </c>
      <c r="AB301" s="317">
        <v>45748</v>
      </c>
    </row>
    <row r="302" spans="1:28" x14ac:dyDescent="0.25">
      <c r="A302" s="307">
        <f t="shared" si="25"/>
        <v>296</v>
      </c>
      <c r="B302" s="308">
        <v>45659</v>
      </c>
      <c r="C302" s="309">
        <f t="shared" si="26"/>
        <v>45658</v>
      </c>
      <c r="D302" s="310" t="s">
        <v>51</v>
      </c>
      <c r="E302" s="310" t="s">
        <v>2334</v>
      </c>
      <c r="F302" s="311"/>
      <c r="G302" s="316" t="s">
        <v>6</v>
      </c>
      <c r="H302" s="316" t="s">
        <v>26</v>
      </c>
      <c r="I302" s="316" t="s">
        <v>1150</v>
      </c>
      <c r="J302" s="310" t="s">
        <v>381</v>
      </c>
      <c r="K302" s="312">
        <v>103110</v>
      </c>
      <c r="L302" s="312">
        <v>149100</v>
      </c>
      <c r="M302" s="313">
        <f t="shared" si="27"/>
        <v>45990</v>
      </c>
      <c r="N302" s="314">
        <f t="shared" si="28"/>
        <v>0.308450704225352</v>
      </c>
      <c r="O302" s="312">
        <v>103110</v>
      </c>
      <c r="P302" s="313">
        <f t="shared" si="24"/>
        <v>0</v>
      </c>
      <c r="Q302" s="310" t="s">
        <v>147</v>
      </c>
      <c r="R302" s="310">
        <v>307</v>
      </c>
      <c r="S302" s="310"/>
      <c r="T302" s="308">
        <v>45660</v>
      </c>
      <c r="U302" s="308">
        <v>45661</v>
      </c>
      <c r="V302" s="308"/>
      <c r="W302" s="315">
        <f t="shared" si="29"/>
        <v>2</v>
      </c>
      <c r="X302" s="310" t="s">
        <v>54</v>
      </c>
      <c r="Y302" s="310" t="s">
        <v>2334</v>
      </c>
      <c r="Z302" s="316" t="s">
        <v>1205</v>
      </c>
      <c r="AA302" s="317">
        <v>45717</v>
      </c>
      <c r="AB302" s="317">
        <v>45748</v>
      </c>
    </row>
    <row r="303" spans="1:28" x14ac:dyDescent="0.25">
      <c r="A303" s="307">
        <f t="shared" si="25"/>
        <v>297</v>
      </c>
      <c r="B303" s="308">
        <v>45660</v>
      </c>
      <c r="C303" s="309">
        <f t="shared" si="26"/>
        <v>45658</v>
      </c>
      <c r="D303" s="310" t="s">
        <v>51</v>
      </c>
      <c r="E303" s="310" t="s">
        <v>2334</v>
      </c>
      <c r="F303" s="311"/>
      <c r="G303" s="316" t="s">
        <v>6</v>
      </c>
      <c r="H303" s="316" t="s">
        <v>26</v>
      </c>
      <c r="I303" s="316" t="s">
        <v>1151</v>
      </c>
      <c r="J303" s="310" t="s">
        <v>381</v>
      </c>
      <c r="K303" s="312">
        <v>58590</v>
      </c>
      <c r="L303" s="312">
        <v>60240</v>
      </c>
      <c r="M303" s="313">
        <f t="shared" si="27"/>
        <v>1650</v>
      </c>
      <c r="N303" s="314">
        <f t="shared" si="28"/>
        <v>0.027390438247012</v>
      </c>
      <c r="O303" s="312">
        <v>58590</v>
      </c>
      <c r="P303" s="313">
        <f t="shared" si="24"/>
        <v>0</v>
      </c>
      <c r="Q303" s="310" t="s">
        <v>147</v>
      </c>
      <c r="R303" s="310">
        <v>308</v>
      </c>
      <c r="S303" s="310"/>
      <c r="T303" s="308">
        <v>45661</v>
      </c>
      <c r="U303" s="308">
        <v>45661</v>
      </c>
      <c r="V303" s="308"/>
      <c r="W303" s="315">
        <f t="shared" si="29"/>
        <v>1</v>
      </c>
      <c r="X303" s="310" t="s">
        <v>54</v>
      </c>
      <c r="Y303" s="310" t="s">
        <v>2334</v>
      </c>
      <c r="Z303" s="316" t="s">
        <v>1206</v>
      </c>
      <c r="AA303" s="317">
        <v>45748</v>
      </c>
      <c r="AB303" s="317">
        <v>45748</v>
      </c>
    </row>
    <row r="304" spans="1:28" x14ac:dyDescent="0.25">
      <c r="A304" s="307">
        <f t="shared" si="25"/>
        <v>298</v>
      </c>
      <c r="B304" s="308">
        <v>45660</v>
      </c>
      <c r="C304" s="309">
        <f t="shared" si="26"/>
        <v>45658</v>
      </c>
      <c r="D304" s="310" t="s">
        <v>51</v>
      </c>
      <c r="E304" s="310" t="s">
        <v>2334</v>
      </c>
      <c r="F304" s="311"/>
      <c r="G304" s="316" t="s">
        <v>6</v>
      </c>
      <c r="H304" s="316" t="s">
        <v>26</v>
      </c>
      <c r="I304" s="316" t="s">
        <v>1151</v>
      </c>
      <c r="J304" s="310" t="s">
        <v>381</v>
      </c>
      <c r="K304" s="312">
        <v>86710</v>
      </c>
      <c r="L304" s="312">
        <v>94460</v>
      </c>
      <c r="M304" s="313">
        <f t="shared" si="27"/>
        <v>7750</v>
      </c>
      <c r="N304" s="314">
        <f t="shared" si="28"/>
        <v>0.082045310184205</v>
      </c>
      <c r="O304" s="312">
        <v>86710</v>
      </c>
      <c r="P304" s="313">
        <f t="shared" si="24"/>
        <v>0</v>
      </c>
      <c r="Q304" s="310" t="s">
        <v>147</v>
      </c>
      <c r="R304" s="310">
        <v>309</v>
      </c>
      <c r="S304" s="310"/>
      <c r="T304" s="308">
        <v>45661</v>
      </c>
      <c r="U304" s="308">
        <v>45662</v>
      </c>
      <c r="V304" s="308"/>
      <c r="W304" s="315">
        <f t="shared" si="29"/>
        <v>2</v>
      </c>
      <c r="X304" s="310" t="s">
        <v>54</v>
      </c>
      <c r="Y304" s="310" t="s">
        <v>2334</v>
      </c>
      <c r="Z304" s="316" t="s">
        <v>1207</v>
      </c>
      <c r="AA304" s="317">
        <v>45748</v>
      </c>
      <c r="AB304" s="317">
        <v>45778</v>
      </c>
    </row>
    <row r="305" spans="1:28" x14ac:dyDescent="0.25">
      <c r="A305" s="307">
        <f t="shared" si="25"/>
        <v>299</v>
      </c>
      <c r="B305" s="308">
        <v>45664</v>
      </c>
      <c r="C305" s="309">
        <f t="shared" si="26"/>
        <v>45658</v>
      </c>
      <c r="D305" s="310" t="s">
        <v>56</v>
      </c>
      <c r="E305" s="310" t="s">
        <v>60</v>
      </c>
      <c r="F305" s="311">
        <v>9589264337</v>
      </c>
      <c r="G305" s="316" t="s">
        <v>6</v>
      </c>
      <c r="H305" s="316" t="s">
        <v>1228</v>
      </c>
      <c r="I305" s="316" t="s">
        <v>1229</v>
      </c>
      <c r="J305" s="310" t="s">
        <v>3730</v>
      </c>
      <c r="K305" s="312">
        <v>45170</v>
      </c>
      <c r="L305" s="312">
        <v>46620</v>
      </c>
      <c r="M305" s="313">
        <f t="shared" si="27"/>
        <v>1450</v>
      </c>
      <c r="N305" s="314">
        <f t="shared" si="28"/>
        <v>0.0311025311025311</v>
      </c>
      <c r="O305" s="312">
        <v>45170</v>
      </c>
      <c r="P305" s="313">
        <f t="shared" si="24"/>
        <v>0</v>
      </c>
      <c r="Q305" s="310" t="s">
        <v>147</v>
      </c>
      <c r="R305" s="310">
        <v>310</v>
      </c>
      <c r="S305" s="310"/>
      <c r="T305" s="308">
        <v>45668</v>
      </c>
      <c r="U305" s="308">
        <v>45668</v>
      </c>
      <c r="V305" s="308"/>
      <c r="W305" s="315">
        <f t="shared" si="29"/>
        <v>4</v>
      </c>
      <c r="X305" s="310" t="s">
        <v>54</v>
      </c>
      <c r="Y305" s="310" t="s">
        <v>56</v>
      </c>
      <c r="Z305" s="316"/>
      <c r="AA305" s="317">
        <v>45962</v>
      </c>
      <c r="AB305" s="317">
        <v>45962</v>
      </c>
    </row>
    <row r="306" spans="1:28" x14ac:dyDescent="0.25">
      <c r="A306" s="307">
        <f t="shared" si="25"/>
        <v>300</v>
      </c>
      <c r="B306" s="308">
        <v>45665</v>
      </c>
      <c r="C306" s="309">
        <f t="shared" si="26"/>
        <v>45658</v>
      </c>
      <c r="D306" s="310" t="s">
        <v>56</v>
      </c>
      <c r="E306" s="310" t="s">
        <v>38</v>
      </c>
      <c r="F306" s="311">
        <v>9515412075</v>
      </c>
      <c r="G306" s="316" t="s">
        <v>6</v>
      </c>
      <c r="H306" s="316" t="s">
        <v>1232</v>
      </c>
      <c r="I306" s="316" t="s">
        <v>1233</v>
      </c>
      <c r="J306" s="310" t="s">
        <v>59</v>
      </c>
      <c r="K306" s="312">
        <v>44930</v>
      </c>
      <c r="L306" s="312">
        <v>45040</v>
      </c>
      <c r="M306" s="313">
        <f t="shared" si="27"/>
        <v>110</v>
      </c>
      <c r="N306" s="314">
        <f t="shared" si="28"/>
        <v>0.00244227353463588</v>
      </c>
      <c r="O306" s="312">
        <v>44930</v>
      </c>
      <c r="P306" s="313">
        <f t="shared" si="24"/>
        <v>0</v>
      </c>
      <c r="Q306" s="310" t="s">
        <v>147</v>
      </c>
      <c r="R306" s="310">
        <v>311</v>
      </c>
      <c r="S306" s="310"/>
      <c r="T306" s="308">
        <v>45668</v>
      </c>
      <c r="U306" s="308">
        <v>45670</v>
      </c>
      <c r="V306" s="308"/>
      <c r="W306" s="315">
        <f t="shared" si="29"/>
        <v>5</v>
      </c>
      <c r="X306" s="310" t="s">
        <v>54</v>
      </c>
      <c r="Y306" s="310" t="s">
        <v>56</v>
      </c>
      <c r="Z306" s="316"/>
      <c r="AA306" s="317">
        <v>45962</v>
      </c>
      <c r="AB306" s="316" t="s">
        <v>1220</v>
      </c>
    </row>
    <row r="307" spans="1:28" x14ac:dyDescent="0.25">
      <c r="A307" s="307">
        <f t="shared" si="25"/>
        <v>301</v>
      </c>
      <c r="B307" s="308">
        <v>45665</v>
      </c>
      <c r="C307" s="309">
        <f t="shared" si="26"/>
        <v>45658</v>
      </c>
      <c r="D307" s="310" t="s">
        <v>51</v>
      </c>
      <c r="E307" s="310" t="s">
        <v>2334</v>
      </c>
      <c r="F307" s="311"/>
      <c r="G307" s="316" t="s">
        <v>6</v>
      </c>
      <c r="H307" s="316" t="s">
        <v>26</v>
      </c>
      <c r="I307" s="316" t="s">
        <v>1230</v>
      </c>
      <c r="J307" s="310" t="s">
        <v>381</v>
      </c>
      <c r="K307" s="312">
        <v>36610</v>
      </c>
      <c r="L307" s="312">
        <v>40720</v>
      </c>
      <c r="M307" s="313">
        <f t="shared" si="27"/>
        <v>4110</v>
      </c>
      <c r="N307" s="314">
        <f t="shared" si="28"/>
        <v>0.100933202357564</v>
      </c>
      <c r="O307" s="312">
        <v>36610</v>
      </c>
      <c r="P307" s="313">
        <f t="shared" si="24"/>
        <v>0</v>
      </c>
      <c r="Q307" s="310" t="s">
        <v>147</v>
      </c>
      <c r="R307" s="310">
        <v>312</v>
      </c>
      <c r="S307" s="310"/>
      <c r="T307" s="308">
        <v>45666</v>
      </c>
      <c r="U307" s="308">
        <v>45666</v>
      </c>
      <c r="V307" s="308"/>
      <c r="W307" s="315">
        <f t="shared" si="29"/>
        <v>1</v>
      </c>
      <c r="X307" s="310" t="s">
        <v>54</v>
      </c>
      <c r="Y307" s="310" t="s">
        <v>2334</v>
      </c>
      <c r="Z307" s="316" t="s">
        <v>1213</v>
      </c>
      <c r="AA307" s="317">
        <v>45901</v>
      </c>
      <c r="AB307" s="317">
        <v>45901</v>
      </c>
    </row>
    <row r="308" spans="1:28" x14ac:dyDescent="0.25">
      <c r="A308" s="307">
        <f t="shared" si="25"/>
        <v>302</v>
      </c>
      <c r="B308" s="308">
        <v>45665</v>
      </c>
      <c r="C308" s="309">
        <f t="shared" si="26"/>
        <v>45658</v>
      </c>
      <c r="D308" s="310" t="s">
        <v>51</v>
      </c>
      <c r="E308" s="310" t="s">
        <v>2334</v>
      </c>
      <c r="F308" s="311"/>
      <c r="G308" s="316" t="s">
        <v>6</v>
      </c>
      <c r="H308" s="316" t="s">
        <v>26</v>
      </c>
      <c r="I308" s="316" t="s">
        <v>1231</v>
      </c>
      <c r="J308" s="310" t="s">
        <v>381</v>
      </c>
      <c r="K308" s="312">
        <v>57870</v>
      </c>
      <c r="L308" s="312">
        <v>60790</v>
      </c>
      <c r="M308" s="313">
        <f t="shared" si="27"/>
        <v>2920</v>
      </c>
      <c r="N308" s="314">
        <f t="shared" si="28"/>
        <v>0.0480342161539727</v>
      </c>
      <c r="O308" s="312">
        <v>57870</v>
      </c>
      <c r="P308" s="313">
        <f t="shared" si="24"/>
        <v>0</v>
      </c>
      <c r="Q308" s="310" t="s">
        <v>147</v>
      </c>
      <c r="R308" s="310">
        <v>313</v>
      </c>
      <c r="S308" s="310"/>
      <c r="T308" s="308">
        <v>45666</v>
      </c>
      <c r="U308" s="308">
        <v>45667</v>
      </c>
      <c r="V308" s="308"/>
      <c r="W308" s="315">
        <f t="shared" si="29"/>
        <v>2</v>
      </c>
      <c r="X308" s="310" t="s">
        <v>54</v>
      </c>
      <c r="Y308" s="310" t="s">
        <v>2334</v>
      </c>
      <c r="Z308" s="316" t="s">
        <v>1247</v>
      </c>
      <c r="AA308" s="317">
        <v>45901</v>
      </c>
      <c r="AB308" s="317">
        <v>45931</v>
      </c>
    </row>
    <row r="309" spans="1:28" x14ac:dyDescent="0.25">
      <c r="A309" s="307">
        <f t="shared" si="25"/>
        <v>303</v>
      </c>
      <c r="B309" s="308">
        <v>45666</v>
      </c>
      <c r="C309" s="309">
        <f t="shared" si="26"/>
        <v>45658</v>
      </c>
      <c r="D309" s="310" t="s">
        <v>51</v>
      </c>
      <c r="E309" s="310" t="s">
        <v>1214</v>
      </c>
      <c r="F309" s="311">
        <v>9229340471</v>
      </c>
      <c r="G309" s="316" t="s">
        <v>1093</v>
      </c>
      <c r="H309" s="316" t="s">
        <v>1240</v>
      </c>
      <c r="I309" s="316" t="s">
        <v>1241</v>
      </c>
      <c r="J309" s="310" t="s">
        <v>107</v>
      </c>
      <c r="K309" s="312">
        <v>86880</v>
      </c>
      <c r="L309" s="312">
        <v>122220</v>
      </c>
      <c r="M309" s="313">
        <f t="shared" si="27"/>
        <v>35340</v>
      </c>
      <c r="N309" s="314">
        <f t="shared" si="28"/>
        <v>0.289150711831124</v>
      </c>
      <c r="O309" s="312">
        <v>86880</v>
      </c>
      <c r="P309" s="313">
        <f t="shared" si="24"/>
        <v>0</v>
      </c>
      <c r="Q309" s="310" t="s">
        <v>147</v>
      </c>
      <c r="R309" s="310">
        <v>314</v>
      </c>
      <c r="S309" s="310"/>
      <c r="T309" s="308">
        <v>45669</v>
      </c>
      <c r="U309" s="308">
        <v>45670</v>
      </c>
      <c r="V309" s="308"/>
      <c r="W309" s="315">
        <f t="shared" si="29"/>
        <v>4</v>
      </c>
      <c r="X309" s="310" t="s">
        <v>54</v>
      </c>
      <c r="Y309" s="310" t="s">
        <v>439</v>
      </c>
      <c r="Z309" s="316" t="s">
        <v>1226</v>
      </c>
      <c r="AA309" s="317">
        <v>45992</v>
      </c>
      <c r="AB309" s="316" t="s">
        <v>1220</v>
      </c>
    </row>
    <row r="310" spans="1:28" x14ac:dyDescent="0.25">
      <c r="A310" s="307">
        <f t="shared" si="25"/>
        <v>304</v>
      </c>
      <c r="B310" s="308">
        <v>45666</v>
      </c>
      <c r="C310" s="309">
        <f t="shared" si="26"/>
        <v>45658</v>
      </c>
      <c r="D310" s="310" t="s">
        <v>51</v>
      </c>
      <c r="E310" s="310" t="s">
        <v>1108</v>
      </c>
      <c r="F310" s="311">
        <v>9299677001</v>
      </c>
      <c r="G310" s="316" t="s">
        <v>1093</v>
      </c>
      <c r="H310" s="316" t="s">
        <v>26</v>
      </c>
      <c r="I310" s="316" t="s">
        <v>1242</v>
      </c>
      <c r="J310" s="310" t="s">
        <v>3730</v>
      </c>
      <c r="K310" s="312">
        <v>68230</v>
      </c>
      <c r="L310" s="312">
        <v>101430</v>
      </c>
      <c r="M310" s="313">
        <f t="shared" si="27"/>
        <v>33200</v>
      </c>
      <c r="N310" s="314">
        <f t="shared" si="28"/>
        <v>0.327319333530514</v>
      </c>
      <c r="O310" s="312">
        <v>68230</v>
      </c>
      <c r="P310" s="313">
        <f t="shared" si="24"/>
        <v>0</v>
      </c>
      <c r="Q310" s="310" t="s">
        <v>147</v>
      </c>
      <c r="R310" s="310">
        <v>315</v>
      </c>
      <c r="S310" s="310"/>
      <c r="T310" s="308">
        <v>45669</v>
      </c>
      <c r="U310" s="308">
        <v>45670</v>
      </c>
      <c r="V310" s="308"/>
      <c r="W310" s="315">
        <f t="shared" si="29"/>
        <v>4</v>
      </c>
      <c r="X310" s="310" t="s">
        <v>54</v>
      </c>
      <c r="Y310" s="310" t="s">
        <v>439</v>
      </c>
      <c r="Z310" s="316" t="s">
        <v>154</v>
      </c>
      <c r="AA310" s="317">
        <v>45992</v>
      </c>
      <c r="AB310" s="316" t="s">
        <v>1220</v>
      </c>
    </row>
    <row r="311" spans="1:28" x14ac:dyDescent="0.25">
      <c r="A311" s="307">
        <f t="shared" si="25"/>
        <v>305</v>
      </c>
      <c r="B311" s="308">
        <v>45666</v>
      </c>
      <c r="C311" s="309">
        <f t="shared" si="26"/>
        <v>45658</v>
      </c>
      <c r="D311" s="310" t="s">
        <v>51</v>
      </c>
      <c r="E311" s="310" t="s">
        <v>980</v>
      </c>
      <c r="F311" s="311">
        <v>9754088991</v>
      </c>
      <c r="G311" s="316" t="s">
        <v>6</v>
      </c>
      <c r="H311" s="316" t="s">
        <v>26</v>
      </c>
      <c r="I311" s="316" t="s">
        <v>1234</v>
      </c>
      <c r="J311" s="310" t="s">
        <v>3730</v>
      </c>
      <c r="K311" s="312">
        <v>32020</v>
      </c>
      <c r="L311" s="312">
        <v>40320</v>
      </c>
      <c r="M311" s="313">
        <f t="shared" si="27"/>
        <v>8300</v>
      </c>
      <c r="N311" s="314">
        <f t="shared" si="28"/>
        <v>0.205853174603175</v>
      </c>
      <c r="O311" s="312">
        <v>32020</v>
      </c>
      <c r="P311" s="313">
        <f t="shared" si="24"/>
        <v>0</v>
      </c>
      <c r="Q311" s="310" t="s">
        <v>147</v>
      </c>
      <c r="R311" s="310">
        <v>316</v>
      </c>
      <c r="S311" s="310"/>
      <c r="T311" s="308">
        <v>45670</v>
      </c>
      <c r="U311" s="308">
        <v>45670</v>
      </c>
      <c r="V311" s="308"/>
      <c r="W311" s="315">
        <f t="shared" si="29"/>
        <v>4</v>
      </c>
      <c r="X311" s="310" t="s">
        <v>54</v>
      </c>
      <c r="Y311" s="310" t="s">
        <v>439</v>
      </c>
      <c r="Z311" s="316"/>
      <c r="AA311" s="316" t="s">
        <v>1220</v>
      </c>
      <c r="AB311" s="316" t="s">
        <v>1220</v>
      </c>
    </row>
    <row r="312" spans="1:28" x14ac:dyDescent="0.25">
      <c r="A312" s="307">
        <f t="shared" si="25"/>
        <v>306</v>
      </c>
      <c r="B312" s="308">
        <v>45667</v>
      </c>
      <c r="C312" s="309">
        <f t="shared" si="26"/>
        <v>45658</v>
      </c>
      <c r="D312" s="310" t="s">
        <v>51</v>
      </c>
      <c r="E312" s="310" t="s">
        <v>696</v>
      </c>
      <c r="F312" s="311">
        <v>9235279810</v>
      </c>
      <c r="G312" s="316" t="s">
        <v>6</v>
      </c>
      <c r="H312" s="316" t="s">
        <v>26</v>
      </c>
      <c r="I312" s="316" t="s">
        <v>1235</v>
      </c>
      <c r="J312" s="310" t="s">
        <v>3730</v>
      </c>
      <c r="K312" s="312">
        <v>32020</v>
      </c>
      <c r="L312" s="312">
        <v>40320</v>
      </c>
      <c r="M312" s="313">
        <f t="shared" si="27"/>
        <v>8300</v>
      </c>
      <c r="N312" s="314">
        <f t="shared" si="28"/>
        <v>0.205853174603175</v>
      </c>
      <c r="O312" s="312">
        <v>32020</v>
      </c>
      <c r="P312" s="313">
        <f t="shared" si="24"/>
        <v>0</v>
      </c>
      <c r="Q312" s="310" t="s">
        <v>147</v>
      </c>
      <c r="R312" s="310">
        <v>317</v>
      </c>
      <c r="S312" s="310"/>
      <c r="T312" s="308">
        <v>45671</v>
      </c>
      <c r="U312" s="308">
        <v>45671</v>
      </c>
      <c r="V312" s="308"/>
      <c r="W312" s="315">
        <f t="shared" si="29"/>
        <v>4</v>
      </c>
      <c r="X312" s="310" t="s">
        <v>54</v>
      </c>
      <c r="Y312" s="310" t="s">
        <v>439</v>
      </c>
      <c r="Z312" s="316"/>
      <c r="AA312" s="316" t="s">
        <v>1227</v>
      </c>
      <c r="AB312" s="316" t="s">
        <v>1227</v>
      </c>
    </row>
    <row r="313" spans="1:28" x14ac:dyDescent="0.25">
      <c r="A313" s="307">
        <f t="shared" si="25"/>
        <v>307</v>
      </c>
      <c r="B313" s="308">
        <v>45668</v>
      </c>
      <c r="C313" s="309">
        <f t="shared" si="26"/>
        <v>45658</v>
      </c>
      <c r="D313" s="310" t="s">
        <v>51</v>
      </c>
      <c r="E313" s="310" t="s">
        <v>1217</v>
      </c>
      <c r="F313" s="311">
        <v>9063048601</v>
      </c>
      <c r="G313" s="316" t="s">
        <v>6</v>
      </c>
      <c r="H313" s="316" t="s">
        <v>1236</v>
      </c>
      <c r="I313" s="316" t="s">
        <v>1237</v>
      </c>
      <c r="J313" s="310" t="s">
        <v>3730</v>
      </c>
      <c r="K313" s="312">
        <v>32700</v>
      </c>
      <c r="L313" s="312">
        <v>46620</v>
      </c>
      <c r="M313" s="313">
        <f t="shared" si="27"/>
        <v>13920</v>
      </c>
      <c r="N313" s="314">
        <f t="shared" si="28"/>
        <v>0.298584298584299</v>
      </c>
      <c r="O313" s="312">
        <v>32700</v>
      </c>
      <c r="P313" s="313">
        <f t="shared" si="24"/>
        <v>0</v>
      </c>
      <c r="Q313" s="310" t="s">
        <v>147</v>
      </c>
      <c r="R313" s="310">
        <v>318</v>
      </c>
      <c r="S313" s="310"/>
      <c r="T313" s="308">
        <v>45672</v>
      </c>
      <c r="U313" s="308">
        <v>45672</v>
      </c>
      <c r="V313" s="308"/>
      <c r="W313" s="315">
        <f t="shared" si="29"/>
        <v>4</v>
      </c>
      <c r="X313" s="310" t="s">
        <v>54</v>
      </c>
      <c r="Y313" s="310" t="s">
        <v>529</v>
      </c>
      <c r="Z313" s="316"/>
      <c r="AA313" s="316" t="s">
        <v>1257</v>
      </c>
      <c r="AB313" s="316" t="s">
        <v>1257</v>
      </c>
    </row>
    <row r="314" spans="1:28" x14ac:dyDescent="0.25">
      <c r="A314" s="307">
        <f t="shared" si="25"/>
        <v>308</v>
      </c>
      <c r="B314" s="308">
        <v>45668</v>
      </c>
      <c r="C314" s="309">
        <f t="shared" si="26"/>
        <v>45658</v>
      </c>
      <c r="D314" s="310" t="s">
        <v>51</v>
      </c>
      <c r="E314" s="310" t="s">
        <v>1218</v>
      </c>
      <c r="F314" s="311">
        <v>9919561036</v>
      </c>
      <c r="G314" s="316" t="s">
        <v>6</v>
      </c>
      <c r="H314" s="316" t="s">
        <v>26</v>
      </c>
      <c r="I314" s="316" t="s">
        <v>1238</v>
      </c>
      <c r="J314" s="310" t="s">
        <v>3730</v>
      </c>
      <c r="K314" s="312">
        <v>31750</v>
      </c>
      <c r="L314" s="312">
        <v>40320</v>
      </c>
      <c r="M314" s="313">
        <f t="shared" si="27"/>
        <v>8570</v>
      </c>
      <c r="N314" s="314">
        <f t="shared" si="28"/>
        <v>0.212549603174603</v>
      </c>
      <c r="O314" s="312">
        <v>29100</v>
      </c>
      <c r="P314" s="313">
        <f t="shared" si="24"/>
        <v>2650</v>
      </c>
      <c r="Q314" s="310" t="s">
        <v>147</v>
      </c>
      <c r="R314" s="310">
        <v>319</v>
      </c>
      <c r="S314" s="310"/>
      <c r="T314" s="308">
        <v>45672</v>
      </c>
      <c r="U314" s="308">
        <v>45672</v>
      </c>
      <c r="V314" s="308"/>
      <c r="W314" s="315">
        <f t="shared" si="29"/>
        <v>4</v>
      </c>
      <c r="X314" s="310" t="s">
        <v>54</v>
      </c>
      <c r="Y314" s="310" t="s">
        <v>3742</v>
      </c>
      <c r="Z314" s="316"/>
      <c r="AA314" s="316" t="s">
        <v>1257</v>
      </c>
      <c r="AB314" s="316" t="s">
        <v>1257</v>
      </c>
    </row>
    <row r="315" spans="1:28" x14ac:dyDescent="0.25">
      <c r="A315" s="307">
        <f t="shared" si="25"/>
        <v>309</v>
      </c>
      <c r="B315" s="308">
        <v>45668</v>
      </c>
      <c r="C315" s="309">
        <f t="shared" si="26"/>
        <v>45658</v>
      </c>
      <c r="D315" s="310" t="s">
        <v>56</v>
      </c>
      <c r="E315" s="310" t="s">
        <v>60</v>
      </c>
      <c r="F315" s="311">
        <v>9589264337</v>
      </c>
      <c r="G315" s="316" t="s">
        <v>1093</v>
      </c>
      <c r="H315" s="316" t="s">
        <v>26</v>
      </c>
      <c r="I315" s="316" t="s">
        <v>1243</v>
      </c>
      <c r="J315" s="310" t="s">
        <v>3730</v>
      </c>
      <c r="K315" s="312">
        <v>52630</v>
      </c>
      <c r="L315" s="312">
        <v>96390</v>
      </c>
      <c r="M315" s="313">
        <f t="shared" si="27"/>
        <v>43760</v>
      </c>
      <c r="N315" s="314">
        <f t="shared" si="28"/>
        <v>0.453989003008611</v>
      </c>
      <c r="O315" s="312">
        <v>52630</v>
      </c>
      <c r="P315" s="313">
        <f t="shared" si="24"/>
        <v>0</v>
      </c>
      <c r="Q315" s="310" t="s">
        <v>147</v>
      </c>
      <c r="R315" s="310">
        <v>320</v>
      </c>
      <c r="S315" s="310"/>
      <c r="T315" s="308">
        <v>45672</v>
      </c>
      <c r="U315" s="308">
        <v>45672</v>
      </c>
      <c r="V315" s="308"/>
      <c r="W315" s="315">
        <f t="shared" si="29"/>
        <v>4</v>
      </c>
      <c r="X315" s="310" t="s">
        <v>54</v>
      </c>
      <c r="Y315" s="310" t="s">
        <v>56</v>
      </c>
      <c r="Z315" s="316"/>
      <c r="AA315" s="316" t="s">
        <v>1257</v>
      </c>
      <c r="AB315" s="316" t="s">
        <v>1257</v>
      </c>
    </row>
    <row r="316" spans="1:28" x14ac:dyDescent="0.25">
      <c r="A316" s="307">
        <f t="shared" si="25"/>
        <v>310</v>
      </c>
      <c r="B316" s="308">
        <v>45669</v>
      </c>
      <c r="C316" s="309">
        <f t="shared" si="26"/>
        <v>45658</v>
      </c>
      <c r="D316" s="310" t="s">
        <v>51</v>
      </c>
      <c r="E316" s="310" t="s">
        <v>1224</v>
      </c>
      <c r="F316" s="311">
        <v>9161208496</v>
      </c>
      <c r="G316" s="316" t="s">
        <v>1093</v>
      </c>
      <c r="H316" s="316" t="s">
        <v>1289</v>
      </c>
      <c r="I316" s="316" t="s">
        <v>1290</v>
      </c>
      <c r="J316" s="310" t="s">
        <v>107</v>
      </c>
      <c r="K316" s="312">
        <v>85820</v>
      </c>
      <c r="L316" s="312">
        <v>113400</v>
      </c>
      <c r="M316" s="313">
        <f t="shared" si="27"/>
        <v>27580</v>
      </c>
      <c r="N316" s="314">
        <f t="shared" si="28"/>
        <v>0.24320987654321</v>
      </c>
      <c r="O316" s="312">
        <v>85820</v>
      </c>
      <c r="P316" s="313">
        <f t="shared" si="24"/>
        <v>0</v>
      </c>
      <c r="Q316" s="310" t="s">
        <v>147</v>
      </c>
      <c r="R316" s="310">
        <v>321</v>
      </c>
      <c r="S316" s="310"/>
      <c r="T316" s="308">
        <v>45673</v>
      </c>
      <c r="U316" s="308">
        <v>45673</v>
      </c>
      <c r="V316" s="308"/>
      <c r="W316" s="315">
        <f t="shared" si="29"/>
        <v>4</v>
      </c>
      <c r="X316" s="310" t="s">
        <v>54</v>
      </c>
      <c r="Y316" s="310" t="s">
        <v>439</v>
      </c>
      <c r="Z316" s="316" t="s">
        <v>1225</v>
      </c>
      <c r="AA316" s="316" t="s">
        <v>1258</v>
      </c>
      <c r="AB316" s="316" t="s">
        <v>1258</v>
      </c>
    </row>
    <row r="317" spans="1:28" x14ac:dyDescent="0.25">
      <c r="A317" s="307">
        <f t="shared" si="25"/>
        <v>311</v>
      </c>
      <c r="B317" s="308">
        <v>45670</v>
      </c>
      <c r="C317" s="309">
        <f t="shared" si="26"/>
        <v>45658</v>
      </c>
      <c r="D317" s="310" t="s">
        <v>51</v>
      </c>
      <c r="E317" s="310" t="s">
        <v>1108</v>
      </c>
      <c r="F317" s="311">
        <v>9299677001</v>
      </c>
      <c r="G317" s="316" t="s">
        <v>6</v>
      </c>
      <c r="H317" s="316" t="s">
        <v>1239</v>
      </c>
      <c r="I317" s="316" t="s">
        <v>1015</v>
      </c>
      <c r="J317" s="310" t="s">
        <v>3730</v>
      </c>
      <c r="K317" s="312">
        <v>34180</v>
      </c>
      <c r="L317" s="312">
        <v>52920</v>
      </c>
      <c r="M317" s="313">
        <f t="shared" si="27"/>
        <v>18740</v>
      </c>
      <c r="N317" s="314">
        <f t="shared" si="28"/>
        <v>0.354119425547997</v>
      </c>
      <c r="O317" s="312">
        <v>34180</v>
      </c>
      <c r="P317" s="313">
        <f t="shared" si="24"/>
        <v>0</v>
      </c>
      <c r="Q317" s="310" t="s">
        <v>147</v>
      </c>
      <c r="R317" s="310">
        <v>322</v>
      </c>
      <c r="S317" s="310"/>
      <c r="T317" s="308">
        <v>45674</v>
      </c>
      <c r="U317" s="308">
        <v>45675</v>
      </c>
      <c r="V317" s="308"/>
      <c r="W317" s="315">
        <f t="shared" si="29"/>
        <v>5</v>
      </c>
      <c r="X317" s="310" t="s">
        <v>54</v>
      </c>
      <c r="Y317" s="310" t="s">
        <v>439</v>
      </c>
      <c r="Z317" s="316"/>
      <c r="AA317" s="316" t="s">
        <v>1259</v>
      </c>
      <c r="AB317" s="316" t="s">
        <v>1260</v>
      </c>
    </row>
    <row r="318" spans="1:28" x14ac:dyDescent="0.25">
      <c r="A318" s="307">
        <f t="shared" si="25"/>
        <v>312</v>
      </c>
      <c r="B318" s="308">
        <v>45670</v>
      </c>
      <c r="C318" s="309">
        <f t="shared" si="26"/>
        <v>45658</v>
      </c>
      <c r="D318" s="310" t="s">
        <v>56</v>
      </c>
      <c r="E318" s="310" t="s">
        <v>38</v>
      </c>
      <c r="F318" s="311">
        <v>9515412075</v>
      </c>
      <c r="G318" s="316" t="s">
        <v>1093</v>
      </c>
      <c r="H318" s="316" t="s">
        <v>26</v>
      </c>
      <c r="I318" s="316" t="s">
        <v>1292</v>
      </c>
      <c r="J318" s="310" t="s">
        <v>58</v>
      </c>
      <c r="K318" s="312">
        <v>51880</v>
      </c>
      <c r="L318" s="312">
        <v>91350</v>
      </c>
      <c r="M318" s="313">
        <f t="shared" si="27"/>
        <v>39470</v>
      </c>
      <c r="N318" s="314">
        <f t="shared" si="28"/>
        <v>0.432074438970991</v>
      </c>
      <c r="O318" s="312">
        <v>51880</v>
      </c>
      <c r="P318" s="313">
        <f t="shared" si="24"/>
        <v>0</v>
      </c>
      <c r="Q318" s="310" t="s">
        <v>147</v>
      </c>
      <c r="R318" s="310">
        <v>323</v>
      </c>
      <c r="S318" s="310"/>
      <c r="T318" s="308">
        <v>45673</v>
      </c>
      <c r="U318" s="308">
        <v>45673</v>
      </c>
      <c r="V318" s="308"/>
      <c r="W318" s="315">
        <f t="shared" si="29"/>
        <v>3</v>
      </c>
      <c r="X318" s="310" t="s">
        <v>54</v>
      </c>
      <c r="Y318" s="310" t="s">
        <v>56</v>
      </c>
      <c r="Z318" s="316"/>
      <c r="AA318" s="316" t="s">
        <v>1258</v>
      </c>
      <c r="AB318" s="316" t="s">
        <v>1258</v>
      </c>
    </row>
    <row r="319" spans="1:28" x14ac:dyDescent="0.25">
      <c r="A319" s="307">
        <f t="shared" si="25"/>
        <v>313</v>
      </c>
      <c r="B319" s="308">
        <v>45672</v>
      </c>
      <c r="C319" s="309">
        <f t="shared" si="26"/>
        <v>45658</v>
      </c>
      <c r="D319" s="310" t="s">
        <v>51</v>
      </c>
      <c r="E319" s="310" t="s">
        <v>1256</v>
      </c>
      <c r="F319" s="311">
        <v>9918478901</v>
      </c>
      <c r="G319" s="316" t="s">
        <v>6</v>
      </c>
      <c r="H319" s="316" t="s">
        <v>26</v>
      </c>
      <c r="I319" s="316" t="s">
        <v>1270</v>
      </c>
      <c r="J319" s="310" t="s">
        <v>168</v>
      </c>
      <c r="K319" s="312">
        <v>25690</v>
      </c>
      <c r="L319" s="312">
        <v>35600</v>
      </c>
      <c r="M319" s="313">
        <f t="shared" si="27"/>
        <v>9910</v>
      </c>
      <c r="N319" s="314">
        <f t="shared" si="28"/>
        <v>0.278370786516854</v>
      </c>
      <c r="O319" s="312">
        <v>25690</v>
      </c>
      <c r="P319" s="313">
        <f t="shared" si="24"/>
        <v>0</v>
      </c>
      <c r="Q319" s="310" t="s">
        <v>147</v>
      </c>
      <c r="R319" s="310">
        <v>324</v>
      </c>
      <c r="S319" s="310"/>
      <c r="T319" s="308">
        <v>45675</v>
      </c>
      <c r="U319" s="308">
        <v>45675</v>
      </c>
      <c r="V319" s="308"/>
      <c r="W319" s="315">
        <f t="shared" si="29"/>
        <v>3</v>
      </c>
      <c r="X319" s="310" t="s">
        <v>54</v>
      </c>
      <c r="Y319" s="310" t="s">
        <v>439</v>
      </c>
      <c r="Z319" s="316"/>
      <c r="AA319" s="316" t="s">
        <v>1260</v>
      </c>
      <c r="AB319" s="316" t="s">
        <v>1260</v>
      </c>
    </row>
    <row r="320" spans="1:28" x14ac:dyDescent="0.25">
      <c r="A320" s="307">
        <f t="shared" si="25"/>
        <v>314</v>
      </c>
      <c r="B320" s="308">
        <v>45673</v>
      </c>
      <c r="C320" s="309">
        <f t="shared" si="26"/>
        <v>45658</v>
      </c>
      <c r="D320" s="310" t="s">
        <v>56</v>
      </c>
      <c r="E320" s="310" t="s">
        <v>60</v>
      </c>
      <c r="F320" s="311">
        <v>9589264337</v>
      </c>
      <c r="G320" s="316" t="s">
        <v>6</v>
      </c>
      <c r="H320" s="316" t="s">
        <v>1271</v>
      </c>
      <c r="I320" s="316" t="s">
        <v>1272</v>
      </c>
      <c r="J320" s="310" t="s">
        <v>3730</v>
      </c>
      <c r="K320" s="312">
        <v>45170</v>
      </c>
      <c r="L320" s="312">
        <v>46620</v>
      </c>
      <c r="M320" s="313">
        <f t="shared" si="27"/>
        <v>1450</v>
      </c>
      <c r="N320" s="314">
        <f t="shared" si="28"/>
        <v>0.0311025311025311</v>
      </c>
      <c r="O320" s="312">
        <v>45170</v>
      </c>
      <c r="P320" s="313">
        <f t="shared" si="24"/>
        <v>0</v>
      </c>
      <c r="Q320" s="310" t="s">
        <v>147</v>
      </c>
      <c r="R320" s="310">
        <v>325</v>
      </c>
      <c r="S320" s="310"/>
      <c r="T320" s="308">
        <v>45677</v>
      </c>
      <c r="U320" s="308">
        <v>45678</v>
      </c>
      <c r="V320" s="308"/>
      <c r="W320" s="315">
        <f t="shared" si="29"/>
        <v>5</v>
      </c>
      <c r="X320" s="310" t="s">
        <v>54</v>
      </c>
      <c r="Y320" s="310" t="s">
        <v>56</v>
      </c>
      <c r="Z320" s="316"/>
      <c r="AA320" s="316" t="s">
        <v>1264</v>
      </c>
      <c r="AB320" s="316" t="s">
        <v>1265</v>
      </c>
    </row>
    <row r="321" spans="1:28" x14ac:dyDescent="0.25">
      <c r="A321" s="307">
        <f t="shared" si="25"/>
        <v>315</v>
      </c>
      <c r="B321" s="308">
        <v>45674</v>
      </c>
      <c r="C321" s="309">
        <f t="shared" si="26"/>
        <v>45658</v>
      </c>
      <c r="D321" s="310" t="s">
        <v>56</v>
      </c>
      <c r="E321" s="310" t="s">
        <v>38</v>
      </c>
      <c r="F321" s="311">
        <v>9515412075</v>
      </c>
      <c r="G321" s="316" t="s">
        <v>6</v>
      </c>
      <c r="H321" s="316" t="s">
        <v>1273</v>
      </c>
      <c r="I321" s="316" t="s">
        <v>1274</v>
      </c>
      <c r="J321" s="310" t="s">
        <v>59</v>
      </c>
      <c r="K321" s="312">
        <v>44930</v>
      </c>
      <c r="L321" s="312">
        <v>45040</v>
      </c>
      <c r="M321" s="313">
        <f t="shared" si="27"/>
        <v>110</v>
      </c>
      <c r="N321" s="314">
        <f t="shared" si="28"/>
        <v>0.00244227353463588</v>
      </c>
      <c r="O321" s="312">
        <v>44930</v>
      </c>
      <c r="P321" s="313">
        <f t="shared" si="24"/>
        <v>0</v>
      </c>
      <c r="Q321" s="310" t="s">
        <v>147</v>
      </c>
      <c r="R321" s="310">
        <v>326</v>
      </c>
      <c r="S321" s="310"/>
      <c r="T321" s="308">
        <v>45678</v>
      </c>
      <c r="U321" s="308">
        <v>45678</v>
      </c>
      <c r="V321" s="308"/>
      <c r="W321" s="315">
        <f t="shared" si="29"/>
        <v>4</v>
      </c>
      <c r="X321" s="310" t="s">
        <v>54</v>
      </c>
      <c r="Y321" s="310" t="s">
        <v>56</v>
      </c>
      <c r="Z321" s="316"/>
      <c r="AA321" s="316" t="s">
        <v>1265</v>
      </c>
      <c r="AB321" s="316" t="s">
        <v>1265</v>
      </c>
    </row>
    <row r="322" spans="1:28" x14ac:dyDescent="0.25">
      <c r="A322" s="307">
        <f t="shared" si="25"/>
        <v>316</v>
      </c>
      <c r="B322" s="308">
        <v>45674</v>
      </c>
      <c r="C322" s="309">
        <f t="shared" si="26"/>
        <v>45658</v>
      </c>
      <c r="D322" s="310" t="s">
        <v>51</v>
      </c>
      <c r="E322" s="310" t="s">
        <v>198</v>
      </c>
      <c r="F322" s="311">
        <v>9355649998</v>
      </c>
      <c r="G322" s="316" t="s">
        <v>6</v>
      </c>
      <c r="H322" s="316" t="s">
        <v>26</v>
      </c>
      <c r="I322" s="316" t="s">
        <v>1275</v>
      </c>
      <c r="J322" s="310" t="s">
        <v>168</v>
      </c>
      <c r="K322" s="312">
        <v>25690</v>
      </c>
      <c r="L322" s="312">
        <v>35600</v>
      </c>
      <c r="M322" s="313">
        <f t="shared" si="27"/>
        <v>9910</v>
      </c>
      <c r="N322" s="314">
        <f t="shared" si="28"/>
        <v>0.278370786516854</v>
      </c>
      <c r="O322" s="312">
        <v>25690</v>
      </c>
      <c r="P322" s="313">
        <f t="shared" si="24"/>
        <v>0</v>
      </c>
      <c r="Q322" s="310" t="s">
        <v>147</v>
      </c>
      <c r="R322" s="310">
        <v>327</v>
      </c>
      <c r="S322" s="310"/>
      <c r="T322" s="308">
        <v>45680</v>
      </c>
      <c r="U322" s="308">
        <v>45680</v>
      </c>
      <c r="V322" s="308"/>
      <c r="W322" s="315">
        <f t="shared" si="29"/>
        <v>6</v>
      </c>
      <c r="X322" s="310" t="s">
        <v>54</v>
      </c>
      <c r="Y322" s="310" t="s">
        <v>529</v>
      </c>
      <c r="Z322" s="316"/>
      <c r="AA322" s="316" t="s">
        <v>1266</v>
      </c>
      <c r="AB322" s="316" t="s">
        <v>1266</v>
      </c>
    </row>
    <row r="323" spans="1:28" x14ac:dyDescent="0.25">
      <c r="A323" s="307">
        <f t="shared" si="25"/>
        <v>317</v>
      </c>
      <c r="B323" s="308">
        <v>45675</v>
      </c>
      <c r="C323" s="309">
        <f t="shared" si="26"/>
        <v>45658</v>
      </c>
      <c r="D323" s="310" t="s">
        <v>51</v>
      </c>
      <c r="E323" s="310" t="s">
        <v>696</v>
      </c>
      <c r="F323" s="311">
        <v>9235279810</v>
      </c>
      <c r="G323" s="316" t="s">
        <v>1093</v>
      </c>
      <c r="H323" s="316" t="s">
        <v>26</v>
      </c>
      <c r="I323" s="316" t="s">
        <v>1291</v>
      </c>
      <c r="J323" s="310" t="s">
        <v>3730</v>
      </c>
      <c r="K323" s="312">
        <v>66400</v>
      </c>
      <c r="L323" s="312">
        <v>96390</v>
      </c>
      <c r="M323" s="313">
        <f t="shared" si="27"/>
        <v>29990</v>
      </c>
      <c r="N323" s="314">
        <f t="shared" si="28"/>
        <v>0.311131860151468</v>
      </c>
      <c r="O323" s="312">
        <v>66400</v>
      </c>
      <c r="P323" s="313">
        <f t="shared" si="24"/>
        <v>0</v>
      </c>
      <c r="Q323" s="310" t="s">
        <v>147</v>
      </c>
      <c r="R323" s="310">
        <v>328</v>
      </c>
      <c r="S323" s="310"/>
      <c r="T323" s="308">
        <v>45678</v>
      </c>
      <c r="U323" s="308">
        <v>45679</v>
      </c>
      <c r="V323" s="308"/>
      <c r="W323" s="315">
        <f t="shared" si="29"/>
        <v>4</v>
      </c>
      <c r="X323" s="310" t="s">
        <v>54</v>
      </c>
      <c r="Y323" s="310" t="s">
        <v>439</v>
      </c>
      <c r="Z323" s="316"/>
      <c r="AA323" s="316" t="s">
        <v>1265</v>
      </c>
      <c r="AB323" s="316" t="s">
        <v>1267</v>
      </c>
    </row>
    <row r="324" spans="1:28" x14ac:dyDescent="0.25">
      <c r="A324" s="307">
        <f t="shared" si="25"/>
        <v>318</v>
      </c>
      <c r="B324" s="308">
        <v>45675</v>
      </c>
      <c r="C324" s="309">
        <f t="shared" si="26"/>
        <v>45658</v>
      </c>
      <c r="D324" s="310" t="s">
        <v>51</v>
      </c>
      <c r="E324" s="310" t="s">
        <v>1261</v>
      </c>
      <c r="F324" s="311">
        <v>9416295492</v>
      </c>
      <c r="G324" s="316" t="s">
        <v>6</v>
      </c>
      <c r="H324" s="316" t="s">
        <v>26</v>
      </c>
      <c r="I324" s="316" t="s">
        <v>1276</v>
      </c>
      <c r="J324" s="310" t="s">
        <v>3730</v>
      </c>
      <c r="K324" s="312">
        <v>31750</v>
      </c>
      <c r="L324" s="312">
        <v>40320</v>
      </c>
      <c r="M324" s="313">
        <f t="shared" si="27"/>
        <v>8570</v>
      </c>
      <c r="N324" s="314">
        <f t="shared" si="28"/>
        <v>0.212549603174603</v>
      </c>
      <c r="O324" s="312">
        <v>31750</v>
      </c>
      <c r="P324" s="313">
        <f t="shared" si="24"/>
        <v>0</v>
      </c>
      <c r="Q324" s="310" t="s">
        <v>147</v>
      </c>
      <c r="R324" s="310">
        <v>329</v>
      </c>
      <c r="S324" s="310"/>
      <c r="T324" s="308">
        <v>45679</v>
      </c>
      <c r="U324" s="308">
        <v>45679</v>
      </c>
      <c r="V324" s="308"/>
      <c r="W324" s="315">
        <f t="shared" si="29"/>
        <v>4</v>
      </c>
      <c r="X324" s="310" t="s">
        <v>54</v>
      </c>
      <c r="Y324" s="310" t="s">
        <v>529</v>
      </c>
      <c r="Z324" s="316"/>
      <c r="AA324" s="316" t="s">
        <v>1267</v>
      </c>
      <c r="AB324" s="316" t="s">
        <v>1267</v>
      </c>
    </row>
    <row r="325" spans="1:28" x14ac:dyDescent="0.25">
      <c r="A325" s="307">
        <f t="shared" si="25"/>
        <v>319</v>
      </c>
      <c r="B325" s="308">
        <v>45678</v>
      </c>
      <c r="C325" s="309">
        <f t="shared" si="26"/>
        <v>45658</v>
      </c>
      <c r="D325" s="310" t="s">
        <v>51</v>
      </c>
      <c r="E325" s="310" t="s">
        <v>1262</v>
      </c>
      <c r="F325" s="311">
        <v>9363306642</v>
      </c>
      <c r="G325" s="316" t="s">
        <v>6</v>
      </c>
      <c r="H325" s="316" t="s">
        <v>1277</v>
      </c>
      <c r="I325" s="316" t="s">
        <v>1278</v>
      </c>
      <c r="J325" s="310" t="s">
        <v>623</v>
      </c>
      <c r="K325" s="312">
        <v>25690</v>
      </c>
      <c r="L325" s="312">
        <v>35600</v>
      </c>
      <c r="M325" s="313">
        <f t="shared" si="27"/>
        <v>9910</v>
      </c>
      <c r="N325" s="314">
        <f t="shared" si="28"/>
        <v>0.278370786516854</v>
      </c>
      <c r="O325" s="312">
        <v>25690</v>
      </c>
      <c r="P325" s="313">
        <f t="shared" si="24"/>
        <v>0</v>
      </c>
      <c r="Q325" s="310" t="s">
        <v>147</v>
      </c>
      <c r="R325" s="310">
        <v>330</v>
      </c>
      <c r="S325" s="310"/>
      <c r="T325" s="308">
        <v>45682</v>
      </c>
      <c r="U325" s="308">
        <v>45684</v>
      </c>
      <c r="V325" s="308"/>
      <c r="W325" s="315">
        <f t="shared" si="29"/>
        <v>6</v>
      </c>
      <c r="X325" s="310" t="s">
        <v>54</v>
      </c>
      <c r="Y325" s="310" t="s">
        <v>529</v>
      </c>
      <c r="Z325" s="316"/>
      <c r="AA325" s="316" t="s">
        <v>1310</v>
      </c>
      <c r="AB325" s="316" t="s">
        <v>1311</v>
      </c>
    </row>
    <row r="326" spans="1:28" x14ac:dyDescent="0.25">
      <c r="A326" s="307">
        <f t="shared" si="25"/>
        <v>320</v>
      </c>
      <c r="B326" s="308">
        <v>45679</v>
      </c>
      <c r="C326" s="309">
        <f t="shared" si="26"/>
        <v>45658</v>
      </c>
      <c r="D326" s="310" t="s">
        <v>51</v>
      </c>
      <c r="E326" s="310" t="s">
        <v>291</v>
      </c>
      <c r="F326" s="311">
        <v>9973497171</v>
      </c>
      <c r="G326" s="316" t="s">
        <v>6</v>
      </c>
      <c r="H326" s="316" t="s">
        <v>26</v>
      </c>
      <c r="I326" s="316" t="s">
        <v>1279</v>
      </c>
      <c r="J326" s="310" t="s">
        <v>623</v>
      </c>
      <c r="K326" s="312">
        <v>25690</v>
      </c>
      <c r="L326" s="312">
        <v>35600</v>
      </c>
      <c r="M326" s="313">
        <f t="shared" si="27"/>
        <v>9910</v>
      </c>
      <c r="N326" s="314">
        <f t="shared" si="28"/>
        <v>0.278370786516854</v>
      </c>
      <c r="O326" s="312">
        <v>25690</v>
      </c>
      <c r="P326" s="313">
        <f t="shared" si="24"/>
        <v>0</v>
      </c>
      <c r="Q326" s="310" t="s">
        <v>147</v>
      </c>
      <c r="R326" s="310">
        <v>331</v>
      </c>
      <c r="S326" s="310"/>
      <c r="T326" s="308">
        <v>45682</v>
      </c>
      <c r="U326" s="308">
        <v>45682</v>
      </c>
      <c r="V326" s="308"/>
      <c r="W326" s="315">
        <f t="shared" si="29"/>
        <v>3</v>
      </c>
      <c r="X326" s="310" t="s">
        <v>54</v>
      </c>
      <c r="Y326" s="310" t="s">
        <v>529</v>
      </c>
      <c r="Z326" s="316"/>
      <c r="AA326" s="316" t="s">
        <v>1310</v>
      </c>
      <c r="AB326" s="316" t="s">
        <v>1310</v>
      </c>
    </row>
    <row r="327" spans="1:28" x14ac:dyDescent="0.25">
      <c r="A327" s="307">
        <f t="shared" si="25"/>
        <v>321</v>
      </c>
      <c r="B327" s="308">
        <v>45679</v>
      </c>
      <c r="C327" s="309">
        <f t="shared" si="26"/>
        <v>45658</v>
      </c>
      <c r="D327" s="310" t="s">
        <v>51</v>
      </c>
      <c r="E327" s="310" t="s">
        <v>1263</v>
      </c>
      <c r="F327" s="311">
        <v>9505432485</v>
      </c>
      <c r="G327" s="316" t="s">
        <v>6</v>
      </c>
      <c r="H327" s="316" t="s">
        <v>1280</v>
      </c>
      <c r="I327" s="316" t="s">
        <v>1281</v>
      </c>
      <c r="J327" s="310" t="s">
        <v>623</v>
      </c>
      <c r="K327" s="312">
        <v>27700</v>
      </c>
      <c r="L327" s="312">
        <v>41900</v>
      </c>
      <c r="M327" s="313">
        <f t="shared" si="27"/>
        <v>14200</v>
      </c>
      <c r="N327" s="314">
        <f t="shared" si="28"/>
        <v>0.33890214797136</v>
      </c>
      <c r="O327" s="312">
        <v>27700</v>
      </c>
      <c r="P327" s="313">
        <f t="shared" ref="P327:P390" si="30">IF(OR($K327="",$O327=""),"",$K327-$O327)</f>
        <v>0</v>
      </c>
      <c r="Q327" s="310" t="s">
        <v>147</v>
      </c>
      <c r="R327" s="310">
        <v>332</v>
      </c>
      <c r="S327" s="310"/>
      <c r="T327" s="308">
        <v>45684</v>
      </c>
      <c r="U327" s="308">
        <v>45684</v>
      </c>
      <c r="V327" s="308"/>
      <c r="W327" s="315">
        <f t="shared" si="29"/>
        <v>5</v>
      </c>
      <c r="X327" s="310" t="s">
        <v>54</v>
      </c>
      <c r="Y327" s="310" t="s">
        <v>529</v>
      </c>
      <c r="Z327" s="316"/>
      <c r="AA327" s="316" t="s">
        <v>1311</v>
      </c>
      <c r="AB327" s="316" t="s">
        <v>1311</v>
      </c>
    </row>
    <row r="328" spans="1:28" x14ac:dyDescent="0.25">
      <c r="A328" s="307">
        <f t="shared" ref="A328:A391" si="31">IF($B328="","",ROW()-6)</f>
        <v>322</v>
      </c>
      <c r="B328" s="308">
        <v>45679</v>
      </c>
      <c r="C328" s="309">
        <f t="shared" ref="C328:C391" si="32">IF($B328="","",EOMONTH($B328,-1)+1)</f>
        <v>45658</v>
      </c>
      <c r="D328" s="310" t="s">
        <v>51</v>
      </c>
      <c r="E328" s="310" t="s">
        <v>696</v>
      </c>
      <c r="F328" s="311">
        <v>9235279810</v>
      </c>
      <c r="G328" s="316" t="s">
        <v>6</v>
      </c>
      <c r="H328" s="316" t="s">
        <v>1282</v>
      </c>
      <c r="I328" s="316" t="s">
        <v>1283</v>
      </c>
      <c r="J328" s="310" t="s">
        <v>3730</v>
      </c>
      <c r="K328" s="312">
        <v>34710</v>
      </c>
      <c r="L328" s="312">
        <v>52920</v>
      </c>
      <c r="M328" s="313">
        <f t="shared" ref="M328:M391" si="33">IF(OR($K328="",$L328=""),"",$L328-$K328)</f>
        <v>18210</v>
      </c>
      <c r="N328" s="314">
        <f t="shared" ref="N328:N391" si="34">IF(OR($L328="",$L328=0,$M328=""),"",$M328/$L328)</f>
        <v>0.344104308390023</v>
      </c>
      <c r="O328" s="312">
        <v>34710</v>
      </c>
      <c r="P328" s="313">
        <f t="shared" si="30"/>
        <v>0</v>
      </c>
      <c r="Q328" s="310" t="s">
        <v>147</v>
      </c>
      <c r="R328" s="310">
        <v>333</v>
      </c>
      <c r="S328" s="310"/>
      <c r="T328" s="308">
        <v>45685</v>
      </c>
      <c r="U328" s="308">
        <v>45685</v>
      </c>
      <c r="V328" s="308"/>
      <c r="W328" s="315">
        <f t="shared" ref="W328:W391" si="35">IF(OR($B328="",$U328=""),"",$U328-$B328)</f>
        <v>6</v>
      </c>
      <c r="X328" s="310" t="s">
        <v>54</v>
      </c>
      <c r="Y328" s="310" t="s">
        <v>439</v>
      </c>
      <c r="Z328" s="316"/>
      <c r="AA328" s="316" t="s">
        <v>1322</v>
      </c>
      <c r="AB328" s="316" t="s">
        <v>1322</v>
      </c>
    </row>
    <row r="329" spans="1:28" x14ac:dyDescent="0.25">
      <c r="A329" s="307">
        <f t="shared" si="31"/>
        <v>323</v>
      </c>
      <c r="B329" s="308">
        <v>45680</v>
      </c>
      <c r="C329" s="309">
        <f t="shared" si="32"/>
        <v>45658</v>
      </c>
      <c r="D329" s="310" t="s">
        <v>56</v>
      </c>
      <c r="E329" s="310" t="s">
        <v>38</v>
      </c>
      <c r="F329" s="311">
        <v>9515412075</v>
      </c>
      <c r="G329" s="316" t="s">
        <v>1093</v>
      </c>
      <c r="H329" s="316" t="s">
        <v>26</v>
      </c>
      <c r="I329" s="316" t="s">
        <v>1293</v>
      </c>
      <c r="J329" s="310" t="s">
        <v>59</v>
      </c>
      <c r="K329" s="312">
        <v>51880</v>
      </c>
      <c r="L329" s="312">
        <v>91350</v>
      </c>
      <c r="M329" s="313">
        <f t="shared" si="33"/>
        <v>39470</v>
      </c>
      <c r="N329" s="314">
        <f t="shared" si="34"/>
        <v>0.432074438970991</v>
      </c>
      <c r="O329" s="312">
        <v>51880</v>
      </c>
      <c r="P329" s="313">
        <f t="shared" si="30"/>
        <v>0</v>
      </c>
      <c r="Q329" s="310" t="s">
        <v>147</v>
      </c>
      <c r="R329" s="310">
        <v>334</v>
      </c>
      <c r="S329" s="310"/>
      <c r="T329" s="308">
        <v>45683</v>
      </c>
      <c r="U329" s="308">
        <v>45683</v>
      </c>
      <c r="V329" s="308"/>
      <c r="W329" s="315">
        <f t="shared" si="35"/>
        <v>3</v>
      </c>
      <c r="X329" s="310" t="s">
        <v>54</v>
      </c>
      <c r="Y329" s="310" t="s">
        <v>56</v>
      </c>
      <c r="Z329" s="316" t="s">
        <v>1294</v>
      </c>
      <c r="AA329" s="316" t="s">
        <v>1323</v>
      </c>
      <c r="AB329" s="316" t="s">
        <v>1323</v>
      </c>
    </row>
    <row r="330" spans="1:28" x14ac:dyDescent="0.25">
      <c r="A330" s="307">
        <f t="shared" si="31"/>
        <v>324</v>
      </c>
      <c r="B330" s="308">
        <v>45680</v>
      </c>
      <c r="C330" s="309">
        <f t="shared" si="32"/>
        <v>45658</v>
      </c>
      <c r="D330" s="310" t="s">
        <v>51</v>
      </c>
      <c r="E330" s="310" t="s">
        <v>1268</v>
      </c>
      <c r="F330" s="311">
        <v>9575279544</v>
      </c>
      <c r="G330" s="316" t="s">
        <v>6</v>
      </c>
      <c r="H330" s="316" t="s">
        <v>26</v>
      </c>
      <c r="I330" s="316" t="s">
        <v>1286</v>
      </c>
      <c r="J330" s="310" t="s">
        <v>3730</v>
      </c>
      <c r="K330" s="312">
        <v>31750</v>
      </c>
      <c r="L330" s="312">
        <v>40320</v>
      </c>
      <c r="M330" s="313">
        <f t="shared" si="33"/>
        <v>8570</v>
      </c>
      <c r="N330" s="314">
        <f t="shared" si="34"/>
        <v>0.212549603174603</v>
      </c>
      <c r="O330" s="312">
        <v>31750</v>
      </c>
      <c r="P330" s="313">
        <f t="shared" si="30"/>
        <v>0</v>
      </c>
      <c r="Q330" s="310" t="s">
        <v>147</v>
      </c>
      <c r="R330" s="310">
        <v>335</v>
      </c>
      <c r="S330" s="310"/>
      <c r="T330" s="308">
        <v>45685</v>
      </c>
      <c r="U330" s="308">
        <v>45685</v>
      </c>
      <c r="V330" s="308"/>
      <c r="W330" s="315">
        <f t="shared" si="35"/>
        <v>5</v>
      </c>
      <c r="X330" s="310" t="s">
        <v>54</v>
      </c>
      <c r="Y330" s="310" t="s">
        <v>529</v>
      </c>
      <c r="Z330" s="316"/>
      <c r="AA330" s="316" t="s">
        <v>1322</v>
      </c>
      <c r="AB330" s="316" t="s">
        <v>1322</v>
      </c>
    </row>
    <row r="331" spans="1:28" x14ac:dyDescent="0.25">
      <c r="A331" s="307">
        <f t="shared" si="31"/>
        <v>325</v>
      </c>
      <c r="B331" s="308">
        <v>45680</v>
      </c>
      <c r="C331" s="309">
        <f t="shared" si="32"/>
        <v>45658</v>
      </c>
      <c r="D331" s="310" t="s">
        <v>51</v>
      </c>
      <c r="E331" s="310" t="s">
        <v>795</v>
      </c>
      <c r="F331" s="311">
        <v>9973550893</v>
      </c>
      <c r="G331" s="316" t="s">
        <v>6</v>
      </c>
      <c r="H331" s="316" t="s">
        <v>1284</v>
      </c>
      <c r="I331" s="316" t="s">
        <v>1285</v>
      </c>
      <c r="J331" s="310" t="s">
        <v>59</v>
      </c>
      <c r="K331" s="312">
        <v>32330</v>
      </c>
      <c r="L331" s="312">
        <v>51340</v>
      </c>
      <c r="M331" s="313">
        <f t="shared" si="33"/>
        <v>19010</v>
      </c>
      <c r="N331" s="314">
        <f t="shared" si="34"/>
        <v>0.370276587456175</v>
      </c>
      <c r="O331" s="312">
        <v>32330</v>
      </c>
      <c r="P331" s="313">
        <f t="shared" si="30"/>
        <v>0</v>
      </c>
      <c r="Q331" s="310" t="s">
        <v>147</v>
      </c>
      <c r="R331" s="310">
        <v>336</v>
      </c>
      <c r="S331" s="310"/>
      <c r="T331" s="308">
        <v>45685</v>
      </c>
      <c r="U331" s="308">
        <v>45685</v>
      </c>
      <c r="V331" s="308"/>
      <c r="W331" s="315">
        <f t="shared" si="35"/>
        <v>5</v>
      </c>
      <c r="X331" s="310" t="s">
        <v>54</v>
      </c>
      <c r="Y331" s="310" t="s">
        <v>529</v>
      </c>
      <c r="Z331" s="316"/>
      <c r="AA331" s="316" t="s">
        <v>1322</v>
      </c>
      <c r="AB331" s="316" t="s">
        <v>1322</v>
      </c>
    </row>
    <row r="332" spans="1:28" x14ac:dyDescent="0.25">
      <c r="A332" s="307">
        <f t="shared" si="31"/>
        <v>326</v>
      </c>
      <c r="B332" s="308">
        <v>45681</v>
      </c>
      <c r="C332" s="309">
        <f t="shared" si="32"/>
        <v>45658</v>
      </c>
      <c r="D332" s="310" t="s">
        <v>51</v>
      </c>
      <c r="E332" s="310" t="s">
        <v>1269</v>
      </c>
      <c r="F332" s="311">
        <v>9293127349</v>
      </c>
      <c r="G332" s="316" t="s">
        <v>6</v>
      </c>
      <c r="H332" s="316" t="s">
        <v>1287</v>
      </c>
      <c r="I332" s="316" t="s">
        <v>1288</v>
      </c>
      <c r="J332" s="310" t="s">
        <v>3730</v>
      </c>
      <c r="K332" s="312">
        <v>33770</v>
      </c>
      <c r="L332" s="312">
        <v>46620</v>
      </c>
      <c r="M332" s="313">
        <f t="shared" si="33"/>
        <v>12850</v>
      </c>
      <c r="N332" s="314">
        <f t="shared" si="34"/>
        <v>0.275632775632776</v>
      </c>
      <c r="O332" s="312">
        <v>33770</v>
      </c>
      <c r="P332" s="313">
        <f t="shared" si="30"/>
        <v>0</v>
      </c>
      <c r="Q332" s="310" t="s">
        <v>147</v>
      </c>
      <c r="R332" s="310">
        <v>337</v>
      </c>
      <c r="S332" s="310"/>
      <c r="T332" s="308">
        <v>45685</v>
      </c>
      <c r="U332" s="308">
        <v>45685</v>
      </c>
      <c r="V332" s="308"/>
      <c r="W332" s="315">
        <f t="shared" si="35"/>
        <v>4</v>
      </c>
      <c r="X332" s="310" t="s">
        <v>54</v>
      </c>
      <c r="Y332" s="310" t="s">
        <v>529</v>
      </c>
      <c r="Z332" s="316"/>
      <c r="AA332" s="316" t="s">
        <v>1322</v>
      </c>
      <c r="AB332" s="316" t="s">
        <v>1322</v>
      </c>
    </row>
    <row r="333" spans="1:28" x14ac:dyDescent="0.25">
      <c r="A333" s="307">
        <f t="shared" si="31"/>
        <v>327</v>
      </c>
      <c r="B333" s="308">
        <v>45682</v>
      </c>
      <c r="C333" s="309">
        <f t="shared" si="32"/>
        <v>45658</v>
      </c>
      <c r="D333" s="310" t="s">
        <v>51</v>
      </c>
      <c r="E333" s="310" t="s">
        <v>1307</v>
      </c>
      <c r="F333" s="311">
        <v>9679023587</v>
      </c>
      <c r="G333" s="316" t="s">
        <v>6</v>
      </c>
      <c r="H333" s="316" t="s">
        <v>26</v>
      </c>
      <c r="I333" s="316" t="s">
        <v>1340</v>
      </c>
      <c r="J333" s="310" t="s">
        <v>59</v>
      </c>
      <c r="K333" s="312">
        <v>29910</v>
      </c>
      <c r="L333" s="312">
        <v>38740</v>
      </c>
      <c r="M333" s="313">
        <f t="shared" si="33"/>
        <v>8830</v>
      </c>
      <c r="N333" s="314">
        <f t="shared" si="34"/>
        <v>0.227929788332473</v>
      </c>
      <c r="O333" s="312">
        <v>29910</v>
      </c>
      <c r="P333" s="313">
        <f t="shared" si="30"/>
        <v>0</v>
      </c>
      <c r="Q333" s="310" t="s">
        <v>147</v>
      </c>
      <c r="R333" s="310">
        <v>338</v>
      </c>
      <c r="S333" s="310"/>
      <c r="T333" s="308">
        <v>45688</v>
      </c>
      <c r="U333" s="308">
        <v>45688</v>
      </c>
      <c r="V333" s="308"/>
      <c r="W333" s="315">
        <f t="shared" si="35"/>
        <v>6</v>
      </c>
      <c r="X333" s="310" t="s">
        <v>54</v>
      </c>
      <c r="Y333" s="310" t="s">
        <v>529</v>
      </c>
      <c r="Z333" s="316"/>
      <c r="AA333" s="316" t="s">
        <v>1324</v>
      </c>
      <c r="AB333" s="316" t="s">
        <v>1324</v>
      </c>
    </row>
    <row r="334" spans="1:28" x14ac:dyDescent="0.25">
      <c r="A334" s="307">
        <f t="shared" si="31"/>
        <v>328</v>
      </c>
      <c r="B334" s="308">
        <v>45682</v>
      </c>
      <c r="C334" s="309">
        <f t="shared" si="32"/>
        <v>45658</v>
      </c>
      <c r="D334" s="310" t="s">
        <v>56</v>
      </c>
      <c r="E334" s="310" t="s">
        <v>38</v>
      </c>
      <c r="F334" s="311">
        <v>9515412075</v>
      </c>
      <c r="G334" s="316" t="s">
        <v>6</v>
      </c>
      <c r="H334" s="316" t="s">
        <v>1341</v>
      </c>
      <c r="I334" s="316" t="s">
        <v>1342</v>
      </c>
      <c r="J334" s="310" t="s">
        <v>59</v>
      </c>
      <c r="K334" s="312">
        <v>45880</v>
      </c>
      <c r="L334" s="312">
        <v>51340</v>
      </c>
      <c r="M334" s="313">
        <f t="shared" si="33"/>
        <v>5460</v>
      </c>
      <c r="N334" s="314">
        <f t="shared" si="34"/>
        <v>0.106349824698091</v>
      </c>
      <c r="O334" s="312">
        <v>45880</v>
      </c>
      <c r="P334" s="313">
        <f t="shared" si="30"/>
        <v>0</v>
      </c>
      <c r="Q334" s="310" t="s">
        <v>147</v>
      </c>
      <c r="R334" s="310">
        <v>339</v>
      </c>
      <c r="S334" s="310"/>
      <c r="T334" s="308">
        <v>45686</v>
      </c>
      <c r="U334" s="308">
        <v>45686</v>
      </c>
      <c r="V334" s="308"/>
      <c r="W334" s="315">
        <f t="shared" si="35"/>
        <v>4</v>
      </c>
      <c r="X334" s="310" t="s">
        <v>54</v>
      </c>
      <c r="Y334" s="310" t="s">
        <v>56</v>
      </c>
      <c r="Z334" s="316"/>
      <c r="AA334" s="316" t="s">
        <v>1325</v>
      </c>
      <c r="AB334" s="316" t="s">
        <v>1325</v>
      </c>
    </row>
    <row r="335" spans="1:28" x14ac:dyDescent="0.25">
      <c r="A335" s="307">
        <f t="shared" si="31"/>
        <v>329</v>
      </c>
      <c r="B335" s="308">
        <v>45682</v>
      </c>
      <c r="C335" s="309">
        <f t="shared" si="32"/>
        <v>45658</v>
      </c>
      <c r="D335" s="310" t="s">
        <v>51</v>
      </c>
      <c r="E335" s="310" t="s">
        <v>1108</v>
      </c>
      <c r="F335" s="311">
        <v>9299677001</v>
      </c>
      <c r="G335" s="316" t="s">
        <v>1093</v>
      </c>
      <c r="H335" s="316" t="s">
        <v>26</v>
      </c>
      <c r="I335" s="316" t="s">
        <v>1358</v>
      </c>
      <c r="J335" s="310" t="s">
        <v>3730</v>
      </c>
      <c r="K335" s="312">
        <v>66870</v>
      </c>
      <c r="L335" s="312">
        <v>99540</v>
      </c>
      <c r="M335" s="313">
        <f t="shared" si="33"/>
        <v>32670</v>
      </c>
      <c r="N335" s="314">
        <f t="shared" si="34"/>
        <v>0.328209764918626</v>
      </c>
      <c r="O335" s="312">
        <v>66870</v>
      </c>
      <c r="P335" s="313">
        <f t="shared" si="30"/>
        <v>0</v>
      </c>
      <c r="Q335" s="310" t="s">
        <v>147</v>
      </c>
      <c r="R335" s="310">
        <v>340</v>
      </c>
      <c r="S335" s="310"/>
      <c r="T335" s="308">
        <v>45686</v>
      </c>
      <c r="U335" s="308">
        <v>45686</v>
      </c>
      <c r="V335" s="308"/>
      <c r="W335" s="315">
        <f t="shared" si="35"/>
        <v>4</v>
      </c>
      <c r="X335" s="310" t="s">
        <v>54</v>
      </c>
      <c r="Y335" s="310" t="s">
        <v>439</v>
      </c>
      <c r="Z335" s="316" t="s">
        <v>1308</v>
      </c>
      <c r="AA335" s="316" t="s">
        <v>1325</v>
      </c>
      <c r="AB335" s="316" t="s">
        <v>1325</v>
      </c>
    </row>
    <row r="336" spans="1:28" x14ac:dyDescent="0.25">
      <c r="A336" s="307">
        <f t="shared" si="31"/>
        <v>330</v>
      </c>
      <c r="B336" s="308">
        <v>45682</v>
      </c>
      <c r="C336" s="309">
        <f t="shared" si="32"/>
        <v>45658</v>
      </c>
      <c r="D336" s="310" t="s">
        <v>51</v>
      </c>
      <c r="E336" s="310" t="s">
        <v>1261</v>
      </c>
      <c r="F336" s="311">
        <v>9416295492</v>
      </c>
      <c r="G336" s="316" t="s">
        <v>1093</v>
      </c>
      <c r="H336" s="316" t="s">
        <v>1359</v>
      </c>
      <c r="I336" s="316" t="s">
        <v>1360</v>
      </c>
      <c r="J336" s="310" t="s">
        <v>3730</v>
      </c>
      <c r="K336" s="312">
        <v>66280</v>
      </c>
      <c r="L336" s="312">
        <v>102690</v>
      </c>
      <c r="M336" s="313">
        <f t="shared" si="33"/>
        <v>36410</v>
      </c>
      <c r="N336" s="314">
        <f t="shared" si="34"/>
        <v>0.354562274807674</v>
      </c>
      <c r="O336" s="312">
        <v>66280</v>
      </c>
      <c r="P336" s="313">
        <f t="shared" si="30"/>
        <v>0</v>
      </c>
      <c r="Q336" s="310" t="s">
        <v>147</v>
      </c>
      <c r="R336" s="310">
        <v>341</v>
      </c>
      <c r="S336" s="310"/>
      <c r="T336" s="308">
        <v>45686</v>
      </c>
      <c r="U336" s="308">
        <v>45686</v>
      </c>
      <c r="V336" s="308"/>
      <c r="W336" s="315">
        <f t="shared" si="35"/>
        <v>4</v>
      </c>
      <c r="X336" s="310" t="s">
        <v>54</v>
      </c>
      <c r="Y336" s="310" t="s">
        <v>1309</v>
      </c>
      <c r="Z336" s="316"/>
      <c r="AA336" s="316" t="s">
        <v>1325</v>
      </c>
      <c r="AB336" s="316" t="s">
        <v>1325</v>
      </c>
    </row>
    <row r="337" spans="1:28" x14ac:dyDescent="0.25">
      <c r="A337" s="307">
        <f t="shared" si="31"/>
        <v>331</v>
      </c>
      <c r="B337" s="308">
        <v>45682</v>
      </c>
      <c r="C337" s="309">
        <f t="shared" si="32"/>
        <v>45658</v>
      </c>
      <c r="D337" s="310" t="s">
        <v>56</v>
      </c>
      <c r="E337" s="310" t="s">
        <v>60</v>
      </c>
      <c r="F337" s="311">
        <v>9515412075</v>
      </c>
      <c r="G337" s="316" t="s">
        <v>377</v>
      </c>
      <c r="H337" s="316" t="s">
        <v>1365</v>
      </c>
      <c r="I337" s="316" t="s">
        <v>1366</v>
      </c>
      <c r="J337" s="310" t="s">
        <v>3730</v>
      </c>
      <c r="K337" s="312">
        <v>53580</v>
      </c>
      <c r="L337" s="312">
        <v>102690</v>
      </c>
      <c r="M337" s="313">
        <f t="shared" si="33"/>
        <v>49110</v>
      </c>
      <c r="N337" s="314">
        <f t="shared" si="34"/>
        <v>0.478235465965527</v>
      </c>
      <c r="O337" s="312">
        <v>53580</v>
      </c>
      <c r="P337" s="313">
        <f t="shared" si="30"/>
        <v>0</v>
      </c>
      <c r="Q337" s="310" t="s">
        <v>147</v>
      </c>
      <c r="R337" s="310">
        <v>342</v>
      </c>
      <c r="S337" s="310"/>
      <c r="T337" s="308">
        <v>45686</v>
      </c>
      <c r="U337" s="308">
        <v>45686</v>
      </c>
      <c r="V337" s="308"/>
      <c r="W337" s="315">
        <f t="shared" si="35"/>
        <v>4</v>
      </c>
      <c r="X337" s="310" t="s">
        <v>54</v>
      </c>
      <c r="Y337" s="310" t="s">
        <v>56</v>
      </c>
      <c r="Z337" s="316"/>
      <c r="AA337" s="316" t="s">
        <v>1325</v>
      </c>
      <c r="AB337" s="316" t="s">
        <v>1326</v>
      </c>
    </row>
    <row r="338" spans="1:28" x14ac:dyDescent="0.25">
      <c r="A338" s="307">
        <f t="shared" si="31"/>
        <v>332</v>
      </c>
      <c r="B338" s="308">
        <v>45684</v>
      </c>
      <c r="C338" s="309">
        <f t="shared" si="32"/>
        <v>45658</v>
      </c>
      <c r="D338" s="310" t="s">
        <v>51</v>
      </c>
      <c r="E338" s="310" t="s">
        <v>757</v>
      </c>
      <c r="F338" s="311">
        <v>9807770602</v>
      </c>
      <c r="G338" s="316" t="s">
        <v>6</v>
      </c>
      <c r="H338" s="316" t="s">
        <v>26</v>
      </c>
      <c r="I338" s="316" t="s">
        <v>1344</v>
      </c>
      <c r="J338" s="310" t="s">
        <v>623</v>
      </c>
      <c r="K338" s="312">
        <v>25690</v>
      </c>
      <c r="L338" s="312">
        <v>35600</v>
      </c>
      <c r="M338" s="313">
        <f t="shared" si="33"/>
        <v>9910</v>
      </c>
      <c r="N338" s="314">
        <f t="shared" si="34"/>
        <v>0.278370786516854</v>
      </c>
      <c r="O338" s="312">
        <v>25690</v>
      </c>
      <c r="P338" s="313">
        <f t="shared" si="30"/>
        <v>0</v>
      </c>
      <c r="Q338" s="310" t="s">
        <v>147</v>
      </c>
      <c r="R338" s="310">
        <v>343</v>
      </c>
      <c r="S338" s="310"/>
      <c r="T338" s="308">
        <v>45687</v>
      </c>
      <c r="U338" s="308">
        <v>45687</v>
      </c>
      <c r="V338" s="308"/>
      <c r="W338" s="315">
        <f t="shared" si="35"/>
        <v>3</v>
      </c>
      <c r="X338" s="310" t="s">
        <v>54</v>
      </c>
      <c r="Y338" s="310" t="s">
        <v>439</v>
      </c>
      <c r="Z338" s="316"/>
      <c r="AA338" s="316" t="s">
        <v>1327</v>
      </c>
      <c r="AB338" s="316" t="s">
        <v>1327</v>
      </c>
    </row>
    <row r="339" spans="1:28" x14ac:dyDescent="0.25">
      <c r="A339" s="307">
        <f t="shared" si="31"/>
        <v>333</v>
      </c>
      <c r="B339" s="308">
        <v>45684</v>
      </c>
      <c r="C339" s="309">
        <f t="shared" si="32"/>
        <v>45658</v>
      </c>
      <c r="D339" s="310" t="s">
        <v>51</v>
      </c>
      <c r="E339" s="310" t="s">
        <v>1312</v>
      </c>
      <c r="F339" s="311">
        <v>9980675943</v>
      </c>
      <c r="G339" s="316" t="s">
        <v>6</v>
      </c>
      <c r="H339" s="316" t="s">
        <v>26</v>
      </c>
      <c r="I339" s="316" t="s">
        <v>1343</v>
      </c>
      <c r="J339" s="310" t="s">
        <v>3730</v>
      </c>
      <c r="K339" s="312">
        <v>32820</v>
      </c>
      <c r="L339" s="312">
        <v>40320</v>
      </c>
      <c r="M339" s="313">
        <f t="shared" si="33"/>
        <v>7500</v>
      </c>
      <c r="N339" s="314">
        <f t="shared" si="34"/>
        <v>0.186011904761905</v>
      </c>
      <c r="O339" s="312">
        <v>32820</v>
      </c>
      <c r="P339" s="313">
        <f t="shared" si="30"/>
        <v>0</v>
      </c>
      <c r="Q339" s="310" t="s">
        <v>147</v>
      </c>
      <c r="R339" s="310">
        <v>344</v>
      </c>
      <c r="S339" s="310"/>
      <c r="T339" s="308">
        <v>45688</v>
      </c>
      <c r="U339" s="308">
        <v>45688</v>
      </c>
      <c r="V339" s="308"/>
      <c r="W339" s="315">
        <f t="shared" si="35"/>
        <v>4</v>
      </c>
      <c r="X339" s="310" t="s">
        <v>54</v>
      </c>
      <c r="Y339" s="310" t="s">
        <v>529</v>
      </c>
      <c r="Z339" s="316"/>
      <c r="AA339" s="316" t="s">
        <v>1324</v>
      </c>
      <c r="AB339" s="316" t="s">
        <v>1324</v>
      </c>
    </row>
    <row r="340" spans="1:28" x14ac:dyDescent="0.25">
      <c r="A340" s="307">
        <f t="shared" si="31"/>
        <v>334</v>
      </c>
      <c r="B340" s="308">
        <v>45684</v>
      </c>
      <c r="C340" s="309">
        <f t="shared" si="32"/>
        <v>45658</v>
      </c>
      <c r="D340" s="310" t="s">
        <v>51</v>
      </c>
      <c r="E340" s="310" t="s">
        <v>1313</v>
      </c>
      <c r="F340" s="311">
        <v>9439276363</v>
      </c>
      <c r="G340" s="316" t="s">
        <v>1314</v>
      </c>
      <c r="H340" s="316" t="s">
        <v>26</v>
      </c>
      <c r="I340" s="316" t="s">
        <v>1363</v>
      </c>
      <c r="J340" s="310" t="s">
        <v>107</v>
      </c>
      <c r="K340" s="312">
        <v>19660</v>
      </c>
      <c r="L340" s="312">
        <v>23940</v>
      </c>
      <c r="M340" s="313">
        <f t="shared" si="33"/>
        <v>4280</v>
      </c>
      <c r="N340" s="314">
        <f t="shared" si="34"/>
        <v>0.178780284043442</v>
      </c>
      <c r="O340" s="312">
        <v>19660</v>
      </c>
      <c r="P340" s="313">
        <f t="shared" si="30"/>
        <v>0</v>
      </c>
      <c r="Q340" s="310" t="s">
        <v>147</v>
      </c>
      <c r="R340" s="310">
        <v>345</v>
      </c>
      <c r="S340" s="310"/>
      <c r="T340" s="308">
        <v>45686</v>
      </c>
      <c r="U340" s="308">
        <v>45686</v>
      </c>
      <c r="V340" s="308"/>
      <c r="W340" s="315">
        <f t="shared" si="35"/>
        <v>2</v>
      </c>
      <c r="X340" s="310" t="s">
        <v>54</v>
      </c>
      <c r="Y340" s="310" t="s">
        <v>1321</v>
      </c>
      <c r="Z340" s="316"/>
      <c r="AA340" s="316" t="s">
        <v>1325</v>
      </c>
      <c r="AB340" s="316" t="s">
        <v>1325</v>
      </c>
    </row>
    <row r="341" spans="1:28" x14ac:dyDescent="0.25">
      <c r="A341" s="307">
        <f t="shared" si="31"/>
        <v>335</v>
      </c>
      <c r="B341" s="308">
        <v>45685</v>
      </c>
      <c r="C341" s="309">
        <f t="shared" si="32"/>
        <v>45658</v>
      </c>
      <c r="D341" s="310" t="s">
        <v>51</v>
      </c>
      <c r="E341" s="310" t="s">
        <v>1315</v>
      </c>
      <c r="F341" s="311">
        <v>9591781788</v>
      </c>
      <c r="G341" s="316" t="s">
        <v>6</v>
      </c>
      <c r="H341" s="316" t="s">
        <v>1345</v>
      </c>
      <c r="I341" s="316" t="s">
        <v>1346</v>
      </c>
      <c r="J341" s="310" t="s">
        <v>59</v>
      </c>
      <c r="K341" s="312">
        <v>32240</v>
      </c>
      <c r="L341" s="312">
        <v>50720</v>
      </c>
      <c r="M341" s="313">
        <f t="shared" si="33"/>
        <v>18480</v>
      </c>
      <c r="N341" s="314">
        <f t="shared" si="34"/>
        <v>0.364353312302839</v>
      </c>
      <c r="O341" s="312">
        <v>32240</v>
      </c>
      <c r="P341" s="313">
        <f t="shared" si="30"/>
        <v>0</v>
      </c>
      <c r="Q341" s="310" t="s">
        <v>147</v>
      </c>
      <c r="R341" s="310">
        <v>346</v>
      </c>
      <c r="S341" s="310"/>
      <c r="T341" s="308">
        <v>45688</v>
      </c>
      <c r="U341" s="308">
        <v>45688</v>
      </c>
      <c r="V341" s="308"/>
      <c r="W341" s="315">
        <f t="shared" si="35"/>
        <v>3</v>
      </c>
      <c r="X341" s="310" t="s">
        <v>54</v>
      </c>
      <c r="Y341" s="310" t="s">
        <v>439</v>
      </c>
      <c r="Z341" s="316" t="s">
        <v>1319</v>
      </c>
      <c r="AA341" s="316" t="s">
        <v>1324</v>
      </c>
      <c r="AB341" s="316" t="s">
        <v>1324</v>
      </c>
    </row>
    <row r="342" spans="1:28" x14ac:dyDescent="0.25">
      <c r="A342" s="307">
        <f t="shared" si="31"/>
        <v>336</v>
      </c>
      <c r="B342" s="308">
        <v>45686</v>
      </c>
      <c r="C342" s="309">
        <f t="shared" si="32"/>
        <v>45658</v>
      </c>
      <c r="D342" s="310" t="s">
        <v>51</v>
      </c>
      <c r="E342" s="310" t="s">
        <v>2334</v>
      </c>
      <c r="F342" s="311"/>
      <c r="G342" s="316" t="s">
        <v>6</v>
      </c>
      <c r="H342" s="316" t="s">
        <v>26</v>
      </c>
      <c r="I342" s="316" t="s">
        <v>1348</v>
      </c>
      <c r="J342" s="310" t="s">
        <v>381</v>
      </c>
      <c r="K342" s="312">
        <v>49930</v>
      </c>
      <c r="L342" s="312">
        <v>56570</v>
      </c>
      <c r="M342" s="313">
        <f t="shared" si="33"/>
        <v>6640</v>
      </c>
      <c r="N342" s="314">
        <f t="shared" si="34"/>
        <v>0.117376701431854</v>
      </c>
      <c r="O342" s="312">
        <v>49930</v>
      </c>
      <c r="P342" s="313">
        <f t="shared" si="30"/>
        <v>0</v>
      </c>
      <c r="Q342" s="310" t="s">
        <v>147</v>
      </c>
      <c r="R342" s="310">
        <v>347</v>
      </c>
      <c r="S342" s="310"/>
      <c r="T342" s="308">
        <v>45687</v>
      </c>
      <c r="U342" s="308">
        <v>45687</v>
      </c>
      <c r="V342" s="308"/>
      <c r="W342" s="315">
        <f t="shared" si="35"/>
        <v>1</v>
      </c>
      <c r="X342" s="310" t="s">
        <v>54</v>
      </c>
      <c r="Y342" s="310" t="s">
        <v>2334</v>
      </c>
      <c r="Z342" s="316" t="s">
        <v>1330</v>
      </c>
      <c r="AA342" s="316" t="s">
        <v>1327</v>
      </c>
      <c r="AB342" s="316" t="s">
        <v>1327</v>
      </c>
    </row>
    <row r="343" spans="1:28" x14ac:dyDescent="0.25">
      <c r="A343" s="307">
        <f t="shared" si="31"/>
        <v>337</v>
      </c>
      <c r="B343" s="308">
        <v>45686</v>
      </c>
      <c r="C343" s="309">
        <f t="shared" si="32"/>
        <v>45658</v>
      </c>
      <c r="D343" s="310" t="s">
        <v>51</v>
      </c>
      <c r="E343" s="310" t="s">
        <v>2334</v>
      </c>
      <c r="F343" s="311"/>
      <c r="G343" s="316" t="s">
        <v>6</v>
      </c>
      <c r="H343" s="316" t="s">
        <v>26</v>
      </c>
      <c r="I343" s="316" t="s">
        <v>1349</v>
      </c>
      <c r="J343" s="310" t="s">
        <v>381</v>
      </c>
      <c r="K343" s="312">
        <v>33570</v>
      </c>
      <c r="L343" s="312">
        <v>36380</v>
      </c>
      <c r="M343" s="313">
        <f t="shared" si="33"/>
        <v>2810</v>
      </c>
      <c r="N343" s="314">
        <f t="shared" si="34"/>
        <v>0.077240241891149</v>
      </c>
      <c r="O343" s="312">
        <v>33570</v>
      </c>
      <c r="P343" s="313">
        <f t="shared" si="30"/>
        <v>0</v>
      </c>
      <c r="Q343" s="310" t="s">
        <v>147</v>
      </c>
      <c r="R343" s="310">
        <v>348</v>
      </c>
      <c r="S343" s="310"/>
      <c r="T343" s="308">
        <v>45687</v>
      </c>
      <c r="U343" s="308">
        <v>45687</v>
      </c>
      <c r="V343" s="308"/>
      <c r="W343" s="315">
        <f t="shared" si="35"/>
        <v>1</v>
      </c>
      <c r="X343" s="310" t="s">
        <v>54</v>
      </c>
      <c r="Y343" s="310" t="s">
        <v>2334</v>
      </c>
      <c r="Z343" s="316" t="s">
        <v>1331</v>
      </c>
      <c r="AA343" s="316" t="s">
        <v>1327</v>
      </c>
      <c r="AB343" s="316" t="s">
        <v>1327</v>
      </c>
    </row>
    <row r="344" spans="1:28" x14ac:dyDescent="0.25">
      <c r="A344" s="307">
        <f t="shared" si="31"/>
        <v>338</v>
      </c>
      <c r="B344" s="308">
        <v>45686</v>
      </c>
      <c r="C344" s="309">
        <f t="shared" si="32"/>
        <v>45658</v>
      </c>
      <c r="D344" s="310" t="s">
        <v>51</v>
      </c>
      <c r="E344" s="310" t="s">
        <v>2334</v>
      </c>
      <c r="F344" s="311"/>
      <c r="G344" s="316" t="s">
        <v>6</v>
      </c>
      <c r="H344" s="316" t="s">
        <v>26</v>
      </c>
      <c r="I344" s="316" t="s">
        <v>1350</v>
      </c>
      <c r="J344" s="310" t="s">
        <v>381</v>
      </c>
      <c r="K344" s="312">
        <v>62160</v>
      </c>
      <c r="L344" s="312">
        <v>64520</v>
      </c>
      <c r="M344" s="313">
        <f t="shared" si="33"/>
        <v>2360</v>
      </c>
      <c r="N344" s="314">
        <f t="shared" si="34"/>
        <v>0.0365778053316801</v>
      </c>
      <c r="O344" s="312">
        <v>62160</v>
      </c>
      <c r="P344" s="313">
        <f t="shared" si="30"/>
        <v>0</v>
      </c>
      <c r="Q344" s="310" t="s">
        <v>147</v>
      </c>
      <c r="R344" s="310">
        <v>349</v>
      </c>
      <c r="S344" s="310"/>
      <c r="T344" s="308">
        <v>45687</v>
      </c>
      <c r="U344" s="308">
        <v>45687</v>
      </c>
      <c r="V344" s="308"/>
      <c r="W344" s="315">
        <f t="shared" si="35"/>
        <v>1</v>
      </c>
      <c r="X344" s="310" t="s">
        <v>54</v>
      </c>
      <c r="Y344" s="310" t="s">
        <v>2334</v>
      </c>
      <c r="Z344" s="316" t="s">
        <v>1332</v>
      </c>
      <c r="AA344" s="316" t="s">
        <v>1327</v>
      </c>
      <c r="AB344" s="316" t="s">
        <v>1327</v>
      </c>
    </row>
    <row r="345" spans="1:28" x14ac:dyDescent="0.25">
      <c r="A345" s="307">
        <f t="shared" si="31"/>
        <v>339</v>
      </c>
      <c r="B345" s="308">
        <v>45686</v>
      </c>
      <c r="C345" s="309">
        <f t="shared" si="32"/>
        <v>45658</v>
      </c>
      <c r="D345" s="310" t="s">
        <v>51</v>
      </c>
      <c r="E345" s="310" t="s">
        <v>2334</v>
      </c>
      <c r="F345" s="311"/>
      <c r="G345" s="316" t="s">
        <v>6</v>
      </c>
      <c r="H345" s="316" t="s">
        <v>26</v>
      </c>
      <c r="I345" s="316" t="s">
        <v>1351</v>
      </c>
      <c r="J345" s="310" t="s">
        <v>381</v>
      </c>
      <c r="K345" s="312">
        <v>80590</v>
      </c>
      <c r="L345" s="312">
        <v>92780</v>
      </c>
      <c r="M345" s="313">
        <f t="shared" si="33"/>
        <v>12190</v>
      </c>
      <c r="N345" s="314">
        <f t="shared" si="34"/>
        <v>0.13138607458504</v>
      </c>
      <c r="O345" s="312">
        <v>80590</v>
      </c>
      <c r="P345" s="313">
        <f t="shared" si="30"/>
        <v>0</v>
      </c>
      <c r="Q345" s="310" t="s">
        <v>147</v>
      </c>
      <c r="R345" s="310">
        <v>350</v>
      </c>
      <c r="S345" s="310"/>
      <c r="T345" s="308">
        <v>45687</v>
      </c>
      <c r="U345" s="308">
        <v>45687</v>
      </c>
      <c r="V345" s="308"/>
      <c r="W345" s="315">
        <f t="shared" si="35"/>
        <v>1</v>
      </c>
      <c r="X345" s="310" t="s">
        <v>54</v>
      </c>
      <c r="Y345" s="310" t="s">
        <v>2334</v>
      </c>
      <c r="Z345" s="316" t="s">
        <v>1333</v>
      </c>
      <c r="AA345" s="316" t="s">
        <v>1327</v>
      </c>
      <c r="AB345" s="316" t="s">
        <v>1327</v>
      </c>
    </row>
    <row r="346" spans="1:28" x14ac:dyDescent="0.25">
      <c r="A346" s="307">
        <f t="shared" si="31"/>
        <v>340</v>
      </c>
      <c r="B346" s="308">
        <v>45686</v>
      </c>
      <c r="C346" s="309">
        <f t="shared" si="32"/>
        <v>45658</v>
      </c>
      <c r="D346" s="310" t="s">
        <v>51</v>
      </c>
      <c r="E346" s="310" t="s">
        <v>1316</v>
      </c>
      <c r="F346" s="311">
        <v>9571913465</v>
      </c>
      <c r="G346" s="316" t="s">
        <v>1093</v>
      </c>
      <c r="H346" s="316" t="s">
        <v>26</v>
      </c>
      <c r="I346" s="316" t="s">
        <v>1364</v>
      </c>
      <c r="J346" s="310" t="s">
        <v>107</v>
      </c>
      <c r="K346" s="312">
        <v>84450</v>
      </c>
      <c r="L346" s="312">
        <v>109620</v>
      </c>
      <c r="M346" s="313">
        <f t="shared" si="33"/>
        <v>25170</v>
      </c>
      <c r="N346" s="314">
        <f t="shared" si="34"/>
        <v>0.229611384783799</v>
      </c>
      <c r="O346" s="312">
        <v>84450</v>
      </c>
      <c r="P346" s="313">
        <f t="shared" si="30"/>
        <v>0</v>
      </c>
      <c r="Q346" s="310" t="s">
        <v>147</v>
      </c>
      <c r="R346" s="310">
        <v>351</v>
      </c>
      <c r="S346" s="310"/>
      <c r="T346" s="308">
        <v>45689</v>
      </c>
      <c r="U346" s="308">
        <v>45689</v>
      </c>
      <c r="V346" s="308"/>
      <c r="W346" s="315">
        <f t="shared" si="35"/>
        <v>3</v>
      </c>
      <c r="X346" s="310" t="s">
        <v>54</v>
      </c>
      <c r="Y346" s="310" t="s">
        <v>1320</v>
      </c>
      <c r="Z346" s="316" t="s">
        <v>1319</v>
      </c>
      <c r="AA346" s="317">
        <v>45659</v>
      </c>
      <c r="AB346" s="317">
        <v>45659</v>
      </c>
    </row>
    <row r="347" spans="1:28" x14ac:dyDescent="0.25">
      <c r="A347" s="307">
        <f t="shared" si="31"/>
        <v>341</v>
      </c>
      <c r="B347" s="308">
        <v>45686</v>
      </c>
      <c r="C347" s="309">
        <f t="shared" si="32"/>
        <v>45658</v>
      </c>
      <c r="D347" s="310" t="s">
        <v>56</v>
      </c>
      <c r="E347" s="310" t="s">
        <v>60</v>
      </c>
      <c r="F347" s="311">
        <v>9589264337</v>
      </c>
      <c r="G347" s="316" t="s">
        <v>6</v>
      </c>
      <c r="H347" s="316" t="s">
        <v>26</v>
      </c>
      <c r="I347" s="316" t="s">
        <v>1347</v>
      </c>
      <c r="J347" s="310" t="s">
        <v>3730</v>
      </c>
      <c r="K347" s="312">
        <v>45070</v>
      </c>
      <c r="L347" s="312">
        <v>45990</v>
      </c>
      <c r="M347" s="313">
        <f t="shared" si="33"/>
        <v>920</v>
      </c>
      <c r="N347" s="314">
        <f t="shared" si="34"/>
        <v>0.0200043487714721</v>
      </c>
      <c r="O347" s="312">
        <v>45070</v>
      </c>
      <c r="P347" s="313">
        <f t="shared" si="30"/>
        <v>0</v>
      </c>
      <c r="Q347" s="310" t="s">
        <v>147</v>
      </c>
      <c r="R347" s="310">
        <v>352</v>
      </c>
      <c r="S347" s="310"/>
      <c r="T347" s="308">
        <v>45688</v>
      </c>
      <c r="U347" s="308">
        <v>45688</v>
      </c>
      <c r="V347" s="308"/>
      <c r="W347" s="315">
        <f t="shared" si="35"/>
        <v>2</v>
      </c>
      <c r="X347" s="310" t="s">
        <v>54</v>
      </c>
      <c r="Y347" s="310" t="s">
        <v>56</v>
      </c>
      <c r="Z347" s="316" t="s">
        <v>1319</v>
      </c>
      <c r="AA347" s="316" t="s">
        <v>1324</v>
      </c>
      <c r="AB347" s="316" t="s">
        <v>1324</v>
      </c>
    </row>
    <row r="348" spans="1:28" x14ac:dyDescent="0.25">
      <c r="A348" s="307">
        <f t="shared" si="31"/>
        <v>342</v>
      </c>
      <c r="B348" s="308">
        <v>45687</v>
      </c>
      <c r="C348" s="309">
        <f t="shared" si="32"/>
        <v>45658</v>
      </c>
      <c r="D348" s="310" t="s">
        <v>51</v>
      </c>
      <c r="E348" s="310" t="s">
        <v>2334</v>
      </c>
      <c r="F348" s="311"/>
      <c r="G348" s="316" t="s">
        <v>6</v>
      </c>
      <c r="H348" s="316" t="s">
        <v>26</v>
      </c>
      <c r="I348" s="316" t="s">
        <v>1356</v>
      </c>
      <c r="J348" s="310" t="s">
        <v>381</v>
      </c>
      <c r="K348" s="312">
        <v>34640</v>
      </c>
      <c r="L348" s="312">
        <v>40350</v>
      </c>
      <c r="M348" s="313">
        <f t="shared" si="33"/>
        <v>5710</v>
      </c>
      <c r="N348" s="314">
        <f t="shared" si="34"/>
        <v>0.141511771995043</v>
      </c>
      <c r="O348" s="312">
        <v>34640</v>
      </c>
      <c r="P348" s="313">
        <f t="shared" si="30"/>
        <v>0</v>
      </c>
      <c r="Q348" s="310" t="s">
        <v>147</v>
      </c>
      <c r="R348" s="310">
        <v>353</v>
      </c>
      <c r="S348" s="310"/>
      <c r="T348" s="308">
        <v>45688</v>
      </c>
      <c r="U348" s="308">
        <v>45689</v>
      </c>
      <c r="V348" s="308"/>
      <c r="W348" s="315">
        <f t="shared" si="35"/>
        <v>2</v>
      </c>
      <c r="X348" s="310" t="s">
        <v>54</v>
      </c>
      <c r="Y348" s="310" t="s">
        <v>2334</v>
      </c>
      <c r="Z348" s="316" t="s">
        <v>1335</v>
      </c>
      <c r="AA348" s="316" t="s">
        <v>1324</v>
      </c>
      <c r="AB348" s="317">
        <v>45659</v>
      </c>
    </row>
    <row r="349" spans="1:28" x14ac:dyDescent="0.25">
      <c r="A349" s="307">
        <f t="shared" si="31"/>
        <v>343</v>
      </c>
      <c r="B349" s="308">
        <v>45687</v>
      </c>
      <c r="C349" s="309">
        <f t="shared" si="32"/>
        <v>45658</v>
      </c>
      <c r="D349" s="310" t="s">
        <v>51</v>
      </c>
      <c r="E349" s="310" t="s">
        <v>2334</v>
      </c>
      <c r="F349" s="311"/>
      <c r="G349" s="316" t="s">
        <v>6</v>
      </c>
      <c r="H349" s="316" t="s">
        <v>26</v>
      </c>
      <c r="I349" s="316" t="s">
        <v>1352</v>
      </c>
      <c r="J349" s="310" t="s">
        <v>381</v>
      </c>
      <c r="K349" s="312">
        <v>84510</v>
      </c>
      <c r="L349" s="312">
        <v>95290</v>
      </c>
      <c r="M349" s="313">
        <f t="shared" si="33"/>
        <v>10780</v>
      </c>
      <c r="N349" s="314">
        <f t="shared" si="34"/>
        <v>0.113128345051947</v>
      </c>
      <c r="O349" s="312">
        <v>84510</v>
      </c>
      <c r="P349" s="313">
        <f t="shared" si="30"/>
        <v>0</v>
      </c>
      <c r="Q349" s="310" t="s">
        <v>147</v>
      </c>
      <c r="R349" s="310">
        <v>354</v>
      </c>
      <c r="S349" s="310"/>
      <c r="T349" s="308">
        <v>45688</v>
      </c>
      <c r="U349" s="308">
        <v>45689</v>
      </c>
      <c r="V349" s="308"/>
      <c r="W349" s="315">
        <f t="shared" si="35"/>
        <v>2</v>
      </c>
      <c r="X349" s="310" t="s">
        <v>54</v>
      </c>
      <c r="Y349" s="310" t="s">
        <v>2334</v>
      </c>
      <c r="Z349" s="316" t="s">
        <v>1334</v>
      </c>
      <c r="AA349" s="316" t="s">
        <v>1324</v>
      </c>
      <c r="AB349" s="317">
        <v>45659</v>
      </c>
    </row>
    <row r="350" spans="1:28" x14ac:dyDescent="0.25">
      <c r="A350" s="307">
        <f t="shared" si="31"/>
        <v>344</v>
      </c>
      <c r="B350" s="308">
        <v>45687</v>
      </c>
      <c r="C350" s="309">
        <f t="shared" si="32"/>
        <v>45658</v>
      </c>
      <c r="D350" s="310" t="s">
        <v>51</v>
      </c>
      <c r="E350" s="310" t="s">
        <v>1317</v>
      </c>
      <c r="F350" s="311">
        <v>9504219544</v>
      </c>
      <c r="G350" s="316" t="s">
        <v>1093</v>
      </c>
      <c r="H350" s="316" t="s">
        <v>1361</v>
      </c>
      <c r="I350" s="316" t="s">
        <v>1362</v>
      </c>
      <c r="J350" s="310" t="s">
        <v>3730</v>
      </c>
      <c r="K350" s="312">
        <v>66980</v>
      </c>
      <c r="L350" s="312">
        <v>102060</v>
      </c>
      <c r="M350" s="313">
        <f t="shared" si="33"/>
        <v>35080</v>
      </c>
      <c r="N350" s="314">
        <f t="shared" si="34"/>
        <v>0.343719380756418</v>
      </c>
      <c r="O350" s="312">
        <v>66980</v>
      </c>
      <c r="P350" s="313">
        <f t="shared" si="30"/>
        <v>0</v>
      </c>
      <c r="Q350" s="310" t="s">
        <v>147</v>
      </c>
      <c r="R350" s="310">
        <v>355</v>
      </c>
      <c r="S350" s="310"/>
      <c r="T350" s="308">
        <v>45691</v>
      </c>
      <c r="U350" s="308">
        <v>45691</v>
      </c>
      <c r="V350" s="308"/>
      <c r="W350" s="315">
        <f t="shared" si="35"/>
        <v>4</v>
      </c>
      <c r="X350" s="310" t="s">
        <v>54</v>
      </c>
      <c r="Y350" s="310" t="s">
        <v>1320</v>
      </c>
      <c r="Z350" s="316" t="s">
        <v>1319</v>
      </c>
      <c r="AA350" s="317">
        <v>45718</v>
      </c>
      <c r="AB350" s="317">
        <v>45718</v>
      </c>
    </row>
    <row r="351" spans="1:28" x14ac:dyDescent="0.25">
      <c r="A351" s="307">
        <f t="shared" si="31"/>
        <v>345</v>
      </c>
      <c r="B351" s="308">
        <v>45688</v>
      </c>
      <c r="C351" s="309">
        <f t="shared" si="32"/>
        <v>45658</v>
      </c>
      <c r="D351" s="310" t="s">
        <v>51</v>
      </c>
      <c r="E351" s="310" t="s">
        <v>2334</v>
      </c>
      <c r="F351" s="311"/>
      <c r="G351" s="316" t="s">
        <v>6</v>
      </c>
      <c r="H351" s="316" t="s">
        <v>26</v>
      </c>
      <c r="I351" s="316" t="s">
        <v>1353</v>
      </c>
      <c r="J351" s="310" t="s">
        <v>381</v>
      </c>
      <c r="K351" s="312">
        <v>57790</v>
      </c>
      <c r="L351" s="312">
        <v>68920</v>
      </c>
      <c r="M351" s="313">
        <f t="shared" si="33"/>
        <v>11130</v>
      </c>
      <c r="N351" s="314">
        <f t="shared" si="34"/>
        <v>0.161491584445734</v>
      </c>
      <c r="O351" s="312">
        <v>57790</v>
      </c>
      <c r="P351" s="313">
        <f t="shared" si="30"/>
        <v>0</v>
      </c>
      <c r="Q351" s="310" t="s">
        <v>147</v>
      </c>
      <c r="R351" s="310">
        <v>356</v>
      </c>
      <c r="S351" s="310"/>
      <c r="T351" s="308">
        <v>45688</v>
      </c>
      <c r="U351" s="308">
        <v>45689</v>
      </c>
      <c r="V351" s="308"/>
      <c r="W351" s="315">
        <f t="shared" si="35"/>
        <v>1</v>
      </c>
      <c r="X351" s="310" t="s">
        <v>54</v>
      </c>
      <c r="Y351" s="310" t="s">
        <v>2334</v>
      </c>
      <c r="Z351" s="316" t="s">
        <v>1336</v>
      </c>
      <c r="AA351" s="316" t="s">
        <v>1324</v>
      </c>
      <c r="AB351" s="317">
        <v>45659</v>
      </c>
    </row>
    <row r="352" spans="1:28" x14ac:dyDescent="0.25">
      <c r="A352" s="307">
        <f t="shared" si="31"/>
        <v>346</v>
      </c>
      <c r="B352" s="308">
        <v>45688</v>
      </c>
      <c r="C352" s="309">
        <f t="shared" si="32"/>
        <v>45658</v>
      </c>
      <c r="D352" s="310" t="s">
        <v>51</v>
      </c>
      <c r="E352" s="310" t="s">
        <v>2334</v>
      </c>
      <c r="F352" s="311"/>
      <c r="G352" s="316" t="s">
        <v>6</v>
      </c>
      <c r="H352" s="316" t="s">
        <v>26</v>
      </c>
      <c r="I352" s="316" t="s">
        <v>1354</v>
      </c>
      <c r="J352" s="310" t="s">
        <v>381</v>
      </c>
      <c r="K352" s="312">
        <v>116260</v>
      </c>
      <c r="L352" s="312">
        <v>139790</v>
      </c>
      <c r="M352" s="313">
        <f t="shared" si="33"/>
        <v>23530</v>
      </c>
      <c r="N352" s="314">
        <f t="shared" si="34"/>
        <v>0.168323914443093</v>
      </c>
      <c r="O352" s="312">
        <v>116260</v>
      </c>
      <c r="P352" s="313">
        <f t="shared" si="30"/>
        <v>0</v>
      </c>
      <c r="Q352" s="310" t="s">
        <v>147</v>
      </c>
      <c r="R352" s="310">
        <v>357</v>
      </c>
      <c r="S352" s="310"/>
      <c r="T352" s="308">
        <v>45688</v>
      </c>
      <c r="U352" s="308">
        <v>45689</v>
      </c>
      <c r="V352" s="308"/>
      <c r="W352" s="315">
        <f t="shared" si="35"/>
        <v>1</v>
      </c>
      <c r="X352" s="310" t="s">
        <v>54</v>
      </c>
      <c r="Y352" s="310" t="s">
        <v>2334</v>
      </c>
      <c r="Z352" s="316" t="s">
        <v>1337</v>
      </c>
      <c r="AA352" s="316" t="s">
        <v>1324</v>
      </c>
      <c r="AB352" s="317">
        <v>45659</v>
      </c>
    </row>
    <row r="353" spans="1:28" x14ac:dyDescent="0.25">
      <c r="A353" s="307">
        <f t="shared" si="31"/>
        <v>347</v>
      </c>
      <c r="B353" s="308">
        <v>45688</v>
      </c>
      <c r="C353" s="309">
        <f t="shared" si="32"/>
        <v>45658</v>
      </c>
      <c r="D353" s="310" t="s">
        <v>51</v>
      </c>
      <c r="E353" s="310" t="s">
        <v>2334</v>
      </c>
      <c r="F353" s="311"/>
      <c r="G353" s="316" t="s">
        <v>6</v>
      </c>
      <c r="H353" s="316" t="s">
        <v>26</v>
      </c>
      <c r="I353" s="316" t="s">
        <v>1355</v>
      </c>
      <c r="J353" s="310" t="s">
        <v>381</v>
      </c>
      <c r="K353" s="312">
        <v>65770</v>
      </c>
      <c r="L353" s="312">
        <v>78450</v>
      </c>
      <c r="M353" s="313">
        <f t="shared" si="33"/>
        <v>12680</v>
      </c>
      <c r="N353" s="314">
        <f t="shared" si="34"/>
        <v>0.161631612492033</v>
      </c>
      <c r="O353" s="312">
        <v>65770</v>
      </c>
      <c r="P353" s="313">
        <f t="shared" si="30"/>
        <v>0</v>
      </c>
      <c r="Q353" s="310" t="s">
        <v>147</v>
      </c>
      <c r="R353" s="310">
        <v>358</v>
      </c>
      <c r="S353" s="310"/>
      <c r="T353" s="308">
        <v>45688</v>
      </c>
      <c r="U353" s="308">
        <v>45689</v>
      </c>
      <c r="V353" s="308"/>
      <c r="W353" s="315">
        <f t="shared" si="35"/>
        <v>1</v>
      </c>
      <c r="X353" s="310" t="s">
        <v>54</v>
      </c>
      <c r="Y353" s="310" t="s">
        <v>2334</v>
      </c>
      <c r="Z353" s="316" t="s">
        <v>1338</v>
      </c>
      <c r="AA353" s="316" t="s">
        <v>1324</v>
      </c>
      <c r="AB353" s="317">
        <v>45659</v>
      </c>
    </row>
    <row r="354" spans="1:28" x14ac:dyDescent="0.25">
      <c r="A354" s="307">
        <f t="shared" si="31"/>
        <v>348</v>
      </c>
      <c r="B354" s="308">
        <v>45689</v>
      </c>
      <c r="C354" s="309">
        <f t="shared" si="32"/>
        <v>45689</v>
      </c>
      <c r="D354" s="310" t="s">
        <v>56</v>
      </c>
      <c r="E354" s="310" t="s">
        <v>38</v>
      </c>
      <c r="F354" s="311">
        <v>9025368773</v>
      </c>
      <c r="G354" s="316" t="s">
        <v>1093</v>
      </c>
      <c r="H354" s="316" t="s">
        <v>1393</v>
      </c>
      <c r="I354" s="316" t="s">
        <v>6</v>
      </c>
      <c r="J354" s="310" t="s">
        <v>59</v>
      </c>
      <c r="K354" s="312">
        <v>52820</v>
      </c>
      <c r="L354" s="312">
        <v>97650</v>
      </c>
      <c r="M354" s="313">
        <f t="shared" si="33"/>
        <v>44830</v>
      </c>
      <c r="N354" s="314">
        <f t="shared" si="34"/>
        <v>0.459088581669227</v>
      </c>
      <c r="O354" s="312">
        <v>52820</v>
      </c>
      <c r="P354" s="313">
        <f t="shared" si="30"/>
        <v>0</v>
      </c>
      <c r="Q354" s="310" t="s">
        <v>147</v>
      </c>
      <c r="R354" s="310">
        <v>359</v>
      </c>
      <c r="S354" s="310"/>
      <c r="T354" s="308">
        <v>45693</v>
      </c>
      <c r="U354" s="308">
        <v>45693</v>
      </c>
      <c r="V354" s="308"/>
      <c r="W354" s="315">
        <f t="shared" si="35"/>
        <v>4</v>
      </c>
      <c r="X354" s="310" t="s">
        <v>54</v>
      </c>
      <c r="Y354" s="310" t="s">
        <v>56</v>
      </c>
      <c r="Z354" s="316"/>
      <c r="AA354" s="317">
        <v>45779</v>
      </c>
      <c r="AB354" s="317">
        <v>45779</v>
      </c>
    </row>
    <row r="355" spans="1:28" x14ac:dyDescent="0.25">
      <c r="A355" s="307">
        <f t="shared" si="31"/>
        <v>349</v>
      </c>
      <c r="B355" s="308">
        <v>45689</v>
      </c>
      <c r="C355" s="309">
        <f t="shared" si="32"/>
        <v>45689</v>
      </c>
      <c r="D355" s="310" t="s">
        <v>51</v>
      </c>
      <c r="E355" s="310" t="s">
        <v>605</v>
      </c>
      <c r="F355" s="311">
        <v>9142370650</v>
      </c>
      <c r="G355" s="316" t="s">
        <v>6</v>
      </c>
      <c r="H355" s="316" t="s">
        <v>26</v>
      </c>
      <c r="I355" s="316" t="s">
        <v>1357</v>
      </c>
      <c r="J355" s="310" t="s">
        <v>623</v>
      </c>
      <c r="K355" s="312">
        <v>25690</v>
      </c>
      <c r="L355" s="312">
        <v>35600</v>
      </c>
      <c r="M355" s="313">
        <f t="shared" si="33"/>
        <v>9910</v>
      </c>
      <c r="N355" s="314">
        <f t="shared" si="34"/>
        <v>0.278370786516854</v>
      </c>
      <c r="O355" s="312">
        <v>25690</v>
      </c>
      <c r="P355" s="313">
        <f t="shared" si="30"/>
        <v>0</v>
      </c>
      <c r="Q355" s="310" t="s">
        <v>147</v>
      </c>
      <c r="R355" s="310">
        <v>360</v>
      </c>
      <c r="S355" s="310"/>
      <c r="T355" s="308">
        <v>45692</v>
      </c>
      <c r="U355" s="308">
        <v>45692</v>
      </c>
      <c r="V355" s="308"/>
      <c r="W355" s="315">
        <f t="shared" si="35"/>
        <v>3</v>
      </c>
      <c r="X355" s="310" t="s">
        <v>54</v>
      </c>
      <c r="Y355" s="310" t="s">
        <v>439</v>
      </c>
      <c r="Z355" s="316"/>
      <c r="AA355" s="317">
        <v>45749</v>
      </c>
      <c r="AB355" s="317">
        <v>45749</v>
      </c>
    </row>
    <row r="356" spans="1:28" x14ac:dyDescent="0.25">
      <c r="A356" s="307">
        <f t="shared" si="31"/>
        <v>350</v>
      </c>
      <c r="B356" s="308">
        <v>45691</v>
      </c>
      <c r="C356" s="309">
        <f t="shared" si="32"/>
        <v>45689</v>
      </c>
      <c r="D356" s="310" t="s">
        <v>56</v>
      </c>
      <c r="E356" s="310" t="s">
        <v>60</v>
      </c>
      <c r="F356" s="311">
        <v>9589264337</v>
      </c>
      <c r="G356" s="316" t="s">
        <v>1093</v>
      </c>
      <c r="H356" s="316" t="s">
        <v>1395</v>
      </c>
      <c r="I356" s="316" t="s">
        <v>1394</v>
      </c>
      <c r="J356" s="310" t="s">
        <v>3730</v>
      </c>
      <c r="K356" s="312">
        <v>53580</v>
      </c>
      <c r="L356" s="312">
        <v>102690</v>
      </c>
      <c r="M356" s="313">
        <f t="shared" si="33"/>
        <v>49110</v>
      </c>
      <c r="N356" s="314">
        <f t="shared" si="34"/>
        <v>0.478235465965527</v>
      </c>
      <c r="O356" s="312">
        <v>53580</v>
      </c>
      <c r="P356" s="313">
        <f t="shared" si="30"/>
        <v>0</v>
      </c>
      <c r="Q356" s="310" t="s">
        <v>147</v>
      </c>
      <c r="R356" s="310">
        <v>361</v>
      </c>
      <c r="S356" s="310"/>
      <c r="T356" s="308">
        <v>45695</v>
      </c>
      <c r="U356" s="308">
        <v>45695</v>
      </c>
      <c r="V356" s="308"/>
      <c r="W356" s="315">
        <f t="shared" si="35"/>
        <v>4</v>
      </c>
      <c r="X356" s="310" t="s">
        <v>54</v>
      </c>
      <c r="Y356" s="310" t="s">
        <v>56</v>
      </c>
      <c r="Z356" s="316"/>
      <c r="AA356" s="317">
        <v>45840</v>
      </c>
      <c r="AB356" s="317">
        <v>45840</v>
      </c>
    </row>
    <row r="357" spans="1:28" x14ac:dyDescent="0.25">
      <c r="A357" s="307">
        <f t="shared" si="31"/>
        <v>351</v>
      </c>
      <c r="B357" s="308">
        <v>45692</v>
      </c>
      <c r="C357" s="309">
        <f t="shared" si="32"/>
        <v>45689</v>
      </c>
      <c r="D357" s="310" t="s">
        <v>51</v>
      </c>
      <c r="E357" s="310" t="s">
        <v>1399</v>
      </c>
      <c r="F357" s="311">
        <v>9891092647</v>
      </c>
      <c r="G357" s="316" t="s">
        <v>6</v>
      </c>
      <c r="H357" s="316" t="s">
        <v>26</v>
      </c>
      <c r="I357" s="316" t="s">
        <v>1411</v>
      </c>
      <c r="J357" s="310" t="s">
        <v>168</v>
      </c>
      <c r="K357" s="312">
        <v>18050</v>
      </c>
      <c r="L357" s="312">
        <v>23940</v>
      </c>
      <c r="M357" s="313">
        <f t="shared" si="33"/>
        <v>5890</v>
      </c>
      <c r="N357" s="314">
        <f t="shared" si="34"/>
        <v>0.246031746031746</v>
      </c>
      <c r="O357" s="312">
        <v>18050</v>
      </c>
      <c r="P357" s="313">
        <f t="shared" si="30"/>
        <v>0</v>
      </c>
      <c r="Q357" s="310" t="s">
        <v>147</v>
      </c>
      <c r="R357" s="310">
        <v>362</v>
      </c>
      <c r="S357" s="310"/>
      <c r="T357" s="308">
        <v>45696</v>
      </c>
      <c r="U357" s="308">
        <v>45696</v>
      </c>
      <c r="V357" s="308"/>
      <c r="W357" s="315">
        <f t="shared" si="35"/>
        <v>4</v>
      </c>
      <c r="X357" s="310" t="s">
        <v>54</v>
      </c>
      <c r="Y357" s="310" t="s">
        <v>529</v>
      </c>
      <c r="Z357" s="316"/>
      <c r="AA357" s="317">
        <v>45871</v>
      </c>
      <c r="AB357" s="317">
        <v>45871</v>
      </c>
    </row>
    <row r="358" spans="1:28" x14ac:dyDescent="0.25">
      <c r="A358" s="307">
        <f t="shared" si="31"/>
        <v>352</v>
      </c>
      <c r="B358" s="308">
        <v>45693</v>
      </c>
      <c r="C358" s="309">
        <f t="shared" si="32"/>
        <v>45689</v>
      </c>
      <c r="D358" s="310" t="s">
        <v>51</v>
      </c>
      <c r="E358" s="310" t="s">
        <v>772</v>
      </c>
      <c r="F358" s="311">
        <v>9474555859</v>
      </c>
      <c r="G358" s="316" t="s">
        <v>6</v>
      </c>
      <c r="H358" s="316" t="s">
        <v>1412</v>
      </c>
      <c r="I358" s="316" t="s">
        <v>1413</v>
      </c>
      <c r="J358" s="310" t="s">
        <v>59</v>
      </c>
      <c r="K358" s="312">
        <v>31800</v>
      </c>
      <c r="L358" s="312">
        <v>51340</v>
      </c>
      <c r="M358" s="313">
        <f t="shared" si="33"/>
        <v>19540</v>
      </c>
      <c r="N358" s="314">
        <f t="shared" si="34"/>
        <v>0.380599922088041</v>
      </c>
      <c r="O358" s="312">
        <v>31800</v>
      </c>
      <c r="P358" s="313">
        <f t="shared" si="30"/>
        <v>0</v>
      </c>
      <c r="Q358" s="310" t="s">
        <v>147</v>
      </c>
      <c r="R358" s="310">
        <v>363</v>
      </c>
      <c r="S358" s="310"/>
      <c r="T358" s="308">
        <v>45698</v>
      </c>
      <c r="U358" s="308">
        <v>45698</v>
      </c>
      <c r="V358" s="308"/>
      <c r="W358" s="315">
        <f t="shared" si="35"/>
        <v>5</v>
      </c>
      <c r="X358" s="310" t="s">
        <v>54</v>
      </c>
      <c r="Y358" s="310" t="s">
        <v>529</v>
      </c>
      <c r="Z358" s="316"/>
      <c r="AA358" s="317">
        <v>45932</v>
      </c>
      <c r="AB358" s="317">
        <v>45932</v>
      </c>
    </row>
    <row r="359" spans="1:28" x14ac:dyDescent="0.25">
      <c r="A359" s="307">
        <f t="shared" si="31"/>
        <v>353</v>
      </c>
      <c r="B359" s="308">
        <v>45693</v>
      </c>
      <c r="C359" s="309">
        <f t="shared" si="32"/>
        <v>45689</v>
      </c>
      <c r="D359" s="310" t="s">
        <v>51</v>
      </c>
      <c r="E359" s="310" t="s">
        <v>975</v>
      </c>
      <c r="F359" s="311">
        <v>9393435306</v>
      </c>
      <c r="G359" s="316" t="s">
        <v>6</v>
      </c>
      <c r="H359" s="316" t="s">
        <v>394</v>
      </c>
      <c r="I359" s="316" t="s">
        <v>1414</v>
      </c>
      <c r="J359" s="310" t="s">
        <v>59</v>
      </c>
      <c r="K359" s="312">
        <v>29370</v>
      </c>
      <c r="L359" s="312">
        <v>38740</v>
      </c>
      <c r="M359" s="313">
        <f t="shared" si="33"/>
        <v>9370</v>
      </c>
      <c r="N359" s="314">
        <f t="shared" si="34"/>
        <v>0.241868869385648</v>
      </c>
      <c r="O359" s="312">
        <v>29370</v>
      </c>
      <c r="P359" s="313">
        <f t="shared" si="30"/>
        <v>0</v>
      </c>
      <c r="Q359" s="310" t="s">
        <v>147</v>
      </c>
      <c r="R359" s="310">
        <v>364</v>
      </c>
      <c r="S359" s="310"/>
      <c r="T359" s="308">
        <v>45696</v>
      </c>
      <c r="U359" s="308">
        <v>45696</v>
      </c>
      <c r="V359" s="308"/>
      <c r="W359" s="315">
        <f t="shared" si="35"/>
        <v>3</v>
      </c>
      <c r="X359" s="310" t="s">
        <v>54</v>
      </c>
      <c r="Y359" s="310" t="s">
        <v>439</v>
      </c>
      <c r="Z359" s="316"/>
      <c r="AA359" s="317">
        <v>45871</v>
      </c>
      <c r="AB359" s="317">
        <v>45871</v>
      </c>
    </row>
    <row r="360" spans="1:28" x14ac:dyDescent="0.25">
      <c r="A360" s="307">
        <f t="shared" si="31"/>
        <v>354</v>
      </c>
      <c r="B360" s="308">
        <v>45694</v>
      </c>
      <c r="C360" s="309">
        <f t="shared" si="32"/>
        <v>45689</v>
      </c>
      <c r="D360" s="310" t="s">
        <v>51</v>
      </c>
      <c r="E360" s="310" t="s">
        <v>696</v>
      </c>
      <c r="F360" s="311">
        <v>9235279810</v>
      </c>
      <c r="G360" s="316" t="s">
        <v>6</v>
      </c>
      <c r="H360" s="316" t="s">
        <v>1415</v>
      </c>
      <c r="I360" s="316" t="s">
        <v>1416</v>
      </c>
      <c r="J360" s="310" t="s">
        <v>3730</v>
      </c>
      <c r="K360" s="312">
        <v>33770</v>
      </c>
      <c r="L360" s="312">
        <v>46620</v>
      </c>
      <c r="M360" s="313">
        <f t="shared" si="33"/>
        <v>12850</v>
      </c>
      <c r="N360" s="314">
        <f t="shared" si="34"/>
        <v>0.275632775632776</v>
      </c>
      <c r="O360" s="312">
        <v>33770</v>
      </c>
      <c r="P360" s="313">
        <f t="shared" si="30"/>
        <v>0</v>
      </c>
      <c r="Q360" s="310" t="s">
        <v>147</v>
      </c>
      <c r="R360" s="310">
        <v>365</v>
      </c>
      <c r="S360" s="310"/>
      <c r="T360" s="308">
        <v>45698</v>
      </c>
      <c r="U360" s="308">
        <v>45698</v>
      </c>
      <c r="V360" s="308"/>
      <c r="W360" s="315">
        <f t="shared" si="35"/>
        <v>4</v>
      </c>
      <c r="X360" s="310" t="s">
        <v>54</v>
      </c>
      <c r="Y360" s="310" t="s">
        <v>439</v>
      </c>
      <c r="Z360" s="316"/>
      <c r="AA360" s="317">
        <v>45932</v>
      </c>
      <c r="AB360" s="317">
        <v>45932</v>
      </c>
    </row>
    <row r="361" spans="1:28" x14ac:dyDescent="0.25">
      <c r="A361" s="307">
        <f t="shared" si="31"/>
        <v>355</v>
      </c>
      <c r="B361" s="308">
        <v>45694</v>
      </c>
      <c r="C361" s="309">
        <f t="shared" si="32"/>
        <v>45689</v>
      </c>
      <c r="D361" s="310" t="s">
        <v>51</v>
      </c>
      <c r="E361" s="310" t="s">
        <v>1402</v>
      </c>
      <c r="F361" s="311">
        <v>9997445160</v>
      </c>
      <c r="G361" s="316" t="s">
        <v>1093</v>
      </c>
      <c r="H361" s="316" t="s">
        <v>26</v>
      </c>
      <c r="I361" s="316" t="s">
        <v>1423</v>
      </c>
      <c r="J361" s="310" t="s">
        <v>107</v>
      </c>
      <c r="K361" s="312">
        <v>83380</v>
      </c>
      <c r="L361" s="312">
        <v>109620</v>
      </c>
      <c r="M361" s="313">
        <f t="shared" si="33"/>
        <v>26240</v>
      </c>
      <c r="N361" s="314">
        <f t="shared" si="34"/>
        <v>0.239372377303412</v>
      </c>
      <c r="O361" s="312">
        <v>83380</v>
      </c>
      <c r="P361" s="313">
        <f t="shared" si="30"/>
        <v>0</v>
      </c>
      <c r="Q361" s="310" t="s">
        <v>147</v>
      </c>
      <c r="R361" s="310">
        <v>366</v>
      </c>
      <c r="S361" s="310"/>
      <c r="T361" s="308">
        <v>45698</v>
      </c>
      <c r="U361" s="308">
        <v>45698</v>
      </c>
      <c r="V361" s="308"/>
      <c r="W361" s="315">
        <f t="shared" si="35"/>
        <v>4</v>
      </c>
      <c r="X361" s="310" t="s">
        <v>54</v>
      </c>
      <c r="Y361" s="310" t="s">
        <v>439</v>
      </c>
      <c r="Z361" s="316" t="s">
        <v>1319</v>
      </c>
      <c r="AA361" s="317">
        <v>45932</v>
      </c>
      <c r="AB361" s="317">
        <v>45932</v>
      </c>
    </row>
    <row r="362" spans="1:28" x14ac:dyDescent="0.25">
      <c r="A362" s="307">
        <f t="shared" si="31"/>
        <v>356</v>
      </c>
      <c r="B362" s="308">
        <v>45695</v>
      </c>
      <c r="C362" s="309">
        <f t="shared" si="32"/>
        <v>45689</v>
      </c>
      <c r="D362" s="310" t="s">
        <v>56</v>
      </c>
      <c r="E362" s="310" t="s">
        <v>60</v>
      </c>
      <c r="F362" s="311">
        <v>9589264337</v>
      </c>
      <c r="G362" s="316" t="s">
        <v>6</v>
      </c>
      <c r="H362" s="316" t="s">
        <v>1417</v>
      </c>
      <c r="I362" s="316" t="s">
        <v>1418</v>
      </c>
      <c r="J362" s="310" t="s">
        <v>3730</v>
      </c>
      <c r="K362" s="312">
        <v>47060</v>
      </c>
      <c r="L362" s="312">
        <v>59220</v>
      </c>
      <c r="M362" s="313">
        <f t="shared" si="33"/>
        <v>12160</v>
      </c>
      <c r="N362" s="314">
        <f t="shared" si="34"/>
        <v>0.205336035123269</v>
      </c>
      <c r="O362" s="312">
        <v>47060</v>
      </c>
      <c r="P362" s="313">
        <f t="shared" si="30"/>
        <v>0</v>
      </c>
      <c r="Q362" s="310" t="s">
        <v>147</v>
      </c>
      <c r="R362" s="310">
        <v>367</v>
      </c>
      <c r="S362" s="310"/>
      <c r="T362" s="308">
        <v>45698</v>
      </c>
      <c r="U362" s="308">
        <v>45699</v>
      </c>
      <c r="V362" s="308"/>
      <c r="W362" s="315">
        <f t="shared" si="35"/>
        <v>4</v>
      </c>
      <c r="X362" s="310" t="s">
        <v>54</v>
      </c>
      <c r="Y362" s="310" t="s">
        <v>56</v>
      </c>
      <c r="Z362" s="316"/>
      <c r="AA362" s="317">
        <v>45932</v>
      </c>
      <c r="AB362" s="317">
        <v>45963</v>
      </c>
    </row>
    <row r="363" spans="1:28" x14ac:dyDescent="0.25">
      <c r="A363" s="307">
        <f t="shared" si="31"/>
        <v>357</v>
      </c>
      <c r="B363" s="308">
        <v>45696</v>
      </c>
      <c r="C363" s="309">
        <f t="shared" si="32"/>
        <v>45689</v>
      </c>
      <c r="D363" s="310" t="s">
        <v>56</v>
      </c>
      <c r="E363" s="310" t="s">
        <v>38</v>
      </c>
      <c r="F363" s="311">
        <v>9025368773</v>
      </c>
      <c r="G363" s="316" t="s">
        <v>6</v>
      </c>
      <c r="H363" s="316" t="s">
        <v>26</v>
      </c>
      <c r="I363" s="316" t="s">
        <v>1419</v>
      </c>
      <c r="J363" s="310" t="s">
        <v>59</v>
      </c>
      <c r="K363" s="312">
        <v>44930</v>
      </c>
      <c r="L363" s="312">
        <v>45040</v>
      </c>
      <c r="M363" s="313">
        <f t="shared" si="33"/>
        <v>110</v>
      </c>
      <c r="N363" s="314">
        <f t="shared" si="34"/>
        <v>0.00244227353463588</v>
      </c>
      <c r="O363" s="312">
        <v>44930</v>
      </c>
      <c r="P363" s="313">
        <f t="shared" si="30"/>
        <v>0</v>
      </c>
      <c r="Q363" s="310" t="s">
        <v>147</v>
      </c>
      <c r="R363" s="310">
        <v>368</v>
      </c>
      <c r="S363" s="310"/>
      <c r="T363" s="308">
        <v>45699</v>
      </c>
      <c r="U363" s="308">
        <v>45699</v>
      </c>
      <c r="V363" s="308"/>
      <c r="W363" s="315">
        <f t="shared" si="35"/>
        <v>3</v>
      </c>
      <c r="X363" s="310" t="s">
        <v>54</v>
      </c>
      <c r="Y363" s="310" t="s">
        <v>56</v>
      </c>
      <c r="Z363" s="316" t="s">
        <v>1404</v>
      </c>
      <c r="AA363" s="317">
        <v>45963</v>
      </c>
      <c r="AB363" s="317">
        <v>45963</v>
      </c>
    </row>
    <row r="364" spans="1:28" x14ac:dyDescent="0.25">
      <c r="A364" s="307">
        <f t="shared" si="31"/>
        <v>358</v>
      </c>
      <c r="B364" s="308">
        <v>45696</v>
      </c>
      <c r="C364" s="309">
        <f t="shared" si="32"/>
        <v>45689</v>
      </c>
      <c r="D364" s="310" t="s">
        <v>51</v>
      </c>
      <c r="E364" s="310" t="s">
        <v>1405</v>
      </c>
      <c r="F364" s="311">
        <v>9094784928</v>
      </c>
      <c r="G364" s="316" t="s">
        <v>1093</v>
      </c>
      <c r="H364" s="316" t="s">
        <v>26</v>
      </c>
      <c r="I364" s="316" t="s">
        <v>1424</v>
      </c>
      <c r="J364" s="310" t="s">
        <v>3730</v>
      </c>
      <c r="K364" s="312">
        <v>65870</v>
      </c>
      <c r="L364" s="312">
        <v>96390</v>
      </c>
      <c r="M364" s="313">
        <f t="shared" si="33"/>
        <v>30520</v>
      </c>
      <c r="N364" s="314">
        <f t="shared" si="34"/>
        <v>0.316630355846042</v>
      </c>
      <c r="O364" s="312">
        <v>65870</v>
      </c>
      <c r="P364" s="313">
        <f t="shared" si="30"/>
        <v>0</v>
      </c>
      <c r="Q364" s="310" t="s">
        <v>147</v>
      </c>
      <c r="R364" s="310">
        <v>369</v>
      </c>
      <c r="S364" s="310"/>
      <c r="T364" s="308">
        <v>45699</v>
      </c>
      <c r="U364" s="308">
        <v>45699</v>
      </c>
      <c r="V364" s="308"/>
      <c r="W364" s="315">
        <f t="shared" si="35"/>
        <v>3</v>
      </c>
      <c r="X364" s="310" t="s">
        <v>54</v>
      </c>
      <c r="Y364" s="310" t="s">
        <v>439</v>
      </c>
      <c r="Z364" s="316"/>
      <c r="AA364" s="317">
        <v>45963</v>
      </c>
      <c r="AB364" s="317">
        <v>45963</v>
      </c>
    </row>
    <row r="365" spans="1:28" x14ac:dyDescent="0.25">
      <c r="A365" s="307">
        <f t="shared" si="31"/>
        <v>359</v>
      </c>
      <c r="B365" s="308">
        <v>45696</v>
      </c>
      <c r="C365" s="309">
        <f t="shared" si="32"/>
        <v>45689</v>
      </c>
      <c r="D365" s="310" t="s">
        <v>51</v>
      </c>
      <c r="E365" s="310" t="s">
        <v>1406</v>
      </c>
      <c r="F365" s="311">
        <v>9072725119</v>
      </c>
      <c r="G365" s="316" t="s">
        <v>1093</v>
      </c>
      <c r="H365" s="316" t="s">
        <v>1433</v>
      </c>
      <c r="I365" s="316" t="s">
        <v>1432</v>
      </c>
      <c r="J365" s="310" t="s">
        <v>3730</v>
      </c>
      <c r="K365" s="312">
        <v>67350</v>
      </c>
      <c r="L365" s="312">
        <v>102690</v>
      </c>
      <c r="M365" s="313">
        <f t="shared" si="33"/>
        <v>35340</v>
      </c>
      <c r="N365" s="314">
        <f t="shared" si="34"/>
        <v>0.344142565001461</v>
      </c>
      <c r="O365" s="312">
        <v>67350</v>
      </c>
      <c r="P365" s="313">
        <f t="shared" si="30"/>
        <v>0</v>
      </c>
      <c r="Q365" s="310" t="s">
        <v>147</v>
      </c>
      <c r="R365" s="310">
        <v>370</v>
      </c>
      <c r="S365" s="310"/>
      <c r="T365" s="308">
        <v>45700</v>
      </c>
      <c r="U365" s="308">
        <v>45700</v>
      </c>
      <c r="V365" s="308"/>
      <c r="W365" s="315">
        <f t="shared" si="35"/>
        <v>4</v>
      </c>
      <c r="X365" s="310" t="s">
        <v>54</v>
      </c>
      <c r="Y365" s="310" t="s">
        <v>1320</v>
      </c>
      <c r="Z365" s="316"/>
      <c r="AA365" s="317">
        <v>45993</v>
      </c>
      <c r="AB365" s="317">
        <v>45993</v>
      </c>
    </row>
    <row r="366" spans="1:28" x14ac:dyDescent="0.25">
      <c r="A366" s="307">
        <f t="shared" si="31"/>
        <v>360</v>
      </c>
      <c r="B366" s="308">
        <v>45698</v>
      </c>
      <c r="C366" s="309">
        <f t="shared" si="32"/>
        <v>45689</v>
      </c>
      <c r="D366" s="310" t="s">
        <v>51</v>
      </c>
      <c r="E366" s="310" t="s">
        <v>1409</v>
      </c>
      <c r="F366" s="311">
        <v>9092630700</v>
      </c>
      <c r="G366" s="316" t="s">
        <v>6</v>
      </c>
      <c r="H366" s="316" t="s">
        <v>26</v>
      </c>
      <c r="I366" s="316" t="s">
        <v>1422</v>
      </c>
      <c r="J366" s="310" t="s">
        <v>168</v>
      </c>
      <c r="K366" s="312">
        <v>25690</v>
      </c>
      <c r="L366" s="312">
        <v>35600</v>
      </c>
      <c r="M366" s="313">
        <f t="shared" si="33"/>
        <v>9910</v>
      </c>
      <c r="N366" s="314">
        <f t="shared" si="34"/>
        <v>0.278370786516854</v>
      </c>
      <c r="O366" s="312">
        <v>25690</v>
      </c>
      <c r="P366" s="313">
        <f t="shared" si="30"/>
        <v>0</v>
      </c>
      <c r="Q366" s="310" t="s">
        <v>147</v>
      </c>
      <c r="R366" s="310">
        <v>371</v>
      </c>
      <c r="S366" s="310"/>
      <c r="T366" s="308">
        <v>45701</v>
      </c>
      <c r="U366" s="308">
        <v>45701</v>
      </c>
      <c r="V366" s="308"/>
      <c r="W366" s="315">
        <f t="shared" si="35"/>
        <v>3</v>
      </c>
      <c r="X366" s="310" t="s">
        <v>54</v>
      </c>
      <c r="Y366" s="310" t="s">
        <v>439</v>
      </c>
      <c r="Z366" s="316"/>
      <c r="AA366" s="316" t="s">
        <v>1452</v>
      </c>
      <c r="AB366" s="316" t="s">
        <v>1452</v>
      </c>
    </row>
    <row r="367" spans="1:28" x14ac:dyDescent="0.25">
      <c r="A367" s="307">
        <f t="shared" si="31"/>
        <v>361</v>
      </c>
      <c r="B367" s="308">
        <v>45698</v>
      </c>
      <c r="C367" s="309">
        <f t="shared" si="32"/>
        <v>45689</v>
      </c>
      <c r="D367" s="310" t="s">
        <v>51</v>
      </c>
      <c r="E367" s="310" t="s">
        <v>1410</v>
      </c>
      <c r="F367" s="311">
        <v>9627693845</v>
      </c>
      <c r="G367" s="316" t="s">
        <v>6</v>
      </c>
      <c r="H367" s="316" t="s">
        <v>1420</v>
      </c>
      <c r="I367" s="316" t="s">
        <v>1421</v>
      </c>
      <c r="J367" s="310" t="s">
        <v>623</v>
      </c>
      <c r="K367" s="312">
        <v>27170</v>
      </c>
      <c r="L367" s="312">
        <v>41900</v>
      </c>
      <c r="M367" s="313">
        <f t="shared" si="33"/>
        <v>14730</v>
      </c>
      <c r="N367" s="314">
        <f t="shared" si="34"/>
        <v>0.351551312649165</v>
      </c>
      <c r="O367" s="312">
        <v>27170</v>
      </c>
      <c r="P367" s="313">
        <f t="shared" si="30"/>
        <v>0</v>
      </c>
      <c r="Q367" s="310" t="s">
        <v>147</v>
      </c>
      <c r="R367" s="310">
        <v>373</v>
      </c>
      <c r="S367" s="310"/>
      <c r="T367" s="308">
        <v>45702</v>
      </c>
      <c r="U367" s="308">
        <v>45702</v>
      </c>
      <c r="V367" s="308"/>
      <c r="W367" s="315">
        <f t="shared" si="35"/>
        <v>4</v>
      </c>
      <c r="X367" s="310" t="s">
        <v>54</v>
      </c>
      <c r="Y367" s="310" t="s">
        <v>439</v>
      </c>
      <c r="Z367" s="316"/>
      <c r="AA367" s="316" t="s">
        <v>1453</v>
      </c>
      <c r="AB367" s="316" t="s">
        <v>1453</v>
      </c>
    </row>
    <row r="368" spans="1:28" x14ac:dyDescent="0.25">
      <c r="A368" s="307">
        <f t="shared" si="31"/>
        <v>362</v>
      </c>
      <c r="B368" s="308">
        <v>45699</v>
      </c>
      <c r="C368" s="309">
        <f t="shared" si="32"/>
        <v>45689</v>
      </c>
      <c r="D368" s="310" t="s">
        <v>51</v>
      </c>
      <c r="E368" s="310" t="s">
        <v>1405</v>
      </c>
      <c r="F368" s="311">
        <v>9094784928</v>
      </c>
      <c r="G368" s="316" t="s">
        <v>6</v>
      </c>
      <c r="H368" s="316" t="s">
        <v>1467</v>
      </c>
      <c r="I368" s="316" t="s">
        <v>1468</v>
      </c>
      <c r="J368" s="310" t="s">
        <v>3730</v>
      </c>
      <c r="K368" s="312">
        <v>33770</v>
      </c>
      <c r="L368" s="312">
        <v>46620</v>
      </c>
      <c r="M368" s="313">
        <f t="shared" si="33"/>
        <v>12850</v>
      </c>
      <c r="N368" s="314">
        <f t="shared" si="34"/>
        <v>0.275632775632776</v>
      </c>
      <c r="O368" s="312">
        <v>33770</v>
      </c>
      <c r="P368" s="313">
        <f t="shared" si="30"/>
        <v>0</v>
      </c>
      <c r="Q368" s="310" t="s">
        <v>147</v>
      </c>
      <c r="R368" s="310">
        <v>374</v>
      </c>
      <c r="S368" s="310"/>
      <c r="T368" s="308">
        <v>45703</v>
      </c>
      <c r="U368" s="308">
        <v>45703</v>
      </c>
      <c r="V368" s="308"/>
      <c r="W368" s="315">
        <f t="shared" si="35"/>
        <v>4</v>
      </c>
      <c r="X368" s="310" t="s">
        <v>54</v>
      </c>
      <c r="Y368" s="310" t="s">
        <v>439</v>
      </c>
      <c r="Z368" s="316"/>
      <c r="AA368" s="316" t="s">
        <v>1454</v>
      </c>
      <c r="AB368" s="316" t="s">
        <v>1454</v>
      </c>
    </row>
    <row r="369" spans="1:28" x14ac:dyDescent="0.25">
      <c r="A369" s="307">
        <f t="shared" si="31"/>
        <v>363</v>
      </c>
      <c r="B369" s="308">
        <v>45699</v>
      </c>
      <c r="C369" s="309">
        <f t="shared" si="32"/>
        <v>45689</v>
      </c>
      <c r="D369" s="310" t="s">
        <v>51</v>
      </c>
      <c r="E369" s="310" t="s">
        <v>1437</v>
      </c>
      <c r="F369" s="311">
        <v>9474555859</v>
      </c>
      <c r="G369" s="316" t="s">
        <v>6</v>
      </c>
      <c r="H369" s="316" t="s">
        <v>26</v>
      </c>
      <c r="I369" s="316" t="s">
        <v>1469</v>
      </c>
      <c r="J369" s="310" t="s">
        <v>623</v>
      </c>
      <c r="K369" s="312">
        <v>25690</v>
      </c>
      <c r="L369" s="312">
        <v>35600</v>
      </c>
      <c r="M369" s="313">
        <f t="shared" si="33"/>
        <v>9910</v>
      </c>
      <c r="N369" s="314">
        <f t="shared" si="34"/>
        <v>0.278370786516854</v>
      </c>
      <c r="O369" s="312">
        <v>25690</v>
      </c>
      <c r="P369" s="313">
        <f t="shared" si="30"/>
        <v>0</v>
      </c>
      <c r="Q369" s="310" t="s">
        <v>147</v>
      </c>
      <c r="R369" s="310">
        <v>375</v>
      </c>
      <c r="S369" s="310"/>
      <c r="T369" s="308">
        <v>45703</v>
      </c>
      <c r="U369" s="308">
        <v>45703</v>
      </c>
      <c r="V369" s="308"/>
      <c r="W369" s="315">
        <f t="shared" si="35"/>
        <v>4</v>
      </c>
      <c r="X369" s="310" t="s">
        <v>54</v>
      </c>
      <c r="Y369" s="310" t="s">
        <v>529</v>
      </c>
      <c r="Z369" s="316"/>
      <c r="AA369" s="316" t="s">
        <v>1454</v>
      </c>
      <c r="AB369" s="316" t="s">
        <v>1454</v>
      </c>
    </row>
    <row r="370" spans="1:28" x14ac:dyDescent="0.25">
      <c r="A370" s="307">
        <f t="shared" si="31"/>
        <v>364</v>
      </c>
      <c r="B370" s="308">
        <v>45700</v>
      </c>
      <c r="C370" s="309">
        <f t="shared" si="32"/>
        <v>45689</v>
      </c>
      <c r="D370" s="310" t="s">
        <v>56</v>
      </c>
      <c r="E370" s="310" t="s">
        <v>38</v>
      </c>
      <c r="F370" s="311">
        <v>9515412075</v>
      </c>
      <c r="G370" s="316" t="s">
        <v>377</v>
      </c>
      <c r="H370" s="316" t="s">
        <v>1496</v>
      </c>
      <c r="I370" s="316" t="s">
        <v>1497</v>
      </c>
      <c r="J370" s="310" t="s">
        <v>59</v>
      </c>
      <c r="K370" s="312">
        <v>53670</v>
      </c>
      <c r="L370" s="312">
        <v>103320</v>
      </c>
      <c r="M370" s="313">
        <f t="shared" si="33"/>
        <v>49650</v>
      </c>
      <c r="N370" s="314">
        <f t="shared" si="34"/>
        <v>0.48054587688734</v>
      </c>
      <c r="O370" s="312">
        <v>53670</v>
      </c>
      <c r="P370" s="313">
        <f t="shared" si="30"/>
        <v>0</v>
      </c>
      <c r="Q370" s="310" t="s">
        <v>147</v>
      </c>
      <c r="R370" s="310">
        <v>376</v>
      </c>
      <c r="S370" s="310"/>
      <c r="T370" s="308">
        <v>45703</v>
      </c>
      <c r="U370" s="308">
        <v>45703</v>
      </c>
      <c r="V370" s="308"/>
      <c r="W370" s="315">
        <f t="shared" si="35"/>
        <v>3</v>
      </c>
      <c r="X370" s="310" t="s">
        <v>54</v>
      </c>
      <c r="Y370" s="310" t="s">
        <v>56</v>
      </c>
      <c r="Z370" s="316" t="s">
        <v>1319</v>
      </c>
      <c r="AA370" s="316" t="s">
        <v>1454</v>
      </c>
      <c r="AB370" s="316" t="s">
        <v>1454</v>
      </c>
    </row>
    <row r="371" spans="1:28" x14ac:dyDescent="0.25">
      <c r="A371" s="307">
        <f t="shared" si="31"/>
        <v>365</v>
      </c>
      <c r="B371" s="308">
        <v>45700</v>
      </c>
      <c r="C371" s="309">
        <f t="shared" si="32"/>
        <v>45689</v>
      </c>
      <c r="D371" s="310" t="s">
        <v>51</v>
      </c>
      <c r="E371" s="310" t="s">
        <v>1438</v>
      </c>
      <c r="F371" s="311">
        <v>9316541121</v>
      </c>
      <c r="G371" s="316" t="s">
        <v>6</v>
      </c>
      <c r="H371" s="316" t="s">
        <v>1470</v>
      </c>
      <c r="I371" s="316" t="s">
        <v>1471</v>
      </c>
      <c r="J371" s="310" t="s">
        <v>3730</v>
      </c>
      <c r="K371" s="312">
        <v>35780</v>
      </c>
      <c r="L371" s="312">
        <v>52920</v>
      </c>
      <c r="M371" s="313">
        <f t="shared" si="33"/>
        <v>17140</v>
      </c>
      <c r="N371" s="314">
        <f t="shared" si="34"/>
        <v>0.323885109599395</v>
      </c>
      <c r="O371" s="312">
        <v>35780</v>
      </c>
      <c r="P371" s="313">
        <f t="shared" si="30"/>
        <v>0</v>
      </c>
      <c r="Q371" s="310" t="s">
        <v>147</v>
      </c>
      <c r="R371" s="310">
        <v>377</v>
      </c>
      <c r="S371" s="310"/>
      <c r="T371" s="308">
        <v>45704</v>
      </c>
      <c r="U371" s="308">
        <v>45704</v>
      </c>
      <c r="V371" s="308"/>
      <c r="W371" s="315">
        <f t="shared" si="35"/>
        <v>4</v>
      </c>
      <c r="X371" s="310" t="s">
        <v>54</v>
      </c>
      <c r="Y371" s="310" t="s">
        <v>529</v>
      </c>
      <c r="Z371" s="316"/>
      <c r="AA371" s="316" t="s">
        <v>1456</v>
      </c>
      <c r="AB371" s="316" t="s">
        <v>1456</v>
      </c>
    </row>
    <row r="372" spans="1:28" x14ac:dyDescent="0.25">
      <c r="A372" s="307">
        <f t="shared" si="31"/>
        <v>366</v>
      </c>
      <c r="B372" s="308">
        <v>45701</v>
      </c>
      <c r="C372" s="309">
        <f t="shared" si="32"/>
        <v>45689</v>
      </c>
      <c r="D372" s="310" t="s">
        <v>51</v>
      </c>
      <c r="E372" s="310" t="s">
        <v>1439</v>
      </c>
      <c r="F372" s="311">
        <v>9186669466</v>
      </c>
      <c r="G372" s="316" t="s">
        <v>6</v>
      </c>
      <c r="H372" s="316" t="s">
        <v>1472</v>
      </c>
      <c r="I372" s="316" t="s">
        <v>1473</v>
      </c>
      <c r="J372" s="310" t="s">
        <v>623</v>
      </c>
      <c r="K372" s="312">
        <v>27170</v>
      </c>
      <c r="L372" s="312">
        <v>41900</v>
      </c>
      <c r="M372" s="313">
        <f t="shared" si="33"/>
        <v>14730</v>
      </c>
      <c r="N372" s="314">
        <f t="shared" si="34"/>
        <v>0.351551312649165</v>
      </c>
      <c r="O372" s="312">
        <v>27170</v>
      </c>
      <c r="P372" s="313">
        <f t="shared" si="30"/>
        <v>0</v>
      </c>
      <c r="Q372" s="310" t="s">
        <v>147</v>
      </c>
      <c r="R372" s="310">
        <v>378</v>
      </c>
      <c r="S372" s="310"/>
      <c r="T372" s="308">
        <v>45705</v>
      </c>
      <c r="U372" s="308">
        <v>45705</v>
      </c>
      <c r="V372" s="308"/>
      <c r="W372" s="315">
        <f t="shared" si="35"/>
        <v>4</v>
      </c>
      <c r="X372" s="310" t="s">
        <v>54</v>
      </c>
      <c r="Y372" s="310" t="s">
        <v>439</v>
      </c>
      <c r="Z372" s="316"/>
      <c r="AA372" s="316" t="s">
        <v>1455</v>
      </c>
      <c r="AB372" s="316" t="s">
        <v>1455</v>
      </c>
    </row>
    <row r="373" spans="1:28" x14ac:dyDescent="0.25">
      <c r="A373" s="307">
        <f t="shared" si="31"/>
        <v>367</v>
      </c>
      <c r="B373" s="308">
        <v>45702</v>
      </c>
      <c r="C373" s="309">
        <f t="shared" si="32"/>
        <v>45689</v>
      </c>
      <c r="D373" s="310" t="s">
        <v>51</v>
      </c>
      <c r="E373" s="310" t="s">
        <v>1440</v>
      </c>
      <c r="F373" s="311">
        <v>9464149815</v>
      </c>
      <c r="G373" s="316" t="s">
        <v>377</v>
      </c>
      <c r="H373" s="316" t="s">
        <v>26</v>
      </c>
      <c r="I373" s="316" t="s">
        <v>1507</v>
      </c>
      <c r="J373" s="310" t="s">
        <v>168</v>
      </c>
      <c r="K373" s="312">
        <v>47530</v>
      </c>
      <c r="L373" s="312">
        <v>59850</v>
      </c>
      <c r="M373" s="313">
        <f t="shared" si="33"/>
        <v>12320</v>
      </c>
      <c r="N373" s="314">
        <f t="shared" si="34"/>
        <v>0.205847953216374</v>
      </c>
      <c r="O373" s="312">
        <v>47530</v>
      </c>
      <c r="P373" s="313">
        <f t="shared" si="30"/>
        <v>0</v>
      </c>
      <c r="Q373" s="310" t="s">
        <v>147</v>
      </c>
      <c r="R373" s="310">
        <v>379</v>
      </c>
      <c r="S373" s="310"/>
      <c r="T373" s="308">
        <v>45706</v>
      </c>
      <c r="U373" s="308">
        <v>45706</v>
      </c>
      <c r="V373" s="308"/>
      <c r="W373" s="315">
        <f t="shared" si="35"/>
        <v>4</v>
      </c>
      <c r="X373" s="310" t="s">
        <v>54</v>
      </c>
      <c r="Y373" s="310" t="s">
        <v>439</v>
      </c>
      <c r="Z373" s="316"/>
      <c r="AA373" s="316" t="s">
        <v>1457</v>
      </c>
      <c r="AB373" s="316" t="s">
        <v>1457</v>
      </c>
    </row>
    <row r="374" spans="1:28" x14ac:dyDescent="0.25">
      <c r="A374" s="307">
        <f t="shared" si="31"/>
        <v>368</v>
      </c>
      <c r="B374" s="308">
        <v>45702</v>
      </c>
      <c r="C374" s="309">
        <f t="shared" si="32"/>
        <v>45689</v>
      </c>
      <c r="D374" s="310" t="s">
        <v>51</v>
      </c>
      <c r="E374" s="310" t="s">
        <v>1441</v>
      </c>
      <c r="F374" s="311">
        <v>9240373331</v>
      </c>
      <c r="G374" s="316" t="s">
        <v>6</v>
      </c>
      <c r="H374" s="316" t="s">
        <v>1474</v>
      </c>
      <c r="I374" s="316" t="s">
        <v>1475</v>
      </c>
      <c r="J374" s="310" t="s">
        <v>623</v>
      </c>
      <c r="K374" s="312">
        <v>27170</v>
      </c>
      <c r="L374" s="312">
        <v>41900</v>
      </c>
      <c r="M374" s="313">
        <f t="shared" si="33"/>
        <v>14730</v>
      </c>
      <c r="N374" s="314">
        <f t="shared" si="34"/>
        <v>0.351551312649165</v>
      </c>
      <c r="O374" s="312">
        <v>27170</v>
      </c>
      <c r="P374" s="313">
        <f t="shared" si="30"/>
        <v>0</v>
      </c>
      <c r="Q374" s="310" t="s">
        <v>147</v>
      </c>
      <c r="R374" s="310">
        <v>380</v>
      </c>
      <c r="S374" s="310"/>
      <c r="T374" s="308">
        <v>45707</v>
      </c>
      <c r="U374" s="308">
        <v>45707</v>
      </c>
      <c r="V374" s="308"/>
      <c r="W374" s="315">
        <f t="shared" si="35"/>
        <v>5</v>
      </c>
      <c r="X374" s="310" t="s">
        <v>54</v>
      </c>
      <c r="Y374" s="310" t="s">
        <v>439</v>
      </c>
      <c r="Z374" s="316"/>
      <c r="AA374" s="316" t="s">
        <v>1458</v>
      </c>
      <c r="AB374" s="316" t="s">
        <v>1458</v>
      </c>
    </row>
    <row r="375" spans="1:28" x14ac:dyDescent="0.25">
      <c r="A375" s="307">
        <f t="shared" si="31"/>
        <v>369</v>
      </c>
      <c r="B375" s="308">
        <v>45703</v>
      </c>
      <c r="C375" s="309">
        <f t="shared" si="32"/>
        <v>45689</v>
      </c>
      <c r="D375" s="310" t="s">
        <v>51</v>
      </c>
      <c r="E375" s="310" t="s">
        <v>1443</v>
      </c>
      <c r="F375" s="311">
        <v>9543714187</v>
      </c>
      <c r="G375" s="316" t="s">
        <v>6</v>
      </c>
      <c r="H375" s="316" t="s">
        <v>26</v>
      </c>
      <c r="I375" s="316" t="s">
        <v>1476</v>
      </c>
      <c r="J375" s="310" t="s">
        <v>168</v>
      </c>
      <c r="K375" s="312">
        <v>26220</v>
      </c>
      <c r="L375" s="312">
        <v>35600</v>
      </c>
      <c r="M375" s="313">
        <f t="shared" si="33"/>
        <v>9380</v>
      </c>
      <c r="N375" s="314">
        <f t="shared" si="34"/>
        <v>0.263483146067416</v>
      </c>
      <c r="O375" s="312">
        <v>26220</v>
      </c>
      <c r="P375" s="313">
        <f t="shared" si="30"/>
        <v>0</v>
      </c>
      <c r="Q375" s="310" t="s">
        <v>147</v>
      </c>
      <c r="R375" s="310">
        <v>381</v>
      </c>
      <c r="S375" s="310"/>
      <c r="T375" s="308">
        <v>45707</v>
      </c>
      <c r="U375" s="308">
        <v>45707</v>
      </c>
      <c r="V375" s="308"/>
      <c r="W375" s="315">
        <f t="shared" si="35"/>
        <v>4</v>
      </c>
      <c r="X375" s="310" t="s">
        <v>54</v>
      </c>
      <c r="Y375" s="310" t="s">
        <v>439</v>
      </c>
      <c r="Z375" s="316"/>
      <c r="AA375" s="316" t="s">
        <v>1458</v>
      </c>
      <c r="AB375" s="316" t="s">
        <v>1458</v>
      </c>
    </row>
    <row r="376" spans="1:28" x14ac:dyDescent="0.25">
      <c r="A376" s="307">
        <f t="shared" si="31"/>
        <v>370</v>
      </c>
      <c r="B376" s="308">
        <v>45703</v>
      </c>
      <c r="C376" s="309">
        <f t="shared" si="32"/>
        <v>45689</v>
      </c>
      <c r="D376" s="310" t="s">
        <v>56</v>
      </c>
      <c r="E376" s="310" t="s">
        <v>60</v>
      </c>
      <c r="F376" s="311">
        <v>9589264337</v>
      </c>
      <c r="G376" s="316" t="s">
        <v>1093</v>
      </c>
      <c r="H376" s="316" t="s">
        <v>1442</v>
      </c>
      <c r="I376" s="316" t="s">
        <v>1498</v>
      </c>
      <c r="J376" s="310" t="s">
        <v>3730</v>
      </c>
      <c r="K376" s="312">
        <v>53580</v>
      </c>
      <c r="L376" s="312">
        <v>102690</v>
      </c>
      <c r="M376" s="313">
        <f t="shared" si="33"/>
        <v>49110</v>
      </c>
      <c r="N376" s="314">
        <f t="shared" si="34"/>
        <v>0.478235465965527</v>
      </c>
      <c r="O376" s="312">
        <v>53580</v>
      </c>
      <c r="P376" s="313">
        <f t="shared" si="30"/>
        <v>0</v>
      </c>
      <c r="Q376" s="310" t="s">
        <v>147</v>
      </c>
      <c r="R376" s="310">
        <v>382</v>
      </c>
      <c r="S376" s="310"/>
      <c r="T376" s="308">
        <v>45706</v>
      </c>
      <c r="U376" s="308">
        <v>45706</v>
      </c>
      <c r="V376" s="308"/>
      <c r="W376" s="315">
        <f t="shared" si="35"/>
        <v>3</v>
      </c>
      <c r="X376" s="310" t="s">
        <v>54</v>
      </c>
      <c r="Y376" s="310" t="s">
        <v>56</v>
      </c>
      <c r="Z376" s="316"/>
      <c r="AA376" s="316" t="s">
        <v>1457</v>
      </c>
      <c r="AB376" s="316" t="s">
        <v>1457</v>
      </c>
    </row>
    <row r="377" spans="1:28" x14ac:dyDescent="0.25">
      <c r="A377" s="307">
        <f t="shared" si="31"/>
        <v>371</v>
      </c>
      <c r="B377" s="308">
        <v>45704</v>
      </c>
      <c r="C377" s="309">
        <f t="shared" si="32"/>
        <v>45689</v>
      </c>
      <c r="D377" s="310" t="s">
        <v>51</v>
      </c>
      <c r="E377" s="310" t="s">
        <v>1444</v>
      </c>
      <c r="F377" s="311">
        <v>9392459879</v>
      </c>
      <c r="G377" s="316" t="s">
        <v>6</v>
      </c>
      <c r="H377" s="316" t="s">
        <v>1477</v>
      </c>
      <c r="I377" s="316" t="s">
        <v>1478</v>
      </c>
      <c r="J377" s="310" t="s">
        <v>623</v>
      </c>
      <c r="K377" s="312">
        <v>28650</v>
      </c>
      <c r="L377" s="312">
        <v>48200</v>
      </c>
      <c r="M377" s="313">
        <f t="shared" si="33"/>
        <v>19550</v>
      </c>
      <c r="N377" s="314">
        <f t="shared" si="34"/>
        <v>0.405601659751037</v>
      </c>
      <c r="O377" s="312">
        <v>28650</v>
      </c>
      <c r="P377" s="313">
        <f t="shared" si="30"/>
        <v>0</v>
      </c>
      <c r="Q377" s="310" t="s">
        <v>147</v>
      </c>
      <c r="R377" s="310">
        <v>383</v>
      </c>
      <c r="S377" s="310"/>
      <c r="T377" s="308">
        <v>45708</v>
      </c>
      <c r="U377" s="308">
        <v>45708</v>
      </c>
      <c r="V377" s="308"/>
      <c r="W377" s="315">
        <f t="shared" si="35"/>
        <v>4</v>
      </c>
      <c r="X377" s="310" t="s">
        <v>54</v>
      </c>
      <c r="Y377" s="310" t="s">
        <v>529</v>
      </c>
      <c r="Z377" s="316"/>
      <c r="AA377" s="316" t="s">
        <v>1459</v>
      </c>
      <c r="AB377" s="316" t="s">
        <v>1459</v>
      </c>
    </row>
    <row r="378" spans="1:28" x14ac:dyDescent="0.25">
      <c r="A378" s="307">
        <f t="shared" si="31"/>
        <v>372</v>
      </c>
      <c r="B378" s="308">
        <v>45704</v>
      </c>
      <c r="C378" s="309">
        <f t="shared" si="32"/>
        <v>45689</v>
      </c>
      <c r="D378" s="310" t="s">
        <v>51</v>
      </c>
      <c r="E378" s="310" t="s">
        <v>1445</v>
      </c>
      <c r="F378" s="311">
        <v>9046784191</v>
      </c>
      <c r="G378" s="316" t="s">
        <v>6</v>
      </c>
      <c r="H378" s="316" t="s">
        <v>1479</v>
      </c>
      <c r="I378" s="316" t="s">
        <v>1480</v>
      </c>
      <c r="J378" s="310" t="s">
        <v>168</v>
      </c>
      <c r="K378" s="312">
        <v>29450</v>
      </c>
      <c r="L378" s="312">
        <v>48200</v>
      </c>
      <c r="M378" s="313">
        <f t="shared" si="33"/>
        <v>18750</v>
      </c>
      <c r="N378" s="314">
        <f t="shared" si="34"/>
        <v>0.389004149377593</v>
      </c>
      <c r="O378" s="312">
        <v>29450</v>
      </c>
      <c r="P378" s="313">
        <f t="shared" si="30"/>
        <v>0</v>
      </c>
      <c r="Q378" s="310" t="s">
        <v>147</v>
      </c>
      <c r="R378" s="310">
        <v>384</v>
      </c>
      <c r="S378" s="310"/>
      <c r="T378" s="308">
        <v>45712</v>
      </c>
      <c r="U378" s="308">
        <v>45713</v>
      </c>
      <c r="V378" s="308"/>
      <c r="W378" s="315">
        <f t="shared" si="35"/>
        <v>9</v>
      </c>
      <c r="X378" s="310" t="s">
        <v>54</v>
      </c>
      <c r="Y378" s="310" t="s">
        <v>529</v>
      </c>
      <c r="Z378" s="316"/>
      <c r="AA378" s="316" t="s">
        <v>1463</v>
      </c>
      <c r="AB378" s="316" t="s">
        <v>1464</v>
      </c>
    </row>
    <row r="379" spans="1:28" x14ac:dyDescent="0.25">
      <c r="A379" s="307">
        <f t="shared" si="31"/>
        <v>373</v>
      </c>
      <c r="B379" s="308">
        <v>45705</v>
      </c>
      <c r="C379" s="309">
        <f t="shared" si="32"/>
        <v>45689</v>
      </c>
      <c r="D379" s="310" t="s">
        <v>51</v>
      </c>
      <c r="E379" s="310" t="s">
        <v>1446</v>
      </c>
      <c r="F379" s="311">
        <v>9333999970</v>
      </c>
      <c r="G379" s="316" t="s">
        <v>6</v>
      </c>
      <c r="H379" s="316" t="s">
        <v>1481</v>
      </c>
      <c r="I379" s="316" t="s">
        <v>1482</v>
      </c>
      <c r="J379" s="310" t="s">
        <v>3730</v>
      </c>
      <c r="K379" s="312">
        <v>34840</v>
      </c>
      <c r="L379" s="312">
        <v>46620</v>
      </c>
      <c r="M379" s="313">
        <f t="shared" si="33"/>
        <v>11780</v>
      </c>
      <c r="N379" s="314">
        <f t="shared" si="34"/>
        <v>0.252681252681253</v>
      </c>
      <c r="O379" s="312">
        <v>34840</v>
      </c>
      <c r="P379" s="313">
        <f t="shared" si="30"/>
        <v>0</v>
      </c>
      <c r="Q379" s="310" t="s">
        <v>147</v>
      </c>
      <c r="R379" s="310">
        <v>385</v>
      </c>
      <c r="S379" s="310"/>
      <c r="T379" s="308">
        <v>45710</v>
      </c>
      <c r="U379" s="308">
        <v>45710</v>
      </c>
      <c r="V379" s="308"/>
      <c r="W379" s="315">
        <f t="shared" si="35"/>
        <v>5</v>
      </c>
      <c r="X379" s="310" t="s">
        <v>54</v>
      </c>
      <c r="Y379" s="310" t="s">
        <v>529</v>
      </c>
      <c r="Z379" s="316"/>
      <c r="AA379" s="316" t="s">
        <v>1465</v>
      </c>
      <c r="AB379" s="316" t="s">
        <v>1465</v>
      </c>
    </row>
    <row r="380" spans="1:28" x14ac:dyDescent="0.25">
      <c r="A380" s="307">
        <f t="shared" si="31"/>
        <v>374</v>
      </c>
      <c r="B380" s="308">
        <v>45706</v>
      </c>
      <c r="C380" s="309">
        <f t="shared" si="32"/>
        <v>45689</v>
      </c>
      <c r="D380" s="310" t="s">
        <v>51</v>
      </c>
      <c r="E380" s="310" t="s">
        <v>435</v>
      </c>
      <c r="F380" s="311">
        <v>9654538123</v>
      </c>
      <c r="G380" s="316" t="s">
        <v>6</v>
      </c>
      <c r="H380" s="316" t="s">
        <v>26</v>
      </c>
      <c r="I380" s="316" t="s">
        <v>1485</v>
      </c>
      <c r="J380" s="310" t="s">
        <v>168</v>
      </c>
      <c r="K380" s="312">
        <v>25690</v>
      </c>
      <c r="L380" s="312">
        <v>35600</v>
      </c>
      <c r="M380" s="313">
        <f t="shared" si="33"/>
        <v>9910</v>
      </c>
      <c r="N380" s="314">
        <f t="shared" si="34"/>
        <v>0.278370786516854</v>
      </c>
      <c r="O380" s="312">
        <v>25690</v>
      </c>
      <c r="P380" s="313">
        <f t="shared" si="30"/>
        <v>0</v>
      </c>
      <c r="Q380" s="310" t="s">
        <v>147</v>
      </c>
      <c r="R380" s="310">
        <v>386</v>
      </c>
      <c r="S380" s="310"/>
      <c r="T380" s="308">
        <v>45710</v>
      </c>
      <c r="U380" s="308">
        <v>45710</v>
      </c>
      <c r="V380" s="308"/>
      <c r="W380" s="315">
        <f t="shared" si="35"/>
        <v>4</v>
      </c>
      <c r="X380" s="310" t="s">
        <v>54</v>
      </c>
      <c r="Y380" s="310" t="s">
        <v>439</v>
      </c>
      <c r="Z380" s="316"/>
      <c r="AA380" s="316" t="s">
        <v>1465</v>
      </c>
      <c r="AB380" s="316" t="s">
        <v>1465</v>
      </c>
    </row>
    <row r="381" spans="1:28" x14ac:dyDescent="0.25">
      <c r="A381" s="307">
        <f t="shared" si="31"/>
        <v>375</v>
      </c>
      <c r="B381" s="308">
        <v>45706</v>
      </c>
      <c r="C381" s="309">
        <f t="shared" si="32"/>
        <v>45689</v>
      </c>
      <c r="D381" s="310" t="s">
        <v>56</v>
      </c>
      <c r="E381" s="310" t="s">
        <v>60</v>
      </c>
      <c r="F381" s="311">
        <v>9589264337</v>
      </c>
      <c r="G381" s="316" t="s">
        <v>6</v>
      </c>
      <c r="H381" s="316" t="s">
        <v>1483</v>
      </c>
      <c r="I381" s="316" t="s">
        <v>1484</v>
      </c>
      <c r="J381" s="310" t="s">
        <v>3730</v>
      </c>
      <c r="K381" s="312">
        <v>46110</v>
      </c>
      <c r="L381" s="312">
        <v>52920</v>
      </c>
      <c r="M381" s="313">
        <f t="shared" si="33"/>
        <v>6810</v>
      </c>
      <c r="N381" s="314">
        <f t="shared" si="34"/>
        <v>0.128684807256236</v>
      </c>
      <c r="O381" s="312">
        <v>46110</v>
      </c>
      <c r="P381" s="313">
        <f t="shared" si="30"/>
        <v>0</v>
      </c>
      <c r="Q381" s="310" t="s">
        <v>147</v>
      </c>
      <c r="R381" s="310">
        <v>387</v>
      </c>
      <c r="S381" s="310"/>
      <c r="T381" s="308">
        <v>45711</v>
      </c>
      <c r="U381" s="308">
        <v>45711</v>
      </c>
      <c r="V381" s="308"/>
      <c r="W381" s="315">
        <f t="shared" si="35"/>
        <v>5</v>
      </c>
      <c r="X381" s="310" t="s">
        <v>54</v>
      </c>
      <c r="Y381" s="310" t="s">
        <v>56</v>
      </c>
      <c r="Z381" s="316"/>
      <c r="AA381" s="316" t="s">
        <v>1466</v>
      </c>
      <c r="AB381" s="316" t="s">
        <v>1466</v>
      </c>
    </row>
    <row r="382" spans="1:28" x14ac:dyDescent="0.25">
      <c r="A382" s="307">
        <f t="shared" si="31"/>
        <v>376</v>
      </c>
      <c r="B382" s="308">
        <v>45708</v>
      </c>
      <c r="C382" s="309">
        <f t="shared" si="32"/>
        <v>45689</v>
      </c>
      <c r="D382" s="310" t="s">
        <v>51</v>
      </c>
      <c r="E382" s="310" t="s">
        <v>1447</v>
      </c>
      <c r="F382" s="311">
        <v>9198965551</v>
      </c>
      <c r="G382" s="316" t="s">
        <v>6</v>
      </c>
      <c r="H382" s="316" t="s">
        <v>1486</v>
      </c>
      <c r="I382" s="316" t="s">
        <v>1487</v>
      </c>
      <c r="J382" s="310" t="s">
        <v>168</v>
      </c>
      <c r="K382" s="312">
        <v>29720</v>
      </c>
      <c r="L382" s="312">
        <v>48200</v>
      </c>
      <c r="M382" s="313">
        <f t="shared" si="33"/>
        <v>18480</v>
      </c>
      <c r="N382" s="314">
        <f t="shared" si="34"/>
        <v>0.383402489626556</v>
      </c>
      <c r="O382" s="312">
        <v>29720</v>
      </c>
      <c r="P382" s="313">
        <f t="shared" si="30"/>
        <v>0</v>
      </c>
      <c r="Q382" s="310" t="s">
        <v>147</v>
      </c>
      <c r="R382" s="310">
        <v>388</v>
      </c>
      <c r="S382" s="310"/>
      <c r="T382" s="308">
        <v>45712</v>
      </c>
      <c r="U382" s="308">
        <v>45712</v>
      </c>
      <c r="V382" s="308"/>
      <c r="W382" s="315">
        <f t="shared" si="35"/>
        <v>4</v>
      </c>
      <c r="X382" s="310" t="s">
        <v>54</v>
      </c>
      <c r="Y382" s="310" t="s">
        <v>529</v>
      </c>
      <c r="Z382" s="316"/>
      <c r="AA382" s="316" t="s">
        <v>1463</v>
      </c>
      <c r="AB382" s="316" t="s">
        <v>1463</v>
      </c>
    </row>
    <row r="383" spans="1:28" x14ac:dyDescent="0.25">
      <c r="A383" s="307">
        <f t="shared" si="31"/>
        <v>377</v>
      </c>
      <c r="B383" s="308">
        <v>45708</v>
      </c>
      <c r="C383" s="309">
        <f t="shared" si="32"/>
        <v>45689</v>
      </c>
      <c r="D383" s="310" t="s">
        <v>51</v>
      </c>
      <c r="E383" s="310" t="s">
        <v>1448</v>
      </c>
      <c r="F383" s="311">
        <v>9108592771</v>
      </c>
      <c r="G383" s="316" t="s">
        <v>1093</v>
      </c>
      <c r="H383" s="316" t="s">
        <v>26</v>
      </c>
      <c r="I383" s="316" t="s">
        <v>1502</v>
      </c>
      <c r="J383" s="310" t="s">
        <v>3730</v>
      </c>
      <c r="K383" s="312">
        <v>66400</v>
      </c>
      <c r="L383" s="312">
        <v>96390</v>
      </c>
      <c r="M383" s="313">
        <f t="shared" si="33"/>
        <v>29990</v>
      </c>
      <c r="N383" s="314">
        <f t="shared" si="34"/>
        <v>0.311131860151468</v>
      </c>
      <c r="O383" s="312">
        <v>66400</v>
      </c>
      <c r="P383" s="313">
        <f t="shared" si="30"/>
        <v>0</v>
      </c>
      <c r="Q383" s="310" t="s">
        <v>147</v>
      </c>
      <c r="R383" s="310">
        <v>389</v>
      </c>
      <c r="S383" s="310"/>
      <c r="T383" s="308">
        <v>45712</v>
      </c>
      <c r="U383" s="308">
        <v>45712</v>
      </c>
      <c r="V383" s="308"/>
      <c r="W383" s="315">
        <f t="shared" si="35"/>
        <v>4</v>
      </c>
      <c r="X383" s="310" t="s">
        <v>54</v>
      </c>
      <c r="Y383" s="310" t="s">
        <v>439</v>
      </c>
      <c r="Z383" s="316"/>
      <c r="AA383" s="316" t="s">
        <v>1463</v>
      </c>
      <c r="AB383" s="316" t="s">
        <v>1463</v>
      </c>
    </row>
    <row r="384" spans="1:28" x14ac:dyDescent="0.25">
      <c r="A384" s="307">
        <f t="shared" si="31"/>
        <v>378</v>
      </c>
      <c r="B384" s="308">
        <v>45708</v>
      </c>
      <c r="C384" s="309">
        <f t="shared" si="32"/>
        <v>45689</v>
      </c>
      <c r="D384" s="310" t="s">
        <v>51</v>
      </c>
      <c r="E384" s="310" t="s">
        <v>1449</v>
      </c>
      <c r="F384" s="311">
        <v>9429515554</v>
      </c>
      <c r="G384" s="316" t="s">
        <v>1093</v>
      </c>
      <c r="H384" s="316" t="s">
        <v>1500</v>
      </c>
      <c r="I384" s="316" t="s">
        <v>1501</v>
      </c>
      <c r="J384" s="310" t="s">
        <v>107</v>
      </c>
      <c r="K384" s="312">
        <v>86620</v>
      </c>
      <c r="L384" s="312">
        <v>102690</v>
      </c>
      <c r="M384" s="313">
        <f t="shared" si="33"/>
        <v>16070</v>
      </c>
      <c r="N384" s="314">
        <f t="shared" si="34"/>
        <v>0.15649040802415</v>
      </c>
      <c r="O384" s="312">
        <v>86620</v>
      </c>
      <c r="P384" s="313">
        <f t="shared" si="30"/>
        <v>0</v>
      </c>
      <c r="Q384" s="310" t="s">
        <v>147</v>
      </c>
      <c r="R384" s="310">
        <v>390</v>
      </c>
      <c r="S384" s="310"/>
      <c r="T384" s="308">
        <v>45712</v>
      </c>
      <c r="U384" s="308">
        <v>45712</v>
      </c>
      <c r="V384" s="308"/>
      <c r="W384" s="315">
        <f t="shared" si="35"/>
        <v>4</v>
      </c>
      <c r="X384" s="310" t="s">
        <v>54</v>
      </c>
      <c r="Y384" s="310" t="s">
        <v>1320</v>
      </c>
      <c r="Z384" s="316"/>
      <c r="AA384" s="316" t="s">
        <v>1463</v>
      </c>
      <c r="AB384" s="316" t="s">
        <v>1463</v>
      </c>
    </row>
    <row r="385" spans="1:28" x14ac:dyDescent="0.25">
      <c r="A385" s="307">
        <f t="shared" si="31"/>
        <v>379</v>
      </c>
      <c r="B385" s="308">
        <v>45709</v>
      </c>
      <c r="C385" s="309">
        <f t="shared" si="32"/>
        <v>45689</v>
      </c>
      <c r="D385" s="310" t="s">
        <v>51</v>
      </c>
      <c r="E385" s="310" t="s">
        <v>696</v>
      </c>
      <c r="F385" s="311">
        <v>9754088991</v>
      </c>
      <c r="G385" s="316" t="s">
        <v>6</v>
      </c>
      <c r="H385" s="316" t="s">
        <v>1488</v>
      </c>
      <c r="I385" s="316" t="s">
        <v>1489</v>
      </c>
      <c r="J385" s="310" t="s">
        <v>172</v>
      </c>
      <c r="K385" s="312">
        <v>33770</v>
      </c>
      <c r="L385" s="312">
        <v>46620</v>
      </c>
      <c r="M385" s="313">
        <f t="shared" si="33"/>
        <v>12850</v>
      </c>
      <c r="N385" s="314">
        <f t="shared" si="34"/>
        <v>0.275632775632776</v>
      </c>
      <c r="O385" s="312">
        <v>33770</v>
      </c>
      <c r="P385" s="313">
        <f t="shared" si="30"/>
        <v>0</v>
      </c>
      <c r="Q385" s="310" t="s">
        <v>147</v>
      </c>
      <c r="R385" s="310">
        <v>391</v>
      </c>
      <c r="S385" s="310"/>
      <c r="T385" s="308">
        <v>45713</v>
      </c>
      <c r="U385" s="308">
        <v>45713</v>
      </c>
      <c r="V385" s="308"/>
      <c r="W385" s="315">
        <f t="shared" si="35"/>
        <v>4</v>
      </c>
      <c r="X385" s="310" t="s">
        <v>54</v>
      </c>
      <c r="Y385" s="310" t="s">
        <v>439</v>
      </c>
      <c r="Z385" s="316"/>
      <c r="AA385" s="316" t="s">
        <v>1464</v>
      </c>
      <c r="AB385" s="316" t="s">
        <v>1464</v>
      </c>
    </row>
    <row r="386" spans="1:28" x14ac:dyDescent="0.25">
      <c r="A386" s="307">
        <f t="shared" si="31"/>
        <v>380</v>
      </c>
      <c r="B386" s="308">
        <v>45709</v>
      </c>
      <c r="C386" s="309">
        <f t="shared" si="32"/>
        <v>45689</v>
      </c>
      <c r="D386" s="310" t="s">
        <v>51</v>
      </c>
      <c r="E386" s="310" t="s">
        <v>1460</v>
      </c>
      <c r="F386" s="311">
        <v>9888315374</v>
      </c>
      <c r="G386" s="316" t="s">
        <v>6</v>
      </c>
      <c r="H386" s="316" t="s">
        <v>26</v>
      </c>
      <c r="I386" s="316" t="s">
        <v>1490</v>
      </c>
      <c r="J386" s="310" t="s">
        <v>168</v>
      </c>
      <c r="K386" s="312">
        <v>26220</v>
      </c>
      <c r="L386" s="312">
        <v>35600</v>
      </c>
      <c r="M386" s="313">
        <f t="shared" si="33"/>
        <v>9380</v>
      </c>
      <c r="N386" s="314">
        <f t="shared" si="34"/>
        <v>0.263483146067416</v>
      </c>
      <c r="O386" s="312">
        <v>26220</v>
      </c>
      <c r="P386" s="313">
        <f t="shared" si="30"/>
        <v>0</v>
      </c>
      <c r="Q386" s="310" t="s">
        <v>147</v>
      </c>
      <c r="R386" s="310">
        <v>392</v>
      </c>
      <c r="S386" s="310"/>
      <c r="T386" s="308">
        <v>45713</v>
      </c>
      <c r="U386" s="308">
        <v>45713</v>
      </c>
      <c r="V386" s="308"/>
      <c r="W386" s="315">
        <f t="shared" si="35"/>
        <v>4</v>
      </c>
      <c r="X386" s="310" t="s">
        <v>54</v>
      </c>
      <c r="Y386" s="310" t="s">
        <v>439</v>
      </c>
      <c r="Z386" s="316"/>
      <c r="AA386" s="316" t="s">
        <v>1464</v>
      </c>
      <c r="AB386" s="316" t="s">
        <v>1464</v>
      </c>
    </row>
    <row r="387" spans="1:28" x14ac:dyDescent="0.25">
      <c r="A387" s="307">
        <f t="shared" si="31"/>
        <v>381</v>
      </c>
      <c r="B387" s="308">
        <v>45710</v>
      </c>
      <c r="C387" s="309">
        <f t="shared" si="32"/>
        <v>45689</v>
      </c>
      <c r="D387" s="310" t="s">
        <v>51</v>
      </c>
      <c r="E387" s="310" t="s">
        <v>1461</v>
      </c>
      <c r="F387" s="311">
        <v>9648819659</v>
      </c>
      <c r="G387" s="316" t="s">
        <v>6</v>
      </c>
      <c r="H387" s="316" t="s">
        <v>26</v>
      </c>
      <c r="I387" s="316" t="s">
        <v>1491</v>
      </c>
      <c r="J387" s="310" t="s">
        <v>3730</v>
      </c>
      <c r="K387" s="312">
        <v>32290</v>
      </c>
      <c r="L387" s="312">
        <v>40320</v>
      </c>
      <c r="M387" s="313">
        <f t="shared" si="33"/>
        <v>8030</v>
      </c>
      <c r="N387" s="314">
        <f t="shared" si="34"/>
        <v>0.199156746031746</v>
      </c>
      <c r="O387" s="312">
        <v>29650</v>
      </c>
      <c r="P387" s="313">
        <f t="shared" si="30"/>
        <v>2640</v>
      </c>
      <c r="Q387" s="310" t="s">
        <v>147</v>
      </c>
      <c r="R387" s="310">
        <v>393</v>
      </c>
      <c r="S387" s="310"/>
      <c r="T387" s="308">
        <v>45715</v>
      </c>
      <c r="U387" s="308">
        <v>45715</v>
      </c>
      <c r="V387" s="308"/>
      <c r="W387" s="315">
        <f t="shared" si="35"/>
        <v>5</v>
      </c>
      <c r="X387" s="310" t="s">
        <v>54</v>
      </c>
      <c r="Y387" s="310" t="s">
        <v>3742</v>
      </c>
      <c r="Z387" s="316"/>
      <c r="AA387" s="316" t="s">
        <v>1543</v>
      </c>
      <c r="AB387" s="316" t="s">
        <v>1543</v>
      </c>
    </row>
    <row r="388" spans="1:28" x14ac:dyDescent="0.25">
      <c r="A388" s="307">
        <f t="shared" si="31"/>
        <v>382</v>
      </c>
      <c r="B388" s="308">
        <v>45710</v>
      </c>
      <c r="C388" s="309">
        <f t="shared" si="32"/>
        <v>45689</v>
      </c>
      <c r="D388" s="310" t="s">
        <v>51</v>
      </c>
      <c r="E388" s="310" t="s">
        <v>974</v>
      </c>
      <c r="F388" s="311">
        <v>9695227535</v>
      </c>
      <c r="G388" s="316" t="s">
        <v>6</v>
      </c>
      <c r="H388" s="316" t="s">
        <v>1492</v>
      </c>
      <c r="I388" s="316" t="s">
        <v>1493</v>
      </c>
      <c r="J388" s="310" t="s">
        <v>168</v>
      </c>
      <c r="K388" s="312">
        <v>27700</v>
      </c>
      <c r="L388" s="312">
        <v>41900</v>
      </c>
      <c r="M388" s="313">
        <f t="shared" si="33"/>
        <v>14200</v>
      </c>
      <c r="N388" s="314">
        <f t="shared" si="34"/>
        <v>0.33890214797136</v>
      </c>
      <c r="O388" s="312">
        <v>27700</v>
      </c>
      <c r="P388" s="313">
        <f t="shared" si="30"/>
        <v>0</v>
      </c>
      <c r="Q388" s="310" t="s">
        <v>147</v>
      </c>
      <c r="R388" s="310">
        <v>394</v>
      </c>
      <c r="S388" s="310"/>
      <c r="T388" s="308">
        <v>45714</v>
      </c>
      <c r="U388" s="308">
        <v>45714</v>
      </c>
      <c r="V388" s="308"/>
      <c r="W388" s="315">
        <f t="shared" si="35"/>
        <v>4</v>
      </c>
      <c r="X388" s="310" t="s">
        <v>54</v>
      </c>
      <c r="Y388" s="310" t="s">
        <v>439</v>
      </c>
      <c r="Z388" s="316"/>
      <c r="AA388" s="316" t="s">
        <v>1544</v>
      </c>
      <c r="AB388" s="316" t="s">
        <v>1544</v>
      </c>
    </row>
    <row r="389" spans="1:28" x14ac:dyDescent="0.25">
      <c r="A389" s="307">
        <f t="shared" si="31"/>
        <v>383</v>
      </c>
      <c r="B389" s="308">
        <v>45710</v>
      </c>
      <c r="C389" s="309">
        <f t="shared" si="32"/>
        <v>45689</v>
      </c>
      <c r="D389" s="310" t="s">
        <v>51</v>
      </c>
      <c r="E389" s="310" t="s">
        <v>1462</v>
      </c>
      <c r="F389" s="311">
        <v>9899284691</v>
      </c>
      <c r="G389" s="316" t="s">
        <v>1093</v>
      </c>
      <c r="H389" s="316" t="s">
        <v>26</v>
      </c>
      <c r="I389" s="316" t="s">
        <v>1504</v>
      </c>
      <c r="J389" s="310" t="s">
        <v>107</v>
      </c>
      <c r="K389" s="312">
        <v>82530</v>
      </c>
      <c r="L389" s="312">
        <v>103950</v>
      </c>
      <c r="M389" s="313">
        <f t="shared" si="33"/>
        <v>21420</v>
      </c>
      <c r="N389" s="314">
        <f t="shared" si="34"/>
        <v>0.206060606060606</v>
      </c>
      <c r="O389" s="312">
        <v>82530</v>
      </c>
      <c r="P389" s="313">
        <f t="shared" si="30"/>
        <v>0</v>
      </c>
      <c r="Q389" s="310" t="s">
        <v>147</v>
      </c>
      <c r="R389" s="310">
        <v>395</v>
      </c>
      <c r="S389" s="310"/>
      <c r="T389" s="308">
        <v>45715</v>
      </c>
      <c r="U389" s="308">
        <v>45715</v>
      </c>
      <c r="V389" s="308"/>
      <c r="W389" s="315">
        <f t="shared" si="35"/>
        <v>5</v>
      </c>
      <c r="X389" s="310" t="s">
        <v>54</v>
      </c>
      <c r="Y389" s="310" t="s">
        <v>439</v>
      </c>
      <c r="Z389" s="316"/>
      <c r="AA389" s="316" t="s">
        <v>1543</v>
      </c>
      <c r="AB389" s="316" t="s">
        <v>1543</v>
      </c>
    </row>
    <row r="390" spans="1:28" x14ac:dyDescent="0.25">
      <c r="A390" s="307">
        <f t="shared" si="31"/>
        <v>384</v>
      </c>
      <c r="B390" s="308">
        <v>45710</v>
      </c>
      <c r="C390" s="309">
        <f t="shared" si="32"/>
        <v>45689</v>
      </c>
      <c r="D390" s="310" t="s">
        <v>56</v>
      </c>
      <c r="E390" s="310" t="s">
        <v>60</v>
      </c>
      <c r="F390" s="311">
        <v>9589264337</v>
      </c>
      <c r="G390" s="316" t="s">
        <v>1093</v>
      </c>
      <c r="H390" s="316" t="s">
        <v>26</v>
      </c>
      <c r="I390" s="316" t="s">
        <v>1499</v>
      </c>
      <c r="J390" s="310" t="s">
        <v>3730</v>
      </c>
      <c r="K390" s="312">
        <v>52630</v>
      </c>
      <c r="L390" s="312">
        <v>96390</v>
      </c>
      <c r="M390" s="313">
        <f t="shared" si="33"/>
        <v>43760</v>
      </c>
      <c r="N390" s="314">
        <f t="shared" si="34"/>
        <v>0.453989003008611</v>
      </c>
      <c r="O390" s="312">
        <v>52630</v>
      </c>
      <c r="P390" s="313">
        <f t="shared" si="30"/>
        <v>0</v>
      </c>
      <c r="Q390" s="310" t="s">
        <v>147</v>
      </c>
      <c r="R390" s="310">
        <v>396</v>
      </c>
      <c r="S390" s="310"/>
      <c r="T390" s="308">
        <v>45716</v>
      </c>
      <c r="U390" s="308">
        <v>45716</v>
      </c>
      <c r="V390" s="308"/>
      <c r="W390" s="315">
        <f t="shared" si="35"/>
        <v>6</v>
      </c>
      <c r="X390" s="310" t="s">
        <v>54</v>
      </c>
      <c r="Y390" s="310" t="s">
        <v>56</v>
      </c>
      <c r="Z390" s="316"/>
      <c r="AA390" s="316" t="s">
        <v>1545</v>
      </c>
      <c r="AB390" s="316" t="s">
        <v>1545</v>
      </c>
    </row>
    <row r="391" spans="1:28" x14ac:dyDescent="0.25">
      <c r="A391" s="307">
        <f t="shared" si="31"/>
        <v>385</v>
      </c>
      <c r="B391" s="308">
        <v>45712</v>
      </c>
      <c r="C391" s="309">
        <f t="shared" si="32"/>
        <v>45689</v>
      </c>
      <c r="D391" s="310" t="s">
        <v>51</v>
      </c>
      <c r="E391" s="310" t="s">
        <v>19</v>
      </c>
      <c r="F391" s="311">
        <v>9149905009</v>
      </c>
      <c r="G391" s="316" t="s">
        <v>6</v>
      </c>
      <c r="H391" s="316" t="s">
        <v>1494</v>
      </c>
      <c r="I391" s="316" t="s">
        <v>1495</v>
      </c>
      <c r="J391" s="310" t="s">
        <v>623</v>
      </c>
      <c r="K391" s="312">
        <v>27700</v>
      </c>
      <c r="L391" s="312">
        <v>41900</v>
      </c>
      <c r="M391" s="313">
        <f t="shared" si="33"/>
        <v>14200</v>
      </c>
      <c r="N391" s="314">
        <f t="shared" si="34"/>
        <v>0.33890214797136</v>
      </c>
      <c r="O391" s="312">
        <v>27700</v>
      </c>
      <c r="P391" s="313">
        <f t="shared" ref="P391:P454" si="36">IF(OR($K391="",$O391=""),"",$K391-$O391)</f>
        <v>0</v>
      </c>
      <c r="Q391" s="310" t="s">
        <v>147</v>
      </c>
      <c r="R391" s="310">
        <v>397</v>
      </c>
      <c r="S391" s="310"/>
      <c r="T391" s="308">
        <v>45715</v>
      </c>
      <c r="U391" s="308">
        <v>45715</v>
      </c>
      <c r="V391" s="308"/>
      <c r="W391" s="315">
        <f t="shared" si="35"/>
        <v>3</v>
      </c>
      <c r="X391" s="310" t="s">
        <v>54</v>
      </c>
      <c r="Y391" s="310" t="s">
        <v>529</v>
      </c>
      <c r="Z391" s="316"/>
      <c r="AA391" s="316" t="s">
        <v>1543</v>
      </c>
      <c r="AB391" s="316" t="s">
        <v>1543</v>
      </c>
    </row>
    <row r="392" spans="1:28" x14ac:dyDescent="0.25">
      <c r="A392" s="307">
        <f t="shared" ref="A392:A455" si="37">IF($B392="","",ROW()-6)</f>
        <v>386</v>
      </c>
      <c r="B392" s="308">
        <v>45713</v>
      </c>
      <c r="C392" s="309">
        <f t="shared" ref="C392:C455" si="38">IF($B392="","",EOMONTH($B392,-1)+1)</f>
        <v>45689</v>
      </c>
      <c r="D392" s="310" t="s">
        <v>56</v>
      </c>
      <c r="E392" s="310" t="s">
        <v>38</v>
      </c>
      <c r="F392" s="311">
        <v>9515412075</v>
      </c>
      <c r="G392" s="316" t="s">
        <v>6</v>
      </c>
      <c r="H392" s="316" t="s">
        <v>1505</v>
      </c>
      <c r="I392" s="316" t="s">
        <v>1506</v>
      </c>
      <c r="J392" s="310" t="s">
        <v>59</v>
      </c>
      <c r="K392" s="312">
        <v>45780</v>
      </c>
      <c r="L392" s="312">
        <v>50720</v>
      </c>
      <c r="M392" s="313">
        <f t="shared" ref="M392:M455" si="39">IF(OR($K392="",$L392=""),"",$L392-$K392)</f>
        <v>4940</v>
      </c>
      <c r="N392" s="314">
        <f t="shared" ref="N392:N455" si="40">IF(OR($L392="",$L392=0,$M392=""),"",$M392/$L392)</f>
        <v>0.097397476340694</v>
      </c>
      <c r="O392" s="312">
        <v>45780</v>
      </c>
      <c r="P392" s="313">
        <f t="shared" si="36"/>
        <v>0</v>
      </c>
      <c r="Q392" s="310" t="s">
        <v>147</v>
      </c>
      <c r="R392" s="310">
        <v>398</v>
      </c>
      <c r="S392" s="310"/>
      <c r="T392" s="308">
        <v>45716</v>
      </c>
      <c r="U392" s="308">
        <v>45716</v>
      </c>
      <c r="V392" s="308"/>
      <c r="W392" s="315">
        <f t="shared" ref="W392:W455" si="41">IF(OR($B392="",$U392=""),"",$U392-$B392)</f>
        <v>3</v>
      </c>
      <c r="X392" s="310" t="s">
        <v>54</v>
      </c>
      <c r="Y392" s="310" t="s">
        <v>56</v>
      </c>
      <c r="Z392" s="316" t="s">
        <v>1319</v>
      </c>
      <c r="AA392" s="316" t="s">
        <v>1545</v>
      </c>
      <c r="AB392" s="316" t="s">
        <v>1545</v>
      </c>
    </row>
    <row r="393" spans="1:28" x14ac:dyDescent="0.25">
      <c r="A393" s="307">
        <f t="shared" si="37"/>
        <v>387</v>
      </c>
      <c r="B393" s="308">
        <v>45713</v>
      </c>
      <c r="C393" s="309">
        <f t="shared" si="38"/>
        <v>45689</v>
      </c>
      <c r="D393" s="310" t="s">
        <v>51</v>
      </c>
      <c r="E393" s="310" t="s">
        <v>1448</v>
      </c>
      <c r="F393" s="311">
        <v>9108592771</v>
      </c>
      <c r="G393" s="316" t="s">
        <v>6</v>
      </c>
      <c r="H393" s="316" t="s">
        <v>26</v>
      </c>
      <c r="I393" s="316" t="s">
        <v>1503</v>
      </c>
      <c r="J393" s="310" t="s">
        <v>3730</v>
      </c>
      <c r="K393" s="312">
        <v>32600</v>
      </c>
      <c r="L393" s="312">
        <v>45990</v>
      </c>
      <c r="M393" s="313">
        <f t="shared" si="39"/>
        <v>13390</v>
      </c>
      <c r="N393" s="314">
        <f t="shared" si="40"/>
        <v>0.29115025005436</v>
      </c>
      <c r="O393" s="312">
        <v>32600</v>
      </c>
      <c r="P393" s="313">
        <f t="shared" si="36"/>
        <v>0</v>
      </c>
      <c r="Q393" s="310" t="s">
        <v>147</v>
      </c>
      <c r="R393" s="310">
        <v>399</v>
      </c>
      <c r="S393" s="310"/>
      <c r="T393" s="308">
        <v>45716</v>
      </c>
      <c r="U393" s="308">
        <v>45716</v>
      </c>
      <c r="V393" s="308"/>
      <c r="W393" s="315">
        <f t="shared" si="41"/>
        <v>3</v>
      </c>
      <c r="X393" s="310" t="s">
        <v>54</v>
      </c>
      <c r="Y393" s="310" t="s">
        <v>439</v>
      </c>
      <c r="Z393" s="316" t="s">
        <v>1319</v>
      </c>
      <c r="AA393" s="316" t="s">
        <v>1545</v>
      </c>
      <c r="AB393" s="316" t="s">
        <v>1545</v>
      </c>
    </row>
    <row r="394" spans="1:28" x14ac:dyDescent="0.25">
      <c r="A394" s="307">
        <f t="shared" si="37"/>
        <v>388</v>
      </c>
      <c r="B394" s="308">
        <v>45714</v>
      </c>
      <c r="C394" s="309">
        <f t="shared" si="38"/>
        <v>45689</v>
      </c>
      <c r="D394" s="310" t="s">
        <v>51</v>
      </c>
      <c r="E394" s="310" t="s">
        <v>2334</v>
      </c>
      <c r="F394" s="311"/>
      <c r="G394" s="316" t="s">
        <v>6</v>
      </c>
      <c r="H394" s="316" t="s">
        <v>26</v>
      </c>
      <c r="I394" s="316" t="s">
        <v>1569</v>
      </c>
      <c r="J394" s="310" t="s">
        <v>381</v>
      </c>
      <c r="K394" s="312">
        <v>63600</v>
      </c>
      <c r="L394" s="312">
        <v>74060</v>
      </c>
      <c r="M394" s="313">
        <f t="shared" si="39"/>
        <v>10460</v>
      </c>
      <c r="N394" s="314">
        <f t="shared" si="40"/>
        <v>0.14123683499865</v>
      </c>
      <c r="O394" s="312">
        <v>63600</v>
      </c>
      <c r="P394" s="313">
        <f t="shared" si="36"/>
        <v>0</v>
      </c>
      <c r="Q394" s="310" t="s">
        <v>147</v>
      </c>
      <c r="R394" s="310">
        <v>400</v>
      </c>
      <c r="S394" s="310"/>
      <c r="T394" s="308">
        <v>45715</v>
      </c>
      <c r="U394" s="308">
        <v>45715</v>
      </c>
      <c r="V394" s="308"/>
      <c r="W394" s="315">
        <f t="shared" si="41"/>
        <v>1</v>
      </c>
      <c r="X394" s="310" t="s">
        <v>54</v>
      </c>
      <c r="Y394" s="310" t="s">
        <v>2334</v>
      </c>
      <c r="Z394" s="316" t="s">
        <v>1552</v>
      </c>
      <c r="AA394" s="316" t="s">
        <v>1543</v>
      </c>
      <c r="AB394" s="316" t="s">
        <v>1543</v>
      </c>
    </row>
    <row r="395" spans="1:28" x14ac:dyDescent="0.25">
      <c r="A395" s="307">
        <f t="shared" si="37"/>
        <v>389</v>
      </c>
      <c r="B395" s="308">
        <v>45714</v>
      </c>
      <c r="C395" s="309">
        <f t="shared" si="38"/>
        <v>45689</v>
      </c>
      <c r="D395" s="310" t="s">
        <v>51</v>
      </c>
      <c r="E395" s="310" t="s">
        <v>2334</v>
      </c>
      <c r="F395" s="311"/>
      <c r="G395" s="316" t="s">
        <v>6</v>
      </c>
      <c r="H395" s="316" t="s">
        <v>26</v>
      </c>
      <c r="I395" s="316" t="s">
        <v>1570</v>
      </c>
      <c r="J395" s="310" t="s">
        <v>381</v>
      </c>
      <c r="K395" s="312">
        <v>68190</v>
      </c>
      <c r="L395" s="312">
        <v>76140</v>
      </c>
      <c r="M395" s="313">
        <f t="shared" si="39"/>
        <v>7950</v>
      </c>
      <c r="N395" s="314">
        <f t="shared" si="40"/>
        <v>0.10441292356186</v>
      </c>
      <c r="O395" s="312">
        <v>68190</v>
      </c>
      <c r="P395" s="313">
        <f t="shared" si="36"/>
        <v>0</v>
      </c>
      <c r="Q395" s="310" t="s">
        <v>147</v>
      </c>
      <c r="R395" s="310">
        <v>401</v>
      </c>
      <c r="S395" s="310"/>
      <c r="T395" s="308">
        <v>45715</v>
      </c>
      <c r="U395" s="308">
        <v>45715</v>
      </c>
      <c r="V395" s="308"/>
      <c r="W395" s="315">
        <f t="shared" si="41"/>
        <v>1</v>
      </c>
      <c r="X395" s="310" t="s">
        <v>54</v>
      </c>
      <c r="Y395" s="310" t="s">
        <v>2334</v>
      </c>
      <c r="Z395" s="316" t="s">
        <v>1553</v>
      </c>
      <c r="AA395" s="316" t="s">
        <v>1543</v>
      </c>
      <c r="AB395" s="316" t="s">
        <v>1543</v>
      </c>
    </row>
    <row r="396" spans="1:28" x14ac:dyDescent="0.25">
      <c r="A396" s="307">
        <f t="shared" si="37"/>
        <v>390</v>
      </c>
      <c r="B396" s="308">
        <v>45714</v>
      </c>
      <c r="C396" s="309">
        <f t="shared" si="38"/>
        <v>45689</v>
      </c>
      <c r="D396" s="310" t="s">
        <v>51</v>
      </c>
      <c r="E396" s="310" t="s">
        <v>2334</v>
      </c>
      <c r="F396" s="311"/>
      <c r="G396" s="316" t="s">
        <v>6</v>
      </c>
      <c r="H396" s="316" t="s">
        <v>26</v>
      </c>
      <c r="I396" s="316" t="s">
        <v>1571</v>
      </c>
      <c r="J396" s="310" t="s">
        <v>381</v>
      </c>
      <c r="K396" s="312">
        <v>45740</v>
      </c>
      <c r="L396" s="312">
        <v>49100</v>
      </c>
      <c r="M396" s="313">
        <f t="shared" si="39"/>
        <v>3360</v>
      </c>
      <c r="N396" s="314">
        <f t="shared" si="40"/>
        <v>0.0684317718940937</v>
      </c>
      <c r="O396" s="312">
        <v>45740</v>
      </c>
      <c r="P396" s="313">
        <f t="shared" si="36"/>
        <v>0</v>
      </c>
      <c r="Q396" s="310" t="s">
        <v>147</v>
      </c>
      <c r="R396" s="310">
        <v>402</v>
      </c>
      <c r="S396" s="310"/>
      <c r="T396" s="308">
        <v>45715</v>
      </c>
      <c r="U396" s="308">
        <v>45715</v>
      </c>
      <c r="V396" s="308"/>
      <c r="W396" s="315">
        <f t="shared" si="41"/>
        <v>1</v>
      </c>
      <c r="X396" s="310" t="s">
        <v>54</v>
      </c>
      <c r="Y396" s="310" t="s">
        <v>2334</v>
      </c>
      <c r="Z396" s="316" t="s">
        <v>1554</v>
      </c>
      <c r="AA396" s="316" t="s">
        <v>1543</v>
      </c>
      <c r="AB396" s="316" t="s">
        <v>1543</v>
      </c>
    </row>
    <row r="397" spans="1:28" x14ac:dyDescent="0.25">
      <c r="A397" s="307">
        <f t="shared" si="37"/>
        <v>391</v>
      </c>
      <c r="B397" s="308">
        <v>45714</v>
      </c>
      <c r="C397" s="309">
        <f t="shared" si="38"/>
        <v>45689</v>
      </c>
      <c r="D397" s="310" t="s">
        <v>51</v>
      </c>
      <c r="E397" s="310" t="s">
        <v>2334</v>
      </c>
      <c r="F397" s="311"/>
      <c r="G397" s="316" t="s">
        <v>6</v>
      </c>
      <c r="H397" s="316" t="s">
        <v>26</v>
      </c>
      <c r="I397" s="316" t="s">
        <v>1572</v>
      </c>
      <c r="J397" s="310" t="s">
        <v>381</v>
      </c>
      <c r="K397" s="312">
        <v>54620</v>
      </c>
      <c r="L397" s="312">
        <v>64010</v>
      </c>
      <c r="M397" s="313">
        <f t="shared" si="39"/>
        <v>9390</v>
      </c>
      <c r="N397" s="314">
        <f t="shared" si="40"/>
        <v>0.146695828776754</v>
      </c>
      <c r="O397" s="312">
        <v>54620</v>
      </c>
      <c r="P397" s="313">
        <f t="shared" si="36"/>
        <v>0</v>
      </c>
      <c r="Q397" s="310" t="s">
        <v>147</v>
      </c>
      <c r="R397" s="310">
        <v>403</v>
      </c>
      <c r="S397" s="310"/>
      <c r="T397" s="308">
        <v>45715</v>
      </c>
      <c r="U397" s="308">
        <v>45715</v>
      </c>
      <c r="V397" s="308"/>
      <c r="W397" s="315">
        <f t="shared" si="41"/>
        <v>1</v>
      </c>
      <c r="X397" s="310" t="s">
        <v>54</v>
      </c>
      <c r="Y397" s="310" t="s">
        <v>2334</v>
      </c>
      <c r="Z397" s="316" t="s">
        <v>1555</v>
      </c>
      <c r="AA397" s="316" t="s">
        <v>1543</v>
      </c>
      <c r="AB397" s="316" t="s">
        <v>1543</v>
      </c>
    </row>
    <row r="398" spans="1:28" x14ac:dyDescent="0.25">
      <c r="A398" s="307">
        <f t="shared" si="37"/>
        <v>392</v>
      </c>
      <c r="B398" s="308">
        <v>45715</v>
      </c>
      <c r="C398" s="309">
        <f t="shared" si="38"/>
        <v>45689</v>
      </c>
      <c r="D398" s="310" t="s">
        <v>51</v>
      </c>
      <c r="E398" s="310" t="s">
        <v>2334</v>
      </c>
      <c r="F398" s="311"/>
      <c r="G398" s="316" t="s">
        <v>6</v>
      </c>
      <c r="H398" s="316" t="s">
        <v>26</v>
      </c>
      <c r="I398" s="316" t="s">
        <v>1573</v>
      </c>
      <c r="J398" s="310" t="s">
        <v>381</v>
      </c>
      <c r="K398" s="312">
        <v>29830</v>
      </c>
      <c r="L398" s="312">
        <v>32430</v>
      </c>
      <c r="M398" s="313">
        <f t="shared" si="39"/>
        <v>2600</v>
      </c>
      <c r="N398" s="314">
        <f t="shared" si="40"/>
        <v>0.080172679617638</v>
      </c>
      <c r="O398" s="312">
        <v>29830</v>
      </c>
      <c r="P398" s="313">
        <f t="shared" si="36"/>
        <v>0</v>
      </c>
      <c r="Q398" s="310" t="s">
        <v>147</v>
      </c>
      <c r="R398" s="310">
        <v>404</v>
      </c>
      <c r="S398" s="310"/>
      <c r="T398" s="308">
        <v>45716</v>
      </c>
      <c r="U398" s="308">
        <v>45716</v>
      </c>
      <c r="V398" s="308"/>
      <c r="W398" s="315">
        <f t="shared" si="41"/>
        <v>1</v>
      </c>
      <c r="X398" s="310" t="s">
        <v>54</v>
      </c>
      <c r="Y398" s="310" t="s">
        <v>2334</v>
      </c>
      <c r="Z398" s="316" t="s">
        <v>1556</v>
      </c>
      <c r="AA398" s="316" t="s">
        <v>1545</v>
      </c>
      <c r="AB398" s="316" t="s">
        <v>1545</v>
      </c>
    </row>
    <row r="399" spans="1:28" x14ac:dyDescent="0.25">
      <c r="A399" s="307">
        <f t="shared" si="37"/>
        <v>393</v>
      </c>
      <c r="B399" s="308">
        <v>45715</v>
      </c>
      <c r="C399" s="309">
        <f t="shared" si="38"/>
        <v>45689</v>
      </c>
      <c r="D399" s="310" t="s">
        <v>51</v>
      </c>
      <c r="E399" s="310" t="s">
        <v>2334</v>
      </c>
      <c r="F399" s="311"/>
      <c r="G399" s="316" t="s">
        <v>6</v>
      </c>
      <c r="H399" s="316" t="s">
        <v>26</v>
      </c>
      <c r="I399" s="316" t="s">
        <v>1574</v>
      </c>
      <c r="J399" s="310" t="s">
        <v>381</v>
      </c>
      <c r="K399" s="312">
        <v>91960</v>
      </c>
      <c r="L399" s="312">
        <v>99730</v>
      </c>
      <c r="M399" s="313">
        <f t="shared" si="39"/>
        <v>7770</v>
      </c>
      <c r="N399" s="314">
        <f t="shared" si="40"/>
        <v>0.0779103579665096</v>
      </c>
      <c r="O399" s="312">
        <v>91960</v>
      </c>
      <c r="P399" s="313">
        <f t="shared" si="36"/>
        <v>0</v>
      </c>
      <c r="Q399" s="310" t="s">
        <v>147</v>
      </c>
      <c r="R399" s="310">
        <v>405</v>
      </c>
      <c r="S399" s="310"/>
      <c r="T399" s="308">
        <v>45716</v>
      </c>
      <c r="U399" s="308">
        <v>45717</v>
      </c>
      <c r="V399" s="308"/>
      <c r="W399" s="315">
        <f t="shared" si="41"/>
        <v>2</v>
      </c>
      <c r="X399" s="310" t="s">
        <v>54</v>
      </c>
      <c r="Y399" s="310" t="s">
        <v>2334</v>
      </c>
      <c r="Z399" s="316" t="s">
        <v>1558</v>
      </c>
      <c r="AA399" s="316" t="s">
        <v>1545</v>
      </c>
      <c r="AB399" s="316" t="s">
        <v>1557</v>
      </c>
    </row>
    <row r="400" spans="1:28" x14ac:dyDescent="0.25">
      <c r="A400" s="307">
        <f t="shared" si="37"/>
        <v>394</v>
      </c>
      <c r="B400" s="308">
        <v>45706</v>
      </c>
      <c r="C400" s="309">
        <f t="shared" si="38"/>
        <v>45689</v>
      </c>
      <c r="D400" s="310" t="s">
        <v>56</v>
      </c>
      <c r="E400" s="310" t="s">
        <v>38</v>
      </c>
      <c r="F400" s="311">
        <v>9515412075</v>
      </c>
      <c r="G400" s="316" t="s">
        <v>1561</v>
      </c>
      <c r="H400" s="316" t="s">
        <v>233</v>
      </c>
      <c r="I400" s="316" t="s">
        <v>1599</v>
      </c>
      <c r="J400" s="310" t="s">
        <v>59</v>
      </c>
      <c r="K400" s="312">
        <v>2430</v>
      </c>
      <c r="L400" s="312">
        <v>4410</v>
      </c>
      <c r="M400" s="313">
        <f t="shared" si="39"/>
        <v>1980</v>
      </c>
      <c r="N400" s="314">
        <f t="shared" si="40"/>
        <v>0.448979591836735</v>
      </c>
      <c r="O400" s="312">
        <v>2430</v>
      </c>
      <c r="P400" s="313">
        <f t="shared" si="36"/>
        <v>0</v>
      </c>
      <c r="Q400" s="310" t="s">
        <v>147</v>
      </c>
      <c r="R400" s="310">
        <v>406</v>
      </c>
      <c r="S400" s="310"/>
      <c r="T400" s="308">
        <v>45706</v>
      </c>
      <c r="U400" s="308">
        <v>45706</v>
      </c>
      <c r="V400" s="308"/>
      <c r="W400" s="315">
        <f t="shared" si="41"/>
        <v>0</v>
      </c>
      <c r="X400" s="310" t="s">
        <v>54</v>
      </c>
      <c r="Y400" s="310" t="s">
        <v>56</v>
      </c>
      <c r="Z400" s="316"/>
      <c r="AA400" s="316" t="s">
        <v>1457</v>
      </c>
      <c r="AB400" s="316" t="s">
        <v>1457</v>
      </c>
    </row>
    <row r="401" spans="1:28" x14ac:dyDescent="0.25">
      <c r="A401" s="307">
        <f t="shared" si="37"/>
        <v>395</v>
      </c>
      <c r="B401" s="308">
        <v>45708</v>
      </c>
      <c r="C401" s="309">
        <f t="shared" si="38"/>
        <v>45689</v>
      </c>
      <c r="D401" s="310" t="s">
        <v>56</v>
      </c>
      <c r="E401" s="310" t="s">
        <v>38</v>
      </c>
      <c r="F401" s="311">
        <v>9515412075</v>
      </c>
      <c r="G401" s="316" t="s">
        <v>1561</v>
      </c>
      <c r="H401" s="316" t="s">
        <v>233</v>
      </c>
      <c r="I401" s="316" t="s">
        <v>1600</v>
      </c>
      <c r="J401" s="310" t="s">
        <v>59</v>
      </c>
      <c r="K401" s="312">
        <v>2430</v>
      </c>
      <c r="L401" s="312">
        <v>4410</v>
      </c>
      <c r="M401" s="313">
        <f t="shared" si="39"/>
        <v>1980</v>
      </c>
      <c r="N401" s="314">
        <f t="shared" si="40"/>
        <v>0.448979591836735</v>
      </c>
      <c r="O401" s="312">
        <v>2430</v>
      </c>
      <c r="P401" s="313">
        <f t="shared" si="36"/>
        <v>0</v>
      </c>
      <c r="Q401" s="310" t="s">
        <v>147</v>
      </c>
      <c r="R401" s="310">
        <v>407</v>
      </c>
      <c r="S401" s="310"/>
      <c r="T401" s="308">
        <v>45736</v>
      </c>
      <c r="U401" s="308">
        <v>45736</v>
      </c>
      <c r="V401" s="308"/>
      <c r="W401" s="315">
        <f t="shared" si="41"/>
        <v>28</v>
      </c>
      <c r="X401" s="310" t="s">
        <v>54</v>
      </c>
      <c r="Y401" s="310" t="s">
        <v>56</v>
      </c>
      <c r="Z401" s="316"/>
      <c r="AA401" s="316" t="s">
        <v>1563</v>
      </c>
      <c r="AB401" s="316" t="s">
        <v>1563</v>
      </c>
    </row>
    <row r="402" spans="1:28" x14ac:dyDescent="0.25">
      <c r="A402" s="307">
        <f t="shared" si="37"/>
        <v>396</v>
      </c>
      <c r="B402" s="308">
        <v>45708</v>
      </c>
      <c r="C402" s="309">
        <f t="shared" si="38"/>
        <v>45689</v>
      </c>
      <c r="D402" s="310" t="s">
        <v>56</v>
      </c>
      <c r="E402" s="310" t="s">
        <v>38</v>
      </c>
      <c r="F402" s="311">
        <v>9515412075</v>
      </c>
      <c r="G402" s="316" t="s">
        <v>1561</v>
      </c>
      <c r="H402" s="316" t="s">
        <v>233</v>
      </c>
      <c r="I402" s="316" t="s">
        <v>1601</v>
      </c>
      <c r="J402" s="310" t="s">
        <v>59</v>
      </c>
      <c r="K402" s="312">
        <v>2430</v>
      </c>
      <c r="L402" s="312">
        <v>4410</v>
      </c>
      <c r="M402" s="313">
        <f t="shared" si="39"/>
        <v>1980</v>
      </c>
      <c r="N402" s="314">
        <f t="shared" si="40"/>
        <v>0.448979591836735</v>
      </c>
      <c r="O402" s="312">
        <v>2430</v>
      </c>
      <c r="P402" s="313">
        <f t="shared" si="36"/>
        <v>0</v>
      </c>
      <c r="Q402" s="310" t="s">
        <v>147</v>
      </c>
      <c r="R402" s="310">
        <v>408</v>
      </c>
      <c r="S402" s="310"/>
      <c r="T402" s="308">
        <v>45736</v>
      </c>
      <c r="U402" s="308">
        <v>45736</v>
      </c>
      <c r="V402" s="308"/>
      <c r="W402" s="315">
        <f t="shared" si="41"/>
        <v>28</v>
      </c>
      <c r="X402" s="310" t="s">
        <v>54</v>
      </c>
      <c r="Y402" s="310" t="s">
        <v>56</v>
      </c>
      <c r="Z402" s="316"/>
      <c r="AA402" s="316" t="s">
        <v>1563</v>
      </c>
      <c r="AB402" s="316" t="s">
        <v>1563</v>
      </c>
    </row>
    <row r="403" spans="1:28" x14ac:dyDescent="0.25">
      <c r="A403" s="307">
        <f t="shared" si="37"/>
        <v>397</v>
      </c>
      <c r="B403" s="308">
        <v>45709</v>
      </c>
      <c r="C403" s="309">
        <f t="shared" si="38"/>
        <v>45689</v>
      </c>
      <c r="D403" s="310" t="s">
        <v>56</v>
      </c>
      <c r="E403" s="310" t="s">
        <v>1562</v>
      </c>
      <c r="F403" s="311">
        <v>9515412075</v>
      </c>
      <c r="G403" s="316" t="s">
        <v>1561</v>
      </c>
      <c r="H403" s="316" t="s">
        <v>233</v>
      </c>
      <c r="I403" s="316" t="s">
        <v>1602</v>
      </c>
      <c r="J403" s="310" t="s">
        <v>59</v>
      </c>
      <c r="K403" s="312">
        <v>2430</v>
      </c>
      <c r="L403" s="312">
        <v>4410</v>
      </c>
      <c r="M403" s="313">
        <f t="shared" si="39"/>
        <v>1980</v>
      </c>
      <c r="N403" s="314">
        <f t="shared" si="40"/>
        <v>0.448979591836735</v>
      </c>
      <c r="O403" s="312">
        <v>2430</v>
      </c>
      <c r="P403" s="313">
        <f t="shared" si="36"/>
        <v>0</v>
      </c>
      <c r="Q403" s="310" t="s">
        <v>147</v>
      </c>
      <c r="R403" s="310">
        <v>409</v>
      </c>
      <c r="S403" s="310"/>
      <c r="T403" s="308">
        <v>45737</v>
      </c>
      <c r="U403" s="308">
        <v>45737</v>
      </c>
      <c r="V403" s="308"/>
      <c r="W403" s="315">
        <f t="shared" si="41"/>
        <v>28</v>
      </c>
      <c r="X403" s="310" t="s">
        <v>54</v>
      </c>
      <c r="Y403" s="310" t="s">
        <v>56</v>
      </c>
      <c r="Z403" s="316"/>
      <c r="AA403" s="316" t="s">
        <v>1564</v>
      </c>
      <c r="AB403" s="316" t="s">
        <v>1564</v>
      </c>
    </row>
    <row r="404" spans="1:28" x14ac:dyDescent="0.25">
      <c r="A404" s="307">
        <f t="shared" si="37"/>
        <v>398</v>
      </c>
      <c r="B404" s="308">
        <v>45715</v>
      </c>
      <c r="C404" s="309">
        <f t="shared" si="38"/>
        <v>45689</v>
      </c>
      <c r="D404" s="310" t="s">
        <v>51</v>
      </c>
      <c r="E404" s="310" t="s">
        <v>1565</v>
      </c>
      <c r="F404" s="311">
        <v>9137963915</v>
      </c>
      <c r="G404" s="316" t="s">
        <v>1566</v>
      </c>
      <c r="H404" s="316" t="s">
        <v>233</v>
      </c>
      <c r="I404" s="316" t="s">
        <v>1603</v>
      </c>
      <c r="J404" s="310" t="s">
        <v>1567</v>
      </c>
      <c r="K404" s="312">
        <v>1540</v>
      </c>
      <c r="L404" s="312">
        <v>3150</v>
      </c>
      <c r="M404" s="313">
        <f t="shared" si="39"/>
        <v>1610</v>
      </c>
      <c r="N404" s="314">
        <f t="shared" si="40"/>
        <v>0.511111111111111</v>
      </c>
      <c r="O404" s="312">
        <v>1540</v>
      </c>
      <c r="P404" s="313">
        <f t="shared" si="36"/>
        <v>0</v>
      </c>
      <c r="Q404" s="310" t="s">
        <v>147</v>
      </c>
      <c r="R404" s="310">
        <v>410</v>
      </c>
      <c r="S404" s="310"/>
      <c r="T404" s="308">
        <v>45743</v>
      </c>
      <c r="U404" s="308">
        <v>45743</v>
      </c>
      <c r="V404" s="308"/>
      <c r="W404" s="315">
        <f t="shared" si="41"/>
        <v>28</v>
      </c>
      <c r="X404" s="310" t="s">
        <v>54</v>
      </c>
      <c r="Y404" s="310" t="s">
        <v>3756</v>
      </c>
      <c r="Z404" s="316"/>
      <c r="AA404" s="316" t="s">
        <v>1568</v>
      </c>
      <c r="AB404" s="316" t="s">
        <v>1568</v>
      </c>
    </row>
    <row r="405" spans="1:28" x14ac:dyDescent="0.25">
      <c r="A405" s="307">
        <f t="shared" si="37"/>
        <v>399</v>
      </c>
      <c r="B405" s="308">
        <v>45715</v>
      </c>
      <c r="C405" s="309">
        <f t="shared" si="38"/>
        <v>45689</v>
      </c>
      <c r="D405" s="310" t="s">
        <v>51</v>
      </c>
      <c r="E405" s="310" t="s">
        <v>1535</v>
      </c>
      <c r="F405" s="311">
        <v>9412166704</v>
      </c>
      <c r="G405" s="316" t="s">
        <v>6</v>
      </c>
      <c r="H405" s="316" t="s">
        <v>440</v>
      </c>
      <c r="I405" s="316" t="s">
        <v>1575</v>
      </c>
      <c r="J405" s="310" t="s">
        <v>168</v>
      </c>
      <c r="K405" s="312">
        <v>28780</v>
      </c>
      <c r="L405" s="312">
        <v>41900</v>
      </c>
      <c r="M405" s="313">
        <f t="shared" si="39"/>
        <v>13120</v>
      </c>
      <c r="N405" s="314">
        <f t="shared" si="40"/>
        <v>0.313126491646778</v>
      </c>
      <c r="O405" s="312">
        <v>28780</v>
      </c>
      <c r="P405" s="313">
        <f t="shared" si="36"/>
        <v>0</v>
      </c>
      <c r="Q405" s="310" t="s">
        <v>147</v>
      </c>
      <c r="R405" s="310">
        <v>411</v>
      </c>
      <c r="S405" s="310"/>
      <c r="T405" s="308">
        <v>45719</v>
      </c>
      <c r="U405" s="308">
        <v>45720</v>
      </c>
      <c r="V405" s="308"/>
      <c r="W405" s="315">
        <f t="shared" si="41"/>
        <v>5</v>
      </c>
      <c r="X405" s="310" t="s">
        <v>54</v>
      </c>
      <c r="Y405" s="310" t="s">
        <v>529</v>
      </c>
      <c r="Z405" s="316" t="s">
        <v>1548</v>
      </c>
      <c r="AA405" s="317">
        <v>45719</v>
      </c>
      <c r="AB405" s="317">
        <v>45750</v>
      </c>
    </row>
    <row r="406" spans="1:28" x14ac:dyDescent="0.25">
      <c r="A406" s="307">
        <f t="shared" si="37"/>
        <v>400</v>
      </c>
      <c r="B406" s="308">
        <v>45716</v>
      </c>
      <c r="C406" s="309">
        <f t="shared" si="38"/>
        <v>45689</v>
      </c>
      <c r="D406" s="310" t="s">
        <v>51</v>
      </c>
      <c r="E406" s="310" t="s">
        <v>1536</v>
      </c>
      <c r="F406" s="311">
        <v>9404651256</v>
      </c>
      <c r="G406" s="316" t="s">
        <v>6</v>
      </c>
      <c r="H406" s="316" t="s">
        <v>1576</v>
      </c>
      <c r="I406" s="316" t="s">
        <v>1577</v>
      </c>
      <c r="J406" s="310" t="s">
        <v>168</v>
      </c>
      <c r="K406" s="312">
        <v>28650</v>
      </c>
      <c r="L406" s="312">
        <v>48200</v>
      </c>
      <c r="M406" s="313">
        <f t="shared" si="39"/>
        <v>19550</v>
      </c>
      <c r="N406" s="314">
        <f t="shared" si="40"/>
        <v>0.405601659751037</v>
      </c>
      <c r="O406" s="312">
        <v>28650</v>
      </c>
      <c r="P406" s="313">
        <f t="shared" si="36"/>
        <v>0</v>
      </c>
      <c r="Q406" s="310" t="s">
        <v>147</v>
      </c>
      <c r="R406" s="310">
        <v>412</v>
      </c>
      <c r="S406" s="310"/>
      <c r="T406" s="308">
        <v>45721</v>
      </c>
      <c r="U406" s="308">
        <v>45721</v>
      </c>
      <c r="V406" s="308"/>
      <c r="W406" s="315">
        <f t="shared" si="41"/>
        <v>5</v>
      </c>
      <c r="X406" s="310" t="s">
        <v>54</v>
      </c>
      <c r="Y406" s="310" t="s">
        <v>439</v>
      </c>
      <c r="Z406" s="316"/>
      <c r="AA406" s="317">
        <v>45780</v>
      </c>
      <c r="AB406" s="317">
        <v>45780</v>
      </c>
    </row>
    <row r="407" spans="1:28" x14ac:dyDescent="0.25">
      <c r="A407" s="307">
        <f t="shared" si="37"/>
        <v>401</v>
      </c>
      <c r="B407" s="308">
        <v>45716</v>
      </c>
      <c r="C407" s="309">
        <f t="shared" si="38"/>
        <v>45689</v>
      </c>
      <c r="D407" s="310" t="s">
        <v>56</v>
      </c>
      <c r="E407" s="310" t="s">
        <v>38</v>
      </c>
      <c r="F407" s="311">
        <v>9515412075</v>
      </c>
      <c r="G407" s="316" t="s">
        <v>1537</v>
      </c>
      <c r="H407" s="316" t="s">
        <v>26</v>
      </c>
      <c r="I407" s="316" t="s">
        <v>1598</v>
      </c>
      <c r="J407" s="310" t="s">
        <v>59</v>
      </c>
      <c r="K407" s="312">
        <v>51880</v>
      </c>
      <c r="L407" s="312">
        <v>91350</v>
      </c>
      <c r="M407" s="313">
        <f t="shared" si="39"/>
        <v>39470</v>
      </c>
      <c r="N407" s="314">
        <f t="shared" si="40"/>
        <v>0.432074438970991</v>
      </c>
      <c r="O407" s="312">
        <v>51880</v>
      </c>
      <c r="P407" s="313">
        <f t="shared" si="36"/>
        <v>0</v>
      </c>
      <c r="Q407" s="310" t="s">
        <v>147</v>
      </c>
      <c r="R407" s="310">
        <v>413</v>
      </c>
      <c r="S407" s="310"/>
      <c r="T407" s="308">
        <v>45719</v>
      </c>
      <c r="U407" s="308">
        <v>45720</v>
      </c>
      <c r="V407" s="308"/>
      <c r="W407" s="315">
        <f t="shared" si="41"/>
        <v>4</v>
      </c>
      <c r="X407" s="310" t="s">
        <v>54</v>
      </c>
      <c r="Y407" s="310" t="s">
        <v>56</v>
      </c>
      <c r="Z407" s="316"/>
      <c r="AA407" s="317">
        <v>45719</v>
      </c>
      <c r="AB407" s="317">
        <v>45750</v>
      </c>
    </row>
    <row r="408" spans="1:28" x14ac:dyDescent="0.25">
      <c r="A408" s="307">
        <f t="shared" si="37"/>
        <v>402</v>
      </c>
      <c r="B408" s="308">
        <v>45716</v>
      </c>
      <c r="C408" s="309">
        <f t="shared" si="38"/>
        <v>45689</v>
      </c>
      <c r="D408" s="310" t="s">
        <v>51</v>
      </c>
      <c r="E408" s="310" t="s">
        <v>153</v>
      </c>
      <c r="F408" s="311">
        <v>9479119465</v>
      </c>
      <c r="G408" s="316" t="s">
        <v>1093</v>
      </c>
      <c r="H408" s="316" t="s">
        <v>26</v>
      </c>
      <c r="I408" s="316" t="s">
        <v>1592</v>
      </c>
      <c r="J408" s="310" t="s">
        <v>3730</v>
      </c>
      <c r="K408" s="312">
        <v>66940</v>
      </c>
      <c r="L408" s="312">
        <v>96390</v>
      </c>
      <c r="M408" s="313">
        <f t="shared" si="39"/>
        <v>29450</v>
      </c>
      <c r="N408" s="314">
        <f t="shared" si="40"/>
        <v>0.305529619255109</v>
      </c>
      <c r="O408" s="312">
        <v>66940</v>
      </c>
      <c r="P408" s="313">
        <f t="shared" si="36"/>
        <v>0</v>
      </c>
      <c r="Q408" s="310" t="s">
        <v>147</v>
      </c>
      <c r="R408" s="310">
        <v>414</v>
      </c>
      <c r="S408" s="310"/>
      <c r="T408" s="308">
        <v>45720</v>
      </c>
      <c r="U408" s="308">
        <v>45720</v>
      </c>
      <c r="V408" s="308"/>
      <c r="W408" s="315">
        <f t="shared" si="41"/>
        <v>4</v>
      </c>
      <c r="X408" s="310" t="s">
        <v>54</v>
      </c>
      <c r="Y408" s="310" t="s">
        <v>439</v>
      </c>
      <c r="Z408" s="316"/>
      <c r="AA408" s="317">
        <v>45750</v>
      </c>
      <c r="AB408" s="317">
        <v>45750</v>
      </c>
    </row>
    <row r="409" spans="1:28" x14ac:dyDescent="0.25">
      <c r="A409" s="307">
        <f t="shared" si="37"/>
        <v>403</v>
      </c>
      <c r="B409" s="308">
        <v>45717</v>
      </c>
      <c r="C409" s="309">
        <f t="shared" si="38"/>
        <v>45717</v>
      </c>
      <c r="D409" s="310" t="s">
        <v>56</v>
      </c>
      <c r="E409" s="310" t="s">
        <v>60</v>
      </c>
      <c r="F409" s="311">
        <v>9589264337</v>
      </c>
      <c r="G409" s="316" t="s">
        <v>6</v>
      </c>
      <c r="H409" s="316" t="s">
        <v>1578</v>
      </c>
      <c r="I409" s="316" t="s">
        <v>1579</v>
      </c>
      <c r="J409" s="310" t="s">
        <v>3730</v>
      </c>
      <c r="K409" s="312">
        <v>45170</v>
      </c>
      <c r="L409" s="312">
        <v>46620</v>
      </c>
      <c r="M409" s="313">
        <f t="shared" si="39"/>
        <v>1450</v>
      </c>
      <c r="N409" s="314">
        <f t="shared" si="40"/>
        <v>0.0311025311025311</v>
      </c>
      <c r="O409" s="312">
        <v>45170</v>
      </c>
      <c r="P409" s="313">
        <f t="shared" si="36"/>
        <v>0</v>
      </c>
      <c r="Q409" s="310" t="s">
        <v>147</v>
      </c>
      <c r="R409" s="310">
        <v>415</v>
      </c>
      <c r="S409" s="310"/>
      <c r="T409" s="308">
        <v>45720</v>
      </c>
      <c r="U409" s="308">
        <v>45721</v>
      </c>
      <c r="V409" s="308"/>
      <c r="W409" s="315">
        <f t="shared" si="41"/>
        <v>4</v>
      </c>
      <c r="X409" s="310" t="s">
        <v>54</v>
      </c>
      <c r="Y409" s="310" t="s">
        <v>56</v>
      </c>
      <c r="Z409" s="316"/>
      <c r="AA409" s="317">
        <v>45750</v>
      </c>
      <c r="AB409" s="317">
        <v>45780</v>
      </c>
    </row>
    <row r="410" spans="1:28" x14ac:dyDescent="0.25">
      <c r="A410" s="307">
        <f t="shared" si="37"/>
        <v>404</v>
      </c>
      <c r="B410" s="308">
        <v>45717</v>
      </c>
      <c r="C410" s="309">
        <f t="shared" si="38"/>
        <v>45717</v>
      </c>
      <c r="D410" s="310" t="s">
        <v>51</v>
      </c>
      <c r="E410" s="310" t="s">
        <v>1540</v>
      </c>
      <c r="F410" s="311">
        <v>9225675104</v>
      </c>
      <c r="G410" s="316" t="s">
        <v>1093</v>
      </c>
      <c r="H410" s="316" t="s">
        <v>26</v>
      </c>
      <c r="I410" s="316" t="s">
        <v>1593</v>
      </c>
      <c r="J410" s="310" t="s">
        <v>168</v>
      </c>
      <c r="K410" s="312">
        <v>50210</v>
      </c>
      <c r="L410" s="312">
        <v>59850</v>
      </c>
      <c r="M410" s="313">
        <f t="shared" si="39"/>
        <v>9640</v>
      </c>
      <c r="N410" s="314">
        <f t="shared" si="40"/>
        <v>0.161069340016708</v>
      </c>
      <c r="O410" s="312">
        <v>50210</v>
      </c>
      <c r="P410" s="313">
        <f t="shared" si="36"/>
        <v>0</v>
      </c>
      <c r="Q410" s="310" t="s">
        <v>147</v>
      </c>
      <c r="R410" s="310">
        <v>416</v>
      </c>
      <c r="S410" s="310"/>
      <c r="T410" s="308">
        <v>45720</v>
      </c>
      <c r="U410" s="308">
        <v>45721</v>
      </c>
      <c r="V410" s="308"/>
      <c r="W410" s="315">
        <f t="shared" si="41"/>
        <v>4</v>
      </c>
      <c r="X410" s="310" t="s">
        <v>54</v>
      </c>
      <c r="Y410" s="310" t="s">
        <v>439</v>
      </c>
      <c r="Z410" s="316"/>
      <c r="AA410" s="317">
        <v>45750</v>
      </c>
      <c r="AB410" s="317">
        <v>45780</v>
      </c>
    </row>
    <row r="411" spans="1:28" x14ac:dyDescent="0.25">
      <c r="A411" s="307">
        <f t="shared" si="37"/>
        <v>405</v>
      </c>
      <c r="B411" s="308">
        <v>45719</v>
      </c>
      <c r="C411" s="309">
        <f t="shared" si="38"/>
        <v>45717</v>
      </c>
      <c r="D411" s="310" t="s">
        <v>51</v>
      </c>
      <c r="E411" s="310" t="s">
        <v>1541</v>
      </c>
      <c r="F411" s="311">
        <v>9229766792</v>
      </c>
      <c r="G411" s="316" t="s">
        <v>1542</v>
      </c>
      <c r="H411" s="316" t="s">
        <v>26</v>
      </c>
      <c r="I411" s="316" t="s">
        <v>1591</v>
      </c>
      <c r="J411" s="310" t="s">
        <v>3730</v>
      </c>
      <c r="K411" s="312">
        <v>18300</v>
      </c>
      <c r="L411" s="312">
        <v>22050</v>
      </c>
      <c r="M411" s="313">
        <f t="shared" si="39"/>
        <v>3750</v>
      </c>
      <c r="N411" s="314">
        <f t="shared" si="40"/>
        <v>0.170068027210884</v>
      </c>
      <c r="O411" s="312">
        <v>18300</v>
      </c>
      <c r="P411" s="313">
        <f t="shared" si="36"/>
        <v>0</v>
      </c>
      <c r="Q411" s="310" t="s">
        <v>147</v>
      </c>
      <c r="R411" s="310">
        <v>417</v>
      </c>
      <c r="S411" s="310"/>
      <c r="T411" s="308">
        <v>45720</v>
      </c>
      <c r="U411" s="308">
        <v>45720</v>
      </c>
      <c r="V411" s="308"/>
      <c r="W411" s="315">
        <f t="shared" si="41"/>
        <v>1</v>
      </c>
      <c r="X411" s="310" t="s">
        <v>54</v>
      </c>
      <c r="Y411" s="310" t="s">
        <v>3762</v>
      </c>
      <c r="Z411" s="316"/>
      <c r="AA411" s="317">
        <v>45750</v>
      </c>
      <c r="AB411" s="317">
        <v>45750</v>
      </c>
    </row>
    <row r="412" spans="1:28" x14ac:dyDescent="0.25">
      <c r="A412" s="307">
        <f t="shared" si="37"/>
        <v>406</v>
      </c>
      <c r="B412" s="308">
        <v>45719</v>
      </c>
      <c r="C412" s="309">
        <f t="shared" si="38"/>
        <v>45717</v>
      </c>
      <c r="D412" s="310" t="s">
        <v>51</v>
      </c>
      <c r="E412" s="310" t="s">
        <v>1549</v>
      </c>
      <c r="F412" s="311">
        <v>9501087125</v>
      </c>
      <c r="G412" s="316" t="s">
        <v>6</v>
      </c>
      <c r="H412" s="316" t="s">
        <v>1580</v>
      </c>
      <c r="I412" s="316" t="s">
        <v>1581</v>
      </c>
      <c r="J412" s="310" t="s">
        <v>59</v>
      </c>
      <c r="K412" s="312">
        <v>30320</v>
      </c>
      <c r="L412" s="312">
        <v>45040</v>
      </c>
      <c r="M412" s="313">
        <f t="shared" si="39"/>
        <v>14720</v>
      </c>
      <c r="N412" s="314">
        <f t="shared" si="40"/>
        <v>0.326820603907638</v>
      </c>
      <c r="O412" s="312">
        <v>30320</v>
      </c>
      <c r="P412" s="313">
        <f t="shared" si="36"/>
        <v>0</v>
      </c>
      <c r="Q412" s="310" t="s">
        <v>147</v>
      </c>
      <c r="R412" s="310">
        <v>418</v>
      </c>
      <c r="S412" s="310"/>
      <c r="T412" s="308">
        <v>45723</v>
      </c>
      <c r="U412" s="308">
        <v>45723</v>
      </c>
      <c r="V412" s="308"/>
      <c r="W412" s="315">
        <f t="shared" si="41"/>
        <v>4</v>
      </c>
      <c r="X412" s="310" t="s">
        <v>54</v>
      </c>
      <c r="Y412" s="310" t="s">
        <v>439</v>
      </c>
      <c r="Z412" s="316"/>
      <c r="AA412" s="317">
        <v>45841</v>
      </c>
      <c r="AB412" s="317">
        <v>45841</v>
      </c>
    </row>
    <row r="413" spans="1:28" x14ac:dyDescent="0.25">
      <c r="A413" s="307">
        <f t="shared" si="37"/>
        <v>407</v>
      </c>
      <c r="B413" s="308">
        <v>45721</v>
      </c>
      <c r="C413" s="309">
        <f t="shared" si="38"/>
        <v>45717</v>
      </c>
      <c r="D413" s="310" t="s">
        <v>51</v>
      </c>
      <c r="E413" s="310" t="s">
        <v>153</v>
      </c>
      <c r="F413" s="311">
        <v>9479119465</v>
      </c>
      <c r="G413" s="316" t="s">
        <v>6</v>
      </c>
      <c r="H413" s="316" t="s">
        <v>26</v>
      </c>
      <c r="I413" s="316" t="s">
        <v>1583</v>
      </c>
      <c r="J413" s="310" t="s">
        <v>3730</v>
      </c>
      <c r="K413" s="312">
        <v>31750</v>
      </c>
      <c r="L413" s="312">
        <v>40320</v>
      </c>
      <c r="M413" s="313">
        <f t="shared" si="39"/>
        <v>8570</v>
      </c>
      <c r="N413" s="314">
        <f t="shared" si="40"/>
        <v>0.212549603174603</v>
      </c>
      <c r="O413" s="312">
        <v>31750</v>
      </c>
      <c r="P413" s="313">
        <f t="shared" si="36"/>
        <v>0</v>
      </c>
      <c r="Q413" s="310" t="s">
        <v>147</v>
      </c>
      <c r="R413" s="310">
        <v>419</v>
      </c>
      <c r="S413" s="310"/>
      <c r="T413" s="308">
        <v>45724</v>
      </c>
      <c r="U413" s="308">
        <v>45724</v>
      </c>
      <c r="V413" s="308"/>
      <c r="W413" s="315">
        <f t="shared" si="41"/>
        <v>3</v>
      </c>
      <c r="X413" s="310" t="s">
        <v>54</v>
      </c>
      <c r="Y413" s="310" t="s">
        <v>439</v>
      </c>
      <c r="Z413" s="316"/>
      <c r="AA413" s="317">
        <v>45872</v>
      </c>
      <c r="AB413" s="317">
        <v>45872</v>
      </c>
    </row>
    <row r="414" spans="1:28" x14ac:dyDescent="0.25">
      <c r="A414" s="307">
        <f t="shared" si="37"/>
        <v>408</v>
      </c>
      <c r="B414" s="308">
        <v>45721</v>
      </c>
      <c r="C414" s="309">
        <f t="shared" si="38"/>
        <v>45717</v>
      </c>
      <c r="D414" s="310" t="s">
        <v>51</v>
      </c>
      <c r="E414" s="310" t="s">
        <v>979</v>
      </c>
      <c r="F414" s="311">
        <v>9336977588</v>
      </c>
      <c r="G414" s="316" t="s">
        <v>6</v>
      </c>
      <c r="H414" s="316" t="s">
        <v>1685</v>
      </c>
      <c r="I414" s="316" t="s">
        <v>1582</v>
      </c>
      <c r="J414" s="310" t="s">
        <v>168</v>
      </c>
      <c r="K414" s="312">
        <v>27170</v>
      </c>
      <c r="L414" s="312">
        <v>41900</v>
      </c>
      <c r="M414" s="313">
        <f t="shared" si="39"/>
        <v>14730</v>
      </c>
      <c r="N414" s="314">
        <f t="shared" si="40"/>
        <v>0.351551312649165</v>
      </c>
      <c r="O414" s="312">
        <v>27170</v>
      </c>
      <c r="P414" s="313">
        <f t="shared" si="36"/>
        <v>0</v>
      </c>
      <c r="Q414" s="310" t="s">
        <v>147</v>
      </c>
      <c r="R414" s="310">
        <v>420</v>
      </c>
      <c r="S414" s="310"/>
      <c r="T414" s="308">
        <v>45726</v>
      </c>
      <c r="U414" s="308">
        <v>45726</v>
      </c>
      <c r="V414" s="308"/>
      <c r="W414" s="315">
        <f t="shared" si="41"/>
        <v>5</v>
      </c>
      <c r="X414" s="310" t="s">
        <v>54</v>
      </c>
      <c r="Y414" s="310" t="s">
        <v>439</v>
      </c>
      <c r="Z414" s="316"/>
      <c r="AA414" s="317">
        <v>45933</v>
      </c>
      <c r="AB414" s="317">
        <v>45933</v>
      </c>
    </row>
    <row r="415" spans="1:28" x14ac:dyDescent="0.25">
      <c r="A415" s="307">
        <f t="shared" si="37"/>
        <v>409</v>
      </c>
      <c r="B415" s="308">
        <v>45721</v>
      </c>
      <c r="C415" s="309">
        <f t="shared" si="38"/>
        <v>45717</v>
      </c>
      <c r="D415" s="310" t="s">
        <v>56</v>
      </c>
      <c r="E415" s="310" t="s">
        <v>38</v>
      </c>
      <c r="F415" s="311">
        <v>9515412075</v>
      </c>
      <c r="G415" s="316" t="s">
        <v>6</v>
      </c>
      <c r="H415" s="316" t="s">
        <v>1584</v>
      </c>
      <c r="I415" s="316" t="s">
        <v>1585</v>
      </c>
      <c r="J415" s="310" t="s">
        <v>59</v>
      </c>
      <c r="K415" s="312">
        <v>45880</v>
      </c>
      <c r="L415" s="312">
        <v>51340</v>
      </c>
      <c r="M415" s="313">
        <f t="shared" si="39"/>
        <v>5460</v>
      </c>
      <c r="N415" s="314">
        <f t="shared" si="40"/>
        <v>0.106349824698091</v>
      </c>
      <c r="O415" s="312">
        <v>45880</v>
      </c>
      <c r="P415" s="313">
        <f t="shared" si="36"/>
        <v>0</v>
      </c>
      <c r="Q415" s="310" t="s">
        <v>147</v>
      </c>
      <c r="R415" s="310">
        <v>421</v>
      </c>
      <c r="S415" s="310"/>
      <c r="T415" s="308">
        <v>45726</v>
      </c>
      <c r="U415" s="308">
        <v>45726</v>
      </c>
      <c r="V415" s="308"/>
      <c r="W415" s="315">
        <f t="shared" si="41"/>
        <v>5</v>
      </c>
      <c r="X415" s="310" t="s">
        <v>54</v>
      </c>
      <c r="Y415" s="310" t="s">
        <v>56</v>
      </c>
      <c r="Z415" s="316"/>
      <c r="AA415" s="317">
        <v>45933</v>
      </c>
      <c r="AB415" s="317">
        <v>45933</v>
      </c>
    </row>
    <row r="416" spans="1:28" x14ac:dyDescent="0.25">
      <c r="A416" s="307">
        <f t="shared" si="37"/>
        <v>410</v>
      </c>
      <c r="B416" s="308">
        <v>45721</v>
      </c>
      <c r="C416" s="309">
        <f t="shared" si="38"/>
        <v>45717</v>
      </c>
      <c r="D416" s="310" t="s">
        <v>51</v>
      </c>
      <c r="E416" s="310" t="s">
        <v>1550</v>
      </c>
      <c r="F416" s="311">
        <v>9651106045</v>
      </c>
      <c r="G416" s="316" t="s">
        <v>1093</v>
      </c>
      <c r="H416" s="316" t="s">
        <v>26</v>
      </c>
      <c r="I416" s="316" t="s">
        <v>1604</v>
      </c>
      <c r="J416" s="310" t="s">
        <v>3730</v>
      </c>
      <c r="K416" s="312">
        <v>70690</v>
      </c>
      <c r="L416" s="312">
        <v>96390</v>
      </c>
      <c r="M416" s="313">
        <f t="shared" si="39"/>
        <v>25700</v>
      </c>
      <c r="N416" s="314">
        <f t="shared" si="40"/>
        <v>0.266625168585953</v>
      </c>
      <c r="O416" s="312">
        <v>70690</v>
      </c>
      <c r="P416" s="313">
        <f t="shared" si="36"/>
        <v>0</v>
      </c>
      <c r="Q416" s="310" t="s">
        <v>147</v>
      </c>
      <c r="R416" s="310">
        <v>422</v>
      </c>
      <c r="S416" s="310"/>
      <c r="T416" s="308">
        <v>45724</v>
      </c>
      <c r="U416" s="308">
        <v>45724</v>
      </c>
      <c r="V416" s="308"/>
      <c r="W416" s="315">
        <f t="shared" si="41"/>
        <v>3</v>
      </c>
      <c r="X416" s="310" t="s">
        <v>54</v>
      </c>
      <c r="Y416" s="310" t="s">
        <v>2350</v>
      </c>
      <c r="Z416" s="316"/>
      <c r="AA416" s="317">
        <v>45872</v>
      </c>
      <c r="AB416" s="317">
        <v>45872</v>
      </c>
    </row>
    <row r="417" spans="1:28" x14ac:dyDescent="0.25">
      <c r="A417" s="307">
        <f t="shared" si="37"/>
        <v>411</v>
      </c>
      <c r="B417" s="308">
        <v>45722</v>
      </c>
      <c r="C417" s="309">
        <f t="shared" si="38"/>
        <v>45717</v>
      </c>
      <c r="D417" s="310" t="s">
        <v>51</v>
      </c>
      <c r="E417" s="310" t="s">
        <v>795</v>
      </c>
      <c r="F417" s="311">
        <v>9973550893</v>
      </c>
      <c r="G417" s="316" t="s">
        <v>6</v>
      </c>
      <c r="H417" s="316" t="s">
        <v>1588</v>
      </c>
      <c r="I417" s="316" t="s">
        <v>1587</v>
      </c>
      <c r="J417" s="310" t="s">
        <v>59</v>
      </c>
      <c r="K417" s="312">
        <v>29250</v>
      </c>
      <c r="L417" s="312">
        <v>45040</v>
      </c>
      <c r="M417" s="313">
        <f t="shared" si="39"/>
        <v>15790</v>
      </c>
      <c r="N417" s="314">
        <f t="shared" si="40"/>
        <v>0.350577264653641</v>
      </c>
      <c r="O417" s="312">
        <v>29250</v>
      </c>
      <c r="P417" s="313">
        <f t="shared" si="36"/>
        <v>0</v>
      </c>
      <c r="Q417" s="310" t="s">
        <v>147</v>
      </c>
      <c r="R417" s="310">
        <v>423</v>
      </c>
      <c r="S417" s="310"/>
      <c r="T417" s="308">
        <v>45726</v>
      </c>
      <c r="U417" s="308">
        <v>45726</v>
      </c>
      <c r="V417" s="308"/>
      <c r="W417" s="315">
        <f t="shared" si="41"/>
        <v>4</v>
      </c>
      <c r="X417" s="310" t="s">
        <v>54</v>
      </c>
      <c r="Y417" s="310" t="s">
        <v>2350</v>
      </c>
      <c r="Z417" s="316"/>
      <c r="AA417" s="317">
        <v>45933</v>
      </c>
      <c r="AB417" s="317">
        <v>45933</v>
      </c>
    </row>
    <row r="418" spans="1:28" x14ac:dyDescent="0.25">
      <c r="A418" s="307">
        <f t="shared" si="37"/>
        <v>412</v>
      </c>
      <c r="B418" s="308">
        <v>45722</v>
      </c>
      <c r="C418" s="309">
        <f t="shared" si="38"/>
        <v>45717</v>
      </c>
      <c r="D418" s="310" t="s">
        <v>51</v>
      </c>
      <c r="E418" s="310" t="s">
        <v>1559</v>
      </c>
      <c r="F418" s="311">
        <v>9717182270</v>
      </c>
      <c r="G418" s="316" t="s">
        <v>6</v>
      </c>
      <c r="H418" s="316" t="s">
        <v>26</v>
      </c>
      <c r="I418" s="316" t="s">
        <v>1586</v>
      </c>
      <c r="J418" s="310" t="s">
        <v>3730</v>
      </c>
      <c r="K418" s="312">
        <v>31750</v>
      </c>
      <c r="L418" s="312">
        <v>40320</v>
      </c>
      <c r="M418" s="313">
        <f t="shared" si="39"/>
        <v>8570</v>
      </c>
      <c r="N418" s="314">
        <f t="shared" si="40"/>
        <v>0.212549603174603</v>
      </c>
      <c r="O418" s="312">
        <v>31750</v>
      </c>
      <c r="P418" s="313">
        <f t="shared" si="36"/>
        <v>0</v>
      </c>
      <c r="Q418" s="310" t="s">
        <v>147</v>
      </c>
      <c r="R418" s="310">
        <v>424</v>
      </c>
      <c r="S418" s="310"/>
      <c r="T418" s="308">
        <v>45726</v>
      </c>
      <c r="U418" s="308">
        <v>45726</v>
      </c>
      <c r="V418" s="308"/>
      <c r="W418" s="315">
        <f t="shared" si="41"/>
        <v>4</v>
      </c>
      <c r="X418" s="310" t="s">
        <v>54</v>
      </c>
      <c r="Y418" s="310" t="s">
        <v>529</v>
      </c>
      <c r="Z418" s="316"/>
      <c r="AA418" s="317">
        <v>45933</v>
      </c>
      <c r="AB418" s="317">
        <v>45933</v>
      </c>
    </row>
    <row r="419" spans="1:28" x14ac:dyDescent="0.25">
      <c r="A419" s="307">
        <f t="shared" si="37"/>
        <v>413</v>
      </c>
      <c r="B419" s="308">
        <v>45722</v>
      </c>
      <c r="C419" s="309">
        <f t="shared" si="38"/>
        <v>45717</v>
      </c>
      <c r="D419" s="310" t="s">
        <v>56</v>
      </c>
      <c r="E419" s="310" t="s">
        <v>60</v>
      </c>
      <c r="F419" s="311">
        <v>9589264337</v>
      </c>
      <c r="G419" s="316" t="s">
        <v>1093</v>
      </c>
      <c r="H419" s="316" t="s">
        <v>1631</v>
      </c>
      <c r="I419" s="316" t="s">
        <v>1630</v>
      </c>
      <c r="J419" s="310" t="s">
        <v>3730</v>
      </c>
      <c r="K419" s="312">
        <v>53580</v>
      </c>
      <c r="L419" s="312">
        <v>102690</v>
      </c>
      <c r="M419" s="313">
        <f t="shared" si="39"/>
        <v>49110</v>
      </c>
      <c r="N419" s="314">
        <f t="shared" si="40"/>
        <v>0.478235465965527</v>
      </c>
      <c r="O419" s="312">
        <v>53580</v>
      </c>
      <c r="P419" s="313">
        <f t="shared" si="36"/>
        <v>0</v>
      </c>
      <c r="Q419" s="310" t="s">
        <v>147</v>
      </c>
      <c r="R419" s="310">
        <v>425</v>
      </c>
      <c r="S419" s="310"/>
      <c r="T419" s="308">
        <v>45727</v>
      </c>
      <c r="U419" s="308">
        <v>45727</v>
      </c>
      <c r="V419" s="308"/>
      <c r="W419" s="315">
        <f t="shared" si="41"/>
        <v>5</v>
      </c>
      <c r="X419" s="310" t="s">
        <v>54</v>
      </c>
      <c r="Y419" s="310" t="s">
        <v>56</v>
      </c>
      <c r="Z419" s="316"/>
      <c r="AA419" s="317">
        <v>45964</v>
      </c>
      <c r="AB419" s="317">
        <v>45964</v>
      </c>
    </row>
    <row r="420" spans="1:28" x14ac:dyDescent="0.25">
      <c r="A420" s="307">
        <f t="shared" si="37"/>
        <v>414</v>
      </c>
      <c r="B420" s="308">
        <v>45723</v>
      </c>
      <c r="C420" s="309">
        <f t="shared" si="38"/>
        <v>45717</v>
      </c>
      <c r="D420" s="310" t="s">
        <v>51</v>
      </c>
      <c r="E420" s="310" t="s">
        <v>980</v>
      </c>
      <c r="F420" s="311">
        <v>9235279810</v>
      </c>
      <c r="G420" s="316" t="s">
        <v>6</v>
      </c>
      <c r="H420" s="316" t="s">
        <v>1589</v>
      </c>
      <c r="I420" s="316" t="s">
        <v>1590</v>
      </c>
      <c r="J420" s="310" t="s">
        <v>3730</v>
      </c>
      <c r="K420" s="312">
        <v>34710</v>
      </c>
      <c r="L420" s="312">
        <v>52920</v>
      </c>
      <c r="M420" s="313">
        <f t="shared" si="39"/>
        <v>18210</v>
      </c>
      <c r="N420" s="314">
        <f t="shared" si="40"/>
        <v>0.344104308390023</v>
      </c>
      <c r="O420" s="312">
        <v>34710</v>
      </c>
      <c r="P420" s="313">
        <f t="shared" si="36"/>
        <v>0</v>
      </c>
      <c r="Q420" s="310" t="s">
        <v>147</v>
      </c>
      <c r="R420" s="310">
        <v>426</v>
      </c>
      <c r="S420" s="310"/>
      <c r="T420" s="308">
        <v>45727</v>
      </c>
      <c r="U420" s="308">
        <v>45727</v>
      </c>
      <c r="V420" s="308"/>
      <c r="W420" s="315">
        <f t="shared" si="41"/>
        <v>4</v>
      </c>
      <c r="X420" s="310" t="s">
        <v>54</v>
      </c>
      <c r="Y420" s="310" t="s">
        <v>439</v>
      </c>
      <c r="Z420" s="316"/>
      <c r="AA420" s="317">
        <v>45964</v>
      </c>
      <c r="AB420" s="317">
        <v>45964</v>
      </c>
    </row>
    <row r="421" spans="1:28" x14ac:dyDescent="0.25">
      <c r="A421" s="307">
        <f t="shared" si="37"/>
        <v>415</v>
      </c>
      <c r="B421" s="308">
        <v>45723</v>
      </c>
      <c r="C421" s="309">
        <f t="shared" si="38"/>
        <v>45717</v>
      </c>
      <c r="D421" s="310" t="s">
        <v>51</v>
      </c>
      <c r="E421" s="310" t="s">
        <v>547</v>
      </c>
      <c r="F421" s="311">
        <v>9674193351</v>
      </c>
      <c r="G421" s="316" t="s">
        <v>1093</v>
      </c>
      <c r="H421" s="316" t="s">
        <v>26</v>
      </c>
      <c r="I421" s="316" t="s">
        <v>1645</v>
      </c>
      <c r="J421" s="310" t="s">
        <v>168</v>
      </c>
      <c r="K421" s="312">
        <v>50210</v>
      </c>
      <c r="L421" s="312">
        <v>59850</v>
      </c>
      <c r="M421" s="313">
        <f t="shared" si="39"/>
        <v>9640</v>
      </c>
      <c r="N421" s="314">
        <f t="shared" si="40"/>
        <v>0.161069340016708</v>
      </c>
      <c r="O421" s="312">
        <v>50210</v>
      </c>
      <c r="P421" s="313">
        <f t="shared" si="36"/>
        <v>0</v>
      </c>
      <c r="Q421" s="310" t="s">
        <v>147</v>
      </c>
      <c r="R421" s="310">
        <v>427</v>
      </c>
      <c r="S421" s="310"/>
      <c r="T421" s="308">
        <v>45727</v>
      </c>
      <c r="U421" s="308">
        <v>45727</v>
      </c>
      <c r="V421" s="308"/>
      <c r="W421" s="315">
        <f t="shared" si="41"/>
        <v>4</v>
      </c>
      <c r="X421" s="310" t="s">
        <v>54</v>
      </c>
      <c r="Y421" s="310" t="s">
        <v>439</v>
      </c>
      <c r="Z421" s="316"/>
      <c r="AA421" s="317">
        <v>45964</v>
      </c>
      <c r="AB421" s="317">
        <v>45964</v>
      </c>
    </row>
    <row r="422" spans="1:28" x14ac:dyDescent="0.25">
      <c r="A422" s="307">
        <f t="shared" si="37"/>
        <v>416</v>
      </c>
      <c r="B422" s="308">
        <v>45724</v>
      </c>
      <c r="C422" s="309">
        <f t="shared" si="38"/>
        <v>45717</v>
      </c>
      <c r="D422" s="310" t="s">
        <v>51</v>
      </c>
      <c r="E422" s="310" t="s">
        <v>435</v>
      </c>
      <c r="F422" s="311">
        <v>9654538123</v>
      </c>
      <c r="G422" s="316" t="s">
        <v>6</v>
      </c>
      <c r="H422" s="316" t="s">
        <v>1646</v>
      </c>
      <c r="I422" s="316" t="s">
        <v>1647</v>
      </c>
      <c r="J422" s="310" t="s">
        <v>168</v>
      </c>
      <c r="K422" s="312">
        <v>26630</v>
      </c>
      <c r="L422" s="312">
        <v>41900</v>
      </c>
      <c r="M422" s="313">
        <f t="shared" si="39"/>
        <v>15270</v>
      </c>
      <c r="N422" s="314">
        <f t="shared" si="40"/>
        <v>0.364439140811456</v>
      </c>
      <c r="O422" s="312">
        <v>26630</v>
      </c>
      <c r="P422" s="313">
        <f t="shared" si="36"/>
        <v>0</v>
      </c>
      <c r="Q422" s="310" t="s">
        <v>147</v>
      </c>
      <c r="R422" s="310">
        <v>428</v>
      </c>
      <c r="S422" s="310"/>
      <c r="T422" s="308">
        <v>45728</v>
      </c>
      <c r="U422" s="308">
        <v>45728</v>
      </c>
      <c r="V422" s="308"/>
      <c r="W422" s="315">
        <f t="shared" si="41"/>
        <v>4</v>
      </c>
      <c r="X422" s="310" t="s">
        <v>54</v>
      </c>
      <c r="Y422" s="310" t="s">
        <v>439</v>
      </c>
      <c r="Z422" s="316"/>
      <c r="AA422" s="317">
        <v>45994</v>
      </c>
      <c r="AB422" s="317">
        <v>45994</v>
      </c>
    </row>
    <row r="423" spans="1:28" x14ac:dyDescent="0.25">
      <c r="A423" s="307">
        <f t="shared" si="37"/>
        <v>417</v>
      </c>
      <c r="B423" s="308">
        <v>45727</v>
      </c>
      <c r="C423" s="309">
        <f t="shared" si="38"/>
        <v>45717</v>
      </c>
      <c r="D423" s="310" t="s">
        <v>51</v>
      </c>
      <c r="E423" s="310" t="s">
        <v>1634</v>
      </c>
      <c r="F423" s="311">
        <v>9521881687</v>
      </c>
      <c r="G423" s="316" t="s">
        <v>6</v>
      </c>
      <c r="H423" s="316" t="s">
        <v>26</v>
      </c>
      <c r="I423" s="316" t="s">
        <v>1648</v>
      </c>
      <c r="J423" s="310" t="s">
        <v>3730</v>
      </c>
      <c r="K423" s="312">
        <v>32290</v>
      </c>
      <c r="L423" s="312">
        <v>40320</v>
      </c>
      <c r="M423" s="313">
        <f t="shared" si="39"/>
        <v>8030</v>
      </c>
      <c r="N423" s="314">
        <f t="shared" si="40"/>
        <v>0.199156746031746</v>
      </c>
      <c r="O423" s="312">
        <v>32290</v>
      </c>
      <c r="P423" s="313">
        <f t="shared" si="36"/>
        <v>0</v>
      </c>
      <c r="Q423" s="310" t="s">
        <v>147</v>
      </c>
      <c r="R423" s="310">
        <v>429</v>
      </c>
      <c r="S423" s="310"/>
      <c r="T423" s="308">
        <v>45730</v>
      </c>
      <c r="U423" s="308">
        <v>45730</v>
      </c>
      <c r="V423" s="308"/>
      <c r="W423" s="315">
        <f t="shared" si="41"/>
        <v>3</v>
      </c>
      <c r="X423" s="310" t="s">
        <v>54</v>
      </c>
      <c r="Y423" s="310" t="s">
        <v>529</v>
      </c>
      <c r="Z423" s="316"/>
      <c r="AA423" s="316" t="s">
        <v>1694</v>
      </c>
      <c r="AB423" s="316" t="s">
        <v>1694</v>
      </c>
    </row>
    <row r="424" spans="1:28" x14ac:dyDescent="0.25">
      <c r="A424" s="307">
        <f t="shared" si="37"/>
        <v>418</v>
      </c>
      <c r="B424" s="308">
        <v>45727</v>
      </c>
      <c r="C424" s="309">
        <f t="shared" si="38"/>
        <v>45717</v>
      </c>
      <c r="D424" s="310" t="s">
        <v>51</v>
      </c>
      <c r="E424" s="310" t="s">
        <v>878</v>
      </c>
      <c r="F424" s="311">
        <v>9709943303</v>
      </c>
      <c r="G424" s="316" t="s">
        <v>6</v>
      </c>
      <c r="H424" s="316" t="s">
        <v>1649</v>
      </c>
      <c r="I424" s="316" t="s">
        <v>1650</v>
      </c>
      <c r="J424" s="310" t="s">
        <v>623</v>
      </c>
      <c r="K424" s="312">
        <v>28110</v>
      </c>
      <c r="L424" s="312">
        <v>48200</v>
      </c>
      <c r="M424" s="313">
        <f t="shared" si="39"/>
        <v>20090</v>
      </c>
      <c r="N424" s="314">
        <f t="shared" si="40"/>
        <v>0.416804979253112</v>
      </c>
      <c r="O424" s="312">
        <v>28110</v>
      </c>
      <c r="P424" s="313">
        <f t="shared" si="36"/>
        <v>0</v>
      </c>
      <c r="Q424" s="310" t="s">
        <v>147</v>
      </c>
      <c r="R424" s="310">
        <v>430</v>
      </c>
      <c r="S424" s="310"/>
      <c r="T424" s="308">
        <v>45730</v>
      </c>
      <c r="U424" s="308">
        <v>45730</v>
      </c>
      <c r="V424" s="308"/>
      <c r="W424" s="315">
        <f t="shared" si="41"/>
        <v>3</v>
      </c>
      <c r="X424" s="310" t="s">
        <v>54</v>
      </c>
      <c r="Y424" s="310" t="s">
        <v>2350</v>
      </c>
      <c r="Z424" s="316"/>
      <c r="AA424" s="316" t="s">
        <v>1694</v>
      </c>
      <c r="AB424" s="316" t="s">
        <v>1694</v>
      </c>
    </row>
    <row r="425" spans="1:28" x14ac:dyDescent="0.25">
      <c r="A425" s="307">
        <f t="shared" si="37"/>
        <v>419</v>
      </c>
      <c r="B425" s="308">
        <v>45727</v>
      </c>
      <c r="C425" s="309">
        <f t="shared" si="38"/>
        <v>45717</v>
      </c>
      <c r="D425" s="310" t="s">
        <v>56</v>
      </c>
      <c r="E425" s="310" t="s">
        <v>60</v>
      </c>
      <c r="F425" s="311">
        <v>9589264337</v>
      </c>
      <c r="G425" s="316" t="s">
        <v>6</v>
      </c>
      <c r="H425" s="316" t="s">
        <v>1651</v>
      </c>
      <c r="I425" s="316" t="s">
        <v>1652</v>
      </c>
      <c r="J425" s="310" t="s">
        <v>3730</v>
      </c>
      <c r="K425" s="312">
        <v>45170</v>
      </c>
      <c r="L425" s="312">
        <v>46620</v>
      </c>
      <c r="M425" s="313">
        <f t="shared" si="39"/>
        <v>1450</v>
      </c>
      <c r="N425" s="314">
        <f t="shared" si="40"/>
        <v>0.0311025311025311</v>
      </c>
      <c r="O425" s="312">
        <v>45170</v>
      </c>
      <c r="P425" s="313">
        <f t="shared" si="36"/>
        <v>0</v>
      </c>
      <c r="Q425" s="310" t="s">
        <v>147</v>
      </c>
      <c r="R425" s="310">
        <v>431</v>
      </c>
      <c r="S425" s="310"/>
      <c r="T425" s="308">
        <v>45731</v>
      </c>
      <c r="U425" s="308">
        <v>45731</v>
      </c>
      <c r="V425" s="308"/>
      <c r="W425" s="315">
        <f t="shared" si="41"/>
        <v>4</v>
      </c>
      <c r="X425" s="310" t="s">
        <v>54</v>
      </c>
      <c r="Y425" s="310" t="s">
        <v>56</v>
      </c>
      <c r="Z425" s="316"/>
      <c r="AA425" s="316" t="s">
        <v>1695</v>
      </c>
      <c r="AB425" s="316" t="s">
        <v>1695</v>
      </c>
    </row>
    <row r="426" spans="1:28" x14ac:dyDescent="0.25">
      <c r="A426" s="307">
        <f t="shared" si="37"/>
        <v>420</v>
      </c>
      <c r="B426" s="308">
        <v>45727</v>
      </c>
      <c r="C426" s="309">
        <f t="shared" si="38"/>
        <v>45717</v>
      </c>
      <c r="D426" s="310" t="s">
        <v>56</v>
      </c>
      <c r="E426" s="310" t="s">
        <v>38</v>
      </c>
      <c r="F426" s="311">
        <v>9515412075</v>
      </c>
      <c r="G426" s="316" t="s">
        <v>105</v>
      </c>
      <c r="H426" s="316" t="s">
        <v>26</v>
      </c>
      <c r="I426" s="316" t="s">
        <v>1683</v>
      </c>
      <c r="J426" s="310" t="s">
        <v>59</v>
      </c>
      <c r="K426" s="312">
        <v>51880</v>
      </c>
      <c r="L426" s="312">
        <v>91350</v>
      </c>
      <c r="M426" s="313">
        <f t="shared" si="39"/>
        <v>39470</v>
      </c>
      <c r="N426" s="314">
        <f t="shared" si="40"/>
        <v>0.432074438970991</v>
      </c>
      <c r="O426" s="312">
        <v>51880</v>
      </c>
      <c r="P426" s="313">
        <f t="shared" si="36"/>
        <v>0</v>
      </c>
      <c r="Q426" s="310" t="s">
        <v>147</v>
      </c>
      <c r="R426" s="310">
        <v>432</v>
      </c>
      <c r="S426" s="310"/>
      <c r="T426" s="308">
        <v>45730</v>
      </c>
      <c r="U426" s="308">
        <v>45730</v>
      </c>
      <c r="V426" s="308"/>
      <c r="W426" s="315">
        <f t="shared" si="41"/>
        <v>3</v>
      </c>
      <c r="X426" s="310" t="s">
        <v>54</v>
      </c>
      <c r="Y426" s="310" t="s">
        <v>56</v>
      </c>
      <c r="Z426" s="316"/>
      <c r="AA426" s="316" t="s">
        <v>1694</v>
      </c>
      <c r="AB426" s="316" t="s">
        <v>1694</v>
      </c>
    </row>
    <row r="427" spans="1:28" x14ac:dyDescent="0.25">
      <c r="A427" s="307">
        <f t="shared" si="37"/>
        <v>421</v>
      </c>
      <c r="B427" s="308">
        <v>45728</v>
      </c>
      <c r="C427" s="309">
        <f t="shared" si="38"/>
        <v>45717</v>
      </c>
      <c r="D427" s="310" t="s">
        <v>51</v>
      </c>
      <c r="E427" s="310" t="s">
        <v>1448</v>
      </c>
      <c r="F427" s="311">
        <v>9108592771</v>
      </c>
      <c r="G427" s="316" t="s">
        <v>6</v>
      </c>
      <c r="H427" s="316" t="s">
        <v>1653</v>
      </c>
      <c r="I427" s="316" t="s">
        <v>1654</v>
      </c>
      <c r="J427" s="310" t="s">
        <v>3730</v>
      </c>
      <c r="K427" s="312">
        <v>33770</v>
      </c>
      <c r="L427" s="312">
        <v>46620</v>
      </c>
      <c r="M427" s="313">
        <f t="shared" si="39"/>
        <v>12850</v>
      </c>
      <c r="N427" s="314">
        <f t="shared" si="40"/>
        <v>0.275632775632776</v>
      </c>
      <c r="O427" s="312">
        <v>33770</v>
      </c>
      <c r="P427" s="313">
        <f t="shared" si="36"/>
        <v>0</v>
      </c>
      <c r="Q427" s="310" t="s">
        <v>147</v>
      </c>
      <c r="R427" s="310">
        <v>433</v>
      </c>
      <c r="S427" s="310"/>
      <c r="T427" s="308">
        <v>45731</v>
      </c>
      <c r="U427" s="308">
        <v>45731</v>
      </c>
      <c r="V427" s="308"/>
      <c r="W427" s="315">
        <f t="shared" si="41"/>
        <v>3</v>
      </c>
      <c r="X427" s="310" t="s">
        <v>54</v>
      </c>
      <c r="Y427" s="310" t="s">
        <v>439</v>
      </c>
      <c r="Z427" s="316"/>
      <c r="AA427" s="316" t="s">
        <v>1695</v>
      </c>
      <c r="AB427" s="316" t="s">
        <v>1695</v>
      </c>
    </row>
    <row r="428" spans="1:28" x14ac:dyDescent="0.25">
      <c r="A428" s="307">
        <f t="shared" si="37"/>
        <v>422</v>
      </c>
      <c r="B428" s="308">
        <v>45729</v>
      </c>
      <c r="C428" s="309">
        <f t="shared" si="38"/>
        <v>45717</v>
      </c>
      <c r="D428" s="310" t="s">
        <v>56</v>
      </c>
      <c r="E428" s="310" t="s">
        <v>1635</v>
      </c>
      <c r="F428" s="311">
        <v>9472230553</v>
      </c>
      <c r="G428" s="316" t="s">
        <v>6</v>
      </c>
      <c r="H428" s="316" t="s">
        <v>1655</v>
      </c>
      <c r="I428" s="316" t="s">
        <v>1656</v>
      </c>
      <c r="J428" s="310" t="s">
        <v>3730</v>
      </c>
      <c r="K428" s="312">
        <v>46110</v>
      </c>
      <c r="L428" s="312">
        <v>52920</v>
      </c>
      <c r="M428" s="313">
        <f t="shared" si="39"/>
        <v>6810</v>
      </c>
      <c r="N428" s="314">
        <f t="shared" si="40"/>
        <v>0.128684807256236</v>
      </c>
      <c r="O428" s="312">
        <v>46110</v>
      </c>
      <c r="P428" s="313">
        <f t="shared" si="36"/>
        <v>0</v>
      </c>
      <c r="Q428" s="310" t="s">
        <v>147</v>
      </c>
      <c r="R428" s="310">
        <v>434</v>
      </c>
      <c r="S428" s="310"/>
      <c r="T428" s="308">
        <v>45733</v>
      </c>
      <c r="U428" s="308">
        <v>45733</v>
      </c>
      <c r="V428" s="308"/>
      <c r="W428" s="315">
        <f t="shared" si="41"/>
        <v>4</v>
      </c>
      <c r="X428" s="310" t="s">
        <v>54</v>
      </c>
      <c r="Y428" s="310" t="s">
        <v>56</v>
      </c>
      <c r="Z428" s="316"/>
      <c r="AA428" s="316" t="s">
        <v>1696</v>
      </c>
      <c r="AB428" s="316" t="s">
        <v>1696</v>
      </c>
    </row>
    <row r="429" spans="1:28" x14ac:dyDescent="0.25">
      <c r="A429" s="307">
        <f t="shared" si="37"/>
        <v>423</v>
      </c>
      <c r="B429" s="308">
        <v>45730</v>
      </c>
      <c r="C429" s="309">
        <f t="shared" si="38"/>
        <v>45717</v>
      </c>
      <c r="D429" s="310" t="s">
        <v>51</v>
      </c>
      <c r="E429" s="310" t="s">
        <v>1636</v>
      </c>
      <c r="F429" s="311">
        <v>9909957772</v>
      </c>
      <c r="G429" s="316" t="s">
        <v>1093</v>
      </c>
      <c r="H429" s="316" t="s">
        <v>26</v>
      </c>
      <c r="I429" s="316" t="s">
        <v>1657</v>
      </c>
      <c r="J429" s="310" t="s">
        <v>3730</v>
      </c>
      <c r="K429" s="312">
        <v>66940</v>
      </c>
      <c r="L429" s="312">
        <v>96390</v>
      </c>
      <c r="M429" s="313">
        <f t="shared" si="39"/>
        <v>29450</v>
      </c>
      <c r="N429" s="314">
        <f t="shared" si="40"/>
        <v>0.305529619255109</v>
      </c>
      <c r="O429" s="312">
        <v>66940</v>
      </c>
      <c r="P429" s="313">
        <f t="shared" si="36"/>
        <v>0</v>
      </c>
      <c r="Q429" s="310" t="s">
        <v>147</v>
      </c>
      <c r="R429" s="310">
        <v>435</v>
      </c>
      <c r="S429" s="310"/>
      <c r="T429" s="308">
        <v>45734</v>
      </c>
      <c r="U429" s="308">
        <v>45734</v>
      </c>
      <c r="V429" s="308"/>
      <c r="W429" s="315">
        <f t="shared" si="41"/>
        <v>4</v>
      </c>
      <c r="X429" s="310" t="s">
        <v>54</v>
      </c>
      <c r="Y429" s="310" t="s">
        <v>2350</v>
      </c>
      <c r="Z429" s="316"/>
      <c r="AA429" s="316" t="s">
        <v>1688</v>
      </c>
      <c r="AB429" s="316" t="s">
        <v>1688</v>
      </c>
    </row>
    <row r="430" spans="1:28" x14ac:dyDescent="0.25">
      <c r="A430" s="307">
        <f t="shared" si="37"/>
        <v>424</v>
      </c>
      <c r="B430" s="308">
        <v>45733</v>
      </c>
      <c r="C430" s="309">
        <f t="shared" si="38"/>
        <v>45717</v>
      </c>
      <c r="D430" s="310" t="s">
        <v>56</v>
      </c>
      <c r="E430" s="310" t="s">
        <v>60</v>
      </c>
      <c r="F430" s="311">
        <v>9589264337</v>
      </c>
      <c r="G430" s="316" t="s">
        <v>1093</v>
      </c>
      <c r="H430" s="316" t="s">
        <v>26</v>
      </c>
      <c r="I430" s="316" t="s">
        <v>1706</v>
      </c>
      <c r="J430" s="310" t="s">
        <v>3730</v>
      </c>
      <c r="K430" s="312">
        <v>52630</v>
      </c>
      <c r="L430" s="312">
        <v>96390</v>
      </c>
      <c r="M430" s="313">
        <f t="shared" si="39"/>
        <v>43760</v>
      </c>
      <c r="N430" s="314">
        <f t="shared" si="40"/>
        <v>0.453989003008611</v>
      </c>
      <c r="O430" s="312">
        <v>52630</v>
      </c>
      <c r="P430" s="313">
        <f t="shared" si="36"/>
        <v>0</v>
      </c>
      <c r="Q430" s="310" t="s">
        <v>147</v>
      </c>
      <c r="R430" s="310">
        <v>436</v>
      </c>
      <c r="S430" s="310"/>
      <c r="T430" s="308">
        <v>45736</v>
      </c>
      <c r="U430" s="308">
        <v>45736</v>
      </c>
      <c r="V430" s="308"/>
      <c r="W430" s="315">
        <f t="shared" si="41"/>
        <v>3</v>
      </c>
      <c r="X430" s="310" t="s">
        <v>54</v>
      </c>
      <c r="Y430" s="310" t="s">
        <v>56</v>
      </c>
      <c r="Z430" s="316"/>
      <c r="AA430" s="316" t="s">
        <v>1563</v>
      </c>
      <c r="AB430" s="316" t="s">
        <v>1563</v>
      </c>
    </row>
    <row r="431" spans="1:28" x14ac:dyDescent="0.25">
      <c r="A431" s="307">
        <f t="shared" si="37"/>
        <v>425</v>
      </c>
      <c r="B431" s="308">
        <v>45734</v>
      </c>
      <c r="C431" s="309">
        <f t="shared" si="38"/>
        <v>45717</v>
      </c>
      <c r="D431" s="310" t="s">
        <v>56</v>
      </c>
      <c r="E431" s="310" t="s">
        <v>1635</v>
      </c>
      <c r="F431" s="311">
        <v>9472230553</v>
      </c>
      <c r="G431" s="316" t="s">
        <v>1093</v>
      </c>
      <c r="H431" s="316" t="s">
        <v>26</v>
      </c>
      <c r="I431" s="316" t="s">
        <v>3763</v>
      </c>
      <c r="J431" s="310" t="s">
        <v>3730</v>
      </c>
      <c r="K431" s="312">
        <v>52630</v>
      </c>
      <c r="L431" s="312">
        <v>96390</v>
      </c>
      <c r="M431" s="313">
        <f t="shared" si="39"/>
        <v>43760</v>
      </c>
      <c r="N431" s="314">
        <f t="shared" si="40"/>
        <v>0.453989003008611</v>
      </c>
      <c r="O431" s="312">
        <v>52630</v>
      </c>
      <c r="P431" s="313">
        <f t="shared" si="36"/>
        <v>0</v>
      </c>
      <c r="Q431" s="310" t="s">
        <v>147</v>
      </c>
      <c r="R431" s="310">
        <v>437</v>
      </c>
      <c r="S431" s="310"/>
      <c r="T431" s="308">
        <v>45737</v>
      </c>
      <c r="U431" s="308">
        <v>45737</v>
      </c>
      <c r="V431" s="308"/>
      <c r="W431" s="315">
        <f t="shared" si="41"/>
        <v>3</v>
      </c>
      <c r="X431" s="310" t="s">
        <v>54</v>
      </c>
      <c r="Y431" s="310" t="s">
        <v>56</v>
      </c>
      <c r="Z431" s="316"/>
      <c r="AA431" s="316" t="s">
        <v>1564</v>
      </c>
      <c r="AB431" s="316" t="s">
        <v>1564</v>
      </c>
    </row>
    <row r="432" spans="1:28" x14ac:dyDescent="0.25">
      <c r="A432" s="307">
        <f t="shared" si="37"/>
        <v>426</v>
      </c>
      <c r="B432" s="308">
        <v>45734</v>
      </c>
      <c r="C432" s="309">
        <f t="shared" si="38"/>
        <v>45717</v>
      </c>
      <c r="D432" s="310" t="s">
        <v>56</v>
      </c>
      <c r="E432" s="310" t="s">
        <v>1637</v>
      </c>
      <c r="F432" s="311">
        <v>9025368773</v>
      </c>
      <c r="G432" s="316" t="s">
        <v>6</v>
      </c>
      <c r="H432" s="316" t="s">
        <v>1658</v>
      </c>
      <c r="I432" s="316" t="s">
        <v>1659</v>
      </c>
      <c r="J432" s="310" t="s">
        <v>3730</v>
      </c>
      <c r="K432" s="312">
        <v>45170</v>
      </c>
      <c r="L432" s="312">
        <v>46620</v>
      </c>
      <c r="M432" s="313">
        <f t="shared" si="39"/>
        <v>1450</v>
      </c>
      <c r="N432" s="314">
        <f t="shared" si="40"/>
        <v>0.0311025311025311</v>
      </c>
      <c r="O432" s="312">
        <v>45170</v>
      </c>
      <c r="P432" s="313">
        <f t="shared" si="36"/>
        <v>0</v>
      </c>
      <c r="Q432" s="310" t="s">
        <v>147</v>
      </c>
      <c r="R432" s="310">
        <v>438</v>
      </c>
      <c r="S432" s="310"/>
      <c r="T432" s="308">
        <v>45737</v>
      </c>
      <c r="U432" s="308">
        <v>45737</v>
      </c>
      <c r="V432" s="308"/>
      <c r="W432" s="315">
        <f t="shared" si="41"/>
        <v>3</v>
      </c>
      <c r="X432" s="310" t="s">
        <v>54</v>
      </c>
      <c r="Y432" s="310" t="s">
        <v>56</v>
      </c>
      <c r="Z432" s="316"/>
      <c r="AA432" s="316" t="s">
        <v>1564</v>
      </c>
      <c r="AB432" s="316" t="s">
        <v>1564</v>
      </c>
    </row>
    <row r="433" spans="1:28" x14ac:dyDescent="0.25">
      <c r="A433" s="307">
        <f t="shared" si="37"/>
        <v>427</v>
      </c>
      <c r="B433" s="308">
        <v>45735</v>
      </c>
      <c r="C433" s="309">
        <f t="shared" si="38"/>
        <v>45717</v>
      </c>
      <c r="D433" s="310" t="s">
        <v>56</v>
      </c>
      <c r="E433" s="310" t="s">
        <v>38</v>
      </c>
      <c r="F433" s="311">
        <v>9515412075</v>
      </c>
      <c r="G433" s="316" t="s">
        <v>6</v>
      </c>
      <c r="H433" s="316" t="s">
        <v>1660</v>
      </c>
      <c r="I433" s="316" t="s">
        <v>1661</v>
      </c>
      <c r="J433" s="310" t="s">
        <v>59</v>
      </c>
      <c r="K433" s="312">
        <v>44930</v>
      </c>
      <c r="L433" s="312">
        <v>45040</v>
      </c>
      <c r="M433" s="313">
        <f t="shared" si="39"/>
        <v>110</v>
      </c>
      <c r="N433" s="314">
        <f t="shared" si="40"/>
        <v>0.00244227353463588</v>
      </c>
      <c r="O433" s="312">
        <v>44930</v>
      </c>
      <c r="P433" s="313">
        <f t="shared" si="36"/>
        <v>0</v>
      </c>
      <c r="Q433" s="310" t="s">
        <v>147</v>
      </c>
      <c r="R433" s="310">
        <v>439</v>
      </c>
      <c r="S433" s="310"/>
      <c r="T433" s="308">
        <v>45738</v>
      </c>
      <c r="U433" s="308">
        <v>45738</v>
      </c>
      <c r="V433" s="308"/>
      <c r="W433" s="315">
        <f t="shared" si="41"/>
        <v>3</v>
      </c>
      <c r="X433" s="310" t="s">
        <v>54</v>
      </c>
      <c r="Y433" s="310" t="s">
        <v>56</v>
      </c>
      <c r="Z433" s="316"/>
      <c r="AA433" s="316" t="s">
        <v>1693</v>
      </c>
      <c r="AB433" s="316" t="s">
        <v>1693</v>
      </c>
    </row>
    <row r="434" spans="1:28" x14ac:dyDescent="0.25">
      <c r="A434" s="307">
        <f t="shared" si="37"/>
        <v>428</v>
      </c>
      <c r="B434" s="308">
        <v>45735</v>
      </c>
      <c r="C434" s="309">
        <f t="shared" si="38"/>
        <v>45717</v>
      </c>
      <c r="D434" s="310" t="s">
        <v>51</v>
      </c>
      <c r="E434" s="310" t="s">
        <v>1638</v>
      </c>
      <c r="F434" s="311">
        <v>9715948483</v>
      </c>
      <c r="G434" s="316" t="s">
        <v>6</v>
      </c>
      <c r="H434" s="316" t="s">
        <v>26</v>
      </c>
      <c r="I434" s="316" t="s">
        <v>1662</v>
      </c>
      <c r="J434" s="310" t="s">
        <v>3730</v>
      </c>
      <c r="K434" s="312">
        <v>32290</v>
      </c>
      <c r="L434" s="312">
        <v>40320</v>
      </c>
      <c r="M434" s="313">
        <f t="shared" si="39"/>
        <v>8030</v>
      </c>
      <c r="N434" s="314">
        <f t="shared" si="40"/>
        <v>0.199156746031746</v>
      </c>
      <c r="O434" s="312">
        <v>32290</v>
      </c>
      <c r="P434" s="313">
        <f t="shared" si="36"/>
        <v>0</v>
      </c>
      <c r="Q434" s="310" t="s">
        <v>147</v>
      </c>
      <c r="R434" s="310">
        <v>440</v>
      </c>
      <c r="S434" s="310"/>
      <c r="T434" s="308">
        <v>45738</v>
      </c>
      <c r="U434" s="308">
        <v>45738</v>
      </c>
      <c r="V434" s="308"/>
      <c r="W434" s="315">
        <f t="shared" si="41"/>
        <v>3</v>
      </c>
      <c r="X434" s="310" t="s">
        <v>54</v>
      </c>
      <c r="Y434" s="310" t="s">
        <v>529</v>
      </c>
      <c r="Z434" s="316"/>
      <c r="AA434" s="316" t="s">
        <v>1693</v>
      </c>
      <c r="AB434" s="316" t="s">
        <v>1693</v>
      </c>
    </row>
    <row r="435" spans="1:28" x14ac:dyDescent="0.25">
      <c r="A435" s="307">
        <f t="shared" si="37"/>
        <v>429</v>
      </c>
      <c r="B435" s="308">
        <v>45736</v>
      </c>
      <c r="C435" s="309">
        <f t="shared" si="38"/>
        <v>45717</v>
      </c>
      <c r="D435" s="310" t="s">
        <v>56</v>
      </c>
      <c r="E435" s="310" t="s">
        <v>60</v>
      </c>
      <c r="F435" s="311">
        <v>9589264337</v>
      </c>
      <c r="G435" s="316" t="s">
        <v>6</v>
      </c>
      <c r="H435" s="316" t="s">
        <v>1663</v>
      </c>
      <c r="I435" s="316" t="s">
        <v>1664</v>
      </c>
      <c r="J435" s="310" t="s">
        <v>3730</v>
      </c>
      <c r="K435" s="312">
        <v>46110</v>
      </c>
      <c r="L435" s="312">
        <v>52920</v>
      </c>
      <c r="M435" s="313">
        <f t="shared" si="39"/>
        <v>6810</v>
      </c>
      <c r="N435" s="314">
        <f t="shared" si="40"/>
        <v>0.128684807256236</v>
      </c>
      <c r="O435" s="312">
        <v>46110</v>
      </c>
      <c r="P435" s="313">
        <f t="shared" si="36"/>
        <v>0</v>
      </c>
      <c r="Q435" s="310" t="s">
        <v>147</v>
      </c>
      <c r="R435" s="310">
        <v>441</v>
      </c>
      <c r="S435" s="310"/>
      <c r="T435" s="308">
        <v>45740</v>
      </c>
      <c r="U435" s="308">
        <v>45740</v>
      </c>
      <c r="V435" s="308"/>
      <c r="W435" s="315">
        <f t="shared" si="41"/>
        <v>4</v>
      </c>
      <c r="X435" s="310" t="s">
        <v>54</v>
      </c>
      <c r="Y435" s="310" t="s">
        <v>56</v>
      </c>
      <c r="Z435" s="316"/>
      <c r="AA435" s="316" t="s">
        <v>1697</v>
      </c>
      <c r="AB435" s="316" t="s">
        <v>1697</v>
      </c>
    </row>
    <row r="436" spans="1:28" x14ac:dyDescent="0.25">
      <c r="A436" s="307">
        <f t="shared" si="37"/>
        <v>430</v>
      </c>
      <c r="B436" s="308">
        <v>45737</v>
      </c>
      <c r="C436" s="309">
        <f t="shared" si="38"/>
        <v>45717</v>
      </c>
      <c r="D436" s="310" t="s">
        <v>51</v>
      </c>
      <c r="E436" s="310" t="s">
        <v>1639</v>
      </c>
      <c r="F436" s="311">
        <v>9947564191</v>
      </c>
      <c r="G436" s="316" t="s">
        <v>6</v>
      </c>
      <c r="H436" s="316" t="s">
        <v>1665</v>
      </c>
      <c r="I436" s="316" t="s">
        <v>1666</v>
      </c>
      <c r="J436" s="310" t="s">
        <v>623</v>
      </c>
      <c r="K436" s="312">
        <v>28240</v>
      </c>
      <c r="L436" s="312">
        <v>41900</v>
      </c>
      <c r="M436" s="313">
        <f t="shared" si="39"/>
        <v>13660</v>
      </c>
      <c r="N436" s="314">
        <f t="shared" si="40"/>
        <v>0.326014319809069</v>
      </c>
      <c r="O436" s="312">
        <v>28240</v>
      </c>
      <c r="P436" s="313">
        <f t="shared" si="36"/>
        <v>0</v>
      </c>
      <c r="Q436" s="310" t="s">
        <v>147</v>
      </c>
      <c r="R436" s="310">
        <v>442</v>
      </c>
      <c r="S436" s="310"/>
      <c r="T436" s="308">
        <v>45741</v>
      </c>
      <c r="U436" s="308">
        <v>45741</v>
      </c>
      <c r="V436" s="308"/>
      <c r="W436" s="315">
        <f t="shared" si="41"/>
        <v>4</v>
      </c>
      <c r="X436" s="310" t="s">
        <v>54</v>
      </c>
      <c r="Y436" s="310" t="s">
        <v>529</v>
      </c>
      <c r="Z436" s="316"/>
      <c r="AA436" s="316" t="s">
        <v>1698</v>
      </c>
      <c r="AB436" s="316" t="s">
        <v>1698</v>
      </c>
    </row>
    <row r="437" spans="1:28" x14ac:dyDescent="0.25">
      <c r="A437" s="307">
        <f t="shared" si="37"/>
        <v>431</v>
      </c>
      <c r="B437" s="308">
        <v>45737</v>
      </c>
      <c r="C437" s="309">
        <f t="shared" si="38"/>
        <v>45717</v>
      </c>
      <c r="D437" s="310" t="s">
        <v>51</v>
      </c>
      <c r="E437" s="310" t="s">
        <v>1640</v>
      </c>
      <c r="F437" s="311">
        <v>9420671345</v>
      </c>
      <c r="G437" s="316" t="s">
        <v>6</v>
      </c>
      <c r="H437" s="316" t="s">
        <v>26</v>
      </c>
      <c r="I437" s="316" t="s">
        <v>1667</v>
      </c>
      <c r="J437" s="310" t="s">
        <v>59</v>
      </c>
      <c r="K437" s="312">
        <v>29370</v>
      </c>
      <c r="L437" s="312">
        <v>38740</v>
      </c>
      <c r="M437" s="313">
        <f t="shared" si="39"/>
        <v>9370</v>
      </c>
      <c r="N437" s="314">
        <f t="shared" si="40"/>
        <v>0.241868869385648</v>
      </c>
      <c r="O437" s="312">
        <v>29370</v>
      </c>
      <c r="P437" s="313">
        <f t="shared" si="36"/>
        <v>0</v>
      </c>
      <c r="Q437" s="310" t="s">
        <v>147</v>
      </c>
      <c r="R437" s="310">
        <v>443</v>
      </c>
      <c r="S437" s="310"/>
      <c r="T437" s="308">
        <v>45740</v>
      </c>
      <c r="U437" s="308">
        <v>45740</v>
      </c>
      <c r="V437" s="308"/>
      <c r="W437" s="315">
        <f t="shared" si="41"/>
        <v>3</v>
      </c>
      <c r="X437" s="310" t="s">
        <v>54</v>
      </c>
      <c r="Y437" s="310" t="s">
        <v>529</v>
      </c>
      <c r="Z437" s="316"/>
      <c r="AA437" s="316" t="s">
        <v>1697</v>
      </c>
      <c r="AB437" s="316" t="s">
        <v>1697</v>
      </c>
    </row>
    <row r="438" spans="1:28" x14ac:dyDescent="0.25">
      <c r="A438" s="307">
        <f t="shared" si="37"/>
        <v>432</v>
      </c>
      <c r="B438" s="308">
        <v>45738</v>
      </c>
      <c r="C438" s="309">
        <f t="shared" si="38"/>
        <v>45717</v>
      </c>
      <c r="D438" s="310" t="s">
        <v>56</v>
      </c>
      <c r="E438" s="310" t="s">
        <v>1635</v>
      </c>
      <c r="F438" s="311">
        <v>9472230553</v>
      </c>
      <c r="G438" s="316" t="s">
        <v>6</v>
      </c>
      <c r="H438" s="316" t="s">
        <v>1668</v>
      </c>
      <c r="I438" s="316" t="s">
        <v>1669</v>
      </c>
      <c r="J438" s="310" t="s">
        <v>3730</v>
      </c>
      <c r="K438" s="312">
        <v>46110</v>
      </c>
      <c r="L438" s="312">
        <v>52920</v>
      </c>
      <c r="M438" s="313">
        <f t="shared" si="39"/>
        <v>6810</v>
      </c>
      <c r="N438" s="314">
        <f t="shared" si="40"/>
        <v>0.128684807256236</v>
      </c>
      <c r="O438" s="312">
        <v>46110</v>
      </c>
      <c r="P438" s="313">
        <f t="shared" si="36"/>
        <v>0</v>
      </c>
      <c r="Q438" s="310" t="s">
        <v>147</v>
      </c>
      <c r="R438" s="310">
        <v>444</v>
      </c>
      <c r="S438" s="310"/>
      <c r="T438" s="308">
        <v>45741</v>
      </c>
      <c r="U438" s="308">
        <v>45741</v>
      </c>
      <c r="V438" s="308"/>
      <c r="W438" s="315">
        <f t="shared" si="41"/>
        <v>3</v>
      </c>
      <c r="X438" s="310" t="s">
        <v>54</v>
      </c>
      <c r="Y438" s="310" t="s">
        <v>56</v>
      </c>
      <c r="Z438" s="316"/>
      <c r="AA438" s="316" t="s">
        <v>1698</v>
      </c>
      <c r="AB438" s="316" t="s">
        <v>1698</v>
      </c>
    </row>
    <row r="439" spans="1:28" x14ac:dyDescent="0.25">
      <c r="A439" s="307">
        <f t="shared" si="37"/>
        <v>433</v>
      </c>
      <c r="B439" s="308">
        <v>45738</v>
      </c>
      <c r="C439" s="309">
        <f t="shared" si="38"/>
        <v>45717</v>
      </c>
      <c r="D439" s="310" t="s">
        <v>56</v>
      </c>
      <c r="E439" s="310" t="s">
        <v>1637</v>
      </c>
      <c r="F439" s="311">
        <v>9025368773</v>
      </c>
      <c r="G439" s="316" t="s">
        <v>1093</v>
      </c>
      <c r="H439" s="316" t="s">
        <v>26</v>
      </c>
      <c r="I439" s="316" t="s">
        <v>3764</v>
      </c>
      <c r="J439" s="310" t="s">
        <v>3730</v>
      </c>
      <c r="K439" s="312">
        <v>52630</v>
      </c>
      <c r="L439" s="312">
        <v>96390</v>
      </c>
      <c r="M439" s="313">
        <f t="shared" si="39"/>
        <v>43760</v>
      </c>
      <c r="N439" s="314">
        <f t="shared" si="40"/>
        <v>0.453989003008611</v>
      </c>
      <c r="O439" s="312">
        <v>52630</v>
      </c>
      <c r="P439" s="313">
        <f t="shared" si="36"/>
        <v>0</v>
      </c>
      <c r="Q439" s="310" t="s">
        <v>147</v>
      </c>
      <c r="R439" s="310">
        <v>445</v>
      </c>
      <c r="S439" s="310"/>
      <c r="T439" s="308">
        <v>45742</v>
      </c>
      <c r="U439" s="308">
        <v>45742</v>
      </c>
      <c r="V439" s="308"/>
      <c r="W439" s="315">
        <f t="shared" si="41"/>
        <v>4</v>
      </c>
      <c r="X439" s="310" t="s">
        <v>54</v>
      </c>
      <c r="Y439" s="310" t="s">
        <v>56</v>
      </c>
      <c r="Z439" s="316"/>
      <c r="AA439" s="316" t="s">
        <v>1699</v>
      </c>
      <c r="AB439" s="316" t="s">
        <v>1699</v>
      </c>
    </row>
    <row r="440" spans="1:28" x14ac:dyDescent="0.25">
      <c r="A440" s="307">
        <f t="shared" si="37"/>
        <v>434</v>
      </c>
      <c r="B440" s="308">
        <v>45740</v>
      </c>
      <c r="C440" s="309">
        <f t="shared" si="38"/>
        <v>45717</v>
      </c>
      <c r="D440" s="310" t="s">
        <v>51</v>
      </c>
      <c r="E440" s="310" t="s">
        <v>547</v>
      </c>
      <c r="F440" s="311">
        <v>9674193351</v>
      </c>
      <c r="G440" s="316" t="s">
        <v>6</v>
      </c>
      <c r="H440" s="316" t="s">
        <v>26</v>
      </c>
      <c r="I440" s="316" t="s">
        <v>1670</v>
      </c>
      <c r="J440" s="310" t="s">
        <v>168</v>
      </c>
      <c r="K440" s="312">
        <v>25690</v>
      </c>
      <c r="L440" s="312">
        <v>35600</v>
      </c>
      <c r="M440" s="313">
        <f t="shared" si="39"/>
        <v>9910</v>
      </c>
      <c r="N440" s="314">
        <f t="shared" si="40"/>
        <v>0.278370786516854</v>
      </c>
      <c r="O440" s="312">
        <v>25690</v>
      </c>
      <c r="P440" s="313">
        <f t="shared" si="36"/>
        <v>0</v>
      </c>
      <c r="Q440" s="310" t="s">
        <v>147</v>
      </c>
      <c r="R440" s="310">
        <v>446</v>
      </c>
      <c r="S440" s="310"/>
      <c r="T440" s="308">
        <v>45743</v>
      </c>
      <c r="U440" s="308">
        <v>45743</v>
      </c>
      <c r="V440" s="308"/>
      <c r="W440" s="315">
        <f t="shared" si="41"/>
        <v>3</v>
      </c>
      <c r="X440" s="310" t="s">
        <v>54</v>
      </c>
      <c r="Y440" s="310" t="s">
        <v>439</v>
      </c>
      <c r="Z440" s="316"/>
      <c r="AA440" s="316" t="s">
        <v>1568</v>
      </c>
      <c r="AB440" s="316" t="s">
        <v>1568</v>
      </c>
    </row>
    <row r="441" spans="1:28" x14ac:dyDescent="0.25">
      <c r="A441" s="307">
        <f t="shared" si="37"/>
        <v>435</v>
      </c>
      <c r="B441" s="308">
        <v>45740</v>
      </c>
      <c r="C441" s="309">
        <f t="shared" si="38"/>
        <v>45717</v>
      </c>
      <c r="D441" s="310" t="s">
        <v>56</v>
      </c>
      <c r="E441" s="310" t="s">
        <v>1641</v>
      </c>
      <c r="F441" s="311">
        <v>9281983602</v>
      </c>
      <c r="G441" s="316" t="s">
        <v>6</v>
      </c>
      <c r="H441" s="316" t="s">
        <v>1671</v>
      </c>
      <c r="I441" s="316" t="s">
        <v>1672</v>
      </c>
      <c r="J441" s="310" t="s">
        <v>3730</v>
      </c>
      <c r="K441" s="312">
        <v>39120</v>
      </c>
      <c r="L441" s="312">
        <v>46620</v>
      </c>
      <c r="M441" s="313">
        <f t="shared" si="39"/>
        <v>7500</v>
      </c>
      <c r="N441" s="314">
        <f t="shared" si="40"/>
        <v>0.160875160875161</v>
      </c>
      <c r="O441" s="312">
        <v>39120</v>
      </c>
      <c r="P441" s="313">
        <f t="shared" si="36"/>
        <v>0</v>
      </c>
      <c r="Q441" s="310" t="s">
        <v>147</v>
      </c>
      <c r="R441" s="310">
        <v>447</v>
      </c>
      <c r="S441" s="310"/>
      <c r="T441" s="308">
        <v>45743</v>
      </c>
      <c r="U441" s="308">
        <v>45743</v>
      </c>
      <c r="V441" s="308"/>
      <c r="W441" s="315">
        <f t="shared" si="41"/>
        <v>3</v>
      </c>
      <c r="X441" s="310" t="s">
        <v>54</v>
      </c>
      <c r="Y441" s="310" t="s">
        <v>56</v>
      </c>
      <c r="Z441" s="316"/>
      <c r="AA441" s="316" t="s">
        <v>1568</v>
      </c>
      <c r="AB441" s="316" t="s">
        <v>1568</v>
      </c>
    </row>
    <row r="442" spans="1:28" x14ac:dyDescent="0.25">
      <c r="A442" s="307">
        <f t="shared" si="37"/>
        <v>436</v>
      </c>
      <c r="B442" s="308">
        <v>45741</v>
      </c>
      <c r="C442" s="309">
        <f t="shared" si="38"/>
        <v>45717</v>
      </c>
      <c r="D442" s="310" t="s">
        <v>56</v>
      </c>
      <c r="E442" s="310" t="s">
        <v>38</v>
      </c>
      <c r="F442" s="311">
        <v>9515412075</v>
      </c>
      <c r="G442" s="316" t="s">
        <v>1093</v>
      </c>
      <c r="H442" s="316" t="s">
        <v>26</v>
      </c>
      <c r="I442" s="316" t="s">
        <v>1684</v>
      </c>
      <c r="J442" s="310" t="s">
        <v>59</v>
      </c>
      <c r="K442" s="312">
        <v>51880</v>
      </c>
      <c r="L442" s="312">
        <v>91350</v>
      </c>
      <c r="M442" s="313">
        <f t="shared" si="39"/>
        <v>39470</v>
      </c>
      <c r="N442" s="314">
        <f t="shared" si="40"/>
        <v>0.432074438970991</v>
      </c>
      <c r="O442" s="312">
        <v>51880</v>
      </c>
      <c r="P442" s="313">
        <f t="shared" si="36"/>
        <v>0</v>
      </c>
      <c r="Q442" s="310" t="s">
        <v>147</v>
      </c>
      <c r="R442" s="310">
        <v>448</v>
      </c>
      <c r="S442" s="310"/>
      <c r="T442" s="308">
        <v>45743</v>
      </c>
      <c r="U442" s="308">
        <v>45743</v>
      </c>
      <c r="V442" s="308"/>
      <c r="W442" s="315">
        <f t="shared" si="41"/>
        <v>2</v>
      </c>
      <c r="X442" s="310" t="s">
        <v>54</v>
      </c>
      <c r="Y442" s="310" t="s">
        <v>56</v>
      </c>
      <c r="Z442" s="316"/>
      <c r="AA442" s="316" t="s">
        <v>1568</v>
      </c>
      <c r="AB442" s="316" t="s">
        <v>1568</v>
      </c>
    </row>
    <row r="443" spans="1:28" x14ac:dyDescent="0.25">
      <c r="A443" s="307">
        <f t="shared" si="37"/>
        <v>437</v>
      </c>
      <c r="B443" s="308">
        <v>45742</v>
      </c>
      <c r="C443" s="309">
        <f t="shared" si="38"/>
        <v>45717</v>
      </c>
      <c r="D443" s="310" t="s">
        <v>56</v>
      </c>
      <c r="E443" s="310" t="s">
        <v>1637</v>
      </c>
      <c r="F443" s="311">
        <v>9025368773</v>
      </c>
      <c r="G443" s="316" t="s">
        <v>6</v>
      </c>
      <c r="H443" s="316" t="s">
        <v>1673</v>
      </c>
      <c r="I443" s="316" t="s">
        <v>1674</v>
      </c>
      <c r="J443" s="310" t="s">
        <v>3730</v>
      </c>
      <c r="K443" s="312">
        <v>40070</v>
      </c>
      <c r="L443" s="312">
        <v>52920</v>
      </c>
      <c r="M443" s="313">
        <f t="shared" si="39"/>
        <v>12850</v>
      </c>
      <c r="N443" s="314">
        <f t="shared" si="40"/>
        <v>0.242819349962207</v>
      </c>
      <c r="O443" s="312">
        <v>40070</v>
      </c>
      <c r="P443" s="313">
        <f t="shared" si="36"/>
        <v>0</v>
      </c>
      <c r="Q443" s="310" t="s">
        <v>147</v>
      </c>
      <c r="R443" s="310">
        <v>449</v>
      </c>
      <c r="S443" s="310"/>
      <c r="T443" s="308">
        <v>45745</v>
      </c>
      <c r="U443" s="308">
        <v>45745</v>
      </c>
      <c r="V443" s="308"/>
      <c r="W443" s="315">
        <f t="shared" si="41"/>
        <v>3</v>
      </c>
      <c r="X443" s="310" t="s">
        <v>54</v>
      </c>
      <c r="Y443" s="310" t="s">
        <v>56</v>
      </c>
      <c r="Z443" s="316"/>
      <c r="AA443" s="316" t="s">
        <v>1690</v>
      </c>
      <c r="AB443" s="316" t="s">
        <v>1690</v>
      </c>
    </row>
    <row r="444" spans="1:28" x14ac:dyDescent="0.25">
      <c r="A444" s="307">
        <f t="shared" si="37"/>
        <v>438</v>
      </c>
      <c r="B444" s="308">
        <v>45742</v>
      </c>
      <c r="C444" s="309">
        <f t="shared" si="38"/>
        <v>45717</v>
      </c>
      <c r="D444" s="310" t="s">
        <v>51</v>
      </c>
      <c r="E444" s="310" t="s">
        <v>1642</v>
      </c>
      <c r="F444" s="311">
        <v>9219784442</v>
      </c>
      <c r="G444" s="316" t="s">
        <v>6</v>
      </c>
      <c r="H444" s="316" t="s">
        <v>26</v>
      </c>
      <c r="I444" s="316" t="s">
        <v>1675</v>
      </c>
      <c r="J444" s="310" t="s">
        <v>59</v>
      </c>
      <c r="K444" s="312">
        <v>28840</v>
      </c>
      <c r="L444" s="312">
        <v>38740</v>
      </c>
      <c r="M444" s="313">
        <f t="shared" si="39"/>
        <v>9900</v>
      </c>
      <c r="N444" s="314">
        <f t="shared" si="40"/>
        <v>0.255549819308209</v>
      </c>
      <c r="O444" s="312">
        <v>28840</v>
      </c>
      <c r="P444" s="313">
        <f t="shared" si="36"/>
        <v>0</v>
      </c>
      <c r="Q444" s="310" t="s">
        <v>147</v>
      </c>
      <c r="R444" s="310">
        <v>450</v>
      </c>
      <c r="S444" s="310"/>
      <c r="T444" s="308">
        <v>45745</v>
      </c>
      <c r="U444" s="308">
        <v>45745</v>
      </c>
      <c r="V444" s="308"/>
      <c r="W444" s="315">
        <f t="shared" si="41"/>
        <v>3</v>
      </c>
      <c r="X444" s="310" t="s">
        <v>54</v>
      </c>
      <c r="Y444" s="310" t="s">
        <v>439</v>
      </c>
      <c r="Z444" s="316"/>
      <c r="AA444" s="316" t="s">
        <v>1690</v>
      </c>
      <c r="AB444" s="316" t="s">
        <v>1690</v>
      </c>
    </row>
    <row r="445" spans="1:28" x14ac:dyDescent="0.25">
      <c r="A445" s="307">
        <f t="shared" si="37"/>
        <v>439</v>
      </c>
      <c r="B445" s="308">
        <v>45743</v>
      </c>
      <c r="C445" s="309">
        <f t="shared" si="38"/>
        <v>45717</v>
      </c>
      <c r="D445" s="310" t="s">
        <v>56</v>
      </c>
      <c r="E445" s="310" t="s">
        <v>38</v>
      </c>
      <c r="F445" s="311">
        <v>9515412075</v>
      </c>
      <c r="G445" s="316" t="s">
        <v>6</v>
      </c>
      <c r="H445" s="316" t="s">
        <v>1676</v>
      </c>
      <c r="I445" s="316" t="s">
        <v>1677</v>
      </c>
      <c r="J445" s="310" t="s">
        <v>59</v>
      </c>
      <c r="K445" s="312">
        <v>44930</v>
      </c>
      <c r="L445" s="312">
        <v>45040</v>
      </c>
      <c r="M445" s="313">
        <f t="shared" si="39"/>
        <v>110</v>
      </c>
      <c r="N445" s="314">
        <f t="shared" si="40"/>
        <v>0.00244227353463588</v>
      </c>
      <c r="O445" s="312">
        <v>44930</v>
      </c>
      <c r="P445" s="313">
        <f t="shared" si="36"/>
        <v>0</v>
      </c>
      <c r="Q445" s="310" t="s">
        <v>147</v>
      </c>
      <c r="R445" s="310">
        <v>451</v>
      </c>
      <c r="S445" s="310"/>
      <c r="T445" s="308">
        <v>45746</v>
      </c>
      <c r="U445" s="308">
        <v>45746</v>
      </c>
      <c r="V445" s="308"/>
      <c r="W445" s="315">
        <f t="shared" si="41"/>
        <v>3</v>
      </c>
      <c r="X445" s="310" t="s">
        <v>54</v>
      </c>
      <c r="Y445" s="310" t="s">
        <v>56</v>
      </c>
      <c r="Z445" s="316"/>
      <c r="AA445" s="316" t="s">
        <v>1700</v>
      </c>
      <c r="AB445" s="316" t="s">
        <v>1700</v>
      </c>
    </row>
    <row r="446" spans="1:28" x14ac:dyDescent="0.25">
      <c r="A446" s="307">
        <f t="shared" si="37"/>
        <v>440</v>
      </c>
      <c r="B446" s="308">
        <v>45743</v>
      </c>
      <c r="C446" s="309">
        <f t="shared" si="38"/>
        <v>45717</v>
      </c>
      <c r="D446" s="310" t="s">
        <v>56</v>
      </c>
      <c r="E446" s="310" t="s">
        <v>60</v>
      </c>
      <c r="F446" s="311">
        <v>9589264337</v>
      </c>
      <c r="G446" s="316" t="s">
        <v>1093</v>
      </c>
      <c r="H446" s="316" t="s">
        <v>26</v>
      </c>
      <c r="I446" s="316" t="s">
        <v>1707</v>
      </c>
      <c r="J446" s="310" t="s">
        <v>172</v>
      </c>
      <c r="K446" s="312">
        <v>52630</v>
      </c>
      <c r="L446" s="312">
        <v>96390</v>
      </c>
      <c r="M446" s="313">
        <f t="shared" si="39"/>
        <v>43760</v>
      </c>
      <c r="N446" s="314">
        <f t="shared" si="40"/>
        <v>0.453989003008611</v>
      </c>
      <c r="O446" s="312">
        <v>52630</v>
      </c>
      <c r="P446" s="313">
        <f t="shared" si="36"/>
        <v>0</v>
      </c>
      <c r="Q446" s="310" t="s">
        <v>147</v>
      </c>
      <c r="R446" s="310">
        <v>452</v>
      </c>
      <c r="S446" s="310"/>
      <c r="T446" s="308">
        <v>45746</v>
      </c>
      <c r="U446" s="308">
        <v>45746</v>
      </c>
      <c r="V446" s="308"/>
      <c r="W446" s="315">
        <f t="shared" si="41"/>
        <v>3</v>
      </c>
      <c r="X446" s="310" t="s">
        <v>54</v>
      </c>
      <c r="Y446" s="310" t="s">
        <v>56</v>
      </c>
      <c r="Z446" s="316"/>
      <c r="AA446" s="316" t="s">
        <v>1700</v>
      </c>
      <c r="AB446" s="316" t="s">
        <v>1700</v>
      </c>
    </row>
    <row r="447" spans="1:28" x14ac:dyDescent="0.25">
      <c r="A447" s="307">
        <f t="shared" si="37"/>
        <v>441</v>
      </c>
      <c r="B447" s="308">
        <v>45743</v>
      </c>
      <c r="C447" s="309">
        <f t="shared" si="38"/>
        <v>45717</v>
      </c>
      <c r="D447" s="310" t="s">
        <v>51</v>
      </c>
      <c r="E447" s="310" t="s">
        <v>2334</v>
      </c>
      <c r="F447" s="311"/>
      <c r="G447" s="316" t="s">
        <v>6</v>
      </c>
      <c r="H447" s="316" t="s">
        <v>26</v>
      </c>
      <c r="I447" s="316" t="s">
        <v>1735</v>
      </c>
      <c r="J447" s="310" t="s">
        <v>381</v>
      </c>
      <c r="K447" s="312">
        <v>14480</v>
      </c>
      <c r="L447" s="312">
        <v>16560</v>
      </c>
      <c r="M447" s="313">
        <f t="shared" si="39"/>
        <v>2080</v>
      </c>
      <c r="N447" s="314">
        <f t="shared" si="40"/>
        <v>0.1256038647343</v>
      </c>
      <c r="O447" s="312">
        <v>14480</v>
      </c>
      <c r="P447" s="313">
        <f t="shared" si="36"/>
        <v>0</v>
      </c>
      <c r="Q447" s="310" t="s">
        <v>147</v>
      </c>
      <c r="R447" s="310">
        <v>453</v>
      </c>
      <c r="S447" s="310"/>
      <c r="T447" s="308">
        <v>45743</v>
      </c>
      <c r="U447" s="308">
        <v>45743</v>
      </c>
      <c r="V447" s="308"/>
      <c r="W447" s="315">
        <f t="shared" si="41"/>
        <v>0</v>
      </c>
      <c r="X447" s="310" t="s">
        <v>54</v>
      </c>
      <c r="Y447" s="310" t="s">
        <v>2334</v>
      </c>
      <c r="Z447" s="316" t="s">
        <v>3765</v>
      </c>
      <c r="AA447" s="316" t="s">
        <v>1568</v>
      </c>
      <c r="AB447" s="316" t="s">
        <v>1568</v>
      </c>
    </row>
    <row r="448" spans="1:28" x14ac:dyDescent="0.25">
      <c r="A448" s="307">
        <f t="shared" si="37"/>
        <v>442</v>
      </c>
      <c r="B448" s="308">
        <v>45744</v>
      </c>
      <c r="C448" s="309">
        <f t="shared" si="38"/>
        <v>45717</v>
      </c>
      <c r="D448" s="310" t="s">
        <v>51</v>
      </c>
      <c r="E448" s="310" t="s">
        <v>435</v>
      </c>
      <c r="F448" s="311">
        <v>9654538123</v>
      </c>
      <c r="G448" s="316" t="s">
        <v>6</v>
      </c>
      <c r="H448" s="316" t="s">
        <v>26</v>
      </c>
      <c r="I448" s="316" t="s">
        <v>1680</v>
      </c>
      <c r="J448" s="310" t="s">
        <v>623</v>
      </c>
      <c r="K448" s="312">
        <v>26540</v>
      </c>
      <c r="L448" s="312">
        <v>41260</v>
      </c>
      <c r="M448" s="313">
        <f t="shared" si="39"/>
        <v>14720</v>
      </c>
      <c r="N448" s="314">
        <f t="shared" si="40"/>
        <v>0.356761997091614</v>
      </c>
      <c r="O448" s="312">
        <v>26540</v>
      </c>
      <c r="P448" s="313">
        <f t="shared" si="36"/>
        <v>0</v>
      </c>
      <c r="Q448" s="310" t="s">
        <v>147</v>
      </c>
      <c r="R448" s="310">
        <v>454</v>
      </c>
      <c r="S448" s="310"/>
      <c r="T448" s="308">
        <v>45747</v>
      </c>
      <c r="U448" s="308">
        <v>45748</v>
      </c>
      <c r="V448" s="308"/>
      <c r="W448" s="315">
        <f t="shared" si="41"/>
        <v>4</v>
      </c>
      <c r="X448" s="310" t="s">
        <v>54</v>
      </c>
      <c r="Y448" s="310" t="s">
        <v>439</v>
      </c>
      <c r="Z448" s="316" t="s">
        <v>1319</v>
      </c>
      <c r="AA448" s="316" t="s">
        <v>1692</v>
      </c>
      <c r="AB448" s="317">
        <v>45661</v>
      </c>
    </row>
    <row r="449" spans="1:28" x14ac:dyDescent="0.25">
      <c r="A449" s="307">
        <f t="shared" si="37"/>
        <v>443</v>
      </c>
      <c r="B449" s="308">
        <v>45744</v>
      </c>
      <c r="C449" s="309">
        <f t="shared" si="38"/>
        <v>45717</v>
      </c>
      <c r="D449" s="310" t="s">
        <v>51</v>
      </c>
      <c r="E449" s="310" t="s">
        <v>1643</v>
      </c>
      <c r="F449" s="311">
        <v>9725073745</v>
      </c>
      <c r="G449" s="316" t="s">
        <v>6</v>
      </c>
      <c r="H449" s="316" t="s">
        <v>1678</v>
      </c>
      <c r="I449" s="316" t="s">
        <v>1679</v>
      </c>
      <c r="J449" s="310" t="s">
        <v>168</v>
      </c>
      <c r="K449" s="312">
        <v>29500</v>
      </c>
      <c r="L449" s="312">
        <v>53860</v>
      </c>
      <c r="M449" s="313">
        <f t="shared" si="39"/>
        <v>24360</v>
      </c>
      <c r="N449" s="314">
        <f t="shared" si="40"/>
        <v>0.452283698477534</v>
      </c>
      <c r="O449" s="312">
        <v>29500</v>
      </c>
      <c r="P449" s="313">
        <f t="shared" si="36"/>
        <v>0</v>
      </c>
      <c r="Q449" s="310" t="s">
        <v>147</v>
      </c>
      <c r="R449" s="310">
        <v>455</v>
      </c>
      <c r="S449" s="310"/>
      <c r="T449" s="308">
        <v>45746</v>
      </c>
      <c r="U449" s="308">
        <v>45746</v>
      </c>
      <c r="V449" s="308"/>
      <c r="W449" s="315">
        <f t="shared" si="41"/>
        <v>2</v>
      </c>
      <c r="X449" s="310" t="s">
        <v>54</v>
      </c>
      <c r="Y449" s="310" t="s">
        <v>529</v>
      </c>
      <c r="Z449" s="316" t="s">
        <v>1319</v>
      </c>
      <c r="AA449" s="316" t="s">
        <v>1700</v>
      </c>
      <c r="AB449" s="316" t="s">
        <v>1700</v>
      </c>
    </row>
    <row r="450" spans="1:28" x14ac:dyDescent="0.25">
      <c r="A450" s="307">
        <f t="shared" si="37"/>
        <v>444</v>
      </c>
      <c r="B450" s="308">
        <v>45744</v>
      </c>
      <c r="C450" s="309">
        <f t="shared" si="38"/>
        <v>45717</v>
      </c>
      <c r="D450" s="310" t="s">
        <v>56</v>
      </c>
      <c r="E450" s="310" t="s">
        <v>1641</v>
      </c>
      <c r="F450" s="311">
        <v>9281983602</v>
      </c>
      <c r="G450" s="316" t="s">
        <v>377</v>
      </c>
      <c r="H450" s="316" t="s">
        <v>26</v>
      </c>
      <c r="I450" s="316" t="s">
        <v>1739</v>
      </c>
      <c r="J450" s="310" t="s">
        <v>3730</v>
      </c>
      <c r="K450" s="312">
        <v>47440</v>
      </c>
      <c r="L450" s="312">
        <v>102060</v>
      </c>
      <c r="M450" s="313">
        <f t="shared" si="39"/>
        <v>54620</v>
      </c>
      <c r="N450" s="314">
        <f t="shared" si="40"/>
        <v>0.535175387027239</v>
      </c>
      <c r="O450" s="312">
        <v>47440</v>
      </c>
      <c r="P450" s="313">
        <f t="shared" si="36"/>
        <v>0</v>
      </c>
      <c r="Q450" s="310" t="s">
        <v>147</v>
      </c>
      <c r="R450" s="310">
        <v>456</v>
      </c>
      <c r="S450" s="310"/>
      <c r="T450" s="308">
        <v>45747</v>
      </c>
      <c r="U450" s="308">
        <v>45747</v>
      </c>
      <c r="V450" s="308"/>
      <c r="W450" s="315">
        <f t="shared" si="41"/>
        <v>3</v>
      </c>
      <c r="X450" s="310" t="s">
        <v>54</v>
      </c>
      <c r="Y450" s="310" t="s">
        <v>56</v>
      </c>
      <c r="Z450" s="316" t="s">
        <v>1319</v>
      </c>
      <c r="AA450" s="316" t="s">
        <v>1692</v>
      </c>
      <c r="AB450" s="316" t="s">
        <v>1692</v>
      </c>
    </row>
    <row r="451" spans="1:28" x14ac:dyDescent="0.25">
      <c r="A451" s="307">
        <f t="shared" si="37"/>
        <v>445</v>
      </c>
      <c r="B451" s="308">
        <v>45745</v>
      </c>
      <c r="C451" s="309">
        <f t="shared" si="38"/>
        <v>45717</v>
      </c>
      <c r="D451" s="310" t="s">
        <v>56</v>
      </c>
      <c r="E451" s="310" t="s">
        <v>1644</v>
      </c>
      <c r="F451" s="311">
        <v>9902798068</v>
      </c>
      <c r="G451" s="316" t="s">
        <v>6</v>
      </c>
      <c r="H451" s="316" t="s">
        <v>1681</v>
      </c>
      <c r="I451" s="316" t="s">
        <v>1682</v>
      </c>
      <c r="J451" s="310" t="s">
        <v>3730</v>
      </c>
      <c r="K451" s="312">
        <v>39970</v>
      </c>
      <c r="L451" s="312">
        <v>52290</v>
      </c>
      <c r="M451" s="313">
        <f t="shared" si="39"/>
        <v>12320</v>
      </c>
      <c r="N451" s="314">
        <f t="shared" si="40"/>
        <v>0.235609103078983</v>
      </c>
      <c r="O451" s="312">
        <v>39970</v>
      </c>
      <c r="P451" s="313">
        <f t="shared" si="36"/>
        <v>0</v>
      </c>
      <c r="Q451" s="310" t="s">
        <v>147</v>
      </c>
      <c r="R451" s="310">
        <v>457</v>
      </c>
      <c r="S451" s="310"/>
      <c r="T451" s="308">
        <v>45747</v>
      </c>
      <c r="U451" s="308">
        <v>45748</v>
      </c>
      <c r="V451" s="308"/>
      <c r="W451" s="315">
        <f t="shared" si="41"/>
        <v>3</v>
      </c>
      <c r="X451" s="310" t="s">
        <v>54</v>
      </c>
      <c r="Y451" s="310" t="s">
        <v>56</v>
      </c>
      <c r="Z451" s="316" t="s">
        <v>1319</v>
      </c>
      <c r="AA451" s="316" t="s">
        <v>1692</v>
      </c>
      <c r="AB451" s="317">
        <v>45661</v>
      </c>
    </row>
    <row r="452" spans="1:28" x14ac:dyDescent="0.25">
      <c r="A452" s="307">
        <f t="shared" si="37"/>
        <v>446</v>
      </c>
      <c r="B452" s="308">
        <v>45745</v>
      </c>
      <c r="C452" s="309">
        <f t="shared" si="38"/>
        <v>45717</v>
      </c>
      <c r="D452" s="310" t="s">
        <v>56</v>
      </c>
      <c r="E452" s="310" t="s">
        <v>1635</v>
      </c>
      <c r="F452" s="311">
        <v>9472230553</v>
      </c>
      <c r="G452" s="316" t="s">
        <v>1093</v>
      </c>
      <c r="H452" s="316" t="s">
        <v>26</v>
      </c>
      <c r="I452" s="316" t="s">
        <v>1703</v>
      </c>
      <c r="J452" s="310" t="s">
        <v>3730</v>
      </c>
      <c r="K452" s="312">
        <v>47440</v>
      </c>
      <c r="L452" s="312">
        <v>102060</v>
      </c>
      <c r="M452" s="313">
        <f t="shared" si="39"/>
        <v>54620</v>
      </c>
      <c r="N452" s="314">
        <f t="shared" si="40"/>
        <v>0.535175387027239</v>
      </c>
      <c r="O452" s="312">
        <v>47440</v>
      </c>
      <c r="P452" s="313">
        <f t="shared" si="36"/>
        <v>0</v>
      </c>
      <c r="Q452" s="310" t="s">
        <v>147</v>
      </c>
      <c r="R452" s="310">
        <v>458</v>
      </c>
      <c r="S452" s="310"/>
      <c r="T452" s="308">
        <v>45747</v>
      </c>
      <c r="U452" s="308">
        <v>45747</v>
      </c>
      <c r="V452" s="308"/>
      <c r="W452" s="315">
        <f t="shared" si="41"/>
        <v>2</v>
      </c>
      <c r="X452" s="310" t="s">
        <v>54</v>
      </c>
      <c r="Y452" s="310" t="s">
        <v>56</v>
      </c>
      <c r="Z452" s="316" t="s">
        <v>1319</v>
      </c>
      <c r="AA452" s="316" t="s">
        <v>1692</v>
      </c>
      <c r="AB452" s="316" t="s">
        <v>1692</v>
      </c>
    </row>
    <row r="453" spans="1:28" x14ac:dyDescent="0.25">
      <c r="A453" s="307">
        <f t="shared" si="37"/>
        <v>447</v>
      </c>
      <c r="B453" s="308">
        <v>45746</v>
      </c>
      <c r="C453" s="309">
        <f t="shared" si="38"/>
        <v>45717</v>
      </c>
      <c r="D453" s="310" t="s">
        <v>56</v>
      </c>
      <c r="E453" s="310" t="s">
        <v>1637</v>
      </c>
      <c r="F453" s="311">
        <v>9025368773</v>
      </c>
      <c r="G453" s="316" t="s">
        <v>1093</v>
      </c>
      <c r="H453" s="316" t="s">
        <v>26</v>
      </c>
      <c r="I453" s="316" t="s">
        <v>3766</v>
      </c>
      <c r="J453" s="310" t="s">
        <v>3730</v>
      </c>
      <c r="K453" s="312">
        <v>47440</v>
      </c>
      <c r="L453" s="312">
        <v>102060</v>
      </c>
      <c r="M453" s="313">
        <f t="shared" si="39"/>
        <v>54620</v>
      </c>
      <c r="N453" s="314">
        <f t="shared" si="40"/>
        <v>0.535175387027239</v>
      </c>
      <c r="O453" s="312">
        <v>47440</v>
      </c>
      <c r="P453" s="313">
        <f t="shared" si="36"/>
        <v>0</v>
      </c>
      <c r="Q453" s="310" t="s">
        <v>147</v>
      </c>
      <c r="R453" s="310">
        <v>459</v>
      </c>
      <c r="S453" s="310"/>
      <c r="T453" s="308">
        <v>45749</v>
      </c>
      <c r="U453" s="308">
        <v>45749</v>
      </c>
      <c r="V453" s="308"/>
      <c r="W453" s="315">
        <f t="shared" si="41"/>
        <v>3</v>
      </c>
      <c r="X453" s="310" t="s">
        <v>54</v>
      </c>
      <c r="Y453" s="310" t="s">
        <v>56</v>
      </c>
      <c r="Z453" s="316" t="s">
        <v>1319</v>
      </c>
      <c r="AA453" s="317">
        <v>45692</v>
      </c>
      <c r="AB453" s="317">
        <v>45692</v>
      </c>
    </row>
    <row r="454" spans="1:28" x14ac:dyDescent="0.25">
      <c r="A454" s="307">
        <f t="shared" si="37"/>
        <v>448</v>
      </c>
      <c r="B454" s="308">
        <v>45747</v>
      </c>
      <c r="C454" s="309">
        <f t="shared" si="38"/>
        <v>45717</v>
      </c>
      <c r="D454" s="310" t="s">
        <v>56</v>
      </c>
      <c r="E454" s="310" t="s">
        <v>38</v>
      </c>
      <c r="F454" s="311">
        <v>9515412075</v>
      </c>
      <c r="G454" s="316" t="s">
        <v>377</v>
      </c>
      <c r="H454" s="316" t="s">
        <v>26</v>
      </c>
      <c r="I454" s="316" t="s">
        <v>1777</v>
      </c>
      <c r="J454" s="310" t="s">
        <v>59</v>
      </c>
      <c r="K454" s="312">
        <v>51880</v>
      </c>
      <c r="L454" s="312">
        <v>91350</v>
      </c>
      <c r="M454" s="313">
        <f t="shared" si="39"/>
        <v>39470</v>
      </c>
      <c r="N454" s="314">
        <f t="shared" si="40"/>
        <v>0.432074438970991</v>
      </c>
      <c r="O454" s="312">
        <v>51880</v>
      </c>
      <c r="P454" s="313">
        <f t="shared" si="36"/>
        <v>0</v>
      </c>
      <c r="Q454" s="310" t="s">
        <v>147</v>
      </c>
      <c r="R454" s="310">
        <v>460</v>
      </c>
      <c r="S454" s="310"/>
      <c r="T454" s="308">
        <v>45750</v>
      </c>
      <c r="U454" s="308">
        <v>45750</v>
      </c>
      <c r="V454" s="308"/>
      <c r="W454" s="315">
        <f t="shared" si="41"/>
        <v>3</v>
      </c>
      <c r="X454" s="310" t="s">
        <v>54</v>
      </c>
      <c r="Y454" s="310" t="s">
        <v>56</v>
      </c>
      <c r="Z454" s="316"/>
      <c r="AA454" s="317">
        <v>45720</v>
      </c>
      <c r="AB454" s="317">
        <v>45720</v>
      </c>
    </row>
    <row r="455" spans="1:28" x14ac:dyDescent="0.25">
      <c r="A455" s="307">
        <f t="shared" si="37"/>
        <v>449</v>
      </c>
      <c r="B455" s="308">
        <v>45749</v>
      </c>
      <c r="C455" s="309">
        <f t="shared" si="38"/>
        <v>45748</v>
      </c>
      <c r="D455" s="310" t="s">
        <v>56</v>
      </c>
      <c r="E455" s="310" t="s">
        <v>1635</v>
      </c>
      <c r="F455" s="311">
        <v>9472230553</v>
      </c>
      <c r="G455" s="316" t="s">
        <v>6</v>
      </c>
      <c r="H455" s="316" t="s">
        <v>3767</v>
      </c>
      <c r="I455" s="316" t="s">
        <v>1783</v>
      </c>
      <c r="J455" s="310" t="s">
        <v>3730</v>
      </c>
      <c r="K455" s="312">
        <v>9830</v>
      </c>
      <c r="L455" s="312">
        <v>22680</v>
      </c>
      <c r="M455" s="313">
        <f t="shared" si="39"/>
        <v>12850</v>
      </c>
      <c r="N455" s="314">
        <f t="shared" si="40"/>
        <v>0.56657848324515</v>
      </c>
      <c r="O455" s="312">
        <v>9830</v>
      </c>
      <c r="P455" s="313">
        <f t="shared" ref="P455:P518" si="42">IF(OR($K455="",$O455=""),"",$K455-$O455)</f>
        <v>0</v>
      </c>
      <c r="Q455" s="310" t="s">
        <v>147</v>
      </c>
      <c r="R455" s="310">
        <v>462</v>
      </c>
      <c r="S455" s="310"/>
      <c r="T455" s="308">
        <v>45750</v>
      </c>
      <c r="U455" s="308">
        <v>45750</v>
      </c>
      <c r="V455" s="308"/>
      <c r="W455" s="315">
        <f t="shared" si="41"/>
        <v>1</v>
      </c>
      <c r="X455" s="310" t="s">
        <v>54</v>
      </c>
      <c r="Y455" s="310" t="s">
        <v>56</v>
      </c>
      <c r="Z455" s="316"/>
      <c r="AA455" s="317">
        <v>45720</v>
      </c>
      <c r="AB455" s="317">
        <v>45720</v>
      </c>
    </row>
    <row r="456" spans="1:28" x14ac:dyDescent="0.25">
      <c r="A456" s="307">
        <f t="shared" ref="A456:A519" si="43">IF($B456="","",ROW()-6)</f>
        <v>450</v>
      </c>
      <c r="B456" s="308">
        <v>45749</v>
      </c>
      <c r="C456" s="309">
        <f t="shared" ref="C456:C519" si="44">IF($B456="","",EOMONTH($B456,-1)+1)</f>
        <v>45748</v>
      </c>
      <c r="D456" s="310" t="s">
        <v>56</v>
      </c>
      <c r="E456" s="310" t="s">
        <v>1641</v>
      </c>
      <c r="F456" s="311">
        <v>9281983602</v>
      </c>
      <c r="G456" s="316" t="s">
        <v>6</v>
      </c>
      <c r="H456" s="316" t="s">
        <v>26</v>
      </c>
      <c r="I456" s="316" t="s">
        <v>1757</v>
      </c>
      <c r="J456" s="310" t="s">
        <v>3730</v>
      </c>
      <c r="K456" s="312">
        <v>39220</v>
      </c>
      <c r="L456" s="312">
        <v>47250</v>
      </c>
      <c r="M456" s="313">
        <f t="shared" ref="M456:M519" si="45">IF(OR($K456="",$L456=""),"",$L456-$K456)</f>
        <v>8030</v>
      </c>
      <c r="N456" s="314">
        <f t="shared" ref="N456:N519" si="46">IF(OR($L456="",$L456=0,$M456=""),"",$M456/$L456)</f>
        <v>0.16994708994709</v>
      </c>
      <c r="O456" s="312">
        <v>39220</v>
      </c>
      <c r="P456" s="313">
        <f t="shared" si="42"/>
        <v>0</v>
      </c>
      <c r="Q456" s="310" t="s">
        <v>147</v>
      </c>
      <c r="R456" s="310">
        <v>461</v>
      </c>
      <c r="S456" s="310"/>
      <c r="T456" s="308">
        <v>45752</v>
      </c>
      <c r="U456" s="308">
        <v>45752</v>
      </c>
      <c r="V456" s="308"/>
      <c r="W456" s="315">
        <f t="shared" ref="W456:W519" si="47">IF(OR($B456="",$U456=""),"",$U456-$B456)</f>
        <v>3</v>
      </c>
      <c r="X456" s="310" t="s">
        <v>54</v>
      </c>
      <c r="Y456" s="310" t="s">
        <v>56</v>
      </c>
      <c r="Z456" s="316"/>
      <c r="AA456" s="317">
        <v>45781</v>
      </c>
      <c r="AB456" s="317">
        <v>45781</v>
      </c>
    </row>
    <row r="457" spans="1:28" x14ac:dyDescent="0.25">
      <c r="A457" s="307">
        <f t="shared" si="43"/>
        <v>451</v>
      </c>
      <c r="B457" s="308">
        <v>45750</v>
      </c>
      <c r="C457" s="309">
        <f t="shared" si="44"/>
        <v>45748</v>
      </c>
      <c r="D457" s="310" t="s">
        <v>56</v>
      </c>
      <c r="E457" s="310" t="s">
        <v>60</v>
      </c>
      <c r="F457" s="311">
        <v>9220186371</v>
      </c>
      <c r="G457" s="316" t="s">
        <v>6</v>
      </c>
      <c r="H457" s="316" t="s">
        <v>1758</v>
      </c>
      <c r="I457" s="316" t="s">
        <v>1759</v>
      </c>
      <c r="J457" s="310" t="s">
        <v>3730</v>
      </c>
      <c r="K457" s="312">
        <v>46110</v>
      </c>
      <c r="L457" s="312">
        <v>52920</v>
      </c>
      <c r="M457" s="313">
        <f t="shared" si="45"/>
        <v>6810</v>
      </c>
      <c r="N457" s="314">
        <f t="shared" si="46"/>
        <v>0.128684807256236</v>
      </c>
      <c r="O457" s="312">
        <v>46110</v>
      </c>
      <c r="P457" s="313">
        <f t="shared" si="42"/>
        <v>0</v>
      </c>
      <c r="Q457" s="310" t="s">
        <v>147</v>
      </c>
      <c r="R457" s="310">
        <v>463</v>
      </c>
      <c r="S457" s="310"/>
      <c r="T457" s="308">
        <v>45754</v>
      </c>
      <c r="U457" s="308">
        <v>45755</v>
      </c>
      <c r="V457" s="308"/>
      <c r="W457" s="315">
        <f t="shared" si="47"/>
        <v>5</v>
      </c>
      <c r="X457" s="310" t="s">
        <v>54</v>
      </c>
      <c r="Y457" s="310" t="s">
        <v>56</v>
      </c>
      <c r="Z457" s="316"/>
      <c r="AA457" s="317">
        <v>45842</v>
      </c>
      <c r="AB457" s="317">
        <v>45873</v>
      </c>
    </row>
    <row r="458" spans="1:28" x14ac:dyDescent="0.25">
      <c r="A458" s="307">
        <f t="shared" si="43"/>
        <v>452</v>
      </c>
      <c r="B458" s="308">
        <v>45751</v>
      </c>
      <c r="C458" s="309">
        <f t="shared" si="44"/>
        <v>45748</v>
      </c>
      <c r="D458" s="310" t="s">
        <v>56</v>
      </c>
      <c r="E458" s="310" t="s">
        <v>1635</v>
      </c>
      <c r="F458" s="311">
        <v>9472230553</v>
      </c>
      <c r="G458" s="316" t="s">
        <v>6</v>
      </c>
      <c r="H458" s="316" t="s">
        <v>1760</v>
      </c>
      <c r="I458" s="316" t="s">
        <v>1761</v>
      </c>
      <c r="J458" s="310" t="s">
        <v>3730</v>
      </c>
      <c r="K458" s="312">
        <v>40070</v>
      </c>
      <c r="L458" s="312">
        <v>52920</v>
      </c>
      <c r="M458" s="313">
        <f t="shared" si="45"/>
        <v>12850</v>
      </c>
      <c r="N458" s="314">
        <f t="shared" si="46"/>
        <v>0.242819349962207</v>
      </c>
      <c r="O458" s="312">
        <v>40070</v>
      </c>
      <c r="P458" s="313">
        <f t="shared" si="42"/>
        <v>0</v>
      </c>
      <c r="Q458" s="310" t="s">
        <v>147</v>
      </c>
      <c r="R458" s="310">
        <v>464</v>
      </c>
      <c r="S458" s="310"/>
      <c r="T458" s="308">
        <v>45754</v>
      </c>
      <c r="U458" s="308">
        <v>45754</v>
      </c>
      <c r="V458" s="308"/>
      <c r="W458" s="315">
        <f t="shared" si="47"/>
        <v>3</v>
      </c>
      <c r="X458" s="310" t="s">
        <v>54</v>
      </c>
      <c r="Y458" s="310" t="s">
        <v>56</v>
      </c>
      <c r="Z458" s="316"/>
      <c r="AA458" s="317">
        <v>45842</v>
      </c>
      <c r="AB458" s="317">
        <v>45842</v>
      </c>
    </row>
    <row r="459" spans="1:28" x14ac:dyDescent="0.25">
      <c r="A459" s="307">
        <f t="shared" si="43"/>
        <v>453</v>
      </c>
      <c r="B459" s="308">
        <v>45751</v>
      </c>
      <c r="C459" s="309">
        <f t="shared" si="44"/>
        <v>45748</v>
      </c>
      <c r="D459" s="310" t="s">
        <v>56</v>
      </c>
      <c r="E459" s="310" t="s">
        <v>1644</v>
      </c>
      <c r="F459" s="311">
        <v>9902798068</v>
      </c>
      <c r="G459" s="316" t="s">
        <v>377</v>
      </c>
      <c r="H459" s="316" t="s">
        <v>26</v>
      </c>
      <c r="I459" s="316" t="s">
        <v>1774</v>
      </c>
      <c r="J459" s="310" t="s">
        <v>3730</v>
      </c>
      <c r="K459" s="312">
        <v>46590</v>
      </c>
      <c r="L459" s="312">
        <v>96390</v>
      </c>
      <c r="M459" s="313">
        <f t="shared" si="45"/>
        <v>49800</v>
      </c>
      <c r="N459" s="314">
        <f t="shared" si="46"/>
        <v>0.516651104886399</v>
      </c>
      <c r="O459" s="312">
        <v>46590</v>
      </c>
      <c r="P459" s="313">
        <f t="shared" si="42"/>
        <v>0</v>
      </c>
      <c r="Q459" s="310" t="s">
        <v>147</v>
      </c>
      <c r="R459" s="310">
        <v>465</v>
      </c>
      <c r="S459" s="310"/>
      <c r="T459" s="308">
        <v>45754</v>
      </c>
      <c r="U459" s="308">
        <v>45754</v>
      </c>
      <c r="V459" s="308"/>
      <c r="W459" s="315">
        <f t="shared" si="47"/>
        <v>3</v>
      </c>
      <c r="X459" s="310" t="s">
        <v>54</v>
      </c>
      <c r="Y459" s="310" t="s">
        <v>56</v>
      </c>
      <c r="Z459" s="316"/>
      <c r="AA459" s="317">
        <v>45842</v>
      </c>
      <c r="AB459" s="317">
        <v>45842</v>
      </c>
    </row>
    <row r="460" spans="1:28" x14ac:dyDescent="0.25">
      <c r="A460" s="307">
        <f t="shared" si="43"/>
        <v>454</v>
      </c>
      <c r="B460" s="308">
        <v>45752</v>
      </c>
      <c r="C460" s="309">
        <f t="shared" si="44"/>
        <v>45748</v>
      </c>
      <c r="D460" s="310" t="s">
        <v>51</v>
      </c>
      <c r="E460" s="310" t="s">
        <v>696</v>
      </c>
      <c r="F460" s="311">
        <v>9891277624</v>
      </c>
      <c r="G460" s="316" t="s">
        <v>1093</v>
      </c>
      <c r="H460" s="316" t="s">
        <v>26</v>
      </c>
      <c r="I460" s="316" t="s">
        <v>1779</v>
      </c>
      <c r="J460" s="310" t="s">
        <v>3730</v>
      </c>
      <c r="K460" s="312">
        <v>66940</v>
      </c>
      <c r="L460" s="312">
        <v>96390</v>
      </c>
      <c r="M460" s="313">
        <f t="shared" si="45"/>
        <v>29450</v>
      </c>
      <c r="N460" s="314">
        <f t="shared" si="46"/>
        <v>0.305529619255109</v>
      </c>
      <c r="O460" s="312">
        <v>66940</v>
      </c>
      <c r="P460" s="313">
        <f t="shared" si="42"/>
        <v>0</v>
      </c>
      <c r="Q460" s="310" t="s">
        <v>147</v>
      </c>
      <c r="R460" s="310">
        <v>466</v>
      </c>
      <c r="S460" s="310"/>
      <c r="T460" s="308">
        <v>45755</v>
      </c>
      <c r="U460" s="308">
        <v>45755</v>
      </c>
      <c r="V460" s="308"/>
      <c r="W460" s="315">
        <f t="shared" si="47"/>
        <v>3</v>
      </c>
      <c r="X460" s="310" t="s">
        <v>54</v>
      </c>
      <c r="Y460" s="310" t="s">
        <v>439</v>
      </c>
      <c r="Z460" s="316"/>
      <c r="AA460" s="317">
        <v>45873</v>
      </c>
      <c r="AB460" s="317">
        <v>45873</v>
      </c>
    </row>
    <row r="461" spans="1:28" x14ac:dyDescent="0.25">
      <c r="A461" s="307">
        <f t="shared" si="43"/>
        <v>455</v>
      </c>
      <c r="B461" s="308">
        <v>45752</v>
      </c>
      <c r="C461" s="309">
        <f t="shared" si="44"/>
        <v>45748</v>
      </c>
      <c r="D461" s="310" t="s">
        <v>56</v>
      </c>
      <c r="E461" s="310" t="s">
        <v>1637</v>
      </c>
      <c r="F461" s="311">
        <v>9025368773</v>
      </c>
      <c r="G461" s="316" t="s">
        <v>6</v>
      </c>
      <c r="H461" s="316" t="s">
        <v>26</v>
      </c>
      <c r="I461" s="316" t="s">
        <v>1762</v>
      </c>
      <c r="J461" s="310" t="s">
        <v>3730</v>
      </c>
      <c r="K461" s="312">
        <v>38180</v>
      </c>
      <c r="L461" s="312">
        <v>40320</v>
      </c>
      <c r="M461" s="313">
        <f t="shared" si="45"/>
        <v>2140</v>
      </c>
      <c r="N461" s="314">
        <f t="shared" si="46"/>
        <v>0.0530753968253968</v>
      </c>
      <c r="O461" s="312">
        <v>38180</v>
      </c>
      <c r="P461" s="313">
        <f t="shared" si="42"/>
        <v>0</v>
      </c>
      <c r="Q461" s="310" t="s">
        <v>147</v>
      </c>
      <c r="R461" s="310">
        <v>467</v>
      </c>
      <c r="S461" s="310"/>
      <c r="T461" s="308">
        <v>45755</v>
      </c>
      <c r="U461" s="308">
        <v>45755</v>
      </c>
      <c r="V461" s="308"/>
      <c r="W461" s="315">
        <f t="shared" si="47"/>
        <v>3</v>
      </c>
      <c r="X461" s="310" t="s">
        <v>54</v>
      </c>
      <c r="Y461" s="310" t="s">
        <v>56</v>
      </c>
      <c r="Z461" s="316"/>
      <c r="AA461" s="317">
        <v>45873</v>
      </c>
      <c r="AB461" s="317">
        <v>45873</v>
      </c>
    </row>
    <row r="462" spans="1:28" x14ac:dyDescent="0.25">
      <c r="A462" s="307">
        <f t="shared" si="43"/>
        <v>456</v>
      </c>
      <c r="B462" s="308">
        <v>45752</v>
      </c>
      <c r="C462" s="309">
        <f t="shared" si="44"/>
        <v>45748</v>
      </c>
      <c r="D462" s="310" t="s">
        <v>56</v>
      </c>
      <c r="E462" s="310" t="s">
        <v>38</v>
      </c>
      <c r="F462" s="311">
        <v>9515412075</v>
      </c>
      <c r="G462" s="316" t="s">
        <v>6</v>
      </c>
      <c r="H462" s="316" t="s">
        <v>26</v>
      </c>
      <c r="I462" s="316" t="s">
        <v>1763</v>
      </c>
      <c r="J462" s="310" t="s">
        <v>3730</v>
      </c>
      <c r="K462" s="312">
        <v>45070</v>
      </c>
      <c r="L462" s="312">
        <v>45990</v>
      </c>
      <c r="M462" s="313">
        <f t="shared" si="45"/>
        <v>920</v>
      </c>
      <c r="N462" s="314">
        <f t="shared" si="46"/>
        <v>0.0200043487714721</v>
      </c>
      <c r="O462" s="312">
        <v>45070</v>
      </c>
      <c r="P462" s="313">
        <f t="shared" si="42"/>
        <v>0</v>
      </c>
      <c r="Q462" s="310" t="s">
        <v>147</v>
      </c>
      <c r="R462" s="310">
        <v>468</v>
      </c>
      <c r="S462" s="310"/>
      <c r="T462" s="308">
        <v>45755</v>
      </c>
      <c r="U462" s="308">
        <v>45755</v>
      </c>
      <c r="V462" s="308"/>
      <c r="W462" s="315">
        <f t="shared" si="47"/>
        <v>3</v>
      </c>
      <c r="X462" s="310" t="s">
        <v>54</v>
      </c>
      <c r="Y462" s="310" t="s">
        <v>56</v>
      </c>
      <c r="Z462" s="316" t="s">
        <v>1319</v>
      </c>
      <c r="AA462" s="317">
        <v>45873</v>
      </c>
      <c r="AB462" s="317">
        <v>45873</v>
      </c>
    </row>
    <row r="463" spans="1:28" x14ac:dyDescent="0.25">
      <c r="A463" s="307">
        <f t="shared" si="43"/>
        <v>457</v>
      </c>
      <c r="B463" s="308">
        <v>45754</v>
      </c>
      <c r="C463" s="309">
        <f t="shared" si="44"/>
        <v>45748</v>
      </c>
      <c r="D463" s="310" t="s">
        <v>56</v>
      </c>
      <c r="E463" s="310" t="s">
        <v>1750</v>
      </c>
      <c r="F463" s="311">
        <v>9902798068</v>
      </c>
      <c r="G463" s="316" t="s">
        <v>6</v>
      </c>
      <c r="H463" s="316" t="s">
        <v>1764</v>
      </c>
      <c r="I463" s="316" t="s">
        <v>1765</v>
      </c>
      <c r="J463" s="310" t="s">
        <v>3730</v>
      </c>
      <c r="K463" s="312">
        <v>40070</v>
      </c>
      <c r="L463" s="312">
        <v>52920</v>
      </c>
      <c r="M463" s="313">
        <f t="shared" si="45"/>
        <v>12850</v>
      </c>
      <c r="N463" s="314">
        <f t="shared" si="46"/>
        <v>0.242819349962207</v>
      </c>
      <c r="O463" s="312">
        <v>40070</v>
      </c>
      <c r="P463" s="313">
        <f t="shared" si="42"/>
        <v>0</v>
      </c>
      <c r="Q463" s="310" t="s">
        <v>147</v>
      </c>
      <c r="R463" s="310">
        <v>469</v>
      </c>
      <c r="S463" s="310"/>
      <c r="T463" s="308">
        <v>45757</v>
      </c>
      <c r="U463" s="308">
        <v>45758</v>
      </c>
      <c r="V463" s="308"/>
      <c r="W463" s="315">
        <f t="shared" si="47"/>
        <v>4</v>
      </c>
      <c r="X463" s="310" t="s">
        <v>54</v>
      </c>
      <c r="Y463" s="310" t="s">
        <v>56</v>
      </c>
      <c r="Z463" s="316"/>
      <c r="AA463" s="317">
        <v>45934</v>
      </c>
      <c r="AB463" s="317">
        <v>45965</v>
      </c>
    </row>
    <row r="464" spans="1:28" x14ac:dyDescent="0.25">
      <c r="A464" s="307">
        <f t="shared" si="43"/>
        <v>458</v>
      </c>
      <c r="B464" s="308">
        <v>45755</v>
      </c>
      <c r="C464" s="309">
        <f t="shared" si="44"/>
        <v>45748</v>
      </c>
      <c r="D464" s="310" t="s">
        <v>56</v>
      </c>
      <c r="E464" s="310" t="s">
        <v>1641</v>
      </c>
      <c r="F464" s="311">
        <v>9281983602</v>
      </c>
      <c r="G464" s="316" t="s">
        <v>1093</v>
      </c>
      <c r="H464" s="316" t="s">
        <v>26</v>
      </c>
      <c r="I464" s="316" t="s">
        <v>1776</v>
      </c>
      <c r="J464" s="310" t="s">
        <v>3730</v>
      </c>
      <c r="K464" s="312">
        <v>46590</v>
      </c>
      <c r="L464" s="312">
        <v>96390</v>
      </c>
      <c r="M464" s="313">
        <f t="shared" si="45"/>
        <v>49800</v>
      </c>
      <c r="N464" s="314">
        <f t="shared" si="46"/>
        <v>0.516651104886399</v>
      </c>
      <c r="O464" s="312">
        <v>46590</v>
      </c>
      <c r="P464" s="313">
        <f t="shared" si="42"/>
        <v>0</v>
      </c>
      <c r="Q464" s="310" t="s">
        <v>147</v>
      </c>
      <c r="R464" s="310">
        <v>470</v>
      </c>
      <c r="S464" s="310"/>
      <c r="T464" s="308">
        <v>45757</v>
      </c>
      <c r="U464" s="308">
        <v>45757</v>
      </c>
      <c r="V464" s="308"/>
      <c r="W464" s="315">
        <f t="shared" si="47"/>
        <v>2</v>
      </c>
      <c r="X464" s="310" t="s">
        <v>54</v>
      </c>
      <c r="Y464" s="310" t="s">
        <v>56</v>
      </c>
      <c r="Z464" s="316"/>
      <c r="AA464" s="317">
        <v>45934</v>
      </c>
      <c r="AB464" s="317">
        <v>45934</v>
      </c>
    </row>
    <row r="465" spans="1:28" x14ac:dyDescent="0.25">
      <c r="A465" s="307">
        <f t="shared" si="43"/>
        <v>459</v>
      </c>
      <c r="B465" s="308">
        <v>45756</v>
      </c>
      <c r="C465" s="309">
        <f t="shared" si="44"/>
        <v>45748</v>
      </c>
      <c r="D465" s="310" t="s">
        <v>56</v>
      </c>
      <c r="E465" s="310" t="s">
        <v>1637</v>
      </c>
      <c r="F465" s="311">
        <v>9025368773</v>
      </c>
      <c r="G465" s="316" t="s">
        <v>1808</v>
      </c>
      <c r="H465" s="316" t="s">
        <v>26</v>
      </c>
      <c r="I465" s="316" t="s">
        <v>6</v>
      </c>
      <c r="J465" s="310" t="s">
        <v>3730</v>
      </c>
      <c r="K465" s="312">
        <v>39930</v>
      </c>
      <c r="L465" s="312">
        <v>51980</v>
      </c>
      <c r="M465" s="313">
        <f t="shared" si="45"/>
        <v>12050</v>
      </c>
      <c r="N465" s="314">
        <f t="shared" si="46"/>
        <v>0.231819930742593</v>
      </c>
      <c r="O465" s="312">
        <v>39930</v>
      </c>
      <c r="P465" s="313">
        <f t="shared" si="42"/>
        <v>0</v>
      </c>
      <c r="Q465" s="310" t="s">
        <v>147</v>
      </c>
      <c r="R465" s="310" t="s">
        <v>26</v>
      </c>
      <c r="S465" s="310"/>
      <c r="T465" s="308">
        <v>45759</v>
      </c>
      <c r="U465" s="308">
        <v>45759</v>
      </c>
      <c r="V465" s="308"/>
      <c r="W465" s="315">
        <f t="shared" si="47"/>
        <v>3</v>
      </c>
      <c r="X465" s="310" t="s">
        <v>54</v>
      </c>
      <c r="Y465" s="310" t="s">
        <v>56</v>
      </c>
      <c r="Z465" s="316" t="s">
        <v>1809</v>
      </c>
      <c r="AA465" s="317">
        <v>45995</v>
      </c>
      <c r="AB465" s="317">
        <v>45995</v>
      </c>
    </row>
    <row r="466" spans="1:28" x14ac:dyDescent="0.25">
      <c r="A466" s="307">
        <f t="shared" si="43"/>
        <v>460</v>
      </c>
      <c r="B466" s="308">
        <v>45756</v>
      </c>
      <c r="C466" s="309">
        <f t="shared" si="44"/>
        <v>45748</v>
      </c>
      <c r="D466" s="310" t="s">
        <v>51</v>
      </c>
      <c r="E466" s="310" t="s">
        <v>696</v>
      </c>
      <c r="F466" s="311">
        <v>9891277624</v>
      </c>
      <c r="G466" s="316" t="s">
        <v>6</v>
      </c>
      <c r="H466" s="316" t="s">
        <v>1766</v>
      </c>
      <c r="I466" s="316" t="s">
        <v>1767</v>
      </c>
      <c r="J466" s="310" t="s">
        <v>3730</v>
      </c>
      <c r="K466" s="312">
        <v>33230</v>
      </c>
      <c r="L466" s="312">
        <v>46620</v>
      </c>
      <c r="M466" s="313">
        <f t="shared" si="45"/>
        <v>13390</v>
      </c>
      <c r="N466" s="314">
        <f t="shared" si="46"/>
        <v>0.287215787215787</v>
      </c>
      <c r="O466" s="312">
        <v>33230</v>
      </c>
      <c r="P466" s="313">
        <f t="shared" si="42"/>
        <v>0</v>
      </c>
      <c r="Q466" s="310" t="s">
        <v>147</v>
      </c>
      <c r="R466" s="310">
        <v>471</v>
      </c>
      <c r="S466" s="310"/>
      <c r="T466" s="308">
        <v>45759</v>
      </c>
      <c r="U466" s="308">
        <v>45759</v>
      </c>
      <c r="V466" s="308"/>
      <c r="W466" s="315">
        <f t="shared" si="47"/>
        <v>3</v>
      </c>
      <c r="X466" s="310" t="s">
        <v>54</v>
      </c>
      <c r="Y466" s="310" t="s">
        <v>439</v>
      </c>
      <c r="Z466" s="316"/>
      <c r="AA466" s="317">
        <v>45995</v>
      </c>
      <c r="AB466" s="317">
        <v>45995</v>
      </c>
    </row>
    <row r="467" spans="1:28" x14ac:dyDescent="0.25">
      <c r="A467" s="307">
        <f t="shared" si="43"/>
        <v>461</v>
      </c>
      <c r="B467" s="308">
        <v>45756</v>
      </c>
      <c r="C467" s="309">
        <f t="shared" si="44"/>
        <v>45748</v>
      </c>
      <c r="D467" s="310" t="s">
        <v>56</v>
      </c>
      <c r="E467" s="310" t="s">
        <v>1635</v>
      </c>
      <c r="F467" s="311">
        <v>9472230553</v>
      </c>
      <c r="G467" s="316" t="s">
        <v>1093</v>
      </c>
      <c r="H467" s="316" t="s">
        <v>3768</v>
      </c>
      <c r="I467" s="316" t="s">
        <v>6</v>
      </c>
      <c r="J467" s="310" t="s">
        <v>3730</v>
      </c>
      <c r="K467" s="312">
        <v>47530</v>
      </c>
      <c r="L467" s="312">
        <v>102690</v>
      </c>
      <c r="M467" s="313">
        <f t="shared" si="45"/>
        <v>55160</v>
      </c>
      <c r="N467" s="314">
        <f t="shared" si="46"/>
        <v>0.537150647580096</v>
      </c>
      <c r="O467" s="312">
        <v>47530</v>
      </c>
      <c r="P467" s="313">
        <f t="shared" si="42"/>
        <v>0</v>
      </c>
      <c r="Q467" s="310" t="s">
        <v>147</v>
      </c>
      <c r="R467" s="310">
        <v>472</v>
      </c>
      <c r="S467" s="310"/>
      <c r="T467" s="308">
        <v>45758</v>
      </c>
      <c r="U467" s="308">
        <v>45758</v>
      </c>
      <c r="V467" s="308"/>
      <c r="W467" s="315">
        <f t="shared" si="47"/>
        <v>2</v>
      </c>
      <c r="X467" s="310" t="s">
        <v>54</v>
      </c>
      <c r="Y467" s="310" t="s">
        <v>56</v>
      </c>
      <c r="Z467" s="316"/>
      <c r="AA467" s="317">
        <v>45965</v>
      </c>
      <c r="AB467" s="317">
        <v>45965</v>
      </c>
    </row>
    <row r="468" spans="1:28" x14ac:dyDescent="0.25">
      <c r="A468" s="307">
        <f t="shared" si="43"/>
        <v>462</v>
      </c>
      <c r="B468" s="308">
        <v>45757</v>
      </c>
      <c r="C468" s="309">
        <f t="shared" si="44"/>
        <v>45748</v>
      </c>
      <c r="D468" s="310" t="s">
        <v>56</v>
      </c>
      <c r="E468" s="310" t="s">
        <v>1641</v>
      </c>
      <c r="F468" s="311">
        <v>9281983602</v>
      </c>
      <c r="G468" s="316" t="s">
        <v>6</v>
      </c>
      <c r="H468" s="316" t="s">
        <v>1768</v>
      </c>
      <c r="I468" s="316" t="s">
        <v>1769</v>
      </c>
      <c r="J468" s="310" t="s">
        <v>3730</v>
      </c>
      <c r="K468" s="312">
        <v>39120</v>
      </c>
      <c r="L468" s="312">
        <v>46620</v>
      </c>
      <c r="M468" s="313">
        <f t="shared" si="45"/>
        <v>7500</v>
      </c>
      <c r="N468" s="314">
        <f t="shared" si="46"/>
        <v>0.160875160875161</v>
      </c>
      <c r="O468" s="312">
        <v>39120</v>
      </c>
      <c r="P468" s="313">
        <f t="shared" si="42"/>
        <v>0</v>
      </c>
      <c r="Q468" s="310" t="s">
        <v>147</v>
      </c>
      <c r="R468" s="310">
        <v>473</v>
      </c>
      <c r="S468" s="310"/>
      <c r="T468" s="308">
        <v>45761</v>
      </c>
      <c r="U468" s="308">
        <v>45761</v>
      </c>
      <c r="V468" s="308"/>
      <c r="W468" s="315">
        <f t="shared" si="47"/>
        <v>4</v>
      </c>
      <c r="X468" s="310" t="s">
        <v>54</v>
      </c>
      <c r="Y468" s="310" t="s">
        <v>56</v>
      </c>
      <c r="Z468" s="316"/>
      <c r="AA468" s="316" t="s">
        <v>1755</v>
      </c>
      <c r="AB468" s="316" t="s">
        <v>1755</v>
      </c>
    </row>
    <row r="469" spans="1:28" x14ac:dyDescent="0.25">
      <c r="A469" s="307">
        <f t="shared" si="43"/>
        <v>463</v>
      </c>
      <c r="B469" s="308">
        <v>45758</v>
      </c>
      <c r="C469" s="309">
        <f t="shared" si="44"/>
        <v>45748</v>
      </c>
      <c r="D469" s="310" t="s">
        <v>56</v>
      </c>
      <c r="E469" s="310" t="s">
        <v>60</v>
      </c>
      <c r="F469" s="311">
        <v>9220186371</v>
      </c>
      <c r="G469" s="316" t="s">
        <v>1093</v>
      </c>
      <c r="H469" s="316" t="s">
        <v>3769</v>
      </c>
      <c r="I469" s="316" t="s">
        <v>6</v>
      </c>
      <c r="J469" s="310" t="s">
        <v>3730</v>
      </c>
      <c r="K469" s="312">
        <v>48480</v>
      </c>
      <c r="L469" s="312">
        <v>108990</v>
      </c>
      <c r="M469" s="313">
        <f t="shared" si="45"/>
        <v>60510</v>
      </c>
      <c r="N469" s="314">
        <f t="shared" si="46"/>
        <v>0.555188549408203</v>
      </c>
      <c r="O469" s="312">
        <v>48480</v>
      </c>
      <c r="P469" s="313">
        <f t="shared" si="42"/>
        <v>0</v>
      </c>
      <c r="Q469" s="310" t="s">
        <v>147</v>
      </c>
      <c r="R469" s="310">
        <v>474</v>
      </c>
      <c r="S469" s="310"/>
      <c r="T469" s="308">
        <v>45760</v>
      </c>
      <c r="U469" s="308">
        <v>45760</v>
      </c>
      <c r="V469" s="308"/>
      <c r="W469" s="315">
        <f t="shared" si="47"/>
        <v>2</v>
      </c>
      <c r="X469" s="310" t="s">
        <v>54</v>
      </c>
      <c r="Y469" s="310" t="s">
        <v>56</v>
      </c>
      <c r="Z469" s="316"/>
      <c r="AA469" s="316" t="s">
        <v>1756</v>
      </c>
      <c r="AB469" s="316" t="s">
        <v>1756</v>
      </c>
    </row>
    <row r="470" spans="1:28" x14ac:dyDescent="0.25">
      <c r="A470" s="307">
        <f t="shared" si="43"/>
        <v>464</v>
      </c>
      <c r="B470" s="308">
        <v>45758</v>
      </c>
      <c r="C470" s="309">
        <f t="shared" si="44"/>
        <v>45748</v>
      </c>
      <c r="D470" s="310" t="s">
        <v>56</v>
      </c>
      <c r="E470" s="310" t="s">
        <v>1635</v>
      </c>
      <c r="F470" s="311">
        <v>9472230553</v>
      </c>
      <c r="G470" s="316" t="s">
        <v>6</v>
      </c>
      <c r="H470" s="316" t="s">
        <v>26</v>
      </c>
      <c r="I470" s="316" t="s">
        <v>1770</v>
      </c>
      <c r="J470" s="310" t="s">
        <v>3730</v>
      </c>
      <c r="K470" s="312">
        <v>38180</v>
      </c>
      <c r="L470" s="312">
        <v>40320</v>
      </c>
      <c r="M470" s="313">
        <f t="shared" si="45"/>
        <v>2140</v>
      </c>
      <c r="N470" s="314">
        <f t="shared" si="46"/>
        <v>0.0530753968253968</v>
      </c>
      <c r="O470" s="312">
        <v>38180</v>
      </c>
      <c r="P470" s="313">
        <f t="shared" si="42"/>
        <v>0</v>
      </c>
      <c r="Q470" s="310" t="s">
        <v>147</v>
      </c>
      <c r="R470" s="310">
        <v>475</v>
      </c>
      <c r="S470" s="310"/>
      <c r="T470" s="308">
        <v>45761</v>
      </c>
      <c r="U470" s="308">
        <v>45761</v>
      </c>
      <c r="V470" s="308"/>
      <c r="W470" s="315">
        <f t="shared" si="47"/>
        <v>3</v>
      </c>
      <c r="X470" s="310" t="s">
        <v>54</v>
      </c>
      <c r="Y470" s="310" t="s">
        <v>56</v>
      </c>
      <c r="Z470" s="316"/>
      <c r="AA470" s="316" t="s">
        <v>1755</v>
      </c>
      <c r="AB470" s="316" t="s">
        <v>1755</v>
      </c>
    </row>
    <row r="471" spans="1:28" x14ac:dyDescent="0.25">
      <c r="A471" s="307">
        <f t="shared" si="43"/>
        <v>465</v>
      </c>
      <c r="B471" s="308">
        <v>45758</v>
      </c>
      <c r="C471" s="309">
        <f t="shared" si="44"/>
        <v>45748</v>
      </c>
      <c r="D471" s="310" t="s">
        <v>56</v>
      </c>
      <c r="E471" s="310" t="s">
        <v>38</v>
      </c>
      <c r="F471" s="311">
        <v>9515412075</v>
      </c>
      <c r="G471" s="316" t="s">
        <v>1537</v>
      </c>
      <c r="H471" s="316" t="s">
        <v>26</v>
      </c>
      <c r="I471" s="316" t="s">
        <v>1778</v>
      </c>
      <c r="J471" s="310" t="s">
        <v>59</v>
      </c>
      <c r="K471" s="312">
        <v>45830</v>
      </c>
      <c r="L471" s="312">
        <v>91350</v>
      </c>
      <c r="M471" s="313">
        <f t="shared" si="45"/>
        <v>45520</v>
      </c>
      <c r="N471" s="314">
        <f t="shared" si="46"/>
        <v>0.498303229337712</v>
      </c>
      <c r="O471" s="312">
        <v>45830</v>
      </c>
      <c r="P471" s="313">
        <f t="shared" si="42"/>
        <v>0</v>
      </c>
      <c r="Q471" s="310" t="s">
        <v>147</v>
      </c>
      <c r="R471" s="310">
        <v>476</v>
      </c>
      <c r="S471" s="310"/>
      <c r="T471" s="308">
        <v>45761</v>
      </c>
      <c r="U471" s="308">
        <v>45761</v>
      </c>
      <c r="V471" s="308"/>
      <c r="W471" s="315">
        <f t="shared" si="47"/>
        <v>3</v>
      </c>
      <c r="X471" s="310" t="s">
        <v>54</v>
      </c>
      <c r="Y471" s="310" t="s">
        <v>56</v>
      </c>
      <c r="Z471" s="316"/>
      <c r="AA471" s="316" t="s">
        <v>1755</v>
      </c>
      <c r="AB471" s="316" t="s">
        <v>1755</v>
      </c>
    </row>
    <row r="472" spans="1:28" x14ac:dyDescent="0.25">
      <c r="A472" s="307">
        <f t="shared" si="43"/>
        <v>466</v>
      </c>
      <c r="B472" s="308">
        <v>45759</v>
      </c>
      <c r="C472" s="309">
        <f t="shared" si="44"/>
        <v>45748</v>
      </c>
      <c r="D472" s="310" t="s">
        <v>56</v>
      </c>
      <c r="E472" s="310" t="s">
        <v>1637</v>
      </c>
      <c r="F472" s="311">
        <v>9950016408</v>
      </c>
      <c r="G472" s="316" t="s">
        <v>6</v>
      </c>
      <c r="H472" s="316" t="s">
        <v>26</v>
      </c>
      <c r="I472" s="316" t="s">
        <v>1771</v>
      </c>
      <c r="J472" s="310" t="s">
        <v>172</v>
      </c>
      <c r="K472" s="312">
        <v>38180</v>
      </c>
      <c r="L472" s="312">
        <v>40320</v>
      </c>
      <c r="M472" s="313">
        <f t="shared" si="45"/>
        <v>2140</v>
      </c>
      <c r="N472" s="314">
        <f t="shared" si="46"/>
        <v>0.0530753968253968</v>
      </c>
      <c r="O472" s="312">
        <v>38180</v>
      </c>
      <c r="P472" s="313">
        <f t="shared" si="42"/>
        <v>0</v>
      </c>
      <c r="Q472" s="310" t="s">
        <v>147</v>
      </c>
      <c r="R472" s="310">
        <v>477</v>
      </c>
      <c r="S472" s="310"/>
      <c r="T472" s="308">
        <v>45763</v>
      </c>
      <c r="U472" s="308">
        <v>45763</v>
      </c>
      <c r="V472" s="308"/>
      <c r="W472" s="315">
        <f t="shared" si="47"/>
        <v>4</v>
      </c>
      <c r="X472" s="310" t="s">
        <v>54</v>
      </c>
      <c r="Y472" s="310" t="s">
        <v>56</v>
      </c>
      <c r="Z472" s="316"/>
      <c r="AA472" s="316" t="s">
        <v>1811</v>
      </c>
      <c r="AB472" s="316" t="s">
        <v>1811</v>
      </c>
    </row>
    <row r="473" spans="1:28" x14ac:dyDescent="0.25">
      <c r="A473" s="307">
        <f t="shared" si="43"/>
        <v>467</v>
      </c>
      <c r="B473" s="308">
        <v>45760</v>
      </c>
      <c r="C473" s="309">
        <f t="shared" si="44"/>
        <v>45748</v>
      </c>
      <c r="D473" s="310" t="s">
        <v>56</v>
      </c>
      <c r="E473" s="310" t="s">
        <v>60</v>
      </c>
      <c r="F473" s="311">
        <v>9220186371</v>
      </c>
      <c r="G473" s="316" t="s">
        <v>6</v>
      </c>
      <c r="H473" s="316" t="s">
        <v>1772</v>
      </c>
      <c r="I473" s="316" t="s">
        <v>1773</v>
      </c>
      <c r="J473" s="310" t="s">
        <v>172</v>
      </c>
      <c r="K473" s="312">
        <v>39120</v>
      </c>
      <c r="L473" s="312">
        <v>46620</v>
      </c>
      <c r="M473" s="313">
        <f t="shared" si="45"/>
        <v>7500</v>
      </c>
      <c r="N473" s="314">
        <f t="shared" si="46"/>
        <v>0.160875160875161</v>
      </c>
      <c r="O473" s="312">
        <v>39120</v>
      </c>
      <c r="P473" s="313">
        <f t="shared" si="42"/>
        <v>0</v>
      </c>
      <c r="Q473" s="310" t="s">
        <v>147</v>
      </c>
      <c r="R473" s="310">
        <v>478</v>
      </c>
      <c r="S473" s="310"/>
      <c r="T473" s="308">
        <v>45763</v>
      </c>
      <c r="U473" s="308">
        <v>45763</v>
      </c>
      <c r="V473" s="308"/>
      <c r="W473" s="315">
        <f t="shared" si="47"/>
        <v>3</v>
      </c>
      <c r="X473" s="310" t="s">
        <v>54</v>
      </c>
      <c r="Y473" s="310" t="s">
        <v>56</v>
      </c>
      <c r="Z473" s="316"/>
      <c r="AA473" s="316" t="s">
        <v>1811</v>
      </c>
      <c r="AB473" s="316" t="s">
        <v>1811</v>
      </c>
    </row>
    <row r="474" spans="1:28" x14ac:dyDescent="0.25">
      <c r="A474" s="307">
        <f t="shared" si="43"/>
        <v>468</v>
      </c>
      <c r="B474" s="308">
        <v>45760</v>
      </c>
      <c r="C474" s="309">
        <f t="shared" si="44"/>
        <v>45748</v>
      </c>
      <c r="D474" s="310" t="s">
        <v>56</v>
      </c>
      <c r="E474" s="310" t="s">
        <v>1644</v>
      </c>
      <c r="F474" s="311">
        <v>9902798068</v>
      </c>
      <c r="G474" s="316" t="s">
        <v>1093</v>
      </c>
      <c r="H474" s="316" t="s">
        <v>26</v>
      </c>
      <c r="I474" s="316" t="s">
        <v>1775</v>
      </c>
      <c r="J474" s="310" t="s">
        <v>172</v>
      </c>
      <c r="K474" s="312">
        <v>46590</v>
      </c>
      <c r="L474" s="312">
        <v>96390</v>
      </c>
      <c r="M474" s="313">
        <f t="shared" si="45"/>
        <v>49800</v>
      </c>
      <c r="N474" s="314">
        <f t="shared" si="46"/>
        <v>0.516651104886399</v>
      </c>
      <c r="O474" s="312">
        <v>46590</v>
      </c>
      <c r="P474" s="313">
        <f t="shared" si="42"/>
        <v>0</v>
      </c>
      <c r="Q474" s="310" t="s">
        <v>147</v>
      </c>
      <c r="R474" s="310">
        <v>479</v>
      </c>
      <c r="S474" s="310"/>
      <c r="T474" s="308">
        <v>45762</v>
      </c>
      <c r="U474" s="308">
        <v>45762</v>
      </c>
      <c r="V474" s="308"/>
      <c r="W474" s="315">
        <f t="shared" si="47"/>
        <v>2</v>
      </c>
      <c r="X474" s="310" t="s">
        <v>54</v>
      </c>
      <c r="Y474" s="310" t="s">
        <v>56</v>
      </c>
      <c r="Z474" s="316"/>
      <c r="AA474" s="316" t="s">
        <v>1805</v>
      </c>
      <c r="AB474" s="316" t="s">
        <v>1805</v>
      </c>
    </row>
    <row r="475" spans="1:28" x14ac:dyDescent="0.25">
      <c r="A475" s="307">
        <f t="shared" si="43"/>
        <v>469</v>
      </c>
      <c r="B475" s="308">
        <v>45761</v>
      </c>
      <c r="C475" s="309">
        <f t="shared" si="44"/>
        <v>45748</v>
      </c>
      <c r="D475" s="310" t="s">
        <v>56</v>
      </c>
      <c r="E475" s="310" t="s">
        <v>38</v>
      </c>
      <c r="F475" s="311">
        <v>9515412075</v>
      </c>
      <c r="G475" s="316" t="s">
        <v>6</v>
      </c>
      <c r="H475" s="316" t="s">
        <v>1826</v>
      </c>
      <c r="I475" s="316" t="s">
        <v>1827</v>
      </c>
      <c r="J475" s="310" t="s">
        <v>59</v>
      </c>
      <c r="K475" s="312">
        <v>38890</v>
      </c>
      <c r="L475" s="312">
        <v>45040</v>
      </c>
      <c r="M475" s="313">
        <f t="shared" si="45"/>
        <v>6150</v>
      </c>
      <c r="N475" s="314">
        <f t="shared" si="46"/>
        <v>0.136545293072824</v>
      </c>
      <c r="O475" s="312">
        <v>38890</v>
      </c>
      <c r="P475" s="313">
        <f t="shared" si="42"/>
        <v>0</v>
      </c>
      <c r="Q475" s="310" t="s">
        <v>147</v>
      </c>
      <c r="R475" s="310">
        <v>480</v>
      </c>
      <c r="S475" s="310"/>
      <c r="T475" s="308">
        <v>45764</v>
      </c>
      <c r="U475" s="308">
        <v>45765</v>
      </c>
      <c r="V475" s="308"/>
      <c r="W475" s="315">
        <f t="shared" si="47"/>
        <v>4</v>
      </c>
      <c r="X475" s="310" t="s">
        <v>54</v>
      </c>
      <c r="Y475" s="310" t="s">
        <v>56</v>
      </c>
      <c r="Z475" s="316"/>
      <c r="AA475" s="316" t="s">
        <v>1812</v>
      </c>
      <c r="AB475" s="316" t="s">
        <v>1813</v>
      </c>
    </row>
    <row r="476" spans="1:28" x14ac:dyDescent="0.25">
      <c r="A476" s="307">
        <f t="shared" si="43"/>
        <v>470</v>
      </c>
      <c r="B476" s="308">
        <v>45761</v>
      </c>
      <c r="C476" s="309">
        <f t="shared" si="44"/>
        <v>45748</v>
      </c>
      <c r="D476" s="310" t="s">
        <v>51</v>
      </c>
      <c r="E476" s="310" t="s">
        <v>1804</v>
      </c>
      <c r="F476" s="311">
        <v>9501216636</v>
      </c>
      <c r="G476" s="316" t="s">
        <v>6</v>
      </c>
      <c r="H476" s="316" t="s">
        <v>26</v>
      </c>
      <c r="I476" s="316" t="s">
        <v>1828</v>
      </c>
      <c r="J476" s="310" t="s">
        <v>172</v>
      </c>
      <c r="K476" s="312">
        <v>31750</v>
      </c>
      <c r="L476" s="312">
        <v>40320</v>
      </c>
      <c r="M476" s="313">
        <f t="shared" si="45"/>
        <v>8570</v>
      </c>
      <c r="N476" s="314">
        <f t="shared" si="46"/>
        <v>0.212549603174603</v>
      </c>
      <c r="O476" s="312">
        <v>31750</v>
      </c>
      <c r="P476" s="313">
        <f t="shared" si="42"/>
        <v>0</v>
      </c>
      <c r="Q476" s="310" t="s">
        <v>147</v>
      </c>
      <c r="R476" s="310">
        <v>481</v>
      </c>
      <c r="S476" s="310"/>
      <c r="T476" s="308">
        <v>45764</v>
      </c>
      <c r="U476" s="308">
        <v>45764</v>
      </c>
      <c r="V476" s="308"/>
      <c r="W476" s="315">
        <f t="shared" si="47"/>
        <v>3</v>
      </c>
      <c r="X476" s="310" t="s">
        <v>54</v>
      </c>
      <c r="Y476" s="310" t="s">
        <v>529</v>
      </c>
      <c r="Z476" s="316"/>
      <c r="AA476" s="316" t="s">
        <v>1812</v>
      </c>
      <c r="AB476" s="316" t="s">
        <v>1812</v>
      </c>
    </row>
    <row r="477" spans="1:28" x14ac:dyDescent="0.25">
      <c r="A477" s="307">
        <f t="shared" si="43"/>
        <v>471</v>
      </c>
      <c r="B477" s="308">
        <v>45762</v>
      </c>
      <c r="C477" s="309">
        <f t="shared" si="44"/>
        <v>45748</v>
      </c>
      <c r="D477" s="310" t="s">
        <v>56</v>
      </c>
      <c r="E477" s="310" t="s">
        <v>1635</v>
      </c>
      <c r="F477" s="311">
        <v>9472230553</v>
      </c>
      <c r="G477" s="316" t="s">
        <v>1093</v>
      </c>
      <c r="H477" s="316" t="s">
        <v>26</v>
      </c>
      <c r="I477" s="316" t="s">
        <v>1848</v>
      </c>
      <c r="J477" s="310" t="s">
        <v>172</v>
      </c>
      <c r="K477" s="312">
        <v>46590</v>
      </c>
      <c r="L477" s="312">
        <v>96390</v>
      </c>
      <c r="M477" s="313">
        <f t="shared" si="45"/>
        <v>49800</v>
      </c>
      <c r="N477" s="314">
        <f t="shared" si="46"/>
        <v>0.516651104886399</v>
      </c>
      <c r="O477" s="312">
        <v>46590</v>
      </c>
      <c r="P477" s="313">
        <f t="shared" si="42"/>
        <v>0</v>
      </c>
      <c r="Q477" s="310" t="s">
        <v>147</v>
      </c>
      <c r="R477" s="310">
        <v>482</v>
      </c>
      <c r="S477" s="310"/>
      <c r="T477" s="308">
        <v>45765</v>
      </c>
      <c r="U477" s="308">
        <v>45765</v>
      </c>
      <c r="V477" s="308"/>
      <c r="W477" s="315">
        <f t="shared" si="47"/>
        <v>3</v>
      </c>
      <c r="X477" s="310" t="s">
        <v>54</v>
      </c>
      <c r="Y477" s="310" t="s">
        <v>56</v>
      </c>
      <c r="Z477" s="316"/>
      <c r="AA477" s="316" t="s">
        <v>1813</v>
      </c>
      <c r="AB477" s="316" t="s">
        <v>1813</v>
      </c>
    </row>
    <row r="478" spans="1:28" x14ac:dyDescent="0.25">
      <c r="A478" s="307">
        <f t="shared" si="43"/>
        <v>472</v>
      </c>
      <c r="B478" s="308">
        <v>45763</v>
      </c>
      <c r="C478" s="309">
        <f t="shared" si="44"/>
        <v>45748</v>
      </c>
      <c r="D478" s="310" t="s">
        <v>56</v>
      </c>
      <c r="E478" s="310" t="s">
        <v>1644</v>
      </c>
      <c r="F478" s="311">
        <v>9902798068</v>
      </c>
      <c r="G478" s="316" t="s">
        <v>6</v>
      </c>
      <c r="H478" s="316" t="s">
        <v>1829</v>
      </c>
      <c r="I478" s="316" t="s">
        <v>1830</v>
      </c>
      <c r="J478" s="310" t="s">
        <v>1806</v>
      </c>
      <c r="K478" s="312">
        <v>39120</v>
      </c>
      <c r="L478" s="312">
        <v>46620</v>
      </c>
      <c r="M478" s="313">
        <f t="shared" si="45"/>
        <v>7500</v>
      </c>
      <c r="N478" s="314">
        <f t="shared" si="46"/>
        <v>0.160875160875161</v>
      </c>
      <c r="O478" s="312">
        <v>39120</v>
      </c>
      <c r="P478" s="313">
        <f t="shared" si="42"/>
        <v>0</v>
      </c>
      <c r="Q478" s="310" t="s">
        <v>147</v>
      </c>
      <c r="R478" s="310">
        <v>483</v>
      </c>
      <c r="S478" s="310"/>
      <c r="T478" s="308">
        <v>45765</v>
      </c>
      <c r="U478" s="308">
        <v>45765</v>
      </c>
      <c r="V478" s="308"/>
      <c r="W478" s="315">
        <f t="shared" si="47"/>
        <v>2</v>
      </c>
      <c r="X478" s="310" t="s">
        <v>54</v>
      </c>
      <c r="Y478" s="310" t="s">
        <v>56</v>
      </c>
      <c r="Z478" s="316"/>
      <c r="AA478" s="316" t="s">
        <v>1813</v>
      </c>
      <c r="AB478" s="316" t="s">
        <v>1813</v>
      </c>
    </row>
    <row r="479" spans="1:28" x14ac:dyDescent="0.25">
      <c r="A479" s="307">
        <f t="shared" si="43"/>
        <v>473</v>
      </c>
      <c r="B479" s="308">
        <v>45763</v>
      </c>
      <c r="C479" s="309">
        <f t="shared" si="44"/>
        <v>45748</v>
      </c>
      <c r="D479" s="310" t="s">
        <v>51</v>
      </c>
      <c r="E479" s="310" t="s">
        <v>1559</v>
      </c>
      <c r="F479" s="311">
        <v>9717182270</v>
      </c>
      <c r="G479" s="316" t="s">
        <v>6</v>
      </c>
      <c r="H479" s="316" t="s">
        <v>1831</v>
      </c>
      <c r="I479" s="316" t="s">
        <v>1832</v>
      </c>
      <c r="J479" s="310" t="s">
        <v>172</v>
      </c>
      <c r="K479" s="312">
        <v>33230</v>
      </c>
      <c r="L479" s="312">
        <v>46620</v>
      </c>
      <c r="M479" s="313">
        <f t="shared" si="45"/>
        <v>13390</v>
      </c>
      <c r="N479" s="314">
        <f t="shared" si="46"/>
        <v>0.287215787215787</v>
      </c>
      <c r="O479" s="312">
        <v>33230</v>
      </c>
      <c r="P479" s="313">
        <f t="shared" si="42"/>
        <v>0</v>
      </c>
      <c r="Q479" s="310" t="s">
        <v>147</v>
      </c>
      <c r="R479" s="310">
        <v>484</v>
      </c>
      <c r="S479" s="310"/>
      <c r="T479" s="308">
        <v>45768</v>
      </c>
      <c r="U479" s="308">
        <v>45768</v>
      </c>
      <c r="V479" s="308"/>
      <c r="W479" s="315">
        <f t="shared" si="47"/>
        <v>5</v>
      </c>
      <c r="X479" s="310" t="s">
        <v>54</v>
      </c>
      <c r="Y479" s="310" t="s">
        <v>529</v>
      </c>
      <c r="Z479" s="316"/>
      <c r="AA479" s="316" t="s">
        <v>1817</v>
      </c>
      <c r="AB479" s="316" t="s">
        <v>1817</v>
      </c>
    </row>
    <row r="480" spans="1:28" x14ac:dyDescent="0.25">
      <c r="A480" s="307">
        <f t="shared" si="43"/>
        <v>474</v>
      </c>
      <c r="B480" s="308">
        <v>45764</v>
      </c>
      <c r="C480" s="309">
        <f t="shared" si="44"/>
        <v>45748</v>
      </c>
      <c r="D480" s="310" t="s">
        <v>56</v>
      </c>
      <c r="E480" s="310" t="s">
        <v>1641</v>
      </c>
      <c r="F480" s="311">
        <v>9281983602</v>
      </c>
      <c r="G480" s="316" t="s">
        <v>1093</v>
      </c>
      <c r="H480" s="316" t="s">
        <v>26</v>
      </c>
      <c r="I480" s="316" t="s">
        <v>1849</v>
      </c>
      <c r="J480" s="310" t="s">
        <v>172</v>
      </c>
      <c r="K480" s="312">
        <v>46590</v>
      </c>
      <c r="L480" s="312">
        <v>96390</v>
      </c>
      <c r="M480" s="313">
        <f t="shared" si="45"/>
        <v>49800</v>
      </c>
      <c r="N480" s="314">
        <f t="shared" si="46"/>
        <v>0.516651104886399</v>
      </c>
      <c r="O480" s="312">
        <v>46590</v>
      </c>
      <c r="P480" s="313">
        <f t="shared" si="42"/>
        <v>0</v>
      </c>
      <c r="Q480" s="310" t="s">
        <v>147</v>
      </c>
      <c r="R480" s="310">
        <v>485</v>
      </c>
      <c r="S480" s="310"/>
      <c r="T480" s="308">
        <v>45766</v>
      </c>
      <c r="U480" s="308">
        <v>45766</v>
      </c>
      <c r="V480" s="308"/>
      <c r="W480" s="315">
        <f t="shared" si="47"/>
        <v>2</v>
      </c>
      <c r="X480" s="310" t="s">
        <v>54</v>
      </c>
      <c r="Y480" s="310" t="s">
        <v>56</v>
      </c>
      <c r="Z480" s="316"/>
      <c r="AA480" s="316" t="s">
        <v>1814</v>
      </c>
      <c r="AB480" s="316" t="s">
        <v>1814</v>
      </c>
    </row>
    <row r="481" spans="1:28" x14ac:dyDescent="0.25">
      <c r="A481" s="307">
        <f t="shared" si="43"/>
        <v>475</v>
      </c>
      <c r="B481" s="308">
        <v>45765</v>
      </c>
      <c r="C481" s="309">
        <f t="shared" si="44"/>
        <v>45748</v>
      </c>
      <c r="D481" s="310" t="s">
        <v>56</v>
      </c>
      <c r="E481" s="310" t="s">
        <v>1635</v>
      </c>
      <c r="F481" s="311">
        <v>9472230553</v>
      </c>
      <c r="G481" s="316" t="s">
        <v>6</v>
      </c>
      <c r="H481" s="316" t="s">
        <v>1833</v>
      </c>
      <c r="I481" s="316" t="s">
        <v>1834</v>
      </c>
      <c r="J481" s="310" t="s">
        <v>172</v>
      </c>
      <c r="K481" s="312">
        <v>39120</v>
      </c>
      <c r="L481" s="312">
        <v>46620</v>
      </c>
      <c r="M481" s="313">
        <f t="shared" si="45"/>
        <v>7500</v>
      </c>
      <c r="N481" s="314">
        <f t="shared" si="46"/>
        <v>0.160875160875161</v>
      </c>
      <c r="O481" s="312">
        <v>39120</v>
      </c>
      <c r="P481" s="313">
        <f t="shared" si="42"/>
        <v>0</v>
      </c>
      <c r="Q481" s="310" t="s">
        <v>147</v>
      </c>
      <c r="R481" s="310">
        <v>486</v>
      </c>
      <c r="S481" s="310"/>
      <c r="T481" s="308">
        <v>45768</v>
      </c>
      <c r="U481" s="308">
        <v>45768</v>
      </c>
      <c r="V481" s="308"/>
      <c r="W481" s="315">
        <f t="shared" si="47"/>
        <v>3</v>
      </c>
      <c r="X481" s="310" t="s">
        <v>54</v>
      </c>
      <c r="Y481" s="310" t="s">
        <v>56</v>
      </c>
      <c r="Z481" s="316"/>
      <c r="AA481" s="316" t="s">
        <v>1817</v>
      </c>
      <c r="AB481" s="316" t="s">
        <v>1817</v>
      </c>
    </row>
    <row r="482" spans="1:28" x14ac:dyDescent="0.25">
      <c r="A482" s="307">
        <f t="shared" si="43"/>
        <v>476</v>
      </c>
      <c r="B482" s="308">
        <v>45765</v>
      </c>
      <c r="C482" s="309">
        <f t="shared" si="44"/>
        <v>45748</v>
      </c>
      <c r="D482" s="310" t="s">
        <v>51</v>
      </c>
      <c r="E482" s="310" t="s">
        <v>1807</v>
      </c>
      <c r="F482" s="311">
        <v>9079688527</v>
      </c>
      <c r="G482" s="316" t="s">
        <v>6</v>
      </c>
      <c r="H482" s="316" t="s">
        <v>26</v>
      </c>
      <c r="I482" s="316" t="s">
        <v>1835</v>
      </c>
      <c r="J482" s="310" t="s">
        <v>172</v>
      </c>
      <c r="K482" s="312">
        <v>31750</v>
      </c>
      <c r="L482" s="312">
        <v>40320</v>
      </c>
      <c r="M482" s="313">
        <f t="shared" si="45"/>
        <v>8570</v>
      </c>
      <c r="N482" s="314">
        <f t="shared" si="46"/>
        <v>0.212549603174603</v>
      </c>
      <c r="O482" s="312">
        <v>31750</v>
      </c>
      <c r="P482" s="313">
        <f t="shared" si="42"/>
        <v>0</v>
      </c>
      <c r="Q482" s="310" t="s">
        <v>147</v>
      </c>
      <c r="R482" s="310">
        <v>487</v>
      </c>
      <c r="S482" s="310"/>
      <c r="T482" s="308">
        <v>45768</v>
      </c>
      <c r="U482" s="308">
        <v>45768</v>
      </c>
      <c r="V482" s="308"/>
      <c r="W482" s="315">
        <f t="shared" si="47"/>
        <v>3</v>
      </c>
      <c r="X482" s="310" t="s">
        <v>54</v>
      </c>
      <c r="Y482" s="310" t="s">
        <v>529</v>
      </c>
      <c r="Z482" s="316"/>
      <c r="AA482" s="316" t="s">
        <v>1817</v>
      </c>
      <c r="AB482" s="316" t="s">
        <v>1817</v>
      </c>
    </row>
    <row r="483" spans="1:28" x14ac:dyDescent="0.25">
      <c r="A483" s="307">
        <f t="shared" si="43"/>
        <v>477</v>
      </c>
      <c r="B483" s="308">
        <v>45765</v>
      </c>
      <c r="C483" s="309">
        <f t="shared" si="44"/>
        <v>45748</v>
      </c>
      <c r="D483" s="310" t="s">
        <v>56</v>
      </c>
      <c r="E483" s="310" t="s">
        <v>1637</v>
      </c>
      <c r="F483" s="311">
        <v>9950016408</v>
      </c>
      <c r="G483" s="316" t="s">
        <v>1093</v>
      </c>
      <c r="H483" s="316" t="s">
        <v>26</v>
      </c>
      <c r="I483" s="316" t="s">
        <v>1853</v>
      </c>
      <c r="J483" s="310" t="s">
        <v>172</v>
      </c>
      <c r="K483" s="312">
        <v>46590</v>
      </c>
      <c r="L483" s="312">
        <v>96390</v>
      </c>
      <c r="M483" s="313">
        <f t="shared" si="45"/>
        <v>49800</v>
      </c>
      <c r="N483" s="314">
        <f t="shared" si="46"/>
        <v>0.516651104886399</v>
      </c>
      <c r="O483" s="312">
        <v>46590</v>
      </c>
      <c r="P483" s="313">
        <f t="shared" si="42"/>
        <v>0</v>
      </c>
      <c r="Q483" s="310" t="s">
        <v>147</v>
      </c>
      <c r="R483" s="310">
        <v>488</v>
      </c>
      <c r="S483" s="310"/>
      <c r="T483" s="308">
        <v>45768</v>
      </c>
      <c r="U483" s="308">
        <v>45768</v>
      </c>
      <c r="V483" s="308"/>
      <c r="W483" s="315">
        <f t="shared" si="47"/>
        <v>3</v>
      </c>
      <c r="X483" s="310" t="s">
        <v>54</v>
      </c>
      <c r="Y483" s="310" t="s">
        <v>56</v>
      </c>
      <c r="Z483" s="316"/>
      <c r="AA483" s="316" t="s">
        <v>1817</v>
      </c>
      <c r="AB483" s="316" t="s">
        <v>1817</v>
      </c>
    </row>
    <row r="484" spans="1:28" x14ac:dyDescent="0.25">
      <c r="A484" s="307">
        <f t="shared" si="43"/>
        <v>478</v>
      </c>
      <c r="B484" s="308">
        <v>45765</v>
      </c>
      <c r="C484" s="309">
        <f t="shared" si="44"/>
        <v>45748</v>
      </c>
      <c r="D484" s="310" t="s">
        <v>56</v>
      </c>
      <c r="E484" s="310" t="s">
        <v>1644</v>
      </c>
      <c r="F484" s="311">
        <v>9902798068</v>
      </c>
      <c r="G484" s="316" t="s">
        <v>1810</v>
      </c>
      <c r="H484" s="316" t="s">
        <v>26</v>
      </c>
      <c r="I484" s="316" t="s">
        <v>1542</v>
      </c>
      <c r="J484" s="310" t="s">
        <v>172</v>
      </c>
      <c r="K484" s="312">
        <v>39220</v>
      </c>
      <c r="L484" s="312">
        <v>47250</v>
      </c>
      <c r="M484" s="313">
        <f t="shared" si="45"/>
        <v>8030</v>
      </c>
      <c r="N484" s="314">
        <f t="shared" si="46"/>
        <v>0.16994708994709</v>
      </c>
      <c r="O484" s="312">
        <v>39220</v>
      </c>
      <c r="P484" s="313">
        <f t="shared" si="42"/>
        <v>0</v>
      </c>
      <c r="Q484" s="310" t="s">
        <v>147</v>
      </c>
      <c r="R484" s="310" t="s">
        <v>26</v>
      </c>
      <c r="S484" s="310"/>
      <c r="T484" s="308">
        <v>45768</v>
      </c>
      <c r="U484" s="308">
        <v>45768</v>
      </c>
      <c r="V484" s="308"/>
      <c r="W484" s="315">
        <f t="shared" si="47"/>
        <v>3</v>
      </c>
      <c r="X484" s="310" t="s">
        <v>54</v>
      </c>
      <c r="Y484" s="310" t="s">
        <v>56</v>
      </c>
      <c r="Z484" s="316" t="s">
        <v>1819</v>
      </c>
      <c r="AA484" s="316" t="s">
        <v>1817</v>
      </c>
      <c r="AB484" s="316" t="s">
        <v>1817</v>
      </c>
    </row>
    <row r="485" spans="1:28" x14ac:dyDescent="0.25">
      <c r="A485" s="307">
        <f t="shared" si="43"/>
        <v>479</v>
      </c>
      <c r="B485" s="308">
        <v>45766</v>
      </c>
      <c r="C485" s="309">
        <f t="shared" si="44"/>
        <v>45748</v>
      </c>
      <c r="D485" s="310" t="s">
        <v>56</v>
      </c>
      <c r="E485" s="310" t="s">
        <v>38</v>
      </c>
      <c r="F485" s="311">
        <v>9515412075</v>
      </c>
      <c r="G485" s="316" t="s">
        <v>1093</v>
      </c>
      <c r="H485" s="316" t="s">
        <v>26</v>
      </c>
      <c r="I485" s="316" t="s">
        <v>1852</v>
      </c>
      <c r="J485" s="310" t="s">
        <v>59</v>
      </c>
      <c r="K485" s="312">
        <v>45830</v>
      </c>
      <c r="L485" s="312">
        <v>91350</v>
      </c>
      <c r="M485" s="313">
        <f t="shared" si="45"/>
        <v>45520</v>
      </c>
      <c r="N485" s="314">
        <f t="shared" si="46"/>
        <v>0.498303229337712</v>
      </c>
      <c r="O485" s="312">
        <v>45830</v>
      </c>
      <c r="P485" s="313">
        <f t="shared" si="42"/>
        <v>0</v>
      </c>
      <c r="Q485" s="310" t="s">
        <v>147</v>
      </c>
      <c r="R485" s="310">
        <v>489</v>
      </c>
      <c r="S485" s="310"/>
      <c r="T485" s="308">
        <v>45769</v>
      </c>
      <c r="U485" s="308">
        <v>45769</v>
      </c>
      <c r="V485" s="308"/>
      <c r="W485" s="315">
        <f t="shared" si="47"/>
        <v>3</v>
      </c>
      <c r="X485" s="310" t="s">
        <v>54</v>
      </c>
      <c r="Y485" s="310" t="s">
        <v>56</v>
      </c>
      <c r="Z485" s="316"/>
      <c r="AA485" s="316" t="s">
        <v>1818</v>
      </c>
      <c r="AB485" s="316" t="s">
        <v>1818</v>
      </c>
    </row>
    <row r="486" spans="1:28" x14ac:dyDescent="0.25">
      <c r="A486" s="307">
        <f t="shared" si="43"/>
        <v>480</v>
      </c>
      <c r="B486" s="308">
        <v>45766</v>
      </c>
      <c r="C486" s="309">
        <f t="shared" si="44"/>
        <v>45748</v>
      </c>
      <c r="D486" s="310" t="s">
        <v>56</v>
      </c>
      <c r="E486" s="310" t="s">
        <v>60</v>
      </c>
      <c r="F486" s="311">
        <v>9220186371</v>
      </c>
      <c r="G486" s="316" t="s">
        <v>1093</v>
      </c>
      <c r="H486" s="316" t="s">
        <v>1850</v>
      </c>
      <c r="I486" s="316" t="s">
        <v>1851</v>
      </c>
      <c r="J486" s="310" t="s">
        <v>172</v>
      </c>
      <c r="K486" s="312">
        <v>47530</v>
      </c>
      <c r="L486" s="312">
        <v>102690</v>
      </c>
      <c r="M486" s="313">
        <f t="shared" si="45"/>
        <v>55160</v>
      </c>
      <c r="N486" s="314">
        <f t="shared" si="46"/>
        <v>0.537150647580096</v>
      </c>
      <c r="O486" s="312">
        <v>47530</v>
      </c>
      <c r="P486" s="313">
        <f t="shared" si="42"/>
        <v>0</v>
      </c>
      <c r="Q486" s="310" t="s">
        <v>147</v>
      </c>
      <c r="R486" s="310">
        <v>490</v>
      </c>
      <c r="S486" s="310"/>
      <c r="T486" s="308">
        <v>45769</v>
      </c>
      <c r="U486" s="308">
        <v>45769</v>
      </c>
      <c r="V486" s="308"/>
      <c r="W486" s="315">
        <f t="shared" si="47"/>
        <v>3</v>
      </c>
      <c r="X486" s="310" t="s">
        <v>54</v>
      </c>
      <c r="Y486" s="310" t="s">
        <v>56</v>
      </c>
      <c r="Z486" s="316"/>
      <c r="AA486" s="316" t="s">
        <v>1818</v>
      </c>
      <c r="AB486" s="316" t="s">
        <v>1818</v>
      </c>
    </row>
    <row r="487" spans="1:28" x14ac:dyDescent="0.25">
      <c r="A487" s="307">
        <f t="shared" si="43"/>
        <v>481</v>
      </c>
      <c r="B487" s="308">
        <v>45767</v>
      </c>
      <c r="C487" s="309">
        <f t="shared" si="44"/>
        <v>45748</v>
      </c>
      <c r="D487" s="310" t="s">
        <v>56</v>
      </c>
      <c r="E487" s="310" t="s">
        <v>1641</v>
      </c>
      <c r="F487" s="311">
        <v>9281983602</v>
      </c>
      <c r="G487" s="316" t="s">
        <v>6</v>
      </c>
      <c r="H487" s="316" t="s">
        <v>1836</v>
      </c>
      <c r="I487" s="316" t="s">
        <v>1837</v>
      </c>
      <c r="J487" s="310" t="s">
        <v>172</v>
      </c>
      <c r="K487" s="312">
        <v>39120</v>
      </c>
      <c r="L487" s="312">
        <v>46620</v>
      </c>
      <c r="M487" s="313">
        <f t="shared" si="45"/>
        <v>7500</v>
      </c>
      <c r="N487" s="314">
        <f t="shared" si="46"/>
        <v>0.160875160875161</v>
      </c>
      <c r="O487" s="312">
        <v>39120</v>
      </c>
      <c r="P487" s="313">
        <f t="shared" si="42"/>
        <v>0</v>
      </c>
      <c r="Q487" s="310" t="s">
        <v>147</v>
      </c>
      <c r="R487" s="310">
        <v>491</v>
      </c>
      <c r="S487" s="310"/>
      <c r="T487" s="308">
        <v>45769</v>
      </c>
      <c r="U487" s="308">
        <v>45769</v>
      </c>
      <c r="V487" s="308"/>
      <c r="W487" s="315">
        <f t="shared" si="47"/>
        <v>2</v>
      </c>
      <c r="X487" s="310" t="s">
        <v>54</v>
      </c>
      <c r="Y487" s="310" t="s">
        <v>56</v>
      </c>
      <c r="Z487" s="316"/>
      <c r="AA487" s="316" t="s">
        <v>1818</v>
      </c>
      <c r="AB487" s="316" t="s">
        <v>1818</v>
      </c>
    </row>
    <row r="488" spans="1:28" x14ac:dyDescent="0.25">
      <c r="A488" s="307">
        <f t="shared" si="43"/>
        <v>482</v>
      </c>
      <c r="B488" s="308">
        <v>45768</v>
      </c>
      <c r="C488" s="309">
        <f t="shared" si="44"/>
        <v>45748</v>
      </c>
      <c r="D488" s="310" t="s">
        <v>56</v>
      </c>
      <c r="E488" s="310" t="s">
        <v>1635</v>
      </c>
      <c r="F488" s="311">
        <v>9472230553</v>
      </c>
      <c r="G488" s="316" t="s">
        <v>41</v>
      </c>
      <c r="H488" s="316" t="s">
        <v>26</v>
      </c>
      <c r="I488" s="316" t="s">
        <v>1816</v>
      </c>
      <c r="J488" s="310" t="s">
        <v>172</v>
      </c>
      <c r="K488" s="312">
        <v>45170</v>
      </c>
      <c r="L488" s="312">
        <v>54810</v>
      </c>
      <c r="M488" s="313">
        <f t="shared" si="45"/>
        <v>9640</v>
      </c>
      <c r="N488" s="314">
        <f t="shared" si="46"/>
        <v>0.175880313811348</v>
      </c>
      <c r="O488" s="312">
        <v>45170</v>
      </c>
      <c r="P488" s="313">
        <f t="shared" si="42"/>
        <v>0</v>
      </c>
      <c r="Q488" s="310" t="s">
        <v>147</v>
      </c>
      <c r="R488" s="310" t="s">
        <v>26</v>
      </c>
      <c r="S488" s="310"/>
      <c r="T488" s="308">
        <v>45770</v>
      </c>
      <c r="U488" s="308">
        <v>45770</v>
      </c>
      <c r="V488" s="308"/>
      <c r="W488" s="315">
        <f t="shared" si="47"/>
        <v>2</v>
      </c>
      <c r="X488" s="310" t="s">
        <v>54</v>
      </c>
      <c r="Y488" s="310" t="s">
        <v>56</v>
      </c>
      <c r="Z488" s="316" t="s">
        <v>3770</v>
      </c>
      <c r="AA488" s="316" t="s">
        <v>1822</v>
      </c>
      <c r="AB488" s="316" t="s">
        <v>1822</v>
      </c>
    </row>
    <row r="489" spans="1:28" x14ac:dyDescent="0.25">
      <c r="A489" s="307">
        <f t="shared" si="43"/>
        <v>483</v>
      </c>
      <c r="B489" s="308">
        <v>45768</v>
      </c>
      <c r="C489" s="309">
        <f t="shared" si="44"/>
        <v>45748</v>
      </c>
      <c r="D489" s="310" t="s">
        <v>56</v>
      </c>
      <c r="E489" s="310" t="s">
        <v>1637</v>
      </c>
      <c r="F489" s="311">
        <v>9950016408</v>
      </c>
      <c r="G489" s="316" t="s">
        <v>6</v>
      </c>
      <c r="H489" s="316" t="s">
        <v>1838</v>
      </c>
      <c r="I489" s="316" t="s">
        <v>1839</v>
      </c>
      <c r="J489" s="310" t="s">
        <v>172</v>
      </c>
      <c r="K489" s="312">
        <v>39120</v>
      </c>
      <c r="L489" s="312">
        <v>46620</v>
      </c>
      <c r="M489" s="313">
        <f t="shared" si="45"/>
        <v>7500</v>
      </c>
      <c r="N489" s="314">
        <f t="shared" si="46"/>
        <v>0.160875160875161</v>
      </c>
      <c r="O489" s="312">
        <v>39120</v>
      </c>
      <c r="P489" s="313">
        <f t="shared" si="42"/>
        <v>0</v>
      </c>
      <c r="Q489" s="310" t="s">
        <v>147</v>
      </c>
      <c r="R489" s="310">
        <v>492</v>
      </c>
      <c r="S489" s="310"/>
      <c r="T489" s="308">
        <v>45771</v>
      </c>
      <c r="U489" s="308">
        <v>45771</v>
      </c>
      <c r="V489" s="308"/>
      <c r="W489" s="315">
        <f t="shared" si="47"/>
        <v>3</v>
      </c>
      <c r="X489" s="310" t="s">
        <v>54</v>
      </c>
      <c r="Y489" s="310" t="s">
        <v>56</v>
      </c>
      <c r="Z489" s="316"/>
      <c r="AA489" s="316" t="s">
        <v>1823</v>
      </c>
      <c r="AB489" s="316" t="s">
        <v>1823</v>
      </c>
    </row>
    <row r="490" spans="1:28" x14ac:dyDescent="0.25">
      <c r="A490" s="307">
        <f t="shared" si="43"/>
        <v>484</v>
      </c>
      <c r="B490" s="308">
        <v>45769</v>
      </c>
      <c r="C490" s="309">
        <f t="shared" si="44"/>
        <v>45748</v>
      </c>
      <c r="D490" s="310" t="s">
        <v>56</v>
      </c>
      <c r="E490" s="310" t="s">
        <v>1644</v>
      </c>
      <c r="F490" s="311">
        <v>9902798068</v>
      </c>
      <c r="G490" s="316" t="s">
        <v>6</v>
      </c>
      <c r="H490" s="316" t="s">
        <v>1840</v>
      </c>
      <c r="I490" s="316" t="s">
        <v>1841</v>
      </c>
      <c r="J490" s="310" t="s">
        <v>172</v>
      </c>
      <c r="K490" s="312">
        <v>39120</v>
      </c>
      <c r="L490" s="312">
        <v>46620</v>
      </c>
      <c r="M490" s="313">
        <f t="shared" si="45"/>
        <v>7500</v>
      </c>
      <c r="N490" s="314">
        <f t="shared" si="46"/>
        <v>0.160875160875161</v>
      </c>
      <c r="O490" s="312">
        <v>39120</v>
      </c>
      <c r="P490" s="313">
        <f t="shared" si="42"/>
        <v>0</v>
      </c>
      <c r="Q490" s="310" t="s">
        <v>147</v>
      </c>
      <c r="R490" s="310">
        <v>493</v>
      </c>
      <c r="S490" s="310"/>
      <c r="T490" s="308">
        <v>45772</v>
      </c>
      <c r="U490" s="308">
        <v>45772</v>
      </c>
      <c r="V490" s="308"/>
      <c r="W490" s="315">
        <f t="shared" si="47"/>
        <v>3</v>
      </c>
      <c r="X490" s="310" t="s">
        <v>54</v>
      </c>
      <c r="Y490" s="310" t="s">
        <v>56</v>
      </c>
      <c r="Z490" s="316"/>
      <c r="AA490" s="316" t="s">
        <v>1824</v>
      </c>
      <c r="AB490" s="316" t="s">
        <v>1824</v>
      </c>
    </row>
    <row r="491" spans="1:28" x14ac:dyDescent="0.25">
      <c r="A491" s="307">
        <f t="shared" si="43"/>
        <v>485</v>
      </c>
      <c r="B491" s="308">
        <v>45769</v>
      </c>
      <c r="C491" s="309">
        <f t="shared" si="44"/>
        <v>45748</v>
      </c>
      <c r="D491" s="310" t="s">
        <v>56</v>
      </c>
      <c r="E491" s="310" t="s">
        <v>60</v>
      </c>
      <c r="F491" s="311">
        <v>9220186371</v>
      </c>
      <c r="G491" s="316" t="s">
        <v>6</v>
      </c>
      <c r="H491" s="316" t="s">
        <v>1842</v>
      </c>
      <c r="I491" s="316" t="s">
        <v>1843</v>
      </c>
      <c r="J491" s="310" t="s">
        <v>172</v>
      </c>
      <c r="K491" s="312">
        <v>39120</v>
      </c>
      <c r="L491" s="312">
        <v>46620</v>
      </c>
      <c r="M491" s="313">
        <f t="shared" si="45"/>
        <v>7500</v>
      </c>
      <c r="N491" s="314">
        <f t="shared" si="46"/>
        <v>0.160875160875161</v>
      </c>
      <c r="O491" s="312">
        <v>39120</v>
      </c>
      <c r="P491" s="313">
        <f t="shared" si="42"/>
        <v>0</v>
      </c>
      <c r="Q491" s="310" t="s">
        <v>147</v>
      </c>
      <c r="R491" s="310">
        <v>494</v>
      </c>
      <c r="S491" s="310"/>
      <c r="T491" s="308">
        <v>45772</v>
      </c>
      <c r="U491" s="308">
        <v>45772</v>
      </c>
      <c r="V491" s="308"/>
      <c r="W491" s="315">
        <f t="shared" si="47"/>
        <v>3</v>
      </c>
      <c r="X491" s="310" t="s">
        <v>54</v>
      </c>
      <c r="Y491" s="310" t="s">
        <v>56</v>
      </c>
      <c r="Z491" s="316"/>
      <c r="AA491" s="316" t="s">
        <v>1824</v>
      </c>
      <c r="AB491" s="316" t="s">
        <v>1824</v>
      </c>
    </row>
    <row r="492" spans="1:28" x14ac:dyDescent="0.25">
      <c r="A492" s="307">
        <f t="shared" si="43"/>
        <v>486</v>
      </c>
      <c r="B492" s="308">
        <v>45770</v>
      </c>
      <c r="C492" s="309">
        <f t="shared" si="44"/>
        <v>45748</v>
      </c>
      <c r="D492" s="310" t="s">
        <v>56</v>
      </c>
      <c r="E492" s="310" t="s">
        <v>38</v>
      </c>
      <c r="F492" s="311">
        <v>9515412075</v>
      </c>
      <c r="G492" s="316" t="s">
        <v>6</v>
      </c>
      <c r="H492" s="316" t="s">
        <v>26</v>
      </c>
      <c r="I492" s="316" t="s">
        <v>1844</v>
      </c>
      <c r="J492" s="310" t="s">
        <v>59</v>
      </c>
      <c r="K492" s="312">
        <v>37940</v>
      </c>
      <c r="L492" s="312">
        <v>38740</v>
      </c>
      <c r="M492" s="313">
        <f t="shared" si="45"/>
        <v>800</v>
      </c>
      <c r="N492" s="314">
        <f t="shared" si="46"/>
        <v>0.0206504904491482</v>
      </c>
      <c r="O492" s="312">
        <v>37940</v>
      </c>
      <c r="P492" s="313">
        <f t="shared" si="42"/>
        <v>0</v>
      </c>
      <c r="Q492" s="310" t="s">
        <v>147</v>
      </c>
      <c r="R492" s="310">
        <v>495</v>
      </c>
      <c r="S492" s="310"/>
      <c r="T492" s="308">
        <v>45772</v>
      </c>
      <c r="U492" s="308">
        <v>45772</v>
      </c>
      <c r="V492" s="308"/>
      <c r="W492" s="315">
        <f t="shared" si="47"/>
        <v>2</v>
      </c>
      <c r="X492" s="310" t="s">
        <v>54</v>
      </c>
      <c r="Y492" s="310" t="s">
        <v>56</v>
      </c>
      <c r="Z492" s="316"/>
      <c r="AA492" s="316" t="s">
        <v>1824</v>
      </c>
      <c r="AB492" s="316" t="s">
        <v>1824</v>
      </c>
    </row>
    <row r="493" spans="1:28" x14ac:dyDescent="0.25">
      <c r="A493" s="307">
        <f t="shared" si="43"/>
        <v>487</v>
      </c>
      <c r="B493" s="308">
        <v>45770</v>
      </c>
      <c r="C493" s="309">
        <f t="shared" si="44"/>
        <v>45748</v>
      </c>
      <c r="D493" s="310" t="s">
        <v>51</v>
      </c>
      <c r="E493" s="310" t="s">
        <v>1821</v>
      </c>
      <c r="F493" s="311">
        <v>9247094792</v>
      </c>
      <c r="G493" s="316" t="s">
        <v>6</v>
      </c>
      <c r="H493" s="316" t="s">
        <v>1845</v>
      </c>
      <c r="I493" s="316" t="s">
        <v>1846</v>
      </c>
      <c r="J493" s="310" t="s">
        <v>623</v>
      </c>
      <c r="K493" s="312">
        <v>27170</v>
      </c>
      <c r="L493" s="312">
        <v>41900</v>
      </c>
      <c r="M493" s="313">
        <f t="shared" si="45"/>
        <v>14730</v>
      </c>
      <c r="N493" s="314">
        <f t="shared" si="46"/>
        <v>0.351551312649165</v>
      </c>
      <c r="O493" s="312">
        <v>27170</v>
      </c>
      <c r="P493" s="313">
        <f t="shared" si="42"/>
        <v>0</v>
      </c>
      <c r="Q493" s="310" t="s">
        <v>147</v>
      </c>
      <c r="R493" s="310">
        <v>496</v>
      </c>
      <c r="S493" s="310"/>
      <c r="T493" s="308">
        <v>45773</v>
      </c>
      <c r="U493" s="308">
        <v>45773</v>
      </c>
      <c r="V493" s="308"/>
      <c r="W493" s="315">
        <f t="shared" si="47"/>
        <v>3</v>
      </c>
      <c r="X493" s="310" t="s">
        <v>54</v>
      </c>
      <c r="Y493" s="310" t="s">
        <v>529</v>
      </c>
      <c r="Z493" s="316"/>
      <c r="AA493" s="316" t="s">
        <v>1825</v>
      </c>
      <c r="AB493" s="316" t="s">
        <v>1825</v>
      </c>
    </row>
    <row r="494" spans="1:28" x14ac:dyDescent="0.25">
      <c r="A494" s="307">
        <f t="shared" si="43"/>
        <v>488</v>
      </c>
      <c r="B494" s="308">
        <v>45772</v>
      </c>
      <c r="C494" s="309">
        <f t="shared" si="44"/>
        <v>45748</v>
      </c>
      <c r="D494" s="310" t="s">
        <v>56</v>
      </c>
      <c r="E494" s="310" t="s">
        <v>1635</v>
      </c>
      <c r="F494" s="311">
        <v>9472230553</v>
      </c>
      <c r="G494" s="316" t="s">
        <v>6</v>
      </c>
      <c r="H494" s="316" t="s">
        <v>26</v>
      </c>
      <c r="I494" s="316" t="s">
        <v>1847</v>
      </c>
      <c r="J494" s="310" t="s">
        <v>172</v>
      </c>
      <c r="K494" s="312">
        <v>38180</v>
      </c>
      <c r="L494" s="312">
        <v>40320</v>
      </c>
      <c r="M494" s="313">
        <f t="shared" si="45"/>
        <v>2140</v>
      </c>
      <c r="N494" s="314">
        <f t="shared" si="46"/>
        <v>0.0530753968253968</v>
      </c>
      <c r="O494" s="312">
        <v>38180</v>
      </c>
      <c r="P494" s="313">
        <f t="shared" si="42"/>
        <v>0</v>
      </c>
      <c r="Q494" s="310" t="s">
        <v>147</v>
      </c>
      <c r="R494" s="310">
        <v>497</v>
      </c>
      <c r="S494" s="310"/>
      <c r="T494" s="308">
        <v>45775</v>
      </c>
      <c r="U494" s="308">
        <v>45775</v>
      </c>
      <c r="V494" s="308"/>
      <c r="W494" s="315">
        <f t="shared" si="47"/>
        <v>3</v>
      </c>
      <c r="X494" s="310" t="s">
        <v>54</v>
      </c>
      <c r="Y494" s="310" t="s">
        <v>56</v>
      </c>
      <c r="Z494" s="316"/>
      <c r="AA494" s="316" t="s">
        <v>1875</v>
      </c>
      <c r="AB494" s="316" t="s">
        <v>1875</v>
      </c>
    </row>
    <row r="495" spans="1:28" x14ac:dyDescent="0.25">
      <c r="A495" s="307">
        <f t="shared" si="43"/>
        <v>489</v>
      </c>
      <c r="B495" s="308">
        <v>45772</v>
      </c>
      <c r="C495" s="309">
        <f t="shared" si="44"/>
        <v>45748</v>
      </c>
      <c r="D495" s="310" t="s">
        <v>56</v>
      </c>
      <c r="E495" s="310" t="s">
        <v>1641</v>
      </c>
      <c r="F495" s="311">
        <v>9281983602</v>
      </c>
      <c r="G495" s="316" t="s">
        <v>1537</v>
      </c>
      <c r="H495" s="316" t="s">
        <v>26</v>
      </c>
      <c r="I495" s="316" t="s">
        <v>1872</v>
      </c>
      <c r="J495" s="310" t="s">
        <v>172</v>
      </c>
      <c r="K495" s="312">
        <v>46590</v>
      </c>
      <c r="L495" s="312">
        <v>96390</v>
      </c>
      <c r="M495" s="313">
        <f t="shared" si="45"/>
        <v>49800</v>
      </c>
      <c r="N495" s="314">
        <f t="shared" si="46"/>
        <v>0.516651104886399</v>
      </c>
      <c r="O495" s="312">
        <v>46590</v>
      </c>
      <c r="P495" s="313">
        <f t="shared" si="42"/>
        <v>0</v>
      </c>
      <c r="Q495" s="310" t="s">
        <v>147</v>
      </c>
      <c r="R495" s="310">
        <v>498</v>
      </c>
      <c r="S495" s="310"/>
      <c r="T495" s="308">
        <v>45775</v>
      </c>
      <c r="U495" s="308">
        <v>45775</v>
      </c>
      <c r="V495" s="308"/>
      <c r="W495" s="315">
        <f t="shared" si="47"/>
        <v>3</v>
      </c>
      <c r="X495" s="310" t="s">
        <v>54</v>
      </c>
      <c r="Y495" s="310" t="s">
        <v>56</v>
      </c>
      <c r="Z495" s="316"/>
      <c r="AA495" s="316" t="s">
        <v>1875</v>
      </c>
      <c r="AB495" s="316" t="s">
        <v>1875</v>
      </c>
    </row>
    <row r="496" spans="1:28" x14ac:dyDescent="0.25">
      <c r="A496" s="307">
        <f t="shared" si="43"/>
        <v>490</v>
      </c>
      <c r="B496" s="308">
        <v>45773</v>
      </c>
      <c r="C496" s="309">
        <f t="shared" si="44"/>
        <v>45748</v>
      </c>
      <c r="D496" s="310" t="s">
        <v>56</v>
      </c>
      <c r="E496" s="310" t="s">
        <v>38</v>
      </c>
      <c r="F496" s="311">
        <v>9515412075</v>
      </c>
      <c r="G496" s="316" t="s">
        <v>1093</v>
      </c>
      <c r="H496" s="316" t="s">
        <v>1874</v>
      </c>
      <c r="I496" s="316" t="s">
        <v>6</v>
      </c>
      <c r="J496" s="310" t="s">
        <v>59</v>
      </c>
      <c r="K496" s="312">
        <v>45830</v>
      </c>
      <c r="L496" s="312">
        <v>91350</v>
      </c>
      <c r="M496" s="313">
        <f t="shared" si="45"/>
        <v>45520</v>
      </c>
      <c r="N496" s="314">
        <f t="shared" si="46"/>
        <v>0.498303229337712</v>
      </c>
      <c r="O496" s="312">
        <v>45830</v>
      </c>
      <c r="P496" s="313">
        <f t="shared" si="42"/>
        <v>0</v>
      </c>
      <c r="Q496" s="310" t="s">
        <v>147</v>
      </c>
      <c r="R496" s="310">
        <v>73</v>
      </c>
      <c r="S496" s="310"/>
      <c r="T496" s="308">
        <v>45776</v>
      </c>
      <c r="U496" s="308">
        <v>45776</v>
      </c>
      <c r="V496" s="308"/>
      <c r="W496" s="315">
        <f t="shared" si="47"/>
        <v>3</v>
      </c>
      <c r="X496" s="310" t="s">
        <v>54</v>
      </c>
      <c r="Y496" s="310" t="s">
        <v>56</v>
      </c>
      <c r="Z496" s="316"/>
      <c r="AA496" s="316" t="s">
        <v>1879</v>
      </c>
      <c r="AB496" s="316" t="s">
        <v>1879</v>
      </c>
    </row>
    <row r="497" spans="1:28" x14ac:dyDescent="0.25">
      <c r="A497" s="307">
        <f t="shared" si="43"/>
        <v>491</v>
      </c>
      <c r="B497" s="308">
        <v>45773</v>
      </c>
      <c r="C497" s="309">
        <f t="shared" si="44"/>
        <v>45748</v>
      </c>
      <c r="D497" s="310" t="s">
        <v>51</v>
      </c>
      <c r="E497" s="310" t="s">
        <v>1876</v>
      </c>
      <c r="F497" s="311">
        <v>9179185332</v>
      </c>
      <c r="G497" s="316" t="s">
        <v>6</v>
      </c>
      <c r="H497" s="316" t="s">
        <v>440</v>
      </c>
      <c r="I497" s="316" t="s">
        <v>41</v>
      </c>
      <c r="J497" s="310" t="s">
        <v>172</v>
      </c>
      <c r="K497" s="312">
        <v>33770</v>
      </c>
      <c r="L497" s="312">
        <v>46620</v>
      </c>
      <c r="M497" s="313">
        <f t="shared" si="45"/>
        <v>12850</v>
      </c>
      <c r="N497" s="314">
        <f t="shared" si="46"/>
        <v>0.275632775632776</v>
      </c>
      <c r="O497" s="312">
        <v>33770</v>
      </c>
      <c r="P497" s="313">
        <f t="shared" si="42"/>
        <v>0</v>
      </c>
      <c r="Q497" s="310" t="s">
        <v>147</v>
      </c>
      <c r="R497" s="310">
        <v>40</v>
      </c>
      <c r="S497" s="310"/>
      <c r="T497" s="308">
        <v>45777</v>
      </c>
      <c r="U497" s="308">
        <v>45777</v>
      </c>
      <c r="V497" s="308"/>
      <c r="W497" s="315">
        <f t="shared" si="47"/>
        <v>4</v>
      </c>
      <c r="X497" s="310" t="s">
        <v>54</v>
      </c>
      <c r="Y497" s="310" t="s">
        <v>529</v>
      </c>
      <c r="Z497" s="316"/>
      <c r="AA497" s="316" t="s">
        <v>1882</v>
      </c>
      <c r="AB497" s="316" t="s">
        <v>1882</v>
      </c>
    </row>
    <row r="498" spans="1:28" x14ac:dyDescent="0.25">
      <c r="A498" s="307">
        <f t="shared" si="43"/>
        <v>492</v>
      </c>
      <c r="B498" s="308">
        <v>45776</v>
      </c>
      <c r="C498" s="309">
        <f t="shared" si="44"/>
        <v>45748</v>
      </c>
      <c r="D498" s="310" t="s">
        <v>56</v>
      </c>
      <c r="E498" s="310" t="s">
        <v>1641</v>
      </c>
      <c r="F498" s="311">
        <v>9281983602</v>
      </c>
      <c r="G498" s="316" t="s">
        <v>6</v>
      </c>
      <c r="H498" s="316" t="s">
        <v>440</v>
      </c>
      <c r="I498" s="316" t="s">
        <v>41</v>
      </c>
      <c r="J498" s="310" t="s">
        <v>172</v>
      </c>
      <c r="K498" s="312">
        <v>39120</v>
      </c>
      <c r="L498" s="312">
        <v>46620</v>
      </c>
      <c r="M498" s="313">
        <f t="shared" si="45"/>
        <v>7500</v>
      </c>
      <c r="N498" s="314">
        <f t="shared" si="46"/>
        <v>0.160875160875161</v>
      </c>
      <c r="O498" s="312">
        <v>39120</v>
      </c>
      <c r="P498" s="313">
        <f t="shared" si="42"/>
        <v>0</v>
      </c>
      <c r="Q498" s="310" t="s">
        <v>147</v>
      </c>
      <c r="R498" s="310">
        <v>41</v>
      </c>
      <c r="S498" s="310"/>
      <c r="T498" s="308">
        <v>45780</v>
      </c>
      <c r="U498" s="308">
        <v>45780</v>
      </c>
      <c r="V498" s="308"/>
      <c r="W498" s="315">
        <f t="shared" si="47"/>
        <v>4</v>
      </c>
      <c r="X498" s="310" t="s">
        <v>54</v>
      </c>
      <c r="Y498" s="310" t="s">
        <v>56</v>
      </c>
      <c r="Z498" s="316"/>
      <c r="AA498" s="317">
        <v>45721</v>
      </c>
      <c r="AB498" s="317">
        <v>45721</v>
      </c>
    </row>
    <row r="499" spans="1:28" x14ac:dyDescent="0.25">
      <c r="A499" s="307">
        <f t="shared" si="43"/>
        <v>493</v>
      </c>
      <c r="B499" s="308">
        <v>45776</v>
      </c>
      <c r="C499" s="309">
        <f t="shared" si="44"/>
        <v>45748</v>
      </c>
      <c r="D499" s="310" t="s">
        <v>56</v>
      </c>
      <c r="E499" s="310" t="s">
        <v>1635</v>
      </c>
      <c r="F499" s="311">
        <v>9472230553</v>
      </c>
      <c r="G499" s="316" t="s">
        <v>1093</v>
      </c>
      <c r="H499" s="316" t="s">
        <v>1874</v>
      </c>
      <c r="I499" s="316" t="s">
        <v>6</v>
      </c>
      <c r="J499" s="310" t="s">
        <v>172</v>
      </c>
      <c r="K499" s="312">
        <v>46590</v>
      </c>
      <c r="L499" s="312">
        <v>96390</v>
      </c>
      <c r="M499" s="313">
        <f t="shared" si="45"/>
        <v>49800</v>
      </c>
      <c r="N499" s="314">
        <f t="shared" si="46"/>
        <v>0.516651104886399</v>
      </c>
      <c r="O499" s="312">
        <v>46590</v>
      </c>
      <c r="P499" s="313">
        <f t="shared" si="42"/>
        <v>0</v>
      </c>
      <c r="Q499" s="310" t="s">
        <v>147</v>
      </c>
      <c r="R499" s="310">
        <v>74</v>
      </c>
      <c r="S499" s="310"/>
      <c r="T499" s="308">
        <v>45779</v>
      </c>
      <c r="U499" s="308">
        <v>45779</v>
      </c>
      <c r="V499" s="308"/>
      <c r="W499" s="315">
        <f t="shared" si="47"/>
        <v>3</v>
      </c>
      <c r="X499" s="310" t="s">
        <v>54</v>
      </c>
      <c r="Y499" s="310" t="s">
        <v>56</v>
      </c>
      <c r="Z499" s="316"/>
      <c r="AA499" s="317">
        <v>45693</v>
      </c>
      <c r="AB499" s="317">
        <v>45693</v>
      </c>
    </row>
    <row r="500" spans="1:28" x14ac:dyDescent="0.25">
      <c r="A500" s="307">
        <f t="shared" si="43"/>
        <v>494</v>
      </c>
      <c r="B500" s="308">
        <v>45777</v>
      </c>
      <c r="C500" s="309">
        <f t="shared" si="44"/>
        <v>45748</v>
      </c>
      <c r="D500" s="310" t="s">
        <v>56</v>
      </c>
      <c r="E500" s="310" t="s">
        <v>60</v>
      </c>
      <c r="F500" s="311">
        <v>9220186371</v>
      </c>
      <c r="G500" s="316" t="s">
        <v>6</v>
      </c>
      <c r="H500" s="316" t="s">
        <v>1874</v>
      </c>
      <c r="I500" s="316" t="s">
        <v>440</v>
      </c>
      <c r="J500" s="310" t="s">
        <v>172</v>
      </c>
      <c r="K500" s="312">
        <v>38180</v>
      </c>
      <c r="L500" s="312">
        <v>40320</v>
      </c>
      <c r="M500" s="313">
        <f t="shared" si="45"/>
        <v>2140</v>
      </c>
      <c r="N500" s="314">
        <f t="shared" si="46"/>
        <v>0.0530753968253968</v>
      </c>
      <c r="O500" s="312">
        <v>38180</v>
      </c>
      <c r="P500" s="313">
        <f t="shared" si="42"/>
        <v>0</v>
      </c>
      <c r="Q500" s="310" t="s">
        <v>147</v>
      </c>
      <c r="R500" s="310">
        <v>42</v>
      </c>
      <c r="S500" s="310"/>
      <c r="T500" s="308">
        <v>45780</v>
      </c>
      <c r="U500" s="308">
        <v>45780</v>
      </c>
      <c r="V500" s="308"/>
      <c r="W500" s="315">
        <f t="shared" si="47"/>
        <v>3</v>
      </c>
      <c r="X500" s="310" t="s">
        <v>54</v>
      </c>
      <c r="Y500" s="310" t="s">
        <v>56</v>
      </c>
      <c r="Z500" s="316"/>
      <c r="AA500" s="317">
        <v>45721</v>
      </c>
      <c r="AB500" s="317">
        <v>45721</v>
      </c>
    </row>
    <row r="501" spans="1:28" x14ac:dyDescent="0.25">
      <c r="A501" s="307">
        <f t="shared" si="43"/>
        <v>495</v>
      </c>
      <c r="B501" s="308">
        <v>45778</v>
      </c>
      <c r="C501" s="309">
        <f t="shared" si="44"/>
        <v>45778</v>
      </c>
      <c r="D501" s="310" t="s">
        <v>56</v>
      </c>
      <c r="E501" s="310" t="s">
        <v>1637</v>
      </c>
      <c r="F501" s="311">
        <v>9950016408</v>
      </c>
      <c r="G501" s="316" t="s">
        <v>6</v>
      </c>
      <c r="H501" s="316" t="s">
        <v>440</v>
      </c>
      <c r="I501" s="316" t="s">
        <v>41</v>
      </c>
      <c r="J501" s="310" t="s">
        <v>172</v>
      </c>
      <c r="K501" s="312">
        <v>39120</v>
      </c>
      <c r="L501" s="312">
        <v>46620</v>
      </c>
      <c r="M501" s="313">
        <f t="shared" si="45"/>
        <v>7500</v>
      </c>
      <c r="N501" s="314">
        <f t="shared" si="46"/>
        <v>0.160875160875161</v>
      </c>
      <c r="O501" s="312">
        <v>39120</v>
      </c>
      <c r="P501" s="313">
        <f t="shared" si="42"/>
        <v>0</v>
      </c>
      <c r="Q501" s="310" t="s">
        <v>147</v>
      </c>
      <c r="R501" s="310">
        <v>43</v>
      </c>
      <c r="S501" s="310"/>
      <c r="T501" s="308">
        <v>45781</v>
      </c>
      <c r="U501" s="308">
        <v>45782</v>
      </c>
      <c r="V501" s="308"/>
      <c r="W501" s="315">
        <f t="shared" si="47"/>
        <v>4</v>
      </c>
      <c r="X501" s="310" t="s">
        <v>54</v>
      </c>
      <c r="Y501" s="310" t="s">
        <v>56</v>
      </c>
      <c r="Z501" s="316"/>
      <c r="AA501" s="317">
        <v>45752</v>
      </c>
      <c r="AB501" s="317">
        <v>45782</v>
      </c>
    </row>
    <row r="502" spans="1:28" x14ac:dyDescent="0.25">
      <c r="A502" s="307">
        <f t="shared" si="43"/>
        <v>496</v>
      </c>
      <c r="B502" s="308">
        <v>45779</v>
      </c>
      <c r="C502" s="309">
        <f t="shared" si="44"/>
        <v>45778</v>
      </c>
      <c r="D502" s="310" t="s">
        <v>56</v>
      </c>
      <c r="E502" s="310" t="s">
        <v>1644</v>
      </c>
      <c r="F502" s="311">
        <v>9902798068</v>
      </c>
      <c r="G502" s="316" t="s">
        <v>6</v>
      </c>
      <c r="H502" s="316" t="s">
        <v>1874</v>
      </c>
      <c r="I502" s="316" t="s">
        <v>440</v>
      </c>
      <c r="J502" s="310" t="s">
        <v>172</v>
      </c>
      <c r="K502" s="312">
        <v>38180</v>
      </c>
      <c r="L502" s="312">
        <v>40320</v>
      </c>
      <c r="M502" s="313">
        <f t="shared" si="45"/>
        <v>2140</v>
      </c>
      <c r="N502" s="314">
        <f t="shared" si="46"/>
        <v>0.0530753968253968</v>
      </c>
      <c r="O502" s="312">
        <v>38180</v>
      </c>
      <c r="P502" s="313">
        <f t="shared" si="42"/>
        <v>0</v>
      </c>
      <c r="Q502" s="310" t="s">
        <v>147</v>
      </c>
      <c r="R502" s="310" t="s">
        <v>1933</v>
      </c>
      <c r="S502" s="310"/>
      <c r="T502" s="308">
        <v>45782</v>
      </c>
      <c r="U502" s="308">
        <v>45782</v>
      </c>
      <c r="V502" s="308"/>
      <c r="W502" s="315">
        <f t="shared" si="47"/>
        <v>3</v>
      </c>
      <c r="X502" s="310" t="s">
        <v>54</v>
      </c>
      <c r="Y502" s="310" t="s">
        <v>56</v>
      </c>
      <c r="Z502" s="316"/>
      <c r="AA502" s="317">
        <v>45782</v>
      </c>
      <c r="AB502" s="317">
        <v>45782</v>
      </c>
    </row>
    <row r="503" spans="1:28" x14ac:dyDescent="0.25">
      <c r="A503" s="307">
        <f t="shared" si="43"/>
        <v>497</v>
      </c>
      <c r="B503" s="308">
        <v>45780</v>
      </c>
      <c r="C503" s="309">
        <f t="shared" si="44"/>
        <v>45778</v>
      </c>
      <c r="D503" s="310" t="s">
        <v>56</v>
      </c>
      <c r="E503" s="310" t="s">
        <v>1635</v>
      </c>
      <c r="F503" s="311">
        <v>9472230553</v>
      </c>
      <c r="G503" s="316" t="s">
        <v>6</v>
      </c>
      <c r="H503" s="316" t="s">
        <v>440</v>
      </c>
      <c r="I503" s="316" t="s">
        <v>41</v>
      </c>
      <c r="J503" s="310" t="s">
        <v>172</v>
      </c>
      <c r="K503" s="312">
        <v>39120</v>
      </c>
      <c r="L503" s="312">
        <v>46620</v>
      </c>
      <c r="M503" s="313">
        <f t="shared" si="45"/>
        <v>7500</v>
      </c>
      <c r="N503" s="314">
        <f t="shared" si="46"/>
        <v>0.160875160875161</v>
      </c>
      <c r="O503" s="312">
        <v>39120</v>
      </c>
      <c r="P503" s="313">
        <f t="shared" si="42"/>
        <v>0</v>
      </c>
      <c r="Q503" s="310" t="s">
        <v>147</v>
      </c>
      <c r="R503" s="310">
        <v>45</v>
      </c>
      <c r="S503" s="310"/>
      <c r="T503" s="308">
        <v>45783</v>
      </c>
      <c r="U503" s="308">
        <v>45783</v>
      </c>
      <c r="V503" s="308"/>
      <c r="W503" s="315">
        <f t="shared" si="47"/>
        <v>3</v>
      </c>
      <c r="X503" s="310" t="s">
        <v>54</v>
      </c>
      <c r="Y503" s="310" t="s">
        <v>56</v>
      </c>
      <c r="Z503" s="316"/>
      <c r="AA503" s="317">
        <v>45813</v>
      </c>
      <c r="AB503" s="317">
        <v>45813</v>
      </c>
    </row>
    <row r="504" spans="1:28" x14ac:dyDescent="0.25">
      <c r="A504" s="307">
        <f t="shared" si="43"/>
        <v>498</v>
      </c>
      <c r="B504" s="308">
        <v>45780</v>
      </c>
      <c r="C504" s="309">
        <f t="shared" si="44"/>
        <v>45778</v>
      </c>
      <c r="D504" s="310" t="s">
        <v>56</v>
      </c>
      <c r="E504" s="310" t="s">
        <v>38</v>
      </c>
      <c r="F504" s="311">
        <v>9515412075</v>
      </c>
      <c r="G504" s="316" t="s">
        <v>6</v>
      </c>
      <c r="H504" s="316" t="s">
        <v>1874</v>
      </c>
      <c r="I504" s="316" t="s">
        <v>440</v>
      </c>
      <c r="J504" s="310" t="s">
        <v>59</v>
      </c>
      <c r="K504" s="312">
        <v>37940</v>
      </c>
      <c r="L504" s="312">
        <v>38740</v>
      </c>
      <c r="M504" s="313">
        <f t="shared" si="45"/>
        <v>800</v>
      </c>
      <c r="N504" s="314">
        <f t="shared" si="46"/>
        <v>0.0206504904491482</v>
      </c>
      <c r="O504" s="312">
        <v>37940</v>
      </c>
      <c r="P504" s="313">
        <f t="shared" si="42"/>
        <v>0</v>
      </c>
      <c r="Q504" s="310" t="s">
        <v>147</v>
      </c>
      <c r="R504" s="310">
        <v>46</v>
      </c>
      <c r="S504" s="310"/>
      <c r="T504" s="308">
        <v>45783</v>
      </c>
      <c r="U504" s="308">
        <v>45783</v>
      </c>
      <c r="V504" s="308"/>
      <c r="W504" s="315">
        <f t="shared" si="47"/>
        <v>3</v>
      </c>
      <c r="X504" s="310" t="s">
        <v>54</v>
      </c>
      <c r="Y504" s="310" t="s">
        <v>56</v>
      </c>
      <c r="Z504" s="316"/>
      <c r="AA504" s="317">
        <v>45813</v>
      </c>
      <c r="AB504" s="317">
        <v>45813</v>
      </c>
    </row>
    <row r="505" spans="1:28" x14ac:dyDescent="0.25">
      <c r="A505" s="307">
        <f t="shared" si="43"/>
        <v>499</v>
      </c>
      <c r="B505" s="308">
        <v>45780</v>
      </c>
      <c r="C505" s="309">
        <f t="shared" si="44"/>
        <v>45778</v>
      </c>
      <c r="D505" s="310" t="s">
        <v>56</v>
      </c>
      <c r="E505" s="310" t="s">
        <v>1641</v>
      </c>
      <c r="F505" s="311">
        <v>9281983602</v>
      </c>
      <c r="G505" s="316" t="s">
        <v>1093</v>
      </c>
      <c r="H505" s="316" t="s">
        <v>105</v>
      </c>
      <c r="I505" s="316" t="s">
        <v>6</v>
      </c>
      <c r="J505" s="310" t="s">
        <v>172</v>
      </c>
      <c r="K505" s="312">
        <v>47530</v>
      </c>
      <c r="L505" s="312">
        <v>102690</v>
      </c>
      <c r="M505" s="313">
        <f t="shared" si="45"/>
        <v>55160</v>
      </c>
      <c r="N505" s="314">
        <f t="shared" si="46"/>
        <v>0.537150647580096</v>
      </c>
      <c r="O505" s="312">
        <v>47530</v>
      </c>
      <c r="P505" s="313">
        <f t="shared" si="42"/>
        <v>0</v>
      </c>
      <c r="Q505" s="310" t="s">
        <v>147</v>
      </c>
      <c r="R505" s="310">
        <v>47</v>
      </c>
      <c r="S505" s="310"/>
      <c r="T505" s="308">
        <v>45783</v>
      </c>
      <c r="U505" s="308">
        <v>45783</v>
      </c>
      <c r="V505" s="308"/>
      <c r="W505" s="315">
        <f t="shared" si="47"/>
        <v>3</v>
      </c>
      <c r="X505" s="310" t="s">
        <v>54</v>
      </c>
      <c r="Y505" s="310" t="s">
        <v>56</v>
      </c>
      <c r="Z505" s="316"/>
      <c r="AA505" s="317">
        <v>45813</v>
      </c>
      <c r="AB505" s="317">
        <v>45813</v>
      </c>
    </row>
    <row r="506" spans="1:28" x14ac:dyDescent="0.25">
      <c r="A506" s="307">
        <f t="shared" si="43"/>
        <v>500</v>
      </c>
      <c r="B506" s="308">
        <v>45783</v>
      </c>
      <c r="C506" s="309">
        <f t="shared" si="44"/>
        <v>45778</v>
      </c>
      <c r="D506" s="310" t="s">
        <v>56</v>
      </c>
      <c r="E506" s="310" t="s">
        <v>1641</v>
      </c>
      <c r="F506" s="311">
        <v>9281983602</v>
      </c>
      <c r="G506" s="316" t="s">
        <v>6</v>
      </c>
      <c r="H506" s="316" t="s">
        <v>1874</v>
      </c>
      <c r="I506" s="316" t="s">
        <v>440</v>
      </c>
      <c r="J506" s="310" t="s">
        <v>172</v>
      </c>
      <c r="K506" s="312">
        <v>38180</v>
      </c>
      <c r="L506" s="312">
        <v>40320</v>
      </c>
      <c r="M506" s="313">
        <f t="shared" si="45"/>
        <v>2140</v>
      </c>
      <c r="N506" s="314">
        <f t="shared" si="46"/>
        <v>0.0530753968253968</v>
      </c>
      <c r="O506" s="312">
        <v>38180</v>
      </c>
      <c r="P506" s="313">
        <f t="shared" si="42"/>
        <v>0</v>
      </c>
      <c r="Q506" s="310" t="s">
        <v>147</v>
      </c>
      <c r="R506" s="310">
        <v>48</v>
      </c>
      <c r="S506" s="310"/>
      <c r="T506" s="308">
        <v>45786</v>
      </c>
      <c r="U506" s="308">
        <v>45786</v>
      </c>
      <c r="V506" s="308"/>
      <c r="W506" s="315">
        <f t="shared" si="47"/>
        <v>3</v>
      </c>
      <c r="X506" s="310" t="s">
        <v>54</v>
      </c>
      <c r="Y506" s="310" t="s">
        <v>56</v>
      </c>
      <c r="Z506" s="316"/>
      <c r="AA506" s="317">
        <v>45905</v>
      </c>
      <c r="AB506" s="317">
        <v>45905</v>
      </c>
    </row>
    <row r="507" spans="1:28" x14ac:dyDescent="0.25">
      <c r="A507" s="307">
        <f t="shared" si="43"/>
        <v>501</v>
      </c>
      <c r="B507" s="308">
        <v>45784</v>
      </c>
      <c r="C507" s="309">
        <f t="shared" si="44"/>
        <v>45778</v>
      </c>
      <c r="D507" s="310" t="s">
        <v>51</v>
      </c>
      <c r="E507" s="310" t="s">
        <v>1877</v>
      </c>
      <c r="F507" s="311">
        <v>9764630948</v>
      </c>
      <c r="G507" s="316" t="s">
        <v>6</v>
      </c>
      <c r="H507" s="316" t="s">
        <v>1874</v>
      </c>
      <c r="I507" s="316" t="s">
        <v>440</v>
      </c>
      <c r="J507" s="310" t="s">
        <v>168</v>
      </c>
      <c r="K507" s="312">
        <v>26400</v>
      </c>
      <c r="L507" s="312">
        <v>40320</v>
      </c>
      <c r="M507" s="313">
        <f t="shared" si="45"/>
        <v>13920</v>
      </c>
      <c r="N507" s="314">
        <f t="shared" si="46"/>
        <v>0.345238095238095</v>
      </c>
      <c r="O507" s="312">
        <v>26400</v>
      </c>
      <c r="P507" s="313">
        <f t="shared" si="42"/>
        <v>0</v>
      </c>
      <c r="Q507" s="310" t="s">
        <v>147</v>
      </c>
      <c r="R507" s="310">
        <v>49</v>
      </c>
      <c r="S507" s="310"/>
      <c r="T507" s="308">
        <v>45789</v>
      </c>
      <c r="U507" s="308">
        <v>45789</v>
      </c>
      <c r="V507" s="308"/>
      <c r="W507" s="315">
        <f t="shared" si="47"/>
        <v>5</v>
      </c>
      <c r="X507" s="310" t="s">
        <v>54</v>
      </c>
      <c r="Y507" s="310" t="s">
        <v>439</v>
      </c>
      <c r="Z507" s="316"/>
      <c r="AA507" s="317">
        <v>45996</v>
      </c>
      <c r="AB507" s="317">
        <v>45996</v>
      </c>
    </row>
    <row r="508" spans="1:28" x14ac:dyDescent="0.25">
      <c r="A508" s="307">
        <f t="shared" si="43"/>
        <v>502</v>
      </c>
      <c r="B508" s="308">
        <v>45784</v>
      </c>
      <c r="C508" s="309">
        <f t="shared" si="44"/>
        <v>45778</v>
      </c>
      <c r="D508" s="310" t="s">
        <v>51</v>
      </c>
      <c r="E508" s="310" t="s">
        <v>1448</v>
      </c>
      <c r="F508" s="311">
        <v>9891277624</v>
      </c>
      <c r="G508" s="316" t="s">
        <v>6</v>
      </c>
      <c r="H508" s="316" t="s">
        <v>440</v>
      </c>
      <c r="I508" s="316" t="s">
        <v>41</v>
      </c>
      <c r="J508" s="310" t="s">
        <v>172</v>
      </c>
      <c r="K508" s="312">
        <v>33230</v>
      </c>
      <c r="L508" s="312">
        <v>46620</v>
      </c>
      <c r="M508" s="313">
        <f t="shared" si="45"/>
        <v>13390</v>
      </c>
      <c r="N508" s="314">
        <f t="shared" si="46"/>
        <v>0.287215787215787</v>
      </c>
      <c r="O508" s="312">
        <v>33230</v>
      </c>
      <c r="P508" s="313">
        <f t="shared" si="42"/>
        <v>0</v>
      </c>
      <c r="Q508" s="310" t="s">
        <v>147</v>
      </c>
      <c r="R508" s="310">
        <v>50</v>
      </c>
      <c r="S508" s="310"/>
      <c r="T508" s="308">
        <v>45789</v>
      </c>
      <c r="U508" s="308">
        <v>45789</v>
      </c>
      <c r="V508" s="308"/>
      <c r="W508" s="315">
        <f t="shared" si="47"/>
        <v>5</v>
      </c>
      <c r="X508" s="310" t="s">
        <v>54</v>
      </c>
      <c r="Y508" s="310" t="s">
        <v>439</v>
      </c>
      <c r="Z508" s="316"/>
      <c r="AA508" s="317">
        <v>45996</v>
      </c>
      <c r="AB508" s="317">
        <v>45996</v>
      </c>
    </row>
    <row r="509" spans="1:28" x14ac:dyDescent="0.25">
      <c r="A509" s="307">
        <f t="shared" si="43"/>
        <v>503</v>
      </c>
      <c r="B509" s="308">
        <v>45784</v>
      </c>
      <c r="C509" s="309">
        <f t="shared" si="44"/>
        <v>45778</v>
      </c>
      <c r="D509" s="310" t="s">
        <v>56</v>
      </c>
      <c r="E509" s="310" t="s">
        <v>60</v>
      </c>
      <c r="F509" s="311">
        <v>9220186371</v>
      </c>
      <c r="G509" s="316" t="s">
        <v>1093</v>
      </c>
      <c r="H509" s="316" t="s">
        <v>1874</v>
      </c>
      <c r="I509" s="316" t="s">
        <v>6</v>
      </c>
      <c r="J509" s="310" t="s">
        <v>172</v>
      </c>
      <c r="K509" s="312">
        <v>46590</v>
      </c>
      <c r="L509" s="312">
        <v>96390</v>
      </c>
      <c r="M509" s="313">
        <f t="shared" si="45"/>
        <v>49800</v>
      </c>
      <c r="N509" s="314">
        <f t="shared" si="46"/>
        <v>0.516651104886399</v>
      </c>
      <c r="O509" s="312">
        <v>46590</v>
      </c>
      <c r="P509" s="313">
        <f t="shared" si="42"/>
        <v>0</v>
      </c>
      <c r="Q509" s="310" t="s">
        <v>147</v>
      </c>
      <c r="R509" s="310">
        <v>51</v>
      </c>
      <c r="S509" s="310"/>
      <c r="T509" s="308">
        <v>45787</v>
      </c>
      <c r="U509" s="308">
        <v>45787</v>
      </c>
      <c r="V509" s="308"/>
      <c r="W509" s="315">
        <f t="shared" si="47"/>
        <v>3</v>
      </c>
      <c r="X509" s="310" t="s">
        <v>54</v>
      </c>
      <c r="Y509" s="310" t="s">
        <v>56</v>
      </c>
      <c r="Z509" s="316"/>
      <c r="AA509" s="317">
        <v>45935</v>
      </c>
      <c r="AB509" s="317">
        <v>45935</v>
      </c>
    </row>
    <row r="510" spans="1:28" x14ac:dyDescent="0.25">
      <c r="A510" s="307">
        <f t="shared" si="43"/>
        <v>504</v>
      </c>
      <c r="B510" s="308">
        <v>45786</v>
      </c>
      <c r="C510" s="309">
        <f t="shared" si="44"/>
        <v>45778</v>
      </c>
      <c r="D510" s="310" t="s">
        <v>51</v>
      </c>
      <c r="E510" s="310" t="s">
        <v>1878</v>
      </c>
      <c r="F510" s="311">
        <v>9412244022</v>
      </c>
      <c r="G510" s="316" t="s">
        <v>6</v>
      </c>
      <c r="H510" s="316" t="s">
        <v>440</v>
      </c>
      <c r="I510" s="316" t="s">
        <v>41</v>
      </c>
      <c r="J510" s="310" t="s">
        <v>172</v>
      </c>
      <c r="K510" s="312">
        <v>33770</v>
      </c>
      <c r="L510" s="312">
        <v>46620</v>
      </c>
      <c r="M510" s="313">
        <f t="shared" si="45"/>
        <v>12850</v>
      </c>
      <c r="N510" s="314">
        <f t="shared" si="46"/>
        <v>0.275632775632776</v>
      </c>
      <c r="O510" s="312">
        <v>30390</v>
      </c>
      <c r="P510" s="313">
        <f t="shared" si="42"/>
        <v>3380</v>
      </c>
      <c r="Q510" s="310" t="s">
        <v>147</v>
      </c>
      <c r="R510" s="310">
        <v>52</v>
      </c>
      <c r="S510" s="310"/>
      <c r="T510" s="308">
        <v>45790</v>
      </c>
      <c r="U510" s="308">
        <v>45790</v>
      </c>
      <c r="V510" s="308"/>
      <c r="W510" s="315">
        <f t="shared" si="47"/>
        <v>4</v>
      </c>
      <c r="X510" s="310" t="s">
        <v>54</v>
      </c>
      <c r="Y510" s="310" t="s">
        <v>3742</v>
      </c>
      <c r="Z510" s="316"/>
      <c r="AA510" s="316" t="s">
        <v>1888</v>
      </c>
      <c r="AB510" s="316" t="s">
        <v>1888</v>
      </c>
    </row>
    <row r="511" spans="1:28" x14ac:dyDescent="0.25">
      <c r="A511" s="307">
        <f t="shared" si="43"/>
        <v>505</v>
      </c>
      <c r="B511" s="308">
        <v>45787</v>
      </c>
      <c r="C511" s="309">
        <f t="shared" si="44"/>
        <v>45778</v>
      </c>
      <c r="D511" s="310" t="s">
        <v>56</v>
      </c>
      <c r="E511" s="310" t="s">
        <v>60</v>
      </c>
      <c r="F511" s="311">
        <v>9220186371</v>
      </c>
      <c r="G511" s="316" t="s">
        <v>6</v>
      </c>
      <c r="H511" s="316" t="s">
        <v>440</v>
      </c>
      <c r="I511" s="316" t="s">
        <v>41</v>
      </c>
      <c r="J511" s="310" t="s">
        <v>172</v>
      </c>
      <c r="K511" s="312">
        <v>33770</v>
      </c>
      <c r="L511" s="312">
        <v>46620</v>
      </c>
      <c r="M511" s="313">
        <f t="shared" si="45"/>
        <v>12850</v>
      </c>
      <c r="N511" s="314">
        <f t="shared" si="46"/>
        <v>0.275632775632776</v>
      </c>
      <c r="O511" s="312">
        <v>33770</v>
      </c>
      <c r="P511" s="313">
        <f t="shared" si="42"/>
        <v>0</v>
      </c>
      <c r="Q511" s="310" t="s">
        <v>147</v>
      </c>
      <c r="R511" s="310">
        <v>53</v>
      </c>
      <c r="S511" s="310"/>
      <c r="T511" s="308">
        <v>45790</v>
      </c>
      <c r="U511" s="308">
        <v>45790</v>
      </c>
      <c r="V511" s="308"/>
      <c r="W511" s="315">
        <f t="shared" si="47"/>
        <v>3</v>
      </c>
      <c r="X511" s="310" t="s">
        <v>54</v>
      </c>
      <c r="Y511" s="310" t="s">
        <v>56</v>
      </c>
      <c r="Z511" s="316"/>
      <c r="AA511" s="316" t="s">
        <v>1888</v>
      </c>
      <c r="AB511" s="316" t="s">
        <v>1888</v>
      </c>
    </row>
    <row r="512" spans="1:28" x14ac:dyDescent="0.25">
      <c r="A512" s="307">
        <f t="shared" si="43"/>
        <v>506</v>
      </c>
      <c r="B512" s="308">
        <v>45787</v>
      </c>
      <c r="C512" s="309">
        <f t="shared" si="44"/>
        <v>45778</v>
      </c>
      <c r="D512" s="310" t="s">
        <v>56</v>
      </c>
      <c r="E512" s="310" t="s">
        <v>1641</v>
      </c>
      <c r="F512" s="311">
        <v>9281983602</v>
      </c>
      <c r="G512" s="316" t="s">
        <v>1093</v>
      </c>
      <c r="H512" s="316" t="s">
        <v>1874</v>
      </c>
      <c r="I512" s="316" t="s">
        <v>6</v>
      </c>
      <c r="J512" s="310" t="s">
        <v>172</v>
      </c>
      <c r="K512" s="312">
        <v>41230</v>
      </c>
      <c r="L512" s="312">
        <v>96390</v>
      </c>
      <c r="M512" s="313">
        <f t="shared" si="45"/>
        <v>55160</v>
      </c>
      <c r="N512" s="314">
        <f t="shared" si="46"/>
        <v>0.572258533042847</v>
      </c>
      <c r="O512" s="312">
        <v>41230</v>
      </c>
      <c r="P512" s="313">
        <f t="shared" si="42"/>
        <v>0</v>
      </c>
      <c r="Q512" s="310" t="s">
        <v>147</v>
      </c>
      <c r="R512" s="310">
        <v>54</v>
      </c>
      <c r="S512" s="310"/>
      <c r="T512" s="308">
        <v>45790</v>
      </c>
      <c r="U512" s="308">
        <v>45790</v>
      </c>
      <c r="V512" s="308"/>
      <c r="W512" s="315">
        <f t="shared" si="47"/>
        <v>3</v>
      </c>
      <c r="X512" s="310" t="s">
        <v>54</v>
      </c>
      <c r="Y512" s="310" t="s">
        <v>56</v>
      </c>
      <c r="Z512" s="316"/>
      <c r="AA512" s="316" t="s">
        <v>1888</v>
      </c>
      <c r="AB512" s="316" t="s">
        <v>1888</v>
      </c>
    </row>
    <row r="513" spans="1:28" x14ac:dyDescent="0.25">
      <c r="A513" s="307">
        <f t="shared" si="43"/>
        <v>507</v>
      </c>
      <c r="B513" s="308">
        <v>45788</v>
      </c>
      <c r="C513" s="309">
        <f t="shared" si="44"/>
        <v>45778</v>
      </c>
      <c r="D513" s="310" t="s">
        <v>56</v>
      </c>
      <c r="E513" s="310" t="s">
        <v>38</v>
      </c>
      <c r="F513" s="311">
        <v>9515412075</v>
      </c>
      <c r="G513" s="316" t="s">
        <v>6</v>
      </c>
      <c r="H513" s="316" t="s">
        <v>440</v>
      </c>
      <c r="I513" s="316" t="s">
        <v>41</v>
      </c>
      <c r="J513" s="310" t="s">
        <v>59</v>
      </c>
      <c r="K513" s="312">
        <v>33530</v>
      </c>
      <c r="L513" s="312">
        <v>45040</v>
      </c>
      <c r="M513" s="313">
        <f t="shared" si="45"/>
        <v>11510</v>
      </c>
      <c r="N513" s="314">
        <f t="shared" si="46"/>
        <v>0.255550621669627</v>
      </c>
      <c r="O513" s="312">
        <v>33530</v>
      </c>
      <c r="P513" s="313">
        <f t="shared" si="42"/>
        <v>0</v>
      </c>
      <c r="Q513" s="310" t="s">
        <v>147</v>
      </c>
      <c r="R513" s="310">
        <v>55</v>
      </c>
      <c r="S513" s="310"/>
      <c r="T513" s="308">
        <v>45791</v>
      </c>
      <c r="U513" s="308">
        <v>45791</v>
      </c>
      <c r="V513" s="308"/>
      <c r="W513" s="315">
        <f t="shared" si="47"/>
        <v>3</v>
      </c>
      <c r="X513" s="310" t="s">
        <v>54</v>
      </c>
      <c r="Y513" s="310" t="s">
        <v>56</v>
      </c>
      <c r="Z513" s="316"/>
      <c r="AA513" s="316" t="s">
        <v>1892</v>
      </c>
      <c r="AB513" s="316" t="s">
        <v>1892</v>
      </c>
    </row>
    <row r="514" spans="1:28" x14ac:dyDescent="0.25">
      <c r="A514" s="307">
        <f t="shared" si="43"/>
        <v>508</v>
      </c>
      <c r="B514" s="308">
        <v>45790</v>
      </c>
      <c r="C514" s="309">
        <f t="shared" si="44"/>
        <v>45778</v>
      </c>
      <c r="D514" s="310" t="s">
        <v>56</v>
      </c>
      <c r="E514" s="310" t="s">
        <v>1644</v>
      </c>
      <c r="F514" s="311">
        <v>9902798068</v>
      </c>
      <c r="G514" s="316" t="s">
        <v>6</v>
      </c>
      <c r="H514" s="316" t="s">
        <v>440</v>
      </c>
      <c r="I514" s="316" t="s">
        <v>41</v>
      </c>
      <c r="J514" s="310" t="s">
        <v>172</v>
      </c>
      <c r="K514" s="312">
        <v>33770</v>
      </c>
      <c r="L514" s="312">
        <v>46620</v>
      </c>
      <c r="M514" s="313">
        <f t="shared" si="45"/>
        <v>12850</v>
      </c>
      <c r="N514" s="314">
        <f t="shared" si="46"/>
        <v>0.275632775632776</v>
      </c>
      <c r="O514" s="312">
        <v>33770</v>
      </c>
      <c r="P514" s="313">
        <f t="shared" si="42"/>
        <v>0</v>
      </c>
      <c r="Q514" s="310" t="s">
        <v>147</v>
      </c>
      <c r="R514" s="310">
        <v>56</v>
      </c>
      <c r="S514" s="310"/>
      <c r="T514" s="308">
        <v>45793</v>
      </c>
      <c r="U514" s="308">
        <v>45793</v>
      </c>
      <c r="V514" s="308"/>
      <c r="W514" s="315">
        <f t="shared" si="47"/>
        <v>3</v>
      </c>
      <c r="X514" s="310" t="s">
        <v>54</v>
      </c>
      <c r="Y514" s="310" t="s">
        <v>56</v>
      </c>
      <c r="Z514" s="316"/>
      <c r="AA514" s="316" t="s">
        <v>1889</v>
      </c>
      <c r="AB514" s="316" t="s">
        <v>1889</v>
      </c>
    </row>
    <row r="515" spans="1:28" x14ac:dyDescent="0.25">
      <c r="A515" s="307">
        <f t="shared" si="43"/>
        <v>509</v>
      </c>
      <c r="B515" s="308">
        <v>45791</v>
      </c>
      <c r="C515" s="309">
        <f t="shared" si="44"/>
        <v>45778</v>
      </c>
      <c r="D515" s="310" t="s">
        <v>56</v>
      </c>
      <c r="E515" s="310" t="s">
        <v>1635</v>
      </c>
      <c r="F515" s="311">
        <v>9472230553</v>
      </c>
      <c r="G515" s="316" t="s">
        <v>6</v>
      </c>
      <c r="H515" s="316" t="s">
        <v>1874</v>
      </c>
      <c r="I515" s="316" t="s">
        <v>440</v>
      </c>
      <c r="J515" s="310" t="s">
        <v>172</v>
      </c>
      <c r="K515" s="312">
        <v>32820</v>
      </c>
      <c r="L515" s="312">
        <v>40320</v>
      </c>
      <c r="M515" s="313">
        <f t="shared" si="45"/>
        <v>7500</v>
      </c>
      <c r="N515" s="314">
        <f t="shared" si="46"/>
        <v>0.186011904761905</v>
      </c>
      <c r="O515" s="312">
        <v>32820</v>
      </c>
      <c r="P515" s="313">
        <f t="shared" si="42"/>
        <v>0</v>
      </c>
      <c r="Q515" s="310" t="s">
        <v>147</v>
      </c>
      <c r="R515" s="310">
        <v>57</v>
      </c>
      <c r="S515" s="310"/>
      <c r="T515" s="308">
        <v>45791</v>
      </c>
      <c r="U515" s="308">
        <v>45791</v>
      </c>
      <c r="V515" s="308"/>
      <c r="W515" s="315">
        <f t="shared" si="47"/>
        <v>0</v>
      </c>
      <c r="X515" s="310" t="s">
        <v>54</v>
      </c>
      <c r="Y515" s="310" t="s">
        <v>56</v>
      </c>
      <c r="Z515" s="316"/>
      <c r="AA515" s="316" t="s">
        <v>1892</v>
      </c>
      <c r="AB515" s="316" t="s">
        <v>1892</v>
      </c>
    </row>
    <row r="516" spans="1:28" x14ac:dyDescent="0.25">
      <c r="A516" s="307">
        <f t="shared" si="43"/>
        <v>510</v>
      </c>
      <c r="B516" s="308">
        <v>45791</v>
      </c>
      <c r="C516" s="309">
        <f t="shared" si="44"/>
        <v>45778</v>
      </c>
      <c r="D516" s="310" t="s">
        <v>56</v>
      </c>
      <c r="E516" s="310" t="s">
        <v>1637</v>
      </c>
      <c r="F516" s="311">
        <v>9025368773</v>
      </c>
      <c r="G516" s="316" t="s">
        <v>6</v>
      </c>
      <c r="H516" s="316" t="s">
        <v>440</v>
      </c>
      <c r="I516" s="316" t="s">
        <v>41</v>
      </c>
      <c r="J516" s="310" t="s">
        <v>172</v>
      </c>
      <c r="K516" s="312">
        <v>33770</v>
      </c>
      <c r="L516" s="312">
        <v>46620</v>
      </c>
      <c r="M516" s="313">
        <f t="shared" si="45"/>
        <v>12850</v>
      </c>
      <c r="N516" s="314">
        <f t="shared" si="46"/>
        <v>0.275632775632776</v>
      </c>
      <c r="O516" s="312">
        <v>33770</v>
      </c>
      <c r="P516" s="313">
        <f t="shared" si="42"/>
        <v>0</v>
      </c>
      <c r="Q516" s="310" t="s">
        <v>147</v>
      </c>
      <c r="R516" s="310">
        <v>58</v>
      </c>
      <c r="S516" s="310"/>
      <c r="T516" s="308">
        <v>45794</v>
      </c>
      <c r="U516" s="308">
        <v>45794</v>
      </c>
      <c r="V516" s="308"/>
      <c r="W516" s="315">
        <f t="shared" si="47"/>
        <v>3</v>
      </c>
      <c r="X516" s="310" t="s">
        <v>54</v>
      </c>
      <c r="Y516" s="310" t="s">
        <v>56</v>
      </c>
      <c r="Z516" s="316"/>
      <c r="AA516" s="316" t="s">
        <v>1893</v>
      </c>
      <c r="AB516" s="316" t="s">
        <v>1893</v>
      </c>
    </row>
    <row r="517" spans="1:28" x14ac:dyDescent="0.25">
      <c r="A517" s="307">
        <f t="shared" si="43"/>
        <v>511</v>
      </c>
      <c r="B517" s="308">
        <v>45791</v>
      </c>
      <c r="C517" s="309">
        <f t="shared" si="44"/>
        <v>45778</v>
      </c>
      <c r="D517" s="310" t="s">
        <v>56</v>
      </c>
      <c r="E517" s="310" t="s">
        <v>60</v>
      </c>
      <c r="F517" s="311">
        <v>9220186371</v>
      </c>
      <c r="G517" s="316" t="s">
        <v>1093</v>
      </c>
      <c r="H517" s="316" t="s">
        <v>1874</v>
      </c>
      <c r="I517" s="316" t="s">
        <v>6</v>
      </c>
      <c r="J517" s="310" t="s">
        <v>172</v>
      </c>
      <c r="K517" s="312">
        <v>41230</v>
      </c>
      <c r="L517" s="312">
        <v>96390</v>
      </c>
      <c r="M517" s="313">
        <f t="shared" si="45"/>
        <v>55160</v>
      </c>
      <c r="N517" s="314">
        <f t="shared" si="46"/>
        <v>0.572258533042847</v>
      </c>
      <c r="O517" s="312">
        <v>41230</v>
      </c>
      <c r="P517" s="313">
        <f t="shared" si="42"/>
        <v>0</v>
      </c>
      <c r="Q517" s="310" t="s">
        <v>147</v>
      </c>
      <c r="R517" s="310">
        <v>59</v>
      </c>
      <c r="S517" s="310"/>
      <c r="T517" s="308">
        <v>45793</v>
      </c>
      <c r="U517" s="308">
        <v>45793</v>
      </c>
      <c r="V517" s="308"/>
      <c r="W517" s="315">
        <f t="shared" si="47"/>
        <v>2</v>
      </c>
      <c r="X517" s="310" t="s">
        <v>54</v>
      </c>
      <c r="Y517" s="310" t="s">
        <v>56</v>
      </c>
      <c r="Z517" s="316"/>
      <c r="AA517" s="316" t="s">
        <v>1889</v>
      </c>
      <c r="AB517" s="316" t="s">
        <v>1889</v>
      </c>
    </row>
    <row r="518" spans="1:28" x14ac:dyDescent="0.25">
      <c r="A518" s="307">
        <f t="shared" si="43"/>
        <v>512</v>
      </c>
      <c r="B518" s="308">
        <v>45792</v>
      </c>
      <c r="C518" s="309">
        <f t="shared" si="44"/>
        <v>45778</v>
      </c>
      <c r="D518" s="310" t="s">
        <v>56</v>
      </c>
      <c r="E518" s="310" t="s">
        <v>1641</v>
      </c>
      <c r="F518" s="311">
        <v>9281983602</v>
      </c>
      <c r="G518" s="316" t="s">
        <v>6</v>
      </c>
      <c r="H518" s="316" t="s">
        <v>1874</v>
      </c>
      <c r="I518" s="316" t="s">
        <v>440</v>
      </c>
      <c r="J518" s="310" t="s">
        <v>172</v>
      </c>
      <c r="K518" s="312">
        <v>32820</v>
      </c>
      <c r="L518" s="312">
        <v>40320</v>
      </c>
      <c r="M518" s="313">
        <f t="shared" si="45"/>
        <v>7500</v>
      </c>
      <c r="N518" s="314">
        <f t="shared" si="46"/>
        <v>0.186011904761905</v>
      </c>
      <c r="O518" s="312">
        <v>32820</v>
      </c>
      <c r="P518" s="313">
        <f t="shared" si="42"/>
        <v>0</v>
      </c>
      <c r="Q518" s="310" t="s">
        <v>147</v>
      </c>
      <c r="R518" s="310">
        <v>60</v>
      </c>
      <c r="S518" s="310"/>
      <c r="T518" s="308">
        <v>45796</v>
      </c>
      <c r="U518" s="308">
        <v>45796</v>
      </c>
      <c r="V518" s="308"/>
      <c r="W518" s="315">
        <f t="shared" si="47"/>
        <v>4</v>
      </c>
      <c r="X518" s="310" t="s">
        <v>54</v>
      </c>
      <c r="Y518" s="310" t="s">
        <v>56</v>
      </c>
      <c r="Z518" s="316"/>
      <c r="AA518" s="316" t="s">
        <v>1881</v>
      </c>
      <c r="AB518" s="316" t="s">
        <v>1881</v>
      </c>
    </row>
    <row r="519" spans="1:28" x14ac:dyDescent="0.25">
      <c r="A519" s="307">
        <f t="shared" si="43"/>
        <v>513</v>
      </c>
      <c r="B519" s="308">
        <v>45794</v>
      </c>
      <c r="C519" s="309">
        <f t="shared" si="44"/>
        <v>45778</v>
      </c>
      <c r="D519" s="310" t="s">
        <v>56</v>
      </c>
      <c r="E519" s="310" t="s">
        <v>60</v>
      </c>
      <c r="F519" s="311">
        <v>9589264337</v>
      </c>
      <c r="G519" s="316" t="s">
        <v>6</v>
      </c>
      <c r="H519" s="316" t="s">
        <v>440</v>
      </c>
      <c r="I519" s="316" t="s">
        <v>41</v>
      </c>
      <c r="J519" s="310" t="s">
        <v>172</v>
      </c>
      <c r="K519" s="312">
        <v>33770</v>
      </c>
      <c r="L519" s="312">
        <v>46620</v>
      </c>
      <c r="M519" s="313">
        <f t="shared" si="45"/>
        <v>12850</v>
      </c>
      <c r="N519" s="314">
        <f t="shared" si="46"/>
        <v>0.275632775632776</v>
      </c>
      <c r="O519" s="312">
        <v>33770</v>
      </c>
      <c r="P519" s="313">
        <f t="shared" ref="P519:P582" si="48">IF(OR($K519="",$O519=""),"",$K519-$O519)</f>
        <v>0</v>
      </c>
      <c r="Q519" s="310" t="s">
        <v>147</v>
      </c>
      <c r="R519" s="310">
        <v>61</v>
      </c>
      <c r="S519" s="310"/>
      <c r="T519" s="308">
        <v>45797</v>
      </c>
      <c r="U519" s="308">
        <v>45797</v>
      </c>
      <c r="V519" s="308"/>
      <c r="W519" s="315">
        <f t="shared" si="47"/>
        <v>3</v>
      </c>
      <c r="X519" s="310" t="s">
        <v>54</v>
      </c>
      <c r="Y519" s="310" t="s">
        <v>56</v>
      </c>
      <c r="Z519" s="316"/>
      <c r="AA519" s="316" t="s">
        <v>1897</v>
      </c>
      <c r="AB519" s="316" t="s">
        <v>1897</v>
      </c>
    </row>
    <row r="520" spans="1:28" x14ac:dyDescent="0.25">
      <c r="A520" s="307">
        <f t="shared" ref="A520:A583" si="49">IF($B520="","",ROW()-6)</f>
        <v>514</v>
      </c>
      <c r="B520" s="308">
        <v>45794</v>
      </c>
      <c r="C520" s="309">
        <f t="shared" ref="C520:C583" si="50">IF($B520="","",EOMONTH($B520,-1)+1)</f>
        <v>45778</v>
      </c>
      <c r="D520" s="310" t="s">
        <v>56</v>
      </c>
      <c r="E520" s="310" t="s">
        <v>38</v>
      </c>
      <c r="F520" s="311">
        <v>9515412075</v>
      </c>
      <c r="G520" s="316" t="s">
        <v>1093</v>
      </c>
      <c r="H520" s="316" t="s">
        <v>1874</v>
      </c>
      <c r="I520" s="316" t="s">
        <v>6</v>
      </c>
      <c r="J520" s="310" t="s">
        <v>59</v>
      </c>
      <c r="K520" s="312">
        <v>40480</v>
      </c>
      <c r="L520" s="312">
        <v>91350</v>
      </c>
      <c r="M520" s="313">
        <f t="shared" ref="M520:M583" si="51">IF(OR($K520="",$L520=""),"",$L520-$K520)</f>
        <v>50870</v>
      </c>
      <c r="N520" s="314">
        <f t="shared" ref="N520:N583" si="52">IF(OR($L520="",$L520=0,$M520=""),"",$M520/$L520)</f>
        <v>0.556869184455391</v>
      </c>
      <c r="O520" s="312">
        <v>40480</v>
      </c>
      <c r="P520" s="313">
        <f t="shared" si="48"/>
        <v>0</v>
      </c>
      <c r="Q520" s="310" t="s">
        <v>147</v>
      </c>
      <c r="R520" s="310">
        <v>62</v>
      </c>
      <c r="S520" s="310"/>
      <c r="T520" s="308">
        <v>45797</v>
      </c>
      <c r="U520" s="308">
        <v>45797</v>
      </c>
      <c r="V520" s="308"/>
      <c r="W520" s="315">
        <f t="shared" ref="W520:W583" si="53">IF(OR($B520="",$U520=""),"",$U520-$B520)</f>
        <v>3</v>
      </c>
      <c r="X520" s="310" t="s">
        <v>54</v>
      </c>
      <c r="Y520" s="310" t="s">
        <v>56</v>
      </c>
      <c r="Z520" s="316"/>
      <c r="AA520" s="316" t="s">
        <v>1897</v>
      </c>
      <c r="AB520" s="316" t="s">
        <v>1897</v>
      </c>
    </row>
    <row r="521" spans="1:28" x14ac:dyDescent="0.25">
      <c r="A521" s="307">
        <f t="shared" si="49"/>
        <v>515</v>
      </c>
      <c r="B521" s="308">
        <v>45795</v>
      </c>
      <c r="C521" s="309">
        <f t="shared" si="50"/>
        <v>45778</v>
      </c>
      <c r="D521" s="310" t="s">
        <v>56</v>
      </c>
      <c r="E521" s="310" t="s">
        <v>1644</v>
      </c>
      <c r="F521" s="311">
        <v>9902798068</v>
      </c>
      <c r="G521" s="316" t="s">
        <v>1093</v>
      </c>
      <c r="H521" s="316" t="s">
        <v>1874</v>
      </c>
      <c r="I521" s="316" t="s">
        <v>6</v>
      </c>
      <c r="J521" s="310" t="s">
        <v>172</v>
      </c>
      <c r="K521" s="312">
        <v>41230</v>
      </c>
      <c r="L521" s="312">
        <v>96390</v>
      </c>
      <c r="M521" s="313">
        <f t="shared" si="51"/>
        <v>55160</v>
      </c>
      <c r="N521" s="314">
        <f t="shared" si="52"/>
        <v>0.572258533042847</v>
      </c>
      <c r="O521" s="312">
        <v>41230</v>
      </c>
      <c r="P521" s="313">
        <f t="shared" si="48"/>
        <v>0</v>
      </c>
      <c r="Q521" s="310" t="s">
        <v>147</v>
      </c>
      <c r="R521" s="310">
        <v>63</v>
      </c>
      <c r="S521" s="310"/>
      <c r="T521" s="308">
        <v>45797</v>
      </c>
      <c r="U521" s="308">
        <v>45797</v>
      </c>
      <c r="V521" s="308"/>
      <c r="W521" s="315">
        <f t="shared" si="53"/>
        <v>2</v>
      </c>
      <c r="X521" s="310" t="s">
        <v>54</v>
      </c>
      <c r="Y521" s="310" t="s">
        <v>56</v>
      </c>
      <c r="Z521" s="316"/>
      <c r="AA521" s="316" t="s">
        <v>1897</v>
      </c>
      <c r="AB521" s="316" t="s">
        <v>1897</v>
      </c>
    </row>
    <row r="522" spans="1:28" x14ac:dyDescent="0.25">
      <c r="A522" s="307">
        <f t="shared" si="49"/>
        <v>516</v>
      </c>
      <c r="B522" s="308">
        <v>45797</v>
      </c>
      <c r="C522" s="309">
        <f t="shared" si="50"/>
        <v>45778</v>
      </c>
      <c r="D522" s="310" t="s">
        <v>56</v>
      </c>
      <c r="E522" s="310" t="s">
        <v>1635</v>
      </c>
      <c r="F522" s="311">
        <v>9472230553</v>
      </c>
      <c r="G522" s="316" t="s">
        <v>1093</v>
      </c>
      <c r="H522" s="316"/>
      <c r="I522" s="316" t="s">
        <v>6</v>
      </c>
      <c r="J522" s="310" t="s">
        <v>172</v>
      </c>
      <c r="K522" s="312">
        <v>41230</v>
      </c>
      <c r="L522" s="312">
        <v>96390</v>
      </c>
      <c r="M522" s="313">
        <f t="shared" si="51"/>
        <v>55160</v>
      </c>
      <c r="N522" s="314">
        <f t="shared" si="52"/>
        <v>0.572258533042847</v>
      </c>
      <c r="O522" s="312">
        <v>41230</v>
      </c>
      <c r="P522" s="313">
        <f t="shared" si="48"/>
        <v>0</v>
      </c>
      <c r="Q522" s="310" t="s">
        <v>147</v>
      </c>
      <c r="R522" s="310">
        <v>64</v>
      </c>
      <c r="S522" s="310"/>
      <c r="T522" s="308">
        <v>45800</v>
      </c>
      <c r="U522" s="308">
        <v>45800</v>
      </c>
      <c r="V522" s="308"/>
      <c r="W522" s="315">
        <f t="shared" si="53"/>
        <v>3</v>
      </c>
      <c r="X522" s="310" t="s">
        <v>54</v>
      </c>
      <c r="Y522" s="310" t="s">
        <v>56</v>
      </c>
      <c r="Z522" s="316"/>
      <c r="AA522" s="316" t="s">
        <v>1900</v>
      </c>
      <c r="AB522" s="316" t="s">
        <v>1900</v>
      </c>
    </row>
    <row r="523" spans="1:28" x14ac:dyDescent="0.25">
      <c r="A523" s="307">
        <f t="shared" si="49"/>
        <v>517</v>
      </c>
      <c r="B523" s="308">
        <v>45797</v>
      </c>
      <c r="C523" s="309">
        <f t="shared" si="50"/>
        <v>45778</v>
      </c>
      <c r="D523" s="310" t="s">
        <v>51</v>
      </c>
      <c r="E523" s="310" t="s">
        <v>1909</v>
      </c>
      <c r="F523" s="311">
        <v>9119138448</v>
      </c>
      <c r="G523" s="316" t="s">
        <v>6</v>
      </c>
      <c r="H523" s="316" t="s">
        <v>1910</v>
      </c>
      <c r="I523" s="316" t="s">
        <v>6</v>
      </c>
      <c r="J523" s="310" t="s">
        <v>445</v>
      </c>
      <c r="K523" s="312">
        <v>620</v>
      </c>
      <c r="L523" s="312">
        <v>940</v>
      </c>
      <c r="M523" s="313">
        <f t="shared" si="51"/>
        <v>320</v>
      </c>
      <c r="N523" s="314">
        <f t="shared" si="52"/>
        <v>0.340425531914894</v>
      </c>
      <c r="O523" s="312">
        <v>620</v>
      </c>
      <c r="P523" s="313">
        <f t="shared" si="48"/>
        <v>0</v>
      </c>
      <c r="Q523" s="310" t="s">
        <v>147</v>
      </c>
      <c r="R523" s="310">
        <v>75</v>
      </c>
      <c r="S523" s="310"/>
      <c r="T523" s="308">
        <v>45797</v>
      </c>
      <c r="U523" s="308">
        <v>45797</v>
      </c>
      <c r="V523" s="308"/>
      <c r="W523" s="315">
        <f t="shared" si="53"/>
        <v>0</v>
      </c>
      <c r="X523" s="310" t="s">
        <v>54</v>
      </c>
      <c r="Y523" s="310" t="s">
        <v>51</v>
      </c>
      <c r="Z523" s="316" t="s">
        <v>3771</v>
      </c>
      <c r="AA523" s="316" t="s">
        <v>1897</v>
      </c>
      <c r="AB523" s="316" t="s">
        <v>1897</v>
      </c>
    </row>
    <row r="524" spans="1:28" x14ac:dyDescent="0.25">
      <c r="A524" s="307">
        <f t="shared" si="49"/>
        <v>518</v>
      </c>
      <c r="B524" s="308">
        <v>45797</v>
      </c>
      <c r="C524" s="309">
        <f t="shared" si="50"/>
        <v>45778</v>
      </c>
      <c r="D524" s="310" t="s">
        <v>51</v>
      </c>
      <c r="E524" s="310" t="s">
        <v>1895</v>
      </c>
      <c r="F524" s="311">
        <v>9991890079</v>
      </c>
      <c r="G524" s="316" t="s">
        <v>6</v>
      </c>
      <c r="H524" s="316" t="s">
        <v>440</v>
      </c>
      <c r="I524" s="316" t="s">
        <v>41</v>
      </c>
      <c r="J524" s="310" t="s">
        <v>172</v>
      </c>
      <c r="K524" s="312">
        <v>33770</v>
      </c>
      <c r="L524" s="312">
        <v>46620</v>
      </c>
      <c r="M524" s="313">
        <f t="shared" si="51"/>
        <v>12850</v>
      </c>
      <c r="N524" s="314">
        <f t="shared" si="52"/>
        <v>0.275632775632776</v>
      </c>
      <c r="O524" s="312">
        <v>33770</v>
      </c>
      <c r="P524" s="313">
        <f t="shared" si="48"/>
        <v>0</v>
      </c>
      <c r="Q524" s="310" t="s">
        <v>147</v>
      </c>
      <c r="R524" s="310">
        <v>65</v>
      </c>
      <c r="S524" s="310"/>
      <c r="T524" s="308">
        <v>45801</v>
      </c>
      <c r="U524" s="308">
        <v>45801</v>
      </c>
      <c r="V524" s="308"/>
      <c r="W524" s="315">
        <f t="shared" si="53"/>
        <v>4</v>
      </c>
      <c r="X524" s="310" t="s">
        <v>54</v>
      </c>
      <c r="Y524" s="310" t="s">
        <v>529</v>
      </c>
      <c r="Z524" s="316"/>
      <c r="AA524" s="316" t="s">
        <v>1901</v>
      </c>
      <c r="AB524" s="316" t="s">
        <v>1901</v>
      </c>
    </row>
    <row r="525" spans="1:28" x14ac:dyDescent="0.25">
      <c r="A525" s="307">
        <f t="shared" si="49"/>
        <v>519</v>
      </c>
      <c r="B525" s="308">
        <v>45798</v>
      </c>
      <c r="C525" s="309">
        <f t="shared" si="50"/>
        <v>45778</v>
      </c>
      <c r="D525" s="310" t="s">
        <v>51</v>
      </c>
      <c r="E525" s="310" t="s">
        <v>43</v>
      </c>
      <c r="F525" s="311">
        <v>9091859565</v>
      </c>
      <c r="G525" s="316" t="s">
        <v>6</v>
      </c>
      <c r="H525" s="316" t="s">
        <v>440</v>
      </c>
      <c r="I525" s="316" t="s">
        <v>41</v>
      </c>
      <c r="J525" s="310" t="s">
        <v>172</v>
      </c>
      <c r="K525" s="312">
        <v>33770</v>
      </c>
      <c r="L525" s="312">
        <v>46620</v>
      </c>
      <c r="M525" s="313">
        <f t="shared" si="51"/>
        <v>12850</v>
      </c>
      <c r="N525" s="314">
        <f t="shared" si="52"/>
        <v>0.275632775632776</v>
      </c>
      <c r="O525" s="312">
        <v>33770</v>
      </c>
      <c r="P525" s="313">
        <f t="shared" si="48"/>
        <v>0</v>
      </c>
      <c r="Q525" s="310" t="s">
        <v>147</v>
      </c>
      <c r="R525" s="310">
        <v>66</v>
      </c>
      <c r="S525" s="310"/>
      <c r="T525" s="308">
        <v>45800</v>
      </c>
      <c r="U525" s="308">
        <v>45801</v>
      </c>
      <c r="V525" s="308"/>
      <c r="W525" s="315">
        <f t="shared" si="53"/>
        <v>3</v>
      </c>
      <c r="X525" s="310" t="s">
        <v>54</v>
      </c>
      <c r="Y525" s="310" t="s">
        <v>3742</v>
      </c>
      <c r="Z525" s="316"/>
      <c r="AA525" s="316" t="s">
        <v>1900</v>
      </c>
      <c r="AB525" s="316" t="s">
        <v>1901</v>
      </c>
    </row>
    <row r="526" spans="1:28" x14ac:dyDescent="0.25">
      <c r="A526" s="307">
        <f t="shared" si="49"/>
        <v>520</v>
      </c>
      <c r="B526" s="308">
        <v>45798</v>
      </c>
      <c r="C526" s="309">
        <f t="shared" si="50"/>
        <v>45778</v>
      </c>
      <c r="D526" s="310" t="s">
        <v>56</v>
      </c>
      <c r="E526" s="310" t="s">
        <v>38</v>
      </c>
      <c r="F526" s="311">
        <v>9515412075</v>
      </c>
      <c r="G526" s="316" t="s">
        <v>6</v>
      </c>
      <c r="H526" s="316" t="s">
        <v>1874</v>
      </c>
      <c r="I526" s="316" t="s">
        <v>41</v>
      </c>
      <c r="J526" s="310" t="s">
        <v>59</v>
      </c>
      <c r="K526" s="312">
        <v>32590</v>
      </c>
      <c r="L526" s="312">
        <v>38740</v>
      </c>
      <c r="M526" s="313">
        <f t="shared" si="51"/>
        <v>6150</v>
      </c>
      <c r="N526" s="314">
        <f t="shared" si="52"/>
        <v>0.158750645327827</v>
      </c>
      <c r="O526" s="312">
        <v>32590</v>
      </c>
      <c r="P526" s="313">
        <f t="shared" si="48"/>
        <v>0</v>
      </c>
      <c r="Q526" s="310" t="s">
        <v>147</v>
      </c>
      <c r="R526" s="310">
        <v>67</v>
      </c>
      <c r="S526" s="310"/>
      <c r="T526" s="308">
        <v>45800</v>
      </c>
      <c r="U526" s="308">
        <v>45801</v>
      </c>
      <c r="V526" s="308"/>
      <c r="W526" s="315">
        <f t="shared" si="53"/>
        <v>3</v>
      </c>
      <c r="X526" s="310" t="s">
        <v>54</v>
      </c>
      <c r="Y526" s="310" t="s">
        <v>56</v>
      </c>
      <c r="Z526" s="316"/>
      <c r="AA526" s="316" t="s">
        <v>1900</v>
      </c>
      <c r="AB526" s="316" t="s">
        <v>1901</v>
      </c>
    </row>
    <row r="527" spans="1:28" x14ac:dyDescent="0.25">
      <c r="A527" s="307">
        <f t="shared" si="49"/>
        <v>521</v>
      </c>
      <c r="B527" s="308">
        <v>45798</v>
      </c>
      <c r="C527" s="309">
        <f t="shared" si="50"/>
        <v>45778</v>
      </c>
      <c r="D527" s="310" t="s">
        <v>56</v>
      </c>
      <c r="E527" s="310" t="s">
        <v>1644</v>
      </c>
      <c r="F527" s="311">
        <v>9220186371</v>
      </c>
      <c r="G527" s="316" t="s">
        <v>6</v>
      </c>
      <c r="H527" s="316" t="s">
        <v>1874</v>
      </c>
      <c r="I527" s="316" t="s">
        <v>440</v>
      </c>
      <c r="J527" s="310" t="s">
        <v>172</v>
      </c>
      <c r="K527" s="312">
        <v>32820</v>
      </c>
      <c r="L527" s="312">
        <v>40320</v>
      </c>
      <c r="M527" s="313">
        <f t="shared" si="51"/>
        <v>7500</v>
      </c>
      <c r="N527" s="314">
        <f t="shared" si="52"/>
        <v>0.186011904761905</v>
      </c>
      <c r="O527" s="312">
        <v>32820</v>
      </c>
      <c r="P527" s="313">
        <f t="shared" si="48"/>
        <v>0</v>
      </c>
      <c r="Q527" s="310" t="s">
        <v>147</v>
      </c>
      <c r="R527" s="310">
        <v>68</v>
      </c>
      <c r="S527" s="310"/>
      <c r="T527" s="308">
        <v>45800</v>
      </c>
      <c r="U527" s="308">
        <v>45801</v>
      </c>
      <c r="V527" s="308"/>
      <c r="W527" s="315">
        <f t="shared" si="53"/>
        <v>3</v>
      </c>
      <c r="X527" s="310" t="s">
        <v>54</v>
      </c>
      <c r="Y527" s="310" t="s">
        <v>56</v>
      </c>
      <c r="Z527" s="316"/>
      <c r="AA527" s="316" t="s">
        <v>1900</v>
      </c>
      <c r="AB527" s="316" t="s">
        <v>1901</v>
      </c>
    </row>
    <row r="528" spans="1:28" x14ac:dyDescent="0.25">
      <c r="A528" s="307">
        <f t="shared" si="49"/>
        <v>522</v>
      </c>
      <c r="B528" s="308">
        <v>45798</v>
      </c>
      <c r="C528" s="309">
        <f t="shared" si="50"/>
        <v>45778</v>
      </c>
      <c r="D528" s="310" t="s">
        <v>56</v>
      </c>
      <c r="E528" s="310" t="s">
        <v>1641</v>
      </c>
      <c r="F528" s="311">
        <v>9281983602</v>
      </c>
      <c r="G528" s="316" t="s">
        <v>1093</v>
      </c>
      <c r="H528" s="316" t="s">
        <v>1896</v>
      </c>
      <c r="I528" s="316" t="s">
        <v>6</v>
      </c>
      <c r="J528" s="310" t="s">
        <v>172</v>
      </c>
      <c r="K528" s="312">
        <v>42180</v>
      </c>
      <c r="L528" s="312">
        <v>102690</v>
      </c>
      <c r="M528" s="313">
        <f t="shared" si="51"/>
        <v>60510</v>
      </c>
      <c r="N528" s="314">
        <f t="shared" si="52"/>
        <v>0.58924919661116</v>
      </c>
      <c r="O528" s="312">
        <v>42180</v>
      </c>
      <c r="P528" s="313">
        <f t="shared" si="48"/>
        <v>0</v>
      </c>
      <c r="Q528" s="310" t="s">
        <v>147</v>
      </c>
      <c r="R528" s="310">
        <v>69</v>
      </c>
      <c r="S528" s="310"/>
      <c r="T528" s="308">
        <v>45800</v>
      </c>
      <c r="U528" s="308">
        <v>45800</v>
      </c>
      <c r="V528" s="308"/>
      <c r="W528" s="315">
        <f t="shared" si="53"/>
        <v>2</v>
      </c>
      <c r="X528" s="310" t="s">
        <v>54</v>
      </c>
      <c r="Y528" s="310" t="s">
        <v>56</v>
      </c>
      <c r="Z528" s="316"/>
      <c r="AA528" s="316" t="s">
        <v>1900</v>
      </c>
      <c r="AB528" s="316" t="s">
        <v>1900</v>
      </c>
    </row>
    <row r="529" spans="1:28" x14ac:dyDescent="0.25">
      <c r="A529" s="307">
        <f t="shared" si="49"/>
        <v>523</v>
      </c>
      <c r="B529" s="308">
        <v>45799</v>
      </c>
      <c r="C529" s="309">
        <f t="shared" si="50"/>
        <v>45778</v>
      </c>
      <c r="D529" s="310" t="s">
        <v>51</v>
      </c>
      <c r="E529" s="310" t="s">
        <v>2334</v>
      </c>
      <c r="F529" s="311"/>
      <c r="G529" s="316" t="s">
        <v>6</v>
      </c>
      <c r="H529" s="316" t="s">
        <v>1948</v>
      </c>
      <c r="I529" s="316" t="s">
        <v>1949</v>
      </c>
      <c r="J529" s="310" t="s">
        <v>381</v>
      </c>
      <c r="K529" s="312">
        <v>41380</v>
      </c>
      <c r="L529" s="312">
        <v>49810</v>
      </c>
      <c r="M529" s="313">
        <f t="shared" si="51"/>
        <v>8430</v>
      </c>
      <c r="N529" s="314">
        <f t="shared" si="52"/>
        <v>0.169243123870709</v>
      </c>
      <c r="O529" s="312">
        <v>41380</v>
      </c>
      <c r="P529" s="313">
        <f t="shared" si="48"/>
        <v>0</v>
      </c>
      <c r="Q529" s="310" t="s">
        <v>147</v>
      </c>
      <c r="R529" s="310">
        <v>76</v>
      </c>
      <c r="S529" s="310"/>
      <c r="T529" s="308">
        <v>45800</v>
      </c>
      <c r="U529" s="308">
        <v>45800</v>
      </c>
      <c r="V529" s="308"/>
      <c r="W529" s="315">
        <f t="shared" si="53"/>
        <v>1</v>
      </c>
      <c r="X529" s="310" t="s">
        <v>54</v>
      </c>
      <c r="Y529" s="310" t="s">
        <v>2334</v>
      </c>
      <c r="Z529" s="316" t="s">
        <v>1907</v>
      </c>
      <c r="AA529" s="316" t="s">
        <v>1900</v>
      </c>
      <c r="AB529" s="316" t="s">
        <v>1900</v>
      </c>
    </row>
    <row r="530" spans="1:28" x14ac:dyDescent="0.25">
      <c r="A530" s="307">
        <f t="shared" si="49"/>
        <v>524</v>
      </c>
      <c r="B530" s="308">
        <v>45799</v>
      </c>
      <c r="C530" s="309">
        <f t="shared" si="50"/>
        <v>45778</v>
      </c>
      <c r="D530" s="310" t="s">
        <v>51</v>
      </c>
      <c r="E530" s="310" t="s">
        <v>2334</v>
      </c>
      <c r="F530" s="311"/>
      <c r="G530" s="316" t="s">
        <v>6</v>
      </c>
      <c r="H530" s="316"/>
      <c r="I530" s="316" t="s">
        <v>1950</v>
      </c>
      <c r="J530" s="310" t="s">
        <v>381</v>
      </c>
      <c r="K530" s="312">
        <v>34110</v>
      </c>
      <c r="L530" s="312">
        <v>35920</v>
      </c>
      <c r="M530" s="313">
        <f t="shared" si="51"/>
        <v>1810</v>
      </c>
      <c r="N530" s="314">
        <f t="shared" si="52"/>
        <v>0.0503897550111359</v>
      </c>
      <c r="O530" s="312">
        <v>34110</v>
      </c>
      <c r="P530" s="313">
        <f t="shared" si="48"/>
        <v>0</v>
      </c>
      <c r="Q530" s="310" t="s">
        <v>147</v>
      </c>
      <c r="R530" s="310">
        <v>77</v>
      </c>
      <c r="S530" s="310"/>
      <c r="T530" s="308">
        <v>45800</v>
      </c>
      <c r="U530" s="308">
        <v>45800</v>
      </c>
      <c r="V530" s="308"/>
      <c r="W530" s="315">
        <f t="shared" si="53"/>
        <v>1</v>
      </c>
      <c r="X530" s="310" t="s">
        <v>54</v>
      </c>
      <c r="Y530" s="310" t="s">
        <v>2334</v>
      </c>
      <c r="Z530" s="316" t="s">
        <v>1908</v>
      </c>
      <c r="AA530" s="316" t="s">
        <v>1900</v>
      </c>
      <c r="AB530" s="316" t="s">
        <v>1900</v>
      </c>
    </row>
    <row r="531" spans="1:28" x14ac:dyDescent="0.25">
      <c r="A531" s="307">
        <f t="shared" si="49"/>
        <v>525</v>
      </c>
      <c r="B531" s="308">
        <v>45800</v>
      </c>
      <c r="C531" s="309">
        <f t="shared" si="50"/>
        <v>45778</v>
      </c>
      <c r="D531" s="310" t="s">
        <v>56</v>
      </c>
      <c r="E531" s="310" t="s">
        <v>60</v>
      </c>
      <c r="F531" s="311">
        <v>9589264337</v>
      </c>
      <c r="G531" s="316" t="s">
        <v>1093</v>
      </c>
      <c r="H531" s="316" t="s">
        <v>1874</v>
      </c>
      <c r="I531" s="316" t="s">
        <v>6</v>
      </c>
      <c r="J531" s="310" t="s">
        <v>172</v>
      </c>
      <c r="K531" s="312">
        <v>41230</v>
      </c>
      <c r="L531" s="312">
        <v>96390</v>
      </c>
      <c r="M531" s="313">
        <f t="shared" si="51"/>
        <v>55160</v>
      </c>
      <c r="N531" s="314">
        <f t="shared" si="52"/>
        <v>0.572258533042847</v>
      </c>
      <c r="O531" s="312">
        <v>41230</v>
      </c>
      <c r="P531" s="313">
        <f t="shared" si="48"/>
        <v>0</v>
      </c>
      <c r="Q531" s="310" t="s">
        <v>147</v>
      </c>
      <c r="R531" s="310">
        <v>70</v>
      </c>
      <c r="S531" s="310"/>
      <c r="T531" s="308">
        <v>45803</v>
      </c>
      <c r="U531" s="308">
        <v>45803</v>
      </c>
      <c r="V531" s="308"/>
      <c r="W531" s="315">
        <f t="shared" si="53"/>
        <v>3</v>
      </c>
      <c r="X531" s="310" t="s">
        <v>54</v>
      </c>
      <c r="Y531" s="310" t="s">
        <v>56</v>
      </c>
      <c r="Z531" s="316"/>
      <c r="AA531" s="316" t="s">
        <v>1902</v>
      </c>
      <c r="AB531" s="316" t="s">
        <v>1902</v>
      </c>
    </row>
    <row r="532" spans="1:28" x14ac:dyDescent="0.25">
      <c r="A532" s="307">
        <f t="shared" si="49"/>
        <v>526</v>
      </c>
      <c r="B532" s="308">
        <v>45801</v>
      </c>
      <c r="C532" s="309">
        <f t="shared" si="50"/>
        <v>45778</v>
      </c>
      <c r="D532" s="310" t="s">
        <v>56</v>
      </c>
      <c r="E532" s="310" t="s">
        <v>1750</v>
      </c>
      <c r="F532" s="311">
        <v>9220186371</v>
      </c>
      <c r="G532" s="316" t="s">
        <v>1093</v>
      </c>
      <c r="H532" s="316" t="s">
        <v>1896</v>
      </c>
      <c r="I532" s="316" t="s">
        <v>6</v>
      </c>
      <c r="J532" s="310" t="s">
        <v>172</v>
      </c>
      <c r="K532" s="312">
        <v>42180</v>
      </c>
      <c r="L532" s="312">
        <v>102690</v>
      </c>
      <c r="M532" s="313">
        <f t="shared" si="51"/>
        <v>60510</v>
      </c>
      <c r="N532" s="314">
        <f t="shared" si="52"/>
        <v>0.58924919661116</v>
      </c>
      <c r="O532" s="312">
        <v>42180</v>
      </c>
      <c r="P532" s="313">
        <f t="shared" si="48"/>
        <v>0</v>
      </c>
      <c r="Q532" s="310" t="s">
        <v>147</v>
      </c>
      <c r="R532" s="310">
        <v>71</v>
      </c>
      <c r="S532" s="310"/>
      <c r="T532" s="308">
        <v>45804</v>
      </c>
      <c r="U532" s="308">
        <v>45804</v>
      </c>
      <c r="V532" s="308"/>
      <c r="W532" s="315">
        <f t="shared" si="53"/>
        <v>3</v>
      </c>
      <c r="X532" s="310" t="s">
        <v>54</v>
      </c>
      <c r="Y532" s="310" t="s">
        <v>56</v>
      </c>
      <c r="Z532" s="316"/>
      <c r="AA532" s="316" t="s">
        <v>1904</v>
      </c>
      <c r="AB532" s="316" t="s">
        <v>1904</v>
      </c>
    </row>
    <row r="533" spans="1:28" x14ac:dyDescent="0.25">
      <c r="A533" s="307">
        <f t="shared" si="49"/>
        <v>527</v>
      </c>
      <c r="B533" s="308">
        <v>45801</v>
      </c>
      <c r="C533" s="309">
        <f t="shared" si="50"/>
        <v>45778</v>
      </c>
      <c r="D533" s="310" t="s">
        <v>56</v>
      </c>
      <c r="E533" s="310" t="s">
        <v>1641</v>
      </c>
      <c r="F533" s="311">
        <v>9281983602</v>
      </c>
      <c r="G533" s="316" t="s">
        <v>6</v>
      </c>
      <c r="H533" s="316" t="s">
        <v>440</v>
      </c>
      <c r="I533" s="316" t="s">
        <v>41</v>
      </c>
      <c r="J533" s="310" t="s">
        <v>172</v>
      </c>
      <c r="K533" s="312">
        <v>33770</v>
      </c>
      <c r="L533" s="312">
        <v>46620</v>
      </c>
      <c r="M533" s="313">
        <f t="shared" si="51"/>
        <v>12850</v>
      </c>
      <c r="N533" s="314">
        <f t="shared" si="52"/>
        <v>0.275632775632776</v>
      </c>
      <c r="O533" s="312">
        <v>33770</v>
      </c>
      <c r="P533" s="313">
        <f t="shared" si="48"/>
        <v>0</v>
      </c>
      <c r="Q533" s="310" t="s">
        <v>147</v>
      </c>
      <c r="R533" s="310">
        <v>72</v>
      </c>
      <c r="S533" s="310"/>
      <c r="T533" s="308">
        <v>45804</v>
      </c>
      <c r="U533" s="308">
        <v>45804</v>
      </c>
      <c r="V533" s="308"/>
      <c r="W533" s="315">
        <f t="shared" si="53"/>
        <v>3</v>
      </c>
      <c r="X533" s="310" t="s">
        <v>54</v>
      </c>
      <c r="Y533" s="310" t="s">
        <v>56</v>
      </c>
      <c r="Z533" s="316"/>
      <c r="AA533" s="316" t="s">
        <v>1904</v>
      </c>
      <c r="AB533" s="316" t="s">
        <v>1904</v>
      </c>
    </row>
    <row r="534" spans="1:28" x14ac:dyDescent="0.25">
      <c r="A534" s="307">
        <f t="shared" si="49"/>
        <v>528</v>
      </c>
      <c r="B534" s="308">
        <v>45803</v>
      </c>
      <c r="C534" s="309">
        <f t="shared" si="50"/>
        <v>45778</v>
      </c>
      <c r="D534" s="310" t="s">
        <v>56</v>
      </c>
      <c r="E534" s="310" t="s">
        <v>1635</v>
      </c>
      <c r="F534" s="311">
        <v>9950016408</v>
      </c>
      <c r="G534" s="316" t="s">
        <v>6</v>
      </c>
      <c r="H534" s="316" t="s">
        <v>1874</v>
      </c>
      <c r="I534" s="316" t="s">
        <v>1951</v>
      </c>
      <c r="J534" s="310" t="s">
        <v>172</v>
      </c>
      <c r="K534" s="312">
        <v>32820</v>
      </c>
      <c r="L534" s="312">
        <v>40320</v>
      </c>
      <c r="M534" s="313">
        <f t="shared" si="51"/>
        <v>7500</v>
      </c>
      <c r="N534" s="314">
        <f t="shared" si="52"/>
        <v>0.186011904761905</v>
      </c>
      <c r="O534" s="312">
        <v>32820</v>
      </c>
      <c r="P534" s="313">
        <f t="shared" si="48"/>
        <v>0</v>
      </c>
      <c r="Q534" s="310" t="s">
        <v>147</v>
      </c>
      <c r="R534" s="310">
        <v>78</v>
      </c>
      <c r="S534" s="310"/>
      <c r="T534" s="308">
        <v>45806</v>
      </c>
      <c r="U534" s="308">
        <v>45806</v>
      </c>
      <c r="V534" s="308"/>
      <c r="W534" s="315">
        <f t="shared" si="53"/>
        <v>3</v>
      </c>
      <c r="X534" s="310" t="s">
        <v>54</v>
      </c>
      <c r="Y534" s="310" t="s">
        <v>56</v>
      </c>
      <c r="Z534" s="316"/>
      <c r="AA534" s="316" t="s">
        <v>1903</v>
      </c>
      <c r="AB534" s="316" t="s">
        <v>1903</v>
      </c>
    </row>
    <row r="535" spans="1:28" x14ac:dyDescent="0.25">
      <c r="A535" s="307">
        <f t="shared" si="49"/>
        <v>529</v>
      </c>
      <c r="B535" s="308">
        <v>45804</v>
      </c>
      <c r="C535" s="309">
        <f t="shared" si="50"/>
        <v>45778</v>
      </c>
      <c r="D535" s="310" t="s">
        <v>56</v>
      </c>
      <c r="E535" s="310" t="s">
        <v>1637</v>
      </c>
      <c r="F535" s="311">
        <v>9025368773</v>
      </c>
      <c r="G535" s="316" t="s">
        <v>6</v>
      </c>
      <c r="H535" s="316" t="s">
        <v>1952</v>
      </c>
      <c r="I535" s="316" t="s">
        <v>1953</v>
      </c>
      <c r="J535" s="310" t="s">
        <v>172</v>
      </c>
      <c r="K535" s="312">
        <v>33770</v>
      </c>
      <c r="L535" s="312">
        <v>46620</v>
      </c>
      <c r="M535" s="313">
        <f t="shared" si="51"/>
        <v>12850</v>
      </c>
      <c r="N535" s="314">
        <f t="shared" si="52"/>
        <v>0.275632775632776</v>
      </c>
      <c r="O535" s="312">
        <v>33770</v>
      </c>
      <c r="P535" s="313">
        <f t="shared" si="48"/>
        <v>0</v>
      </c>
      <c r="Q535" s="310" t="s">
        <v>147</v>
      </c>
      <c r="R535" s="310">
        <v>79</v>
      </c>
      <c r="S535" s="310"/>
      <c r="T535" s="308">
        <v>45807</v>
      </c>
      <c r="U535" s="308">
        <v>45807</v>
      </c>
      <c r="V535" s="308"/>
      <c r="W535" s="315">
        <f t="shared" si="53"/>
        <v>3</v>
      </c>
      <c r="X535" s="310" t="s">
        <v>54</v>
      </c>
      <c r="Y535" s="310" t="s">
        <v>56</v>
      </c>
      <c r="Z535" s="316"/>
      <c r="AA535" s="316" t="s">
        <v>1905</v>
      </c>
      <c r="AB535" s="316" t="s">
        <v>1905</v>
      </c>
    </row>
    <row r="536" spans="1:28" x14ac:dyDescent="0.25">
      <c r="A536" s="307">
        <f t="shared" si="49"/>
        <v>530</v>
      </c>
      <c r="B536" s="308">
        <v>45804</v>
      </c>
      <c r="C536" s="309">
        <f t="shared" si="50"/>
        <v>45778</v>
      </c>
      <c r="D536" s="310" t="s">
        <v>56</v>
      </c>
      <c r="E536" s="310" t="s">
        <v>38</v>
      </c>
      <c r="F536" s="311">
        <v>9515412075</v>
      </c>
      <c r="G536" s="316" t="s">
        <v>1093</v>
      </c>
      <c r="H536" s="316" t="s">
        <v>1874</v>
      </c>
      <c r="I536" s="316" t="s">
        <v>1969</v>
      </c>
      <c r="J536" s="310" t="s">
        <v>59</v>
      </c>
      <c r="K536" s="312">
        <v>40480</v>
      </c>
      <c r="L536" s="312">
        <v>91350</v>
      </c>
      <c r="M536" s="313">
        <f t="shared" si="51"/>
        <v>50870</v>
      </c>
      <c r="N536" s="314">
        <f t="shared" si="52"/>
        <v>0.556869184455391</v>
      </c>
      <c r="O536" s="312">
        <v>40480</v>
      </c>
      <c r="P536" s="313">
        <f t="shared" si="48"/>
        <v>0</v>
      </c>
      <c r="Q536" s="310" t="s">
        <v>147</v>
      </c>
      <c r="R536" s="310">
        <v>80</v>
      </c>
      <c r="S536" s="310"/>
      <c r="T536" s="308">
        <v>45806</v>
      </c>
      <c r="U536" s="308">
        <v>45806</v>
      </c>
      <c r="V536" s="308"/>
      <c r="W536" s="315">
        <f t="shared" si="53"/>
        <v>2</v>
      </c>
      <c r="X536" s="310" t="s">
        <v>54</v>
      </c>
      <c r="Y536" s="310" t="s">
        <v>56</v>
      </c>
      <c r="Z536" s="316"/>
      <c r="AA536" s="316" t="s">
        <v>1903</v>
      </c>
      <c r="AB536" s="316" t="s">
        <v>1903</v>
      </c>
    </row>
    <row r="537" spans="1:28" x14ac:dyDescent="0.25">
      <c r="A537" s="307">
        <f t="shared" si="49"/>
        <v>531</v>
      </c>
      <c r="B537" s="308">
        <v>45805</v>
      </c>
      <c r="C537" s="309">
        <f t="shared" si="50"/>
        <v>45778</v>
      </c>
      <c r="D537" s="310" t="s">
        <v>56</v>
      </c>
      <c r="E537" s="310" t="s">
        <v>1644</v>
      </c>
      <c r="F537" s="311">
        <v>9220186371</v>
      </c>
      <c r="G537" s="316" t="s">
        <v>6</v>
      </c>
      <c r="H537" s="316" t="s">
        <v>1954</v>
      </c>
      <c r="I537" s="316" t="s">
        <v>1955</v>
      </c>
      <c r="J537" s="310" t="s">
        <v>172</v>
      </c>
      <c r="K537" s="312">
        <v>33770</v>
      </c>
      <c r="L537" s="312">
        <v>46620</v>
      </c>
      <c r="M537" s="313">
        <f t="shared" si="51"/>
        <v>12850</v>
      </c>
      <c r="N537" s="314">
        <f t="shared" si="52"/>
        <v>0.275632775632776</v>
      </c>
      <c r="O537" s="312">
        <v>33770</v>
      </c>
      <c r="P537" s="313">
        <f t="shared" si="48"/>
        <v>0</v>
      </c>
      <c r="Q537" s="310" t="s">
        <v>147</v>
      </c>
      <c r="R537" s="310">
        <v>81</v>
      </c>
      <c r="S537" s="310"/>
      <c r="T537" s="308">
        <v>45807</v>
      </c>
      <c r="U537" s="308">
        <v>45807</v>
      </c>
      <c r="V537" s="308"/>
      <c r="W537" s="315">
        <f t="shared" si="53"/>
        <v>2</v>
      </c>
      <c r="X537" s="310" t="s">
        <v>54</v>
      </c>
      <c r="Y537" s="310" t="s">
        <v>56</v>
      </c>
      <c r="Z537" s="316"/>
      <c r="AA537" s="316" t="s">
        <v>1905</v>
      </c>
      <c r="AB537" s="316" t="s">
        <v>1905</v>
      </c>
    </row>
    <row r="538" spans="1:28" x14ac:dyDescent="0.25">
      <c r="A538" s="307">
        <f t="shared" si="49"/>
        <v>532</v>
      </c>
      <c r="B538" s="308">
        <v>45806</v>
      </c>
      <c r="C538" s="309">
        <f t="shared" si="50"/>
        <v>45778</v>
      </c>
      <c r="D538" s="310" t="s">
        <v>56</v>
      </c>
      <c r="E538" s="310" t="s">
        <v>60</v>
      </c>
      <c r="F538" s="311">
        <v>9589264337</v>
      </c>
      <c r="G538" s="316" t="s">
        <v>6</v>
      </c>
      <c r="H538" s="316" t="s">
        <v>1874</v>
      </c>
      <c r="I538" s="316" t="s">
        <v>1956</v>
      </c>
      <c r="J538" s="310" t="s">
        <v>172</v>
      </c>
      <c r="K538" s="312">
        <v>32820</v>
      </c>
      <c r="L538" s="312">
        <v>40320</v>
      </c>
      <c r="M538" s="313">
        <f t="shared" si="51"/>
        <v>7500</v>
      </c>
      <c r="N538" s="314">
        <f t="shared" si="52"/>
        <v>0.186011904761905</v>
      </c>
      <c r="O538" s="312">
        <v>32820</v>
      </c>
      <c r="P538" s="313">
        <f t="shared" si="48"/>
        <v>0</v>
      </c>
      <c r="Q538" s="310" t="s">
        <v>147</v>
      </c>
      <c r="R538" s="310">
        <v>82</v>
      </c>
      <c r="S538" s="310"/>
      <c r="T538" s="308">
        <v>45810</v>
      </c>
      <c r="U538" s="308">
        <v>45810</v>
      </c>
      <c r="V538" s="308"/>
      <c r="W538" s="315">
        <f t="shared" si="53"/>
        <v>4</v>
      </c>
      <c r="X538" s="310" t="s">
        <v>54</v>
      </c>
      <c r="Y538" s="310" t="s">
        <v>56</v>
      </c>
      <c r="Z538" s="316"/>
      <c r="AA538" s="317">
        <v>45694</v>
      </c>
      <c r="AB538" s="317">
        <v>45694</v>
      </c>
    </row>
    <row r="539" spans="1:28" x14ac:dyDescent="0.25">
      <c r="A539" s="307">
        <f t="shared" si="49"/>
        <v>533</v>
      </c>
      <c r="B539" s="308">
        <v>45807</v>
      </c>
      <c r="C539" s="309">
        <f t="shared" si="50"/>
        <v>45778</v>
      </c>
      <c r="D539" s="310" t="s">
        <v>56</v>
      </c>
      <c r="E539" s="310" t="s">
        <v>38</v>
      </c>
      <c r="F539" s="311">
        <v>9515412075</v>
      </c>
      <c r="G539" s="316" t="s">
        <v>6</v>
      </c>
      <c r="H539" s="316" t="s">
        <v>1957</v>
      </c>
      <c r="I539" s="316" t="s">
        <v>1958</v>
      </c>
      <c r="J539" s="310" t="s">
        <v>59</v>
      </c>
      <c r="K539" s="312">
        <v>33530</v>
      </c>
      <c r="L539" s="312">
        <v>45040</v>
      </c>
      <c r="M539" s="313">
        <f t="shared" si="51"/>
        <v>11510</v>
      </c>
      <c r="N539" s="314">
        <f t="shared" si="52"/>
        <v>0.255550621669627</v>
      </c>
      <c r="O539" s="312">
        <v>33530</v>
      </c>
      <c r="P539" s="313">
        <f t="shared" si="48"/>
        <v>0</v>
      </c>
      <c r="Q539" s="310" t="s">
        <v>147</v>
      </c>
      <c r="R539" s="310">
        <v>83</v>
      </c>
      <c r="S539" s="310"/>
      <c r="T539" s="308">
        <v>45810</v>
      </c>
      <c r="U539" s="308">
        <v>45810</v>
      </c>
      <c r="V539" s="308"/>
      <c r="W539" s="315">
        <f t="shared" si="53"/>
        <v>3</v>
      </c>
      <c r="X539" s="310" t="s">
        <v>54</v>
      </c>
      <c r="Y539" s="310" t="s">
        <v>56</v>
      </c>
      <c r="Z539" s="316"/>
      <c r="AA539" s="317">
        <v>45694</v>
      </c>
      <c r="AB539" s="317">
        <v>45694</v>
      </c>
    </row>
    <row r="540" spans="1:28" x14ac:dyDescent="0.25">
      <c r="A540" s="307">
        <f t="shared" si="49"/>
        <v>534</v>
      </c>
      <c r="B540" s="308">
        <v>45808</v>
      </c>
      <c r="C540" s="309">
        <f t="shared" si="50"/>
        <v>45778</v>
      </c>
      <c r="D540" s="310" t="s">
        <v>56</v>
      </c>
      <c r="E540" s="310" t="s">
        <v>1641</v>
      </c>
      <c r="F540" s="311">
        <v>9281983602</v>
      </c>
      <c r="G540" s="316" t="s">
        <v>6</v>
      </c>
      <c r="H540" s="316" t="s">
        <v>1959</v>
      </c>
      <c r="I540" s="316" t="s">
        <v>1960</v>
      </c>
      <c r="J540" s="310" t="s">
        <v>1898</v>
      </c>
      <c r="K540" s="312">
        <v>33770</v>
      </c>
      <c r="L540" s="312">
        <v>46620</v>
      </c>
      <c r="M540" s="313">
        <f t="shared" si="51"/>
        <v>12850</v>
      </c>
      <c r="N540" s="314">
        <f t="shared" si="52"/>
        <v>0.275632775632776</v>
      </c>
      <c r="O540" s="312">
        <v>33770</v>
      </c>
      <c r="P540" s="313">
        <f t="shared" si="48"/>
        <v>0</v>
      </c>
      <c r="Q540" s="310" t="s">
        <v>147</v>
      </c>
      <c r="R540" s="310">
        <v>84</v>
      </c>
      <c r="S540" s="310"/>
      <c r="T540" s="308">
        <v>45811</v>
      </c>
      <c r="U540" s="308">
        <v>45811</v>
      </c>
      <c r="V540" s="308"/>
      <c r="W540" s="315">
        <f t="shared" si="53"/>
        <v>3</v>
      </c>
      <c r="X540" s="310" t="s">
        <v>54</v>
      </c>
      <c r="Y540" s="310" t="s">
        <v>56</v>
      </c>
      <c r="Z540" s="316"/>
      <c r="AA540" s="317">
        <v>45722</v>
      </c>
      <c r="AB540" s="317">
        <v>45722</v>
      </c>
    </row>
    <row r="541" spans="1:28" x14ac:dyDescent="0.25">
      <c r="A541" s="307">
        <f t="shared" si="49"/>
        <v>535</v>
      </c>
      <c r="B541" s="308">
        <v>45809</v>
      </c>
      <c r="C541" s="309">
        <f t="shared" si="50"/>
        <v>45809</v>
      </c>
      <c r="D541" s="310" t="s">
        <v>56</v>
      </c>
      <c r="E541" s="310" t="s">
        <v>1635</v>
      </c>
      <c r="F541" s="311">
        <v>9472230553</v>
      </c>
      <c r="G541" s="316" t="s">
        <v>1093</v>
      </c>
      <c r="H541" s="316" t="s">
        <v>1975</v>
      </c>
      <c r="I541" s="316" t="s">
        <v>6</v>
      </c>
      <c r="J541" s="310" t="s">
        <v>172</v>
      </c>
      <c r="K541" s="312">
        <v>42180</v>
      </c>
      <c r="L541" s="312">
        <v>102690</v>
      </c>
      <c r="M541" s="313">
        <f t="shared" si="51"/>
        <v>60510</v>
      </c>
      <c r="N541" s="314">
        <f t="shared" si="52"/>
        <v>0.58924919661116</v>
      </c>
      <c r="O541" s="312">
        <v>42180</v>
      </c>
      <c r="P541" s="313">
        <f t="shared" si="48"/>
        <v>0</v>
      </c>
      <c r="Q541" s="310" t="s">
        <v>147</v>
      </c>
      <c r="R541" s="310">
        <v>85</v>
      </c>
      <c r="S541" s="310"/>
      <c r="T541" s="308">
        <v>45812</v>
      </c>
      <c r="U541" s="308">
        <v>45812</v>
      </c>
      <c r="V541" s="308"/>
      <c r="W541" s="315">
        <f t="shared" si="53"/>
        <v>3</v>
      </c>
      <c r="X541" s="310" t="s">
        <v>54</v>
      </c>
      <c r="Y541" s="310" t="s">
        <v>56</v>
      </c>
      <c r="Z541" s="316"/>
      <c r="AA541" s="317">
        <v>45753</v>
      </c>
      <c r="AB541" s="317">
        <v>45753</v>
      </c>
    </row>
    <row r="542" spans="1:28" x14ac:dyDescent="0.25">
      <c r="A542" s="307">
        <f t="shared" si="49"/>
        <v>536</v>
      </c>
      <c r="B542" s="308">
        <v>45810</v>
      </c>
      <c r="C542" s="309">
        <f t="shared" si="50"/>
        <v>45809</v>
      </c>
      <c r="D542" s="310" t="s">
        <v>51</v>
      </c>
      <c r="E542" s="310" t="s">
        <v>1448</v>
      </c>
      <c r="F542" s="311">
        <v>9108592771</v>
      </c>
      <c r="G542" s="316" t="s">
        <v>6</v>
      </c>
      <c r="H542" s="316" t="s">
        <v>1874</v>
      </c>
      <c r="I542" s="316" t="s">
        <v>1961</v>
      </c>
      <c r="J542" s="310" t="s">
        <v>172</v>
      </c>
      <c r="K542" s="312">
        <v>31220</v>
      </c>
      <c r="L542" s="312">
        <v>40320</v>
      </c>
      <c r="M542" s="313">
        <f t="shared" si="51"/>
        <v>9100</v>
      </c>
      <c r="N542" s="314">
        <f t="shared" si="52"/>
        <v>0.225694444444444</v>
      </c>
      <c r="O542" s="312">
        <v>31220</v>
      </c>
      <c r="P542" s="313">
        <f t="shared" si="48"/>
        <v>0</v>
      </c>
      <c r="Q542" s="310" t="s">
        <v>147</v>
      </c>
      <c r="R542" s="310">
        <v>86</v>
      </c>
      <c r="S542" s="310"/>
      <c r="T542" s="308">
        <v>45813</v>
      </c>
      <c r="U542" s="308">
        <v>45813</v>
      </c>
      <c r="V542" s="308"/>
      <c r="W542" s="315">
        <f t="shared" si="53"/>
        <v>3</v>
      </c>
      <c r="X542" s="310" t="s">
        <v>54</v>
      </c>
      <c r="Y542" s="310" t="s">
        <v>439</v>
      </c>
      <c r="Z542" s="316"/>
      <c r="AA542" s="317">
        <v>45783</v>
      </c>
      <c r="AB542" s="317">
        <v>45783</v>
      </c>
    </row>
    <row r="543" spans="1:28" x14ac:dyDescent="0.25">
      <c r="A543" s="307">
        <f t="shared" si="49"/>
        <v>537</v>
      </c>
      <c r="B543" s="308">
        <v>45811</v>
      </c>
      <c r="C543" s="309">
        <f t="shared" si="50"/>
        <v>45809</v>
      </c>
      <c r="D543" s="310" t="s">
        <v>51</v>
      </c>
      <c r="E543" s="310" t="s">
        <v>43</v>
      </c>
      <c r="F543" s="311">
        <v>9091859565</v>
      </c>
      <c r="G543" s="316" t="s">
        <v>6</v>
      </c>
      <c r="H543" s="316" t="s">
        <v>1874</v>
      </c>
      <c r="I543" s="316" t="s">
        <v>1962</v>
      </c>
      <c r="J543" s="310" t="s">
        <v>172</v>
      </c>
      <c r="K543" s="312">
        <v>32290</v>
      </c>
      <c r="L543" s="312">
        <v>40320</v>
      </c>
      <c r="M543" s="313">
        <f t="shared" si="51"/>
        <v>8030</v>
      </c>
      <c r="N543" s="314">
        <f t="shared" si="52"/>
        <v>0.199156746031746</v>
      </c>
      <c r="O543" s="312">
        <v>32290</v>
      </c>
      <c r="P543" s="313">
        <f t="shared" si="48"/>
        <v>0</v>
      </c>
      <c r="Q543" s="310" t="s">
        <v>147</v>
      </c>
      <c r="R543" s="310">
        <v>87</v>
      </c>
      <c r="S543" s="310"/>
      <c r="T543" s="308">
        <v>45815</v>
      </c>
      <c r="U543" s="308">
        <v>45815</v>
      </c>
      <c r="V543" s="308"/>
      <c r="W543" s="315">
        <f t="shared" si="53"/>
        <v>4</v>
      </c>
      <c r="X543" s="310" t="s">
        <v>54</v>
      </c>
      <c r="Y543" s="310" t="s">
        <v>3742</v>
      </c>
      <c r="Z543" s="316"/>
      <c r="AA543" s="317">
        <v>45844</v>
      </c>
      <c r="AB543" s="317">
        <v>45844</v>
      </c>
    </row>
    <row r="544" spans="1:28" x14ac:dyDescent="0.25">
      <c r="A544" s="307">
        <f t="shared" si="49"/>
        <v>538</v>
      </c>
      <c r="B544" s="308">
        <v>45811</v>
      </c>
      <c r="C544" s="309">
        <f t="shared" si="50"/>
        <v>45809</v>
      </c>
      <c r="D544" s="310" t="s">
        <v>56</v>
      </c>
      <c r="E544" s="310" t="s">
        <v>60</v>
      </c>
      <c r="F544" s="311">
        <v>9589264337</v>
      </c>
      <c r="G544" s="316" t="s">
        <v>1093</v>
      </c>
      <c r="H544" s="316" t="s">
        <v>2012</v>
      </c>
      <c r="I544" s="316" t="s">
        <v>2013</v>
      </c>
      <c r="J544" s="310" t="s">
        <v>172</v>
      </c>
      <c r="K544" s="312">
        <v>42180</v>
      </c>
      <c r="L544" s="312">
        <v>102690</v>
      </c>
      <c r="M544" s="313">
        <f t="shared" si="51"/>
        <v>60510</v>
      </c>
      <c r="N544" s="314">
        <f t="shared" si="52"/>
        <v>0.58924919661116</v>
      </c>
      <c r="O544" s="312">
        <v>42180</v>
      </c>
      <c r="P544" s="313">
        <f t="shared" si="48"/>
        <v>0</v>
      </c>
      <c r="Q544" s="310" t="s">
        <v>147</v>
      </c>
      <c r="R544" s="310">
        <v>88</v>
      </c>
      <c r="S544" s="310"/>
      <c r="T544" s="308">
        <v>45814</v>
      </c>
      <c r="U544" s="308">
        <v>45814</v>
      </c>
      <c r="V544" s="308"/>
      <c r="W544" s="315">
        <f t="shared" si="53"/>
        <v>3</v>
      </c>
      <c r="X544" s="310" t="s">
        <v>54</v>
      </c>
      <c r="Y544" s="310" t="s">
        <v>56</v>
      </c>
      <c r="Z544" s="316"/>
      <c r="AA544" s="317">
        <v>45814</v>
      </c>
      <c r="AB544" s="317">
        <v>45814</v>
      </c>
    </row>
    <row r="545" spans="1:28" x14ac:dyDescent="0.25">
      <c r="A545" s="307">
        <f t="shared" si="49"/>
        <v>539</v>
      </c>
      <c r="B545" s="308">
        <v>45812</v>
      </c>
      <c r="C545" s="309">
        <f t="shared" si="50"/>
        <v>45809</v>
      </c>
      <c r="D545" s="310" t="s">
        <v>56</v>
      </c>
      <c r="E545" s="310" t="s">
        <v>1635</v>
      </c>
      <c r="F545" s="311">
        <v>9472230553</v>
      </c>
      <c r="G545" s="316" t="s">
        <v>6</v>
      </c>
      <c r="H545" s="316" t="s">
        <v>1994</v>
      </c>
      <c r="I545" s="316" t="s">
        <v>1995</v>
      </c>
      <c r="J545" s="310" t="s">
        <v>172</v>
      </c>
      <c r="K545" s="312">
        <v>33770</v>
      </c>
      <c r="L545" s="312">
        <v>46620</v>
      </c>
      <c r="M545" s="313">
        <f t="shared" si="51"/>
        <v>12850</v>
      </c>
      <c r="N545" s="314">
        <f t="shared" si="52"/>
        <v>0.275632775632776</v>
      </c>
      <c r="O545" s="312">
        <v>33770</v>
      </c>
      <c r="P545" s="313">
        <f t="shared" si="48"/>
        <v>0</v>
      </c>
      <c r="Q545" s="310" t="s">
        <v>147</v>
      </c>
      <c r="R545" s="310">
        <v>89</v>
      </c>
      <c r="S545" s="310"/>
      <c r="T545" s="308">
        <v>45813</v>
      </c>
      <c r="U545" s="308">
        <v>45813</v>
      </c>
      <c r="V545" s="308"/>
      <c r="W545" s="315">
        <f t="shared" si="53"/>
        <v>1</v>
      </c>
      <c r="X545" s="310" t="s">
        <v>54</v>
      </c>
      <c r="Y545" s="310" t="s">
        <v>56</v>
      </c>
      <c r="Z545" s="316"/>
      <c r="AA545" s="317">
        <v>45783</v>
      </c>
      <c r="AB545" s="317">
        <v>45783</v>
      </c>
    </row>
    <row r="546" spans="1:28" x14ac:dyDescent="0.25">
      <c r="A546" s="307">
        <f t="shared" si="49"/>
        <v>540</v>
      </c>
      <c r="B546" s="308">
        <v>45813</v>
      </c>
      <c r="C546" s="309">
        <f t="shared" si="50"/>
        <v>45809</v>
      </c>
      <c r="D546" s="310" t="s">
        <v>51</v>
      </c>
      <c r="E546" s="310" t="s">
        <v>1980</v>
      </c>
      <c r="F546" s="311">
        <v>9426261943</v>
      </c>
      <c r="G546" s="316" t="s">
        <v>6</v>
      </c>
      <c r="H546" s="316" t="s">
        <v>1996</v>
      </c>
      <c r="I546" s="316" t="s">
        <v>1997</v>
      </c>
      <c r="J546" s="310" t="s">
        <v>172</v>
      </c>
      <c r="K546" s="312">
        <v>33230</v>
      </c>
      <c r="L546" s="312">
        <v>46620</v>
      </c>
      <c r="M546" s="313">
        <f t="shared" si="51"/>
        <v>13390</v>
      </c>
      <c r="N546" s="314">
        <f t="shared" si="52"/>
        <v>0.287215787215787</v>
      </c>
      <c r="O546" s="312">
        <v>33230</v>
      </c>
      <c r="P546" s="313">
        <f t="shared" si="48"/>
        <v>0</v>
      </c>
      <c r="Q546" s="310" t="s">
        <v>147</v>
      </c>
      <c r="R546" s="310">
        <v>90</v>
      </c>
      <c r="S546" s="310"/>
      <c r="T546" s="308">
        <v>45817</v>
      </c>
      <c r="U546" s="308">
        <v>45818</v>
      </c>
      <c r="V546" s="308"/>
      <c r="W546" s="315">
        <f t="shared" si="53"/>
        <v>5</v>
      </c>
      <c r="X546" s="310" t="s">
        <v>54</v>
      </c>
      <c r="Y546" s="310" t="s">
        <v>439</v>
      </c>
      <c r="Z546" s="316"/>
      <c r="AA546" s="317">
        <v>45906</v>
      </c>
      <c r="AB546" s="317">
        <v>45936</v>
      </c>
    </row>
    <row r="547" spans="1:28" x14ac:dyDescent="0.25">
      <c r="A547" s="307">
        <f t="shared" si="49"/>
        <v>541</v>
      </c>
      <c r="B547" s="308">
        <v>45813</v>
      </c>
      <c r="C547" s="309">
        <f t="shared" si="50"/>
        <v>45809</v>
      </c>
      <c r="D547" s="310" t="s">
        <v>56</v>
      </c>
      <c r="E547" s="310" t="s">
        <v>38</v>
      </c>
      <c r="F547" s="311">
        <v>9515412075</v>
      </c>
      <c r="G547" s="316" t="s">
        <v>1093</v>
      </c>
      <c r="H547" s="316" t="s">
        <v>1874</v>
      </c>
      <c r="I547" s="316" t="s">
        <v>2015</v>
      </c>
      <c r="J547" s="310" t="s">
        <v>59</v>
      </c>
      <c r="K547" s="312">
        <v>40480</v>
      </c>
      <c r="L547" s="312">
        <v>91350</v>
      </c>
      <c r="M547" s="313">
        <f t="shared" si="51"/>
        <v>50870</v>
      </c>
      <c r="N547" s="314">
        <f t="shared" si="52"/>
        <v>0.556869184455391</v>
      </c>
      <c r="O547" s="312">
        <v>40480</v>
      </c>
      <c r="P547" s="313">
        <f t="shared" si="48"/>
        <v>0</v>
      </c>
      <c r="Q547" s="310" t="s">
        <v>147</v>
      </c>
      <c r="R547" s="310">
        <v>91</v>
      </c>
      <c r="S547" s="310"/>
      <c r="T547" s="308">
        <v>45816</v>
      </c>
      <c r="U547" s="308">
        <v>45816</v>
      </c>
      <c r="V547" s="308"/>
      <c r="W547" s="315">
        <f t="shared" si="53"/>
        <v>3</v>
      </c>
      <c r="X547" s="310" t="s">
        <v>54</v>
      </c>
      <c r="Y547" s="310" t="s">
        <v>56</v>
      </c>
      <c r="Z547" s="316"/>
      <c r="AA547" s="317">
        <v>45875</v>
      </c>
      <c r="AB547" s="317">
        <v>45875</v>
      </c>
    </row>
    <row r="548" spans="1:28" x14ac:dyDescent="0.25">
      <c r="A548" s="307">
        <f t="shared" si="49"/>
        <v>542</v>
      </c>
      <c r="B548" s="308">
        <v>45814</v>
      </c>
      <c r="C548" s="309">
        <f t="shared" si="50"/>
        <v>45809</v>
      </c>
      <c r="D548" s="310" t="s">
        <v>51</v>
      </c>
      <c r="E548" s="310" t="s">
        <v>2334</v>
      </c>
      <c r="F548" s="311"/>
      <c r="G548" s="316" t="s">
        <v>6</v>
      </c>
      <c r="H548" s="316" t="s">
        <v>1874</v>
      </c>
      <c r="I548" s="316" t="s">
        <v>1993</v>
      </c>
      <c r="J548" s="310" t="s">
        <v>381</v>
      </c>
      <c r="K548" s="312">
        <v>31580</v>
      </c>
      <c r="L548" s="312">
        <v>36450</v>
      </c>
      <c r="M548" s="313">
        <f t="shared" si="51"/>
        <v>4870</v>
      </c>
      <c r="N548" s="314">
        <f t="shared" si="52"/>
        <v>0.13360768175583</v>
      </c>
      <c r="O548" s="312">
        <v>31580</v>
      </c>
      <c r="P548" s="313">
        <f t="shared" si="48"/>
        <v>0</v>
      </c>
      <c r="Q548" s="310" t="s">
        <v>147</v>
      </c>
      <c r="R548" s="310">
        <v>92</v>
      </c>
      <c r="S548" s="310"/>
      <c r="T548" s="308">
        <v>45815</v>
      </c>
      <c r="U548" s="308">
        <v>45815</v>
      </c>
      <c r="V548" s="308"/>
      <c r="W548" s="315">
        <f t="shared" si="53"/>
        <v>1</v>
      </c>
      <c r="X548" s="310" t="s">
        <v>54</v>
      </c>
      <c r="Y548" s="310" t="s">
        <v>2334</v>
      </c>
      <c r="Z548" s="316" t="s">
        <v>3772</v>
      </c>
      <c r="AA548" s="317">
        <v>45844</v>
      </c>
      <c r="AB548" s="317">
        <v>45844</v>
      </c>
    </row>
    <row r="549" spans="1:28" x14ac:dyDescent="0.25">
      <c r="A549" s="307">
        <f t="shared" si="49"/>
        <v>543</v>
      </c>
      <c r="B549" s="308">
        <v>45815</v>
      </c>
      <c r="C549" s="309">
        <f t="shared" si="50"/>
        <v>45809</v>
      </c>
      <c r="D549" s="310" t="s">
        <v>56</v>
      </c>
      <c r="E549" s="310" t="s">
        <v>60</v>
      </c>
      <c r="F549" s="311">
        <v>9589264337</v>
      </c>
      <c r="G549" s="316" t="s">
        <v>6</v>
      </c>
      <c r="H549" s="316" t="s">
        <v>1998</v>
      </c>
      <c r="I549" s="316" t="s">
        <v>1999</v>
      </c>
      <c r="J549" s="310" t="s">
        <v>172</v>
      </c>
      <c r="K549" s="312">
        <v>33770</v>
      </c>
      <c r="L549" s="312">
        <v>46620</v>
      </c>
      <c r="M549" s="313">
        <f t="shared" si="51"/>
        <v>12850</v>
      </c>
      <c r="N549" s="314">
        <f t="shared" si="52"/>
        <v>0.275632775632776</v>
      </c>
      <c r="O549" s="312">
        <v>33770</v>
      </c>
      <c r="P549" s="313">
        <f t="shared" si="48"/>
        <v>0</v>
      </c>
      <c r="Q549" s="310" t="s">
        <v>147</v>
      </c>
      <c r="R549" s="310">
        <v>93</v>
      </c>
      <c r="S549" s="310"/>
      <c r="T549" s="308">
        <v>45818</v>
      </c>
      <c r="U549" s="308">
        <v>45819</v>
      </c>
      <c r="V549" s="308"/>
      <c r="W549" s="315">
        <f t="shared" si="53"/>
        <v>4</v>
      </c>
      <c r="X549" s="310" t="s">
        <v>54</v>
      </c>
      <c r="Y549" s="310" t="s">
        <v>56</v>
      </c>
      <c r="Z549" s="316"/>
      <c r="AA549" s="317">
        <v>45936</v>
      </c>
      <c r="AB549" s="317">
        <v>45967</v>
      </c>
    </row>
    <row r="550" spans="1:28" x14ac:dyDescent="0.25">
      <c r="A550" s="307">
        <f t="shared" si="49"/>
        <v>544</v>
      </c>
      <c r="B550" s="308">
        <v>45815</v>
      </c>
      <c r="C550" s="309">
        <f t="shared" si="50"/>
        <v>45809</v>
      </c>
      <c r="D550" s="310" t="s">
        <v>56</v>
      </c>
      <c r="E550" s="310" t="s">
        <v>1641</v>
      </c>
      <c r="F550" s="311">
        <v>9281983602</v>
      </c>
      <c r="G550" s="316" t="s">
        <v>1537</v>
      </c>
      <c r="H550" s="316" t="s">
        <v>2020</v>
      </c>
      <c r="I550" s="316" t="s">
        <v>2021</v>
      </c>
      <c r="J550" s="310" t="s">
        <v>172</v>
      </c>
      <c r="K550" s="312">
        <v>42180</v>
      </c>
      <c r="L550" s="312">
        <v>102690</v>
      </c>
      <c r="M550" s="313">
        <f t="shared" si="51"/>
        <v>60510</v>
      </c>
      <c r="N550" s="314">
        <f t="shared" si="52"/>
        <v>0.58924919661116</v>
      </c>
      <c r="O550" s="312">
        <v>42180</v>
      </c>
      <c r="P550" s="313">
        <f t="shared" si="48"/>
        <v>0</v>
      </c>
      <c r="Q550" s="310" t="s">
        <v>147</v>
      </c>
      <c r="R550" s="310">
        <v>94</v>
      </c>
      <c r="S550" s="310"/>
      <c r="T550" s="308">
        <v>45817</v>
      </c>
      <c r="U550" s="308">
        <v>45817</v>
      </c>
      <c r="V550" s="308"/>
      <c r="W550" s="315">
        <f t="shared" si="53"/>
        <v>2</v>
      </c>
      <c r="X550" s="310" t="s">
        <v>54</v>
      </c>
      <c r="Y550" s="310" t="s">
        <v>56</v>
      </c>
      <c r="Z550" s="316"/>
      <c r="AA550" s="317">
        <v>45906</v>
      </c>
      <c r="AB550" s="317">
        <v>45906</v>
      </c>
    </row>
    <row r="551" spans="1:28" x14ac:dyDescent="0.25">
      <c r="A551" s="307">
        <f t="shared" si="49"/>
        <v>545</v>
      </c>
      <c r="B551" s="308">
        <v>45815</v>
      </c>
      <c r="C551" s="309">
        <f t="shared" si="50"/>
        <v>45809</v>
      </c>
      <c r="D551" s="310" t="s">
        <v>51</v>
      </c>
      <c r="E551" s="310" t="s">
        <v>1985</v>
      </c>
      <c r="F551" s="311">
        <v>9376566432</v>
      </c>
      <c r="G551" s="316" t="s">
        <v>6</v>
      </c>
      <c r="H551" s="316" t="s">
        <v>2000</v>
      </c>
      <c r="I551" s="316" t="s">
        <v>2001</v>
      </c>
      <c r="J551" s="310" t="s">
        <v>172</v>
      </c>
      <c r="K551" s="312">
        <v>33770</v>
      </c>
      <c r="L551" s="312">
        <v>46620</v>
      </c>
      <c r="M551" s="313">
        <f t="shared" si="51"/>
        <v>12850</v>
      </c>
      <c r="N551" s="314">
        <f t="shared" si="52"/>
        <v>0.275632775632776</v>
      </c>
      <c r="O551" s="312">
        <v>33770</v>
      </c>
      <c r="P551" s="313">
        <f t="shared" si="48"/>
        <v>0</v>
      </c>
      <c r="Q551" s="310" t="s">
        <v>147</v>
      </c>
      <c r="R551" s="310">
        <v>95</v>
      </c>
      <c r="S551" s="310"/>
      <c r="T551" s="308">
        <v>45819</v>
      </c>
      <c r="U551" s="308">
        <v>45820</v>
      </c>
      <c r="V551" s="308"/>
      <c r="W551" s="315">
        <f t="shared" si="53"/>
        <v>5</v>
      </c>
      <c r="X551" s="310" t="s">
        <v>54</v>
      </c>
      <c r="Y551" s="310" t="s">
        <v>3742</v>
      </c>
      <c r="Z551" s="316"/>
      <c r="AA551" s="317">
        <v>45967</v>
      </c>
      <c r="AB551" s="317">
        <v>45997</v>
      </c>
    </row>
    <row r="552" spans="1:28" x14ac:dyDescent="0.25">
      <c r="A552" s="307">
        <f t="shared" si="49"/>
        <v>546</v>
      </c>
      <c r="B552" s="308">
        <v>45817</v>
      </c>
      <c r="C552" s="309">
        <f t="shared" si="50"/>
        <v>45809</v>
      </c>
      <c r="D552" s="310" t="s">
        <v>56</v>
      </c>
      <c r="E552" s="310" t="s">
        <v>1641</v>
      </c>
      <c r="F552" s="311">
        <v>9281983602</v>
      </c>
      <c r="G552" s="316" t="s">
        <v>6</v>
      </c>
      <c r="H552" s="316" t="s">
        <v>2002</v>
      </c>
      <c r="I552" s="316" t="s">
        <v>2003</v>
      </c>
      <c r="J552" s="310" t="s">
        <v>172</v>
      </c>
      <c r="K552" s="312">
        <v>33770</v>
      </c>
      <c r="L552" s="312">
        <v>46620</v>
      </c>
      <c r="M552" s="313">
        <f t="shared" si="51"/>
        <v>12850</v>
      </c>
      <c r="N552" s="314">
        <f t="shared" si="52"/>
        <v>0.275632775632776</v>
      </c>
      <c r="O552" s="312">
        <v>33770</v>
      </c>
      <c r="P552" s="313">
        <f t="shared" si="48"/>
        <v>0</v>
      </c>
      <c r="Q552" s="310" t="s">
        <v>147</v>
      </c>
      <c r="R552" s="310">
        <v>96</v>
      </c>
      <c r="S552" s="310"/>
      <c r="T552" s="308">
        <v>45820</v>
      </c>
      <c r="U552" s="308">
        <v>45821</v>
      </c>
      <c r="V552" s="308"/>
      <c r="W552" s="315">
        <f t="shared" si="53"/>
        <v>4</v>
      </c>
      <c r="X552" s="310" t="s">
        <v>54</v>
      </c>
      <c r="Y552" s="310" t="s">
        <v>56</v>
      </c>
      <c r="Z552" s="316"/>
      <c r="AA552" s="317">
        <v>45997</v>
      </c>
      <c r="AB552" s="316" t="s">
        <v>1991</v>
      </c>
    </row>
    <row r="553" spans="1:28" x14ac:dyDescent="0.25">
      <c r="A553" s="307">
        <f t="shared" si="49"/>
        <v>547</v>
      </c>
      <c r="B553" s="308">
        <v>45817</v>
      </c>
      <c r="C553" s="309">
        <f t="shared" si="50"/>
        <v>45809</v>
      </c>
      <c r="D553" s="310" t="s">
        <v>56</v>
      </c>
      <c r="E553" s="310" t="s">
        <v>1644</v>
      </c>
      <c r="F553" s="311">
        <v>9220186371</v>
      </c>
      <c r="G553" s="316" t="s">
        <v>1093</v>
      </c>
      <c r="H553" s="316" t="s">
        <v>2016</v>
      </c>
      <c r="I553" s="316" t="s">
        <v>2017</v>
      </c>
      <c r="J553" s="310" t="s">
        <v>172</v>
      </c>
      <c r="K553" s="312">
        <v>42180</v>
      </c>
      <c r="L553" s="312">
        <v>102690</v>
      </c>
      <c r="M553" s="313">
        <f t="shared" si="51"/>
        <v>60510</v>
      </c>
      <c r="N553" s="314">
        <f t="shared" si="52"/>
        <v>0.58924919661116</v>
      </c>
      <c r="O553" s="312">
        <v>42180</v>
      </c>
      <c r="P553" s="313">
        <f t="shared" si="48"/>
        <v>0</v>
      </c>
      <c r="Q553" s="310" t="s">
        <v>147</v>
      </c>
      <c r="R553" s="310">
        <v>97</v>
      </c>
      <c r="S553" s="310"/>
      <c r="T553" s="308">
        <v>45820</v>
      </c>
      <c r="U553" s="308">
        <v>45820</v>
      </c>
      <c r="V553" s="308"/>
      <c r="W553" s="315">
        <f t="shared" si="53"/>
        <v>3</v>
      </c>
      <c r="X553" s="310" t="s">
        <v>54</v>
      </c>
      <c r="Y553" s="310" t="s">
        <v>56</v>
      </c>
      <c r="Z553" s="316"/>
      <c r="AA553" s="317">
        <v>45997</v>
      </c>
      <c r="AB553" s="317">
        <v>45997</v>
      </c>
    </row>
    <row r="554" spans="1:28" x14ac:dyDescent="0.25">
      <c r="A554" s="307">
        <f t="shared" si="49"/>
        <v>548</v>
      </c>
      <c r="B554" s="308">
        <v>45818</v>
      </c>
      <c r="C554" s="309">
        <f t="shared" si="50"/>
        <v>45809</v>
      </c>
      <c r="D554" s="310" t="s">
        <v>56</v>
      </c>
      <c r="E554" s="310" t="s">
        <v>1637</v>
      </c>
      <c r="F554" s="311">
        <v>9025368773</v>
      </c>
      <c r="G554" s="316" t="s">
        <v>6</v>
      </c>
      <c r="H554" s="316" t="s">
        <v>2004</v>
      </c>
      <c r="I554" s="316" t="s">
        <v>2005</v>
      </c>
      <c r="J554" s="310" t="s">
        <v>172</v>
      </c>
      <c r="K554" s="312">
        <v>33770</v>
      </c>
      <c r="L554" s="312">
        <v>46620</v>
      </c>
      <c r="M554" s="313">
        <f t="shared" si="51"/>
        <v>12850</v>
      </c>
      <c r="N554" s="314">
        <f t="shared" si="52"/>
        <v>0.275632775632776</v>
      </c>
      <c r="O554" s="312">
        <v>33770</v>
      </c>
      <c r="P554" s="313">
        <f t="shared" si="48"/>
        <v>0</v>
      </c>
      <c r="Q554" s="310" t="s">
        <v>147</v>
      </c>
      <c r="R554" s="310">
        <v>98</v>
      </c>
      <c r="S554" s="310"/>
      <c r="T554" s="308">
        <v>45821</v>
      </c>
      <c r="U554" s="308">
        <v>45822</v>
      </c>
      <c r="V554" s="308"/>
      <c r="W554" s="315">
        <f t="shared" si="53"/>
        <v>4</v>
      </c>
      <c r="X554" s="310" t="s">
        <v>54</v>
      </c>
      <c r="Y554" s="310" t="s">
        <v>56</v>
      </c>
      <c r="Z554" s="316"/>
      <c r="AA554" s="316" t="s">
        <v>1991</v>
      </c>
      <c r="AB554" s="316" t="s">
        <v>2044</v>
      </c>
    </row>
    <row r="555" spans="1:28" x14ac:dyDescent="0.25">
      <c r="A555" s="307">
        <f t="shared" si="49"/>
        <v>549</v>
      </c>
      <c r="B555" s="308">
        <v>45819</v>
      </c>
      <c r="C555" s="309">
        <f t="shared" si="50"/>
        <v>45809</v>
      </c>
      <c r="D555" s="310" t="s">
        <v>56</v>
      </c>
      <c r="E555" s="310" t="s">
        <v>38</v>
      </c>
      <c r="F555" s="311">
        <v>9515412075</v>
      </c>
      <c r="G555" s="316" t="s">
        <v>6</v>
      </c>
      <c r="H555" s="316" t="s">
        <v>2006</v>
      </c>
      <c r="I555" s="316" t="s">
        <v>1874</v>
      </c>
      <c r="J555" s="310" t="s">
        <v>59</v>
      </c>
      <c r="K555" s="312">
        <v>32590</v>
      </c>
      <c r="L555" s="312">
        <v>38740</v>
      </c>
      <c r="M555" s="313">
        <f t="shared" si="51"/>
        <v>6150</v>
      </c>
      <c r="N555" s="314">
        <f t="shared" si="52"/>
        <v>0.158750645327827</v>
      </c>
      <c r="O555" s="312">
        <v>32590</v>
      </c>
      <c r="P555" s="313">
        <f t="shared" si="48"/>
        <v>0</v>
      </c>
      <c r="Q555" s="310" t="s">
        <v>147</v>
      </c>
      <c r="R555" s="310">
        <v>99</v>
      </c>
      <c r="S555" s="310"/>
      <c r="T555" s="308">
        <v>45822</v>
      </c>
      <c r="U555" s="308">
        <v>45824</v>
      </c>
      <c r="V555" s="308"/>
      <c r="W555" s="315">
        <f t="shared" si="53"/>
        <v>5</v>
      </c>
      <c r="X555" s="310" t="s">
        <v>54</v>
      </c>
      <c r="Y555" s="310" t="s">
        <v>56</v>
      </c>
      <c r="Z555" s="316"/>
      <c r="AA555" s="316" t="s">
        <v>2044</v>
      </c>
      <c r="AB555" s="316" t="s">
        <v>2045</v>
      </c>
    </row>
    <row r="556" spans="1:28" x14ac:dyDescent="0.25">
      <c r="A556" s="307">
        <f t="shared" si="49"/>
        <v>550</v>
      </c>
      <c r="B556" s="308">
        <v>45819</v>
      </c>
      <c r="C556" s="309">
        <f t="shared" si="50"/>
        <v>45809</v>
      </c>
      <c r="D556" s="310" t="s">
        <v>56</v>
      </c>
      <c r="E556" s="310" t="s">
        <v>1635</v>
      </c>
      <c r="F556" s="311">
        <v>9472230553</v>
      </c>
      <c r="G556" s="316" t="s">
        <v>1093</v>
      </c>
      <c r="H556" s="316" t="s">
        <v>2018</v>
      </c>
      <c r="I556" s="316" t="s">
        <v>2019</v>
      </c>
      <c r="J556" s="310" t="s">
        <v>172</v>
      </c>
      <c r="K556" s="312">
        <v>42180</v>
      </c>
      <c r="L556" s="312">
        <v>102690</v>
      </c>
      <c r="M556" s="313">
        <f t="shared" si="51"/>
        <v>60510</v>
      </c>
      <c r="N556" s="314">
        <f t="shared" si="52"/>
        <v>0.58924919661116</v>
      </c>
      <c r="O556" s="312">
        <v>42180</v>
      </c>
      <c r="P556" s="313">
        <f t="shared" si="48"/>
        <v>0</v>
      </c>
      <c r="Q556" s="310" t="s">
        <v>147</v>
      </c>
      <c r="R556" s="310">
        <v>100</v>
      </c>
      <c r="S556" s="310"/>
      <c r="T556" s="308">
        <v>45822</v>
      </c>
      <c r="U556" s="308">
        <v>45822</v>
      </c>
      <c r="V556" s="308"/>
      <c r="W556" s="315">
        <f t="shared" si="53"/>
        <v>3</v>
      </c>
      <c r="X556" s="310" t="s">
        <v>54</v>
      </c>
      <c r="Y556" s="310" t="s">
        <v>56</v>
      </c>
      <c r="Z556" s="316"/>
      <c r="AA556" s="316" t="s">
        <v>2044</v>
      </c>
      <c r="AB556" s="316" t="s">
        <v>2044</v>
      </c>
    </row>
    <row r="557" spans="1:28" x14ac:dyDescent="0.25">
      <c r="A557" s="307">
        <f t="shared" si="49"/>
        <v>551</v>
      </c>
      <c r="B557" s="308">
        <v>45820</v>
      </c>
      <c r="C557" s="309">
        <f t="shared" si="50"/>
        <v>45809</v>
      </c>
      <c r="D557" s="310" t="s">
        <v>56</v>
      </c>
      <c r="E557" s="310" t="s">
        <v>1644</v>
      </c>
      <c r="F557" s="311">
        <v>9220186371</v>
      </c>
      <c r="G557" s="316" t="s">
        <v>6</v>
      </c>
      <c r="H557" s="316" t="s">
        <v>2007</v>
      </c>
      <c r="I557" s="316" t="s">
        <v>2008</v>
      </c>
      <c r="J557" s="310" t="s">
        <v>172</v>
      </c>
      <c r="K557" s="312">
        <v>33770</v>
      </c>
      <c r="L557" s="312">
        <v>46620</v>
      </c>
      <c r="M557" s="313">
        <f t="shared" si="51"/>
        <v>12850</v>
      </c>
      <c r="N557" s="314">
        <f t="shared" si="52"/>
        <v>0.275632775632776</v>
      </c>
      <c r="O557" s="312">
        <v>33770</v>
      </c>
      <c r="P557" s="313">
        <f t="shared" si="48"/>
        <v>0</v>
      </c>
      <c r="Q557" s="310" t="s">
        <v>147</v>
      </c>
      <c r="R557" s="310">
        <v>101</v>
      </c>
      <c r="S557" s="310"/>
      <c r="T557" s="308">
        <v>45822</v>
      </c>
      <c r="U557" s="308">
        <v>45822</v>
      </c>
      <c r="V557" s="308"/>
      <c r="W557" s="315">
        <f t="shared" si="53"/>
        <v>2</v>
      </c>
      <c r="X557" s="310" t="s">
        <v>54</v>
      </c>
      <c r="Y557" s="310" t="s">
        <v>56</v>
      </c>
      <c r="Z557" s="316"/>
      <c r="AA557" s="316" t="s">
        <v>2044</v>
      </c>
      <c r="AB557" s="316" t="s">
        <v>2044</v>
      </c>
    </row>
    <row r="558" spans="1:28" x14ac:dyDescent="0.25">
      <c r="A558" s="307">
        <f t="shared" si="49"/>
        <v>552</v>
      </c>
      <c r="B558" s="308">
        <v>45821</v>
      </c>
      <c r="C558" s="309">
        <f t="shared" si="50"/>
        <v>45809</v>
      </c>
      <c r="D558" s="310" t="s">
        <v>51</v>
      </c>
      <c r="E558" s="310" t="s">
        <v>1992</v>
      </c>
      <c r="F558" s="311">
        <v>9055062589</v>
      </c>
      <c r="G558" s="316" t="s">
        <v>6</v>
      </c>
      <c r="H558" s="316" t="s">
        <v>1874</v>
      </c>
      <c r="I558" s="316" t="s">
        <v>2009</v>
      </c>
      <c r="J558" s="310" t="s">
        <v>172</v>
      </c>
      <c r="K558" s="312">
        <v>32290</v>
      </c>
      <c r="L558" s="312">
        <v>40320</v>
      </c>
      <c r="M558" s="313">
        <f t="shared" si="51"/>
        <v>8030</v>
      </c>
      <c r="N558" s="314">
        <f t="shared" si="52"/>
        <v>0.199156746031746</v>
      </c>
      <c r="O558" s="312">
        <v>29650</v>
      </c>
      <c r="P558" s="313">
        <f t="shared" si="48"/>
        <v>2640</v>
      </c>
      <c r="Q558" s="310" t="s">
        <v>147</v>
      </c>
      <c r="R558" s="310">
        <v>102</v>
      </c>
      <c r="S558" s="310"/>
      <c r="T558" s="308">
        <v>45825</v>
      </c>
      <c r="U558" s="308">
        <v>45825</v>
      </c>
      <c r="V558" s="308"/>
      <c r="W558" s="315">
        <f t="shared" si="53"/>
        <v>4</v>
      </c>
      <c r="X558" s="310" t="s">
        <v>54</v>
      </c>
      <c r="Y558" s="310" t="s">
        <v>3742</v>
      </c>
      <c r="Z558" s="316"/>
      <c r="AA558" s="316" t="s">
        <v>2048</v>
      </c>
      <c r="AB558" s="316" t="s">
        <v>2048</v>
      </c>
    </row>
    <row r="559" spans="1:28" x14ac:dyDescent="0.25">
      <c r="A559" s="307">
        <f t="shared" si="49"/>
        <v>553</v>
      </c>
      <c r="B559" s="308">
        <v>45822</v>
      </c>
      <c r="C559" s="309">
        <f t="shared" si="50"/>
        <v>45809</v>
      </c>
      <c r="D559" s="310" t="s">
        <v>56</v>
      </c>
      <c r="E559" s="310" t="s">
        <v>60</v>
      </c>
      <c r="F559" s="311">
        <v>9589264337</v>
      </c>
      <c r="G559" s="316" t="s">
        <v>1093</v>
      </c>
      <c r="H559" s="316" t="s">
        <v>1874</v>
      </c>
      <c r="I559" s="316" t="s">
        <v>2014</v>
      </c>
      <c r="J559" s="310" t="s">
        <v>172</v>
      </c>
      <c r="K559" s="312">
        <v>41230</v>
      </c>
      <c r="L559" s="312">
        <v>96390</v>
      </c>
      <c r="M559" s="313">
        <f t="shared" si="51"/>
        <v>55160</v>
      </c>
      <c r="N559" s="314">
        <f t="shared" si="52"/>
        <v>0.572258533042847</v>
      </c>
      <c r="O559" s="312">
        <v>41230</v>
      </c>
      <c r="P559" s="313">
        <f t="shared" si="48"/>
        <v>0</v>
      </c>
      <c r="Q559" s="310" t="s">
        <v>147</v>
      </c>
      <c r="R559" s="310">
        <v>103</v>
      </c>
      <c r="S559" s="310"/>
      <c r="T559" s="308">
        <v>45825</v>
      </c>
      <c r="U559" s="308">
        <v>45825</v>
      </c>
      <c r="V559" s="308"/>
      <c r="W559" s="315">
        <f t="shared" si="53"/>
        <v>3</v>
      </c>
      <c r="X559" s="310" t="s">
        <v>54</v>
      </c>
      <c r="Y559" s="310" t="s">
        <v>56</v>
      </c>
      <c r="Z559" s="316"/>
      <c r="AA559" s="316" t="s">
        <v>2048</v>
      </c>
      <c r="AB559" s="316" t="s">
        <v>2048</v>
      </c>
    </row>
    <row r="560" spans="1:28" x14ac:dyDescent="0.25">
      <c r="A560" s="307">
        <f t="shared" si="49"/>
        <v>554</v>
      </c>
      <c r="B560" s="308">
        <v>45822</v>
      </c>
      <c r="C560" s="309">
        <f t="shared" si="50"/>
        <v>45809</v>
      </c>
      <c r="D560" s="310" t="s">
        <v>56</v>
      </c>
      <c r="E560" s="310" t="s">
        <v>1635</v>
      </c>
      <c r="F560" s="311">
        <v>9950016408</v>
      </c>
      <c r="G560" s="316" t="s">
        <v>6</v>
      </c>
      <c r="H560" s="316" t="s">
        <v>2010</v>
      </c>
      <c r="I560" s="316" t="s">
        <v>2011</v>
      </c>
      <c r="J560" s="310" t="s">
        <v>172</v>
      </c>
      <c r="K560" s="312">
        <v>33770</v>
      </c>
      <c r="L560" s="312">
        <v>46620</v>
      </c>
      <c r="M560" s="313">
        <f t="shared" si="51"/>
        <v>12850</v>
      </c>
      <c r="N560" s="314">
        <f t="shared" si="52"/>
        <v>0.275632775632776</v>
      </c>
      <c r="O560" s="312">
        <v>33770</v>
      </c>
      <c r="P560" s="313">
        <f t="shared" si="48"/>
        <v>0</v>
      </c>
      <c r="Q560" s="310" t="s">
        <v>147</v>
      </c>
      <c r="R560" s="310">
        <v>104</v>
      </c>
      <c r="S560" s="310"/>
      <c r="T560" s="308">
        <v>45827</v>
      </c>
      <c r="U560" s="308">
        <v>45827</v>
      </c>
      <c r="V560" s="308"/>
      <c r="W560" s="315">
        <f t="shared" si="53"/>
        <v>5</v>
      </c>
      <c r="X560" s="310" t="s">
        <v>54</v>
      </c>
      <c r="Y560" s="310" t="s">
        <v>56</v>
      </c>
      <c r="Z560" s="316"/>
      <c r="AA560" s="316" t="s">
        <v>2049</v>
      </c>
      <c r="AB560" s="316" t="s">
        <v>2049</v>
      </c>
    </row>
    <row r="561" spans="1:28" x14ac:dyDescent="0.25">
      <c r="A561" s="307">
        <f t="shared" si="49"/>
        <v>555</v>
      </c>
      <c r="B561" s="308">
        <v>45823</v>
      </c>
      <c r="C561" s="309">
        <f t="shared" si="50"/>
        <v>45809</v>
      </c>
      <c r="D561" s="310" t="s">
        <v>56</v>
      </c>
      <c r="E561" s="310" t="s">
        <v>1641</v>
      </c>
      <c r="F561" s="311">
        <v>9281983602</v>
      </c>
      <c r="G561" s="316" t="s">
        <v>1093</v>
      </c>
      <c r="H561" s="316" t="s">
        <v>2023</v>
      </c>
      <c r="I561" s="316" t="s">
        <v>2022</v>
      </c>
      <c r="J561" s="310" t="s">
        <v>172</v>
      </c>
      <c r="K561" s="312">
        <v>42180</v>
      </c>
      <c r="L561" s="312">
        <v>102690</v>
      </c>
      <c r="M561" s="313">
        <f t="shared" si="51"/>
        <v>60510</v>
      </c>
      <c r="N561" s="314">
        <f t="shared" si="52"/>
        <v>0.58924919661116</v>
      </c>
      <c r="O561" s="312">
        <v>42180</v>
      </c>
      <c r="P561" s="313">
        <f t="shared" si="48"/>
        <v>0</v>
      </c>
      <c r="Q561" s="310" t="s">
        <v>147</v>
      </c>
      <c r="R561" s="310">
        <v>105</v>
      </c>
      <c r="S561" s="310"/>
      <c r="T561" s="308">
        <v>45826</v>
      </c>
      <c r="U561" s="308">
        <v>45826</v>
      </c>
      <c r="V561" s="308"/>
      <c r="W561" s="315">
        <f t="shared" si="53"/>
        <v>3</v>
      </c>
      <c r="X561" s="310" t="s">
        <v>54</v>
      </c>
      <c r="Y561" s="310" t="s">
        <v>56</v>
      </c>
      <c r="Z561" s="316"/>
      <c r="AA561" s="316" t="s">
        <v>2050</v>
      </c>
      <c r="AB561" s="316" t="s">
        <v>2050</v>
      </c>
    </row>
    <row r="562" spans="1:28" x14ac:dyDescent="0.25">
      <c r="A562" s="307">
        <f t="shared" si="49"/>
        <v>556</v>
      </c>
      <c r="B562" s="308">
        <v>45823</v>
      </c>
      <c r="C562" s="309">
        <f t="shared" si="50"/>
        <v>45809</v>
      </c>
      <c r="D562" s="310" t="s">
        <v>51</v>
      </c>
      <c r="E562" s="310" t="s">
        <v>2042</v>
      </c>
      <c r="F562" s="311">
        <v>9954558236</v>
      </c>
      <c r="G562" s="316" t="s">
        <v>6</v>
      </c>
      <c r="H562" s="316" t="s">
        <v>2070</v>
      </c>
      <c r="I562" s="316" t="s">
        <v>2071</v>
      </c>
      <c r="J562" s="310" t="s">
        <v>168</v>
      </c>
      <c r="K562" s="312">
        <v>27700</v>
      </c>
      <c r="L562" s="312">
        <v>41900</v>
      </c>
      <c r="M562" s="313">
        <f t="shared" si="51"/>
        <v>14200</v>
      </c>
      <c r="N562" s="314">
        <f t="shared" si="52"/>
        <v>0.33890214797136</v>
      </c>
      <c r="O562" s="312">
        <v>26320</v>
      </c>
      <c r="P562" s="313">
        <f t="shared" si="48"/>
        <v>1380</v>
      </c>
      <c r="Q562" s="310" t="s">
        <v>147</v>
      </c>
      <c r="R562" s="310">
        <v>106</v>
      </c>
      <c r="S562" s="310"/>
      <c r="T562" s="308">
        <v>45827</v>
      </c>
      <c r="U562" s="308">
        <v>45827</v>
      </c>
      <c r="V562" s="308"/>
      <c r="W562" s="315">
        <f t="shared" si="53"/>
        <v>4</v>
      </c>
      <c r="X562" s="310" t="s">
        <v>54</v>
      </c>
      <c r="Y562" s="310" t="s">
        <v>2043</v>
      </c>
      <c r="Z562" s="316"/>
      <c r="AA562" s="316" t="s">
        <v>2049</v>
      </c>
      <c r="AB562" s="316" t="s">
        <v>2049</v>
      </c>
    </row>
    <row r="563" spans="1:28" x14ac:dyDescent="0.25">
      <c r="A563" s="307">
        <f t="shared" si="49"/>
        <v>557</v>
      </c>
      <c r="B563" s="308">
        <v>45824</v>
      </c>
      <c r="C563" s="309">
        <f t="shared" si="50"/>
        <v>45809</v>
      </c>
      <c r="D563" s="310" t="s">
        <v>51</v>
      </c>
      <c r="E563" s="310" t="s">
        <v>1448</v>
      </c>
      <c r="F563" s="311">
        <v>9108592771</v>
      </c>
      <c r="G563" s="316" t="s">
        <v>6</v>
      </c>
      <c r="H563" s="316" t="s">
        <v>1874</v>
      </c>
      <c r="I563" s="316" t="s">
        <v>2072</v>
      </c>
      <c r="J563" s="310" t="s">
        <v>172</v>
      </c>
      <c r="K563" s="312">
        <v>31750</v>
      </c>
      <c r="L563" s="312">
        <v>40320</v>
      </c>
      <c r="M563" s="313">
        <f t="shared" si="51"/>
        <v>8570</v>
      </c>
      <c r="N563" s="314">
        <f t="shared" si="52"/>
        <v>0.212549603174603</v>
      </c>
      <c r="O563" s="312">
        <v>31750</v>
      </c>
      <c r="P563" s="313">
        <f t="shared" si="48"/>
        <v>0</v>
      </c>
      <c r="Q563" s="310" t="s">
        <v>147</v>
      </c>
      <c r="R563" s="310">
        <v>107</v>
      </c>
      <c r="S563" s="310"/>
      <c r="T563" s="308">
        <v>45827</v>
      </c>
      <c r="U563" s="308">
        <v>45827</v>
      </c>
      <c r="V563" s="308"/>
      <c r="W563" s="315">
        <f t="shared" si="53"/>
        <v>3</v>
      </c>
      <c r="X563" s="310" t="s">
        <v>54</v>
      </c>
      <c r="Y563" s="310" t="s">
        <v>439</v>
      </c>
      <c r="Z563" s="316"/>
      <c r="AA563" s="316" t="s">
        <v>2049</v>
      </c>
      <c r="AB563" s="316" t="s">
        <v>2049</v>
      </c>
    </row>
    <row r="564" spans="1:28" x14ac:dyDescent="0.25">
      <c r="A564" s="307">
        <f t="shared" si="49"/>
        <v>558</v>
      </c>
      <c r="B564" s="308">
        <v>45825</v>
      </c>
      <c r="C564" s="309">
        <f t="shared" si="50"/>
        <v>45809</v>
      </c>
      <c r="D564" s="310" t="s">
        <v>51</v>
      </c>
      <c r="E564" s="310" t="s">
        <v>2046</v>
      </c>
      <c r="F564" s="311">
        <v>9639798777</v>
      </c>
      <c r="G564" s="316" t="s">
        <v>6</v>
      </c>
      <c r="H564" s="316" t="s">
        <v>1874</v>
      </c>
      <c r="I564" s="316" t="s">
        <v>2073</v>
      </c>
      <c r="J564" s="310" t="s">
        <v>168</v>
      </c>
      <c r="K564" s="312">
        <v>26220</v>
      </c>
      <c r="L564" s="312">
        <v>35600</v>
      </c>
      <c r="M564" s="313">
        <f t="shared" si="51"/>
        <v>9380</v>
      </c>
      <c r="N564" s="314">
        <f t="shared" si="52"/>
        <v>0.263483146067416</v>
      </c>
      <c r="O564" s="312">
        <v>26220</v>
      </c>
      <c r="P564" s="313">
        <f t="shared" si="48"/>
        <v>0</v>
      </c>
      <c r="Q564" s="310" t="s">
        <v>147</v>
      </c>
      <c r="R564" s="310">
        <v>108</v>
      </c>
      <c r="S564" s="310"/>
      <c r="T564" s="308">
        <v>45828</v>
      </c>
      <c r="U564" s="308">
        <v>45828</v>
      </c>
      <c r="V564" s="308"/>
      <c r="W564" s="315">
        <f t="shared" si="53"/>
        <v>3</v>
      </c>
      <c r="X564" s="310" t="s">
        <v>54</v>
      </c>
      <c r="Y564" s="310" t="s">
        <v>439</v>
      </c>
      <c r="Z564" s="316"/>
      <c r="AA564" s="316" t="s">
        <v>2051</v>
      </c>
      <c r="AB564" s="316" t="s">
        <v>2051</v>
      </c>
    </row>
    <row r="565" spans="1:28" x14ac:dyDescent="0.25">
      <c r="A565" s="307">
        <f t="shared" si="49"/>
        <v>559</v>
      </c>
      <c r="B565" s="308">
        <v>45826</v>
      </c>
      <c r="C565" s="309">
        <f t="shared" si="50"/>
        <v>45809</v>
      </c>
      <c r="D565" s="310" t="s">
        <v>56</v>
      </c>
      <c r="E565" s="310" t="s">
        <v>60</v>
      </c>
      <c r="F565" s="311">
        <v>9589264337</v>
      </c>
      <c r="G565" s="316" t="s">
        <v>6</v>
      </c>
      <c r="H565" s="316" t="s">
        <v>2074</v>
      </c>
      <c r="I565" s="316" t="s">
        <v>2075</v>
      </c>
      <c r="J565" s="310" t="s">
        <v>172</v>
      </c>
      <c r="K565" s="312">
        <v>33770</v>
      </c>
      <c r="L565" s="312">
        <v>46620</v>
      </c>
      <c r="M565" s="313">
        <f t="shared" si="51"/>
        <v>12850</v>
      </c>
      <c r="N565" s="314">
        <f t="shared" si="52"/>
        <v>0.275632775632776</v>
      </c>
      <c r="O565" s="312">
        <v>33770</v>
      </c>
      <c r="P565" s="313">
        <f t="shared" si="48"/>
        <v>0</v>
      </c>
      <c r="Q565" s="310" t="s">
        <v>147</v>
      </c>
      <c r="R565" s="310">
        <v>109</v>
      </c>
      <c r="S565" s="310"/>
      <c r="T565" s="308">
        <v>45828</v>
      </c>
      <c r="U565" s="308">
        <v>45828</v>
      </c>
      <c r="V565" s="308"/>
      <c r="W565" s="315">
        <f t="shared" si="53"/>
        <v>2</v>
      </c>
      <c r="X565" s="310" t="s">
        <v>54</v>
      </c>
      <c r="Y565" s="310" t="s">
        <v>56</v>
      </c>
      <c r="Z565" s="316"/>
      <c r="AA565" s="316" t="s">
        <v>2051</v>
      </c>
      <c r="AB565" s="316" t="s">
        <v>2051</v>
      </c>
    </row>
    <row r="566" spans="1:28" x14ac:dyDescent="0.25">
      <c r="A566" s="307">
        <f t="shared" si="49"/>
        <v>560</v>
      </c>
      <c r="B566" s="308">
        <v>45826</v>
      </c>
      <c r="C566" s="309">
        <f t="shared" si="50"/>
        <v>45809</v>
      </c>
      <c r="D566" s="310" t="s">
        <v>56</v>
      </c>
      <c r="E566" s="310" t="s">
        <v>1641</v>
      </c>
      <c r="F566" s="311">
        <v>9935813519</v>
      </c>
      <c r="G566" s="316" t="s">
        <v>6</v>
      </c>
      <c r="H566" s="316" t="s">
        <v>2076</v>
      </c>
      <c r="I566" s="316" t="s">
        <v>2077</v>
      </c>
      <c r="J566" s="310" t="s">
        <v>172</v>
      </c>
      <c r="K566" s="312">
        <v>33770</v>
      </c>
      <c r="L566" s="312">
        <v>46620</v>
      </c>
      <c r="M566" s="313">
        <f t="shared" si="51"/>
        <v>12850</v>
      </c>
      <c r="N566" s="314">
        <f t="shared" si="52"/>
        <v>0.275632775632776</v>
      </c>
      <c r="O566" s="312">
        <v>33770</v>
      </c>
      <c r="P566" s="313">
        <f t="shared" si="48"/>
        <v>0</v>
      </c>
      <c r="Q566" s="310" t="s">
        <v>147</v>
      </c>
      <c r="R566" s="310">
        <v>110</v>
      </c>
      <c r="S566" s="310"/>
      <c r="T566" s="308">
        <v>45828</v>
      </c>
      <c r="U566" s="308">
        <v>45828</v>
      </c>
      <c r="V566" s="308"/>
      <c r="W566" s="315">
        <f t="shared" si="53"/>
        <v>2</v>
      </c>
      <c r="X566" s="310" t="s">
        <v>54</v>
      </c>
      <c r="Y566" s="310" t="s">
        <v>56</v>
      </c>
      <c r="Z566" s="316"/>
      <c r="AA566" s="316" t="s">
        <v>2051</v>
      </c>
      <c r="AB566" s="316" t="s">
        <v>2051</v>
      </c>
    </row>
    <row r="567" spans="1:28" x14ac:dyDescent="0.25">
      <c r="A567" s="307">
        <f t="shared" si="49"/>
        <v>561</v>
      </c>
      <c r="B567" s="308">
        <v>45826</v>
      </c>
      <c r="C567" s="309">
        <f t="shared" si="50"/>
        <v>45809</v>
      </c>
      <c r="D567" s="310" t="s">
        <v>56</v>
      </c>
      <c r="E567" s="310" t="s">
        <v>1637</v>
      </c>
      <c r="F567" s="311">
        <v>9025368773</v>
      </c>
      <c r="G567" s="316" t="s">
        <v>1093</v>
      </c>
      <c r="H567" s="316" t="s">
        <v>1874</v>
      </c>
      <c r="I567" s="316" t="s">
        <v>2078</v>
      </c>
      <c r="J567" s="310" t="s">
        <v>172</v>
      </c>
      <c r="K567" s="312">
        <v>41230</v>
      </c>
      <c r="L567" s="312">
        <v>96390</v>
      </c>
      <c r="M567" s="313">
        <f t="shared" si="51"/>
        <v>55160</v>
      </c>
      <c r="N567" s="314">
        <f t="shared" si="52"/>
        <v>0.572258533042847</v>
      </c>
      <c r="O567" s="312">
        <v>41230</v>
      </c>
      <c r="P567" s="313">
        <f t="shared" si="48"/>
        <v>0</v>
      </c>
      <c r="Q567" s="310" t="s">
        <v>147</v>
      </c>
      <c r="R567" s="310">
        <v>111</v>
      </c>
      <c r="S567" s="310"/>
      <c r="T567" s="308">
        <v>45828</v>
      </c>
      <c r="U567" s="308">
        <v>45828</v>
      </c>
      <c r="V567" s="308"/>
      <c r="W567" s="315">
        <f t="shared" si="53"/>
        <v>2</v>
      </c>
      <c r="X567" s="310" t="s">
        <v>54</v>
      </c>
      <c r="Y567" s="310" t="s">
        <v>56</v>
      </c>
      <c r="Z567" s="316"/>
      <c r="AA567" s="316" t="s">
        <v>2051</v>
      </c>
      <c r="AB567" s="316" t="s">
        <v>2051</v>
      </c>
    </row>
    <row r="568" spans="1:28" x14ac:dyDescent="0.25">
      <c r="A568" s="307">
        <f t="shared" si="49"/>
        <v>562</v>
      </c>
      <c r="B568" s="308">
        <v>45826</v>
      </c>
      <c r="C568" s="309">
        <f t="shared" si="50"/>
        <v>45809</v>
      </c>
      <c r="D568" s="310" t="s">
        <v>56</v>
      </c>
      <c r="E568" s="310" t="s">
        <v>38</v>
      </c>
      <c r="F568" s="311">
        <v>9515412075</v>
      </c>
      <c r="G568" s="316" t="s">
        <v>1093</v>
      </c>
      <c r="H568" s="316" t="s">
        <v>1874</v>
      </c>
      <c r="I568" s="316" t="s">
        <v>2081</v>
      </c>
      <c r="J568" s="310" t="s">
        <v>59</v>
      </c>
      <c r="K568" s="312">
        <v>40480</v>
      </c>
      <c r="L568" s="312">
        <v>91350</v>
      </c>
      <c r="M568" s="313">
        <f t="shared" si="51"/>
        <v>50870</v>
      </c>
      <c r="N568" s="314">
        <f t="shared" si="52"/>
        <v>0.556869184455391</v>
      </c>
      <c r="O568" s="312">
        <v>40480</v>
      </c>
      <c r="P568" s="313">
        <f t="shared" si="48"/>
        <v>0</v>
      </c>
      <c r="Q568" s="310" t="s">
        <v>147</v>
      </c>
      <c r="R568" s="310">
        <v>112</v>
      </c>
      <c r="S568" s="310"/>
      <c r="T568" s="308">
        <v>45829</v>
      </c>
      <c r="U568" s="308">
        <v>45829</v>
      </c>
      <c r="V568" s="308"/>
      <c r="W568" s="315">
        <f t="shared" si="53"/>
        <v>3</v>
      </c>
      <c r="X568" s="310" t="s">
        <v>54</v>
      </c>
      <c r="Y568" s="310" t="s">
        <v>56</v>
      </c>
      <c r="Z568" s="316"/>
      <c r="AA568" s="316" t="s">
        <v>2052</v>
      </c>
      <c r="AB568" s="316" t="s">
        <v>2052</v>
      </c>
    </row>
    <row r="569" spans="1:28" x14ac:dyDescent="0.25">
      <c r="A569" s="307">
        <f t="shared" si="49"/>
        <v>563</v>
      </c>
      <c r="B569" s="308">
        <v>45827</v>
      </c>
      <c r="C569" s="309">
        <f t="shared" si="50"/>
        <v>45809</v>
      </c>
      <c r="D569" s="310" t="s">
        <v>51</v>
      </c>
      <c r="E569" s="310" t="s">
        <v>2334</v>
      </c>
      <c r="F569" s="311"/>
      <c r="G569" s="316" t="s">
        <v>6</v>
      </c>
      <c r="H569" s="316" t="s">
        <v>1874</v>
      </c>
      <c r="I569" s="316" t="s">
        <v>2080</v>
      </c>
      <c r="J569" s="310" t="s">
        <v>381</v>
      </c>
      <c r="K569" s="312">
        <v>123840</v>
      </c>
      <c r="L569" s="312">
        <v>161030</v>
      </c>
      <c r="M569" s="313">
        <f t="shared" si="51"/>
        <v>37190</v>
      </c>
      <c r="N569" s="314">
        <f t="shared" si="52"/>
        <v>0.230950754517792</v>
      </c>
      <c r="O569" s="312">
        <v>66520</v>
      </c>
      <c r="P569" s="313">
        <f t="shared" si="48"/>
        <v>57320</v>
      </c>
      <c r="Q569" s="310" t="s">
        <v>147</v>
      </c>
      <c r="R569" s="310">
        <v>113</v>
      </c>
      <c r="S569" s="310"/>
      <c r="T569" s="308">
        <v>45828</v>
      </c>
      <c r="U569" s="308">
        <v>45828</v>
      </c>
      <c r="V569" s="308"/>
      <c r="W569" s="315">
        <f t="shared" si="53"/>
        <v>1</v>
      </c>
      <c r="X569" s="310" t="s">
        <v>54</v>
      </c>
      <c r="Y569" s="310" t="s">
        <v>2334</v>
      </c>
      <c r="Z569" s="316" t="s">
        <v>2047</v>
      </c>
      <c r="AA569" s="316" t="s">
        <v>2051</v>
      </c>
      <c r="AB569" s="316" t="s">
        <v>2051</v>
      </c>
    </row>
    <row r="570" spans="1:28" x14ac:dyDescent="0.25">
      <c r="A570" s="307">
        <f t="shared" si="49"/>
        <v>564</v>
      </c>
      <c r="B570" s="308">
        <v>45828</v>
      </c>
      <c r="C570" s="309">
        <f t="shared" si="50"/>
        <v>45809</v>
      </c>
      <c r="D570" s="310" t="s">
        <v>56</v>
      </c>
      <c r="E570" s="310" t="s">
        <v>1644</v>
      </c>
      <c r="F570" s="311">
        <v>9220186371</v>
      </c>
      <c r="G570" s="316" t="s">
        <v>1093</v>
      </c>
      <c r="H570" s="316" t="s">
        <v>1874</v>
      </c>
      <c r="I570" s="316" t="s">
        <v>2082</v>
      </c>
      <c r="J570" s="310" t="s">
        <v>172</v>
      </c>
      <c r="K570" s="312">
        <v>41230</v>
      </c>
      <c r="L570" s="312">
        <v>96390</v>
      </c>
      <c r="M570" s="313">
        <f t="shared" si="51"/>
        <v>55160</v>
      </c>
      <c r="N570" s="314">
        <f t="shared" si="52"/>
        <v>0.572258533042847</v>
      </c>
      <c r="O570" s="312">
        <v>41230</v>
      </c>
      <c r="P570" s="313">
        <f t="shared" si="48"/>
        <v>0</v>
      </c>
      <c r="Q570" s="310" t="s">
        <v>147</v>
      </c>
      <c r="R570" s="310">
        <v>114</v>
      </c>
      <c r="S570" s="310"/>
      <c r="T570" s="308">
        <v>45831</v>
      </c>
      <c r="U570" s="308">
        <v>45831</v>
      </c>
      <c r="V570" s="308"/>
      <c r="W570" s="315">
        <f t="shared" si="53"/>
        <v>3</v>
      </c>
      <c r="X570" s="310" t="s">
        <v>54</v>
      </c>
      <c r="Y570" s="310" t="s">
        <v>56</v>
      </c>
      <c r="Z570" s="316"/>
      <c r="AA570" s="316" t="s">
        <v>2055</v>
      </c>
      <c r="AB570" s="316" t="s">
        <v>2055</v>
      </c>
    </row>
    <row r="571" spans="1:28" x14ac:dyDescent="0.25">
      <c r="A571" s="307">
        <f t="shared" si="49"/>
        <v>565</v>
      </c>
      <c r="B571" s="308">
        <v>45829</v>
      </c>
      <c r="C571" s="309">
        <f t="shared" si="50"/>
        <v>45809</v>
      </c>
      <c r="D571" s="310" t="s">
        <v>56</v>
      </c>
      <c r="E571" s="310" t="s">
        <v>60</v>
      </c>
      <c r="F571" s="311">
        <v>9589264337</v>
      </c>
      <c r="G571" s="316" t="s">
        <v>1093</v>
      </c>
      <c r="H571" s="316" t="s">
        <v>2088</v>
      </c>
      <c r="I571" s="316" t="s">
        <v>2089</v>
      </c>
      <c r="J571" s="310" t="s">
        <v>172</v>
      </c>
      <c r="K571" s="312">
        <v>42180</v>
      </c>
      <c r="L571" s="312">
        <v>102690</v>
      </c>
      <c r="M571" s="313">
        <f t="shared" si="51"/>
        <v>60510</v>
      </c>
      <c r="N571" s="314">
        <f t="shared" si="52"/>
        <v>0.58924919661116</v>
      </c>
      <c r="O571" s="312">
        <v>42180</v>
      </c>
      <c r="P571" s="313">
        <f t="shared" si="48"/>
        <v>0</v>
      </c>
      <c r="Q571" s="310" t="s">
        <v>147</v>
      </c>
      <c r="R571" s="310">
        <v>115</v>
      </c>
      <c r="S571" s="310"/>
      <c r="T571" s="308">
        <v>45833</v>
      </c>
      <c r="U571" s="308">
        <v>45834</v>
      </c>
      <c r="V571" s="308"/>
      <c r="W571" s="315">
        <f t="shared" si="53"/>
        <v>5</v>
      </c>
      <c r="X571" s="310" t="s">
        <v>54</v>
      </c>
      <c r="Y571" s="310" t="s">
        <v>56</v>
      </c>
      <c r="Z571" s="316"/>
      <c r="AA571" s="316" t="s">
        <v>2056</v>
      </c>
      <c r="AB571" s="316" t="s">
        <v>2057</v>
      </c>
    </row>
    <row r="572" spans="1:28" x14ac:dyDescent="0.25">
      <c r="A572" s="307">
        <f t="shared" si="49"/>
        <v>566</v>
      </c>
      <c r="B572" s="308">
        <v>45829</v>
      </c>
      <c r="C572" s="309">
        <f t="shared" si="50"/>
        <v>45809</v>
      </c>
      <c r="D572" s="310" t="s">
        <v>56</v>
      </c>
      <c r="E572" s="310" t="s">
        <v>1637</v>
      </c>
      <c r="F572" s="311">
        <v>9025368773</v>
      </c>
      <c r="G572" s="316" t="s">
        <v>6</v>
      </c>
      <c r="H572" s="316" t="s">
        <v>2059</v>
      </c>
      <c r="I572" s="316" t="s">
        <v>2060</v>
      </c>
      <c r="J572" s="310" t="s">
        <v>172</v>
      </c>
      <c r="K572" s="312">
        <v>33770</v>
      </c>
      <c r="L572" s="312">
        <v>46620</v>
      </c>
      <c r="M572" s="313">
        <f t="shared" si="51"/>
        <v>12850</v>
      </c>
      <c r="N572" s="314">
        <f t="shared" si="52"/>
        <v>0.275632775632776</v>
      </c>
      <c r="O572" s="312">
        <v>33770</v>
      </c>
      <c r="P572" s="313">
        <f t="shared" si="48"/>
        <v>0</v>
      </c>
      <c r="Q572" s="310" t="s">
        <v>147</v>
      </c>
      <c r="R572" s="310">
        <v>116</v>
      </c>
      <c r="S572" s="310"/>
      <c r="T572" s="308">
        <v>45832</v>
      </c>
      <c r="U572" s="308">
        <v>45833</v>
      </c>
      <c r="V572" s="308"/>
      <c r="W572" s="315">
        <f t="shared" si="53"/>
        <v>4</v>
      </c>
      <c r="X572" s="310" t="s">
        <v>54</v>
      </c>
      <c r="Y572" s="310" t="s">
        <v>56</v>
      </c>
      <c r="Z572" s="316"/>
      <c r="AA572" s="316" t="s">
        <v>2058</v>
      </c>
      <c r="AB572" s="316" t="s">
        <v>2056</v>
      </c>
    </row>
    <row r="573" spans="1:28" x14ac:dyDescent="0.25">
      <c r="A573" s="307">
        <f t="shared" si="49"/>
        <v>567</v>
      </c>
      <c r="B573" s="308">
        <v>45831</v>
      </c>
      <c r="C573" s="309">
        <f t="shared" si="50"/>
        <v>45809</v>
      </c>
      <c r="D573" s="310" t="s">
        <v>56</v>
      </c>
      <c r="E573" s="310" t="s">
        <v>38</v>
      </c>
      <c r="F573" s="311">
        <v>9515412075</v>
      </c>
      <c r="G573" s="316" t="s">
        <v>6</v>
      </c>
      <c r="H573" s="316" t="s">
        <v>1874</v>
      </c>
      <c r="I573" s="316" t="s">
        <v>2061</v>
      </c>
      <c r="J573" s="310" t="s">
        <v>59</v>
      </c>
      <c r="K573" s="312">
        <v>32540</v>
      </c>
      <c r="L573" s="312">
        <v>38430</v>
      </c>
      <c r="M573" s="313">
        <f t="shared" si="51"/>
        <v>5890</v>
      </c>
      <c r="N573" s="314">
        <f t="shared" si="52"/>
        <v>0.153265677855842</v>
      </c>
      <c r="O573" s="312">
        <v>32540</v>
      </c>
      <c r="P573" s="313">
        <f t="shared" si="48"/>
        <v>0</v>
      </c>
      <c r="Q573" s="310" t="s">
        <v>147</v>
      </c>
      <c r="R573" s="310">
        <v>117</v>
      </c>
      <c r="S573" s="310"/>
      <c r="T573" s="308">
        <v>45834</v>
      </c>
      <c r="U573" s="308">
        <v>45834</v>
      </c>
      <c r="V573" s="308"/>
      <c r="W573" s="315">
        <f t="shared" si="53"/>
        <v>3</v>
      </c>
      <c r="X573" s="310" t="s">
        <v>54</v>
      </c>
      <c r="Y573" s="310" t="s">
        <v>56</v>
      </c>
      <c r="Z573" s="316"/>
      <c r="AA573" s="316" t="s">
        <v>2057</v>
      </c>
      <c r="AB573" s="316" t="s">
        <v>2057</v>
      </c>
    </row>
    <row r="574" spans="1:28" x14ac:dyDescent="0.25">
      <c r="A574" s="307">
        <f t="shared" si="49"/>
        <v>568</v>
      </c>
      <c r="B574" s="308">
        <v>45833</v>
      </c>
      <c r="C574" s="309">
        <f t="shared" si="50"/>
        <v>45809</v>
      </c>
      <c r="D574" s="310" t="s">
        <v>56</v>
      </c>
      <c r="E574" s="310" t="s">
        <v>1644</v>
      </c>
      <c r="F574" s="311">
        <v>9220186371</v>
      </c>
      <c r="G574" s="316" t="s">
        <v>6</v>
      </c>
      <c r="H574" s="316" t="s">
        <v>2062</v>
      </c>
      <c r="I574" s="316" t="s">
        <v>2063</v>
      </c>
      <c r="J574" s="310" t="s">
        <v>172</v>
      </c>
      <c r="K574" s="312">
        <v>33770</v>
      </c>
      <c r="L574" s="312">
        <v>46620</v>
      </c>
      <c r="M574" s="313">
        <f t="shared" si="51"/>
        <v>12850</v>
      </c>
      <c r="N574" s="314">
        <f t="shared" si="52"/>
        <v>0.275632775632776</v>
      </c>
      <c r="O574" s="312">
        <v>33770</v>
      </c>
      <c r="P574" s="313">
        <f t="shared" si="48"/>
        <v>0</v>
      </c>
      <c r="Q574" s="310" t="s">
        <v>147</v>
      </c>
      <c r="R574" s="310">
        <v>118</v>
      </c>
      <c r="S574" s="310"/>
      <c r="T574" s="308">
        <v>45836</v>
      </c>
      <c r="U574" s="308">
        <v>45836</v>
      </c>
      <c r="V574" s="308"/>
      <c r="W574" s="315">
        <f t="shared" si="53"/>
        <v>3</v>
      </c>
      <c r="X574" s="310" t="s">
        <v>54</v>
      </c>
      <c r="Y574" s="310" t="s">
        <v>56</v>
      </c>
      <c r="Z574" s="316"/>
      <c r="AA574" s="316" t="s">
        <v>2096</v>
      </c>
      <c r="AB574" s="316" t="s">
        <v>2096</v>
      </c>
    </row>
    <row r="575" spans="1:28" x14ac:dyDescent="0.25">
      <c r="A575" s="307">
        <f t="shared" si="49"/>
        <v>569</v>
      </c>
      <c r="B575" s="308">
        <v>45833</v>
      </c>
      <c r="C575" s="309">
        <f t="shared" si="50"/>
        <v>45809</v>
      </c>
      <c r="D575" s="310" t="s">
        <v>51</v>
      </c>
      <c r="E575" s="310" t="s">
        <v>2053</v>
      </c>
      <c r="F575" s="311">
        <v>9308251477</v>
      </c>
      <c r="G575" s="316" t="s">
        <v>6</v>
      </c>
      <c r="H575" s="316" t="s">
        <v>2064</v>
      </c>
      <c r="I575" s="316" t="s">
        <v>2065</v>
      </c>
      <c r="J575" s="310" t="s">
        <v>172</v>
      </c>
      <c r="K575" s="312">
        <v>33770</v>
      </c>
      <c r="L575" s="312">
        <v>46620</v>
      </c>
      <c r="M575" s="313">
        <f t="shared" si="51"/>
        <v>12850</v>
      </c>
      <c r="N575" s="314">
        <f t="shared" si="52"/>
        <v>0.275632775632776</v>
      </c>
      <c r="O575" s="312">
        <v>33770</v>
      </c>
      <c r="P575" s="313">
        <f t="shared" si="48"/>
        <v>0</v>
      </c>
      <c r="Q575" s="310" t="s">
        <v>147</v>
      </c>
      <c r="R575" s="310">
        <v>119</v>
      </c>
      <c r="S575" s="310"/>
      <c r="T575" s="308">
        <v>45838</v>
      </c>
      <c r="U575" s="308">
        <v>45838</v>
      </c>
      <c r="V575" s="308"/>
      <c r="W575" s="315">
        <f t="shared" si="53"/>
        <v>5</v>
      </c>
      <c r="X575" s="310" t="s">
        <v>54</v>
      </c>
      <c r="Y575" s="310" t="s">
        <v>3742</v>
      </c>
      <c r="Z575" s="316"/>
      <c r="AA575" s="316" t="s">
        <v>2099</v>
      </c>
      <c r="AB575" s="316" t="s">
        <v>2099</v>
      </c>
    </row>
    <row r="576" spans="1:28" x14ac:dyDescent="0.25">
      <c r="A576" s="307">
        <f t="shared" si="49"/>
        <v>570</v>
      </c>
      <c r="B576" s="308">
        <v>45833</v>
      </c>
      <c r="C576" s="309">
        <f t="shared" si="50"/>
        <v>45809</v>
      </c>
      <c r="D576" s="310" t="s">
        <v>56</v>
      </c>
      <c r="E576" s="310" t="s">
        <v>1637</v>
      </c>
      <c r="F576" s="311">
        <v>9025368773</v>
      </c>
      <c r="G576" s="316" t="s">
        <v>1093</v>
      </c>
      <c r="H576" s="316" t="s">
        <v>1874</v>
      </c>
      <c r="I576" s="316" t="s">
        <v>2079</v>
      </c>
      <c r="J576" s="310" t="s">
        <v>172</v>
      </c>
      <c r="K576" s="312">
        <v>41230</v>
      </c>
      <c r="L576" s="312">
        <v>96390</v>
      </c>
      <c r="M576" s="313">
        <f t="shared" si="51"/>
        <v>55160</v>
      </c>
      <c r="N576" s="314">
        <f t="shared" si="52"/>
        <v>0.572258533042847</v>
      </c>
      <c r="O576" s="312">
        <v>41230</v>
      </c>
      <c r="P576" s="313">
        <f t="shared" si="48"/>
        <v>0</v>
      </c>
      <c r="Q576" s="310" t="s">
        <v>147</v>
      </c>
      <c r="R576" s="310">
        <v>120</v>
      </c>
      <c r="S576" s="310"/>
      <c r="T576" s="308">
        <v>45837</v>
      </c>
      <c r="U576" s="308">
        <v>45837</v>
      </c>
      <c r="V576" s="308"/>
      <c r="W576" s="315">
        <f t="shared" si="53"/>
        <v>4</v>
      </c>
      <c r="X576" s="310" t="s">
        <v>54</v>
      </c>
      <c r="Y576" s="310" t="s">
        <v>56</v>
      </c>
      <c r="Z576" s="316"/>
      <c r="AA576" s="316" t="s">
        <v>2097</v>
      </c>
      <c r="AB576" s="316" t="s">
        <v>2097</v>
      </c>
    </row>
    <row r="577" spans="1:28" x14ac:dyDescent="0.25">
      <c r="A577" s="307">
        <f t="shared" si="49"/>
        <v>571</v>
      </c>
      <c r="B577" s="308">
        <v>45834</v>
      </c>
      <c r="C577" s="309">
        <f t="shared" si="50"/>
        <v>45809</v>
      </c>
      <c r="D577" s="310" t="s">
        <v>56</v>
      </c>
      <c r="E577" s="310" t="s">
        <v>60</v>
      </c>
      <c r="F577" s="311">
        <v>9589264337</v>
      </c>
      <c r="G577" s="316" t="s">
        <v>6</v>
      </c>
      <c r="H577" s="316" t="s">
        <v>2066</v>
      </c>
      <c r="I577" s="316" t="s">
        <v>2098</v>
      </c>
      <c r="J577" s="310" t="s">
        <v>172</v>
      </c>
      <c r="K577" s="312">
        <v>33770</v>
      </c>
      <c r="L577" s="312">
        <v>46620</v>
      </c>
      <c r="M577" s="313">
        <f t="shared" si="51"/>
        <v>12850</v>
      </c>
      <c r="N577" s="314">
        <f t="shared" si="52"/>
        <v>0.275632775632776</v>
      </c>
      <c r="O577" s="312">
        <v>33770</v>
      </c>
      <c r="P577" s="313">
        <f t="shared" si="48"/>
        <v>0</v>
      </c>
      <c r="Q577" s="310" t="s">
        <v>147</v>
      </c>
      <c r="R577" s="310">
        <v>121</v>
      </c>
      <c r="S577" s="310"/>
      <c r="T577" s="308">
        <v>45838</v>
      </c>
      <c r="U577" s="308">
        <v>45839</v>
      </c>
      <c r="V577" s="308"/>
      <c r="W577" s="315">
        <f t="shared" si="53"/>
        <v>5</v>
      </c>
      <c r="X577" s="310" t="s">
        <v>54</v>
      </c>
      <c r="Y577" s="310" t="s">
        <v>56</v>
      </c>
      <c r="Z577" s="316"/>
      <c r="AA577" s="316" t="s">
        <v>2099</v>
      </c>
      <c r="AB577" s="317">
        <v>45664</v>
      </c>
    </row>
    <row r="578" spans="1:28" x14ac:dyDescent="0.25">
      <c r="A578" s="307">
        <f t="shared" si="49"/>
        <v>572</v>
      </c>
      <c r="B578" s="308">
        <v>45835</v>
      </c>
      <c r="C578" s="309">
        <f t="shared" si="50"/>
        <v>45809</v>
      </c>
      <c r="D578" s="310" t="s">
        <v>56</v>
      </c>
      <c r="E578" s="310" t="s">
        <v>1641</v>
      </c>
      <c r="F578" s="311">
        <v>9935813519</v>
      </c>
      <c r="G578" s="316" t="s">
        <v>6</v>
      </c>
      <c r="H578" s="316" t="s">
        <v>2068</v>
      </c>
      <c r="I578" s="316" t="s">
        <v>2069</v>
      </c>
      <c r="J578" s="310" t="s">
        <v>172</v>
      </c>
      <c r="K578" s="312">
        <v>33770</v>
      </c>
      <c r="L578" s="312">
        <v>46620</v>
      </c>
      <c r="M578" s="313">
        <f t="shared" si="51"/>
        <v>12850</v>
      </c>
      <c r="N578" s="314">
        <f t="shared" si="52"/>
        <v>0.275632775632776</v>
      </c>
      <c r="O578" s="312">
        <v>33770</v>
      </c>
      <c r="P578" s="313">
        <f t="shared" si="48"/>
        <v>0</v>
      </c>
      <c r="Q578" s="310" t="s">
        <v>147</v>
      </c>
      <c r="R578" s="310">
        <v>122</v>
      </c>
      <c r="S578" s="310"/>
      <c r="T578" s="308">
        <v>45838</v>
      </c>
      <c r="U578" s="308">
        <v>45839</v>
      </c>
      <c r="V578" s="308"/>
      <c r="W578" s="315">
        <f t="shared" si="53"/>
        <v>4</v>
      </c>
      <c r="X578" s="310" t="s">
        <v>54</v>
      </c>
      <c r="Y578" s="310" t="s">
        <v>56</v>
      </c>
      <c r="Z578" s="316"/>
      <c r="AA578" s="316" t="s">
        <v>2099</v>
      </c>
      <c r="AB578" s="317">
        <v>45664</v>
      </c>
    </row>
    <row r="579" spans="1:28" x14ac:dyDescent="0.25">
      <c r="A579" s="307">
        <f t="shared" si="49"/>
        <v>573</v>
      </c>
      <c r="B579" s="308">
        <v>45835</v>
      </c>
      <c r="C579" s="309">
        <f t="shared" si="50"/>
        <v>45809</v>
      </c>
      <c r="D579" s="310" t="s">
        <v>51</v>
      </c>
      <c r="E579" s="310" t="s">
        <v>2054</v>
      </c>
      <c r="F579" s="311">
        <v>9570896331</v>
      </c>
      <c r="G579" s="316" t="s">
        <v>6</v>
      </c>
      <c r="H579" s="316" t="s">
        <v>1874</v>
      </c>
      <c r="I579" s="316" t="s">
        <v>2067</v>
      </c>
      <c r="J579" s="310" t="s">
        <v>168</v>
      </c>
      <c r="K579" s="312">
        <v>25690</v>
      </c>
      <c r="L579" s="312">
        <v>35600</v>
      </c>
      <c r="M579" s="313">
        <f t="shared" si="51"/>
        <v>9910</v>
      </c>
      <c r="N579" s="314">
        <f t="shared" si="52"/>
        <v>0.278370786516854</v>
      </c>
      <c r="O579" s="312">
        <v>25690</v>
      </c>
      <c r="P579" s="313">
        <f t="shared" si="48"/>
        <v>0</v>
      </c>
      <c r="Q579" s="310" t="s">
        <v>147</v>
      </c>
      <c r="R579" s="310">
        <v>123</v>
      </c>
      <c r="S579" s="310"/>
      <c r="T579" s="308">
        <v>45838</v>
      </c>
      <c r="U579" s="308">
        <v>45838</v>
      </c>
      <c r="V579" s="308"/>
      <c r="W579" s="315">
        <f t="shared" si="53"/>
        <v>3</v>
      </c>
      <c r="X579" s="310" t="s">
        <v>54</v>
      </c>
      <c r="Y579" s="310" t="s">
        <v>439</v>
      </c>
      <c r="Z579" s="316"/>
      <c r="AA579" s="316" t="s">
        <v>2099</v>
      </c>
      <c r="AB579" s="316" t="s">
        <v>2099</v>
      </c>
    </row>
    <row r="580" spans="1:28" x14ac:dyDescent="0.25">
      <c r="A580" s="307">
        <f t="shared" si="49"/>
        <v>574</v>
      </c>
      <c r="B580" s="308">
        <v>45836</v>
      </c>
      <c r="C580" s="309">
        <f t="shared" si="50"/>
        <v>45809</v>
      </c>
      <c r="D580" s="310" t="s">
        <v>56</v>
      </c>
      <c r="E580" s="310" t="s">
        <v>1635</v>
      </c>
      <c r="F580" s="311">
        <v>9472230553</v>
      </c>
      <c r="G580" s="316" t="s">
        <v>1093</v>
      </c>
      <c r="H580" s="316"/>
      <c r="I580" s="316" t="s">
        <v>2152</v>
      </c>
      <c r="J580" s="310" t="s">
        <v>172</v>
      </c>
      <c r="K580" s="312">
        <v>41230</v>
      </c>
      <c r="L580" s="312">
        <v>96390</v>
      </c>
      <c r="M580" s="313">
        <f t="shared" si="51"/>
        <v>55160</v>
      </c>
      <c r="N580" s="314">
        <f t="shared" si="52"/>
        <v>0.572258533042847</v>
      </c>
      <c r="O580" s="312">
        <v>41230</v>
      </c>
      <c r="P580" s="313">
        <f t="shared" si="48"/>
        <v>0</v>
      </c>
      <c r="Q580" s="310" t="s">
        <v>147</v>
      </c>
      <c r="R580" s="310">
        <v>125</v>
      </c>
      <c r="S580" s="310"/>
      <c r="T580" s="308">
        <v>45838</v>
      </c>
      <c r="U580" s="308">
        <v>45839</v>
      </c>
      <c r="V580" s="308"/>
      <c r="W580" s="315">
        <f t="shared" si="53"/>
        <v>3</v>
      </c>
      <c r="X580" s="310" t="s">
        <v>54</v>
      </c>
      <c r="Y580" s="310" t="s">
        <v>56</v>
      </c>
      <c r="Z580" s="316"/>
      <c r="AA580" s="316" t="s">
        <v>2099</v>
      </c>
      <c r="AB580" s="317">
        <v>45664</v>
      </c>
    </row>
    <row r="581" spans="1:28" x14ac:dyDescent="0.25">
      <c r="A581" s="307">
        <f t="shared" si="49"/>
        <v>575</v>
      </c>
      <c r="B581" s="308">
        <v>45836</v>
      </c>
      <c r="C581" s="309">
        <f t="shared" si="50"/>
        <v>45809</v>
      </c>
      <c r="D581" s="310" t="s">
        <v>51</v>
      </c>
      <c r="E581" s="310" t="s">
        <v>2092</v>
      </c>
      <c r="F581" s="311">
        <v>9139752126</v>
      </c>
      <c r="G581" s="316" t="s">
        <v>6</v>
      </c>
      <c r="H581" s="316" t="s">
        <v>1874</v>
      </c>
      <c r="I581" s="316" t="s">
        <v>2120</v>
      </c>
      <c r="J581" s="310" t="s">
        <v>172</v>
      </c>
      <c r="K581" s="312">
        <v>31750</v>
      </c>
      <c r="L581" s="312">
        <v>40320</v>
      </c>
      <c r="M581" s="313">
        <f t="shared" si="51"/>
        <v>8570</v>
      </c>
      <c r="N581" s="314">
        <f t="shared" si="52"/>
        <v>0.212549603174603</v>
      </c>
      <c r="O581" s="312">
        <v>31750</v>
      </c>
      <c r="P581" s="313">
        <f t="shared" si="48"/>
        <v>0</v>
      </c>
      <c r="Q581" s="310" t="s">
        <v>147</v>
      </c>
      <c r="R581" s="310">
        <v>126</v>
      </c>
      <c r="S581" s="310"/>
      <c r="T581" s="308">
        <v>45840</v>
      </c>
      <c r="U581" s="308">
        <v>45840</v>
      </c>
      <c r="V581" s="308"/>
      <c r="W581" s="315">
        <f t="shared" si="53"/>
        <v>4</v>
      </c>
      <c r="X581" s="310" t="s">
        <v>54</v>
      </c>
      <c r="Y581" s="310" t="s">
        <v>2043</v>
      </c>
      <c r="Z581" s="316"/>
      <c r="AA581" s="317">
        <v>45695</v>
      </c>
      <c r="AB581" s="317">
        <v>45695</v>
      </c>
    </row>
    <row r="582" spans="1:28" x14ac:dyDescent="0.25">
      <c r="A582" s="307">
        <f t="shared" si="49"/>
        <v>576</v>
      </c>
      <c r="B582" s="308">
        <v>45836</v>
      </c>
      <c r="C582" s="309">
        <f t="shared" si="50"/>
        <v>45809</v>
      </c>
      <c r="D582" s="310" t="s">
        <v>51</v>
      </c>
      <c r="E582" s="310" t="s">
        <v>2093</v>
      </c>
      <c r="F582" s="311">
        <v>9431329162</v>
      </c>
      <c r="G582" s="316" t="s">
        <v>2094</v>
      </c>
      <c r="H582" s="316" t="s">
        <v>1874</v>
      </c>
      <c r="I582" s="316" t="s">
        <v>2146</v>
      </c>
      <c r="J582" s="310" t="s">
        <v>172</v>
      </c>
      <c r="K582" s="312">
        <v>65490</v>
      </c>
      <c r="L582" s="312">
        <v>83160</v>
      </c>
      <c r="M582" s="313">
        <f t="shared" si="51"/>
        <v>17670</v>
      </c>
      <c r="N582" s="314">
        <f t="shared" si="52"/>
        <v>0.212481962481963</v>
      </c>
      <c r="O582" s="312">
        <v>65490</v>
      </c>
      <c r="P582" s="313">
        <f t="shared" si="48"/>
        <v>0</v>
      </c>
      <c r="Q582" s="310" t="s">
        <v>147</v>
      </c>
      <c r="R582" s="310">
        <v>127</v>
      </c>
      <c r="S582" s="310"/>
      <c r="T582" s="308">
        <v>45840</v>
      </c>
      <c r="U582" s="308">
        <v>45841</v>
      </c>
      <c r="V582" s="308"/>
      <c r="W582" s="315">
        <f t="shared" si="53"/>
        <v>5</v>
      </c>
      <c r="X582" s="310" t="s">
        <v>54</v>
      </c>
      <c r="Y582" s="310" t="s">
        <v>3773</v>
      </c>
      <c r="Z582" s="316"/>
      <c r="AA582" s="317">
        <v>45695</v>
      </c>
      <c r="AB582" s="317">
        <v>45723</v>
      </c>
    </row>
    <row r="583" spans="1:28" x14ac:dyDescent="0.25">
      <c r="A583" s="307">
        <f t="shared" si="49"/>
        <v>577</v>
      </c>
      <c r="B583" s="308">
        <v>45838</v>
      </c>
      <c r="C583" s="309">
        <f t="shared" si="50"/>
        <v>45809</v>
      </c>
      <c r="D583" s="310" t="s">
        <v>56</v>
      </c>
      <c r="E583" s="310" t="s">
        <v>1637</v>
      </c>
      <c r="F583" s="311">
        <v>9025368773</v>
      </c>
      <c r="G583" s="316" t="s">
        <v>6</v>
      </c>
      <c r="H583" s="316" t="s">
        <v>2121</v>
      </c>
      <c r="I583" s="316" t="s">
        <v>2122</v>
      </c>
      <c r="J583" s="310" t="s">
        <v>172</v>
      </c>
      <c r="K583" s="312">
        <v>33770</v>
      </c>
      <c r="L583" s="312">
        <v>46620</v>
      </c>
      <c r="M583" s="313">
        <f t="shared" si="51"/>
        <v>12850</v>
      </c>
      <c r="N583" s="314">
        <f t="shared" si="52"/>
        <v>0.275632775632776</v>
      </c>
      <c r="O583" s="312">
        <v>33770</v>
      </c>
      <c r="P583" s="313">
        <f t="shared" ref="P583:P646" si="54">IF(OR($K583="",$O583=""),"",$K583-$O583)</f>
        <v>0</v>
      </c>
      <c r="Q583" s="310" t="s">
        <v>147</v>
      </c>
      <c r="R583" s="310">
        <v>128</v>
      </c>
      <c r="S583" s="310"/>
      <c r="T583" s="308">
        <v>45841</v>
      </c>
      <c r="U583" s="308">
        <v>45842</v>
      </c>
      <c r="V583" s="308"/>
      <c r="W583" s="315">
        <f t="shared" si="53"/>
        <v>4</v>
      </c>
      <c r="X583" s="310" t="s">
        <v>54</v>
      </c>
      <c r="Y583" s="310" t="s">
        <v>56</v>
      </c>
      <c r="Z583" s="316"/>
      <c r="AA583" s="317">
        <v>45723</v>
      </c>
      <c r="AB583" s="317">
        <v>45754</v>
      </c>
    </row>
    <row r="584" spans="1:28" x14ac:dyDescent="0.25">
      <c r="A584" s="307">
        <f t="shared" ref="A584:A647" si="55">IF($B584="","",ROW()-6)</f>
        <v>578</v>
      </c>
      <c r="B584" s="308">
        <v>45839</v>
      </c>
      <c r="C584" s="309">
        <f t="shared" ref="C584:C647" si="56">IF($B584="","",EOMONTH($B584,-1)+1)</f>
        <v>45839</v>
      </c>
      <c r="D584" s="310" t="s">
        <v>56</v>
      </c>
      <c r="E584" s="310" t="s">
        <v>1635</v>
      </c>
      <c r="F584" s="311">
        <v>9472230553</v>
      </c>
      <c r="G584" s="316" t="s">
        <v>6</v>
      </c>
      <c r="H584" s="316" t="s">
        <v>2123</v>
      </c>
      <c r="I584" s="316" t="s">
        <v>2124</v>
      </c>
      <c r="J584" s="310" t="s">
        <v>172</v>
      </c>
      <c r="K584" s="312">
        <v>33770</v>
      </c>
      <c r="L584" s="312">
        <v>46620</v>
      </c>
      <c r="M584" s="313">
        <f t="shared" ref="M584:M647" si="57">IF(OR($K584="",$L584=""),"",$L584-$K584)</f>
        <v>12850</v>
      </c>
      <c r="N584" s="314">
        <f t="shared" ref="N584:N647" si="58">IF(OR($L584="",$L584=0,$M584=""),"",$M584/$L584)</f>
        <v>0.275632775632776</v>
      </c>
      <c r="O584" s="312">
        <v>33770</v>
      </c>
      <c r="P584" s="313">
        <f t="shared" si="54"/>
        <v>0</v>
      </c>
      <c r="Q584" s="310" t="s">
        <v>147</v>
      </c>
      <c r="R584" s="310">
        <v>129</v>
      </c>
      <c r="S584" s="310"/>
      <c r="T584" s="308">
        <v>45843</v>
      </c>
      <c r="U584" s="308">
        <v>45843</v>
      </c>
      <c r="V584" s="308"/>
      <c r="W584" s="315">
        <f t="shared" ref="W584:W647" si="59">IF(OR($B584="",$U584=""),"",$U584-$B584)</f>
        <v>4</v>
      </c>
      <c r="X584" s="310" t="s">
        <v>54</v>
      </c>
      <c r="Y584" s="310" t="s">
        <v>56</v>
      </c>
      <c r="Z584" s="316"/>
      <c r="AA584" s="317">
        <v>45784</v>
      </c>
      <c r="AB584" s="317">
        <v>45784</v>
      </c>
    </row>
    <row r="585" spans="1:28" x14ac:dyDescent="0.25">
      <c r="A585" s="307">
        <f t="shared" si="55"/>
        <v>579</v>
      </c>
      <c r="B585" s="308">
        <v>45840</v>
      </c>
      <c r="C585" s="309">
        <f t="shared" si="56"/>
        <v>45839</v>
      </c>
      <c r="D585" s="310" t="s">
        <v>51</v>
      </c>
      <c r="E585" s="310" t="s">
        <v>2101</v>
      </c>
      <c r="F585" s="311">
        <v>9224948161</v>
      </c>
      <c r="G585" s="316" t="s">
        <v>6</v>
      </c>
      <c r="H585" s="316" t="s">
        <v>1874</v>
      </c>
      <c r="I585" s="316" t="s">
        <v>2125</v>
      </c>
      <c r="J585" s="310" t="s">
        <v>168</v>
      </c>
      <c r="K585" s="312">
        <v>25690</v>
      </c>
      <c r="L585" s="312">
        <v>35600</v>
      </c>
      <c r="M585" s="313">
        <f t="shared" si="57"/>
        <v>9910</v>
      </c>
      <c r="N585" s="314">
        <f t="shared" si="58"/>
        <v>0.278370786516854</v>
      </c>
      <c r="O585" s="312">
        <v>25690</v>
      </c>
      <c r="P585" s="313">
        <f t="shared" si="54"/>
        <v>0</v>
      </c>
      <c r="Q585" s="310" t="s">
        <v>147</v>
      </c>
      <c r="R585" s="310">
        <v>130</v>
      </c>
      <c r="S585" s="310"/>
      <c r="T585" s="308">
        <v>45844</v>
      </c>
      <c r="U585" s="308">
        <v>45844</v>
      </c>
      <c r="V585" s="308"/>
      <c r="W585" s="315">
        <f t="shared" si="59"/>
        <v>4</v>
      </c>
      <c r="X585" s="310" t="s">
        <v>54</v>
      </c>
      <c r="Y585" s="310" t="s">
        <v>439</v>
      </c>
      <c r="Z585" s="316"/>
      <c r="AA585" s="317">
        <v>45815</v>
      </c>
      <c r="AB585" s="317">
        <v>45815</v>
      </c>
    </row>
    <row r="586" spans="1:28" x14ac:dyDescent="0.25">
      <c r="A586" s="307">
        <f t="shared" si="55"/>
        <v>580</v>
      </c>
      <c r="B586" s="308">
        <v>45841</v>
      </c>
      <c r="C586" s="309">
        <f t="shared" si="56"/>
        <v>45839</v>
      </c>
      <c r="D586" s="310" t="s">
        <v>51</v>
      </c>
      <c r="E586" s="310" t="s">
        <v>2102</v>
      </c>
      <c r="F586" s="311">
        <v>9042138450</v>
      </c>
      <c r="G586" s="316" t="s">
        <v>6</v>
      </c>
      <c r="H586" s="316" t="s">
        <v>1874</v>
      </c>
      <c r="I586" s="316" t="s">
        <v>2145</v>
      </c>
      <c r="J586" s="310" t="s">
        <v>168</v>
      </c>
      <c r="K586" s="312">
        <v>22460</v>
      </c>
      <c r="L586" s="312">
        <v>28350</v>
      </c>
      <c r="M586" s="313">
        <f t="shared" si="57"/>
        <v>5890</v>
      </c>
      <c r="N586" s="314">
        <f t="shared" si="58"/>
        <v>0.207760141093474</v>
      </c>
      <c r="O586" s="312">
        <v>22460</v>
      </c>
      <c r="P586" s="313">
        <f t="shared" si="54"/>
        <v>0</v>
      </c>
      <c r="Q586" s="310" t="s">
        <v>147</v>
      </c>
      <c r="R586" s="310">
        <v>131</v>
      </c>
      <c r="S586" s="310"/>
      <c r="T586" s="308">
        <v>45845</v>
      </c>
      <c r="U586" s="308">
        <v>45845</v>
      </c>
      <c r="V586" s="308"/>
      <c r="W586" s="315">
        <f t="shared" si="59"/>
        <v>4</v>
      </c>
      <c r="X586" s="310" t="s">
        <v>54</v>
      </c>
      <c r="Y586" s="310" t="s">
        <v>529</v>
      </c>
      <c r="Z586" s="316"/>
      <c r="AA586" s="317">
        <v>45845</v>
      </c>
      <c r="AB586" s="317">
        <v>45845</v>
      </c>
    </row>
    <row r="587" spans="1:28" x14ac:dyDescent="0.25">
      <c r="A587" s="307">
        <f t="shared" si="55"/>
        <v>581</v>
      </c>
      <c r="B587" s="308">
        <v>45841</v>
      </c>
      <c r="C587" s="309">
        <f t="shared" si="56"/>
        <v>45839</v>
      </c>
      <c r="D587" s="310" t="s">
        <v>56</v>
      </c>
      <c r="E587" s="310" t="s">
        <v>1644</v>
      </c>
      <c r="F587" s="311">
        <v>9220186371</v>
      </c>
      <c r="G587" s="316" t="s">
        <v>6</v>
      </c>
      <c r="H587" s="316" t="s">
        <v>2126</v>
      </c>
      <c r="I587" s="316" t="s">
        <v>2127</v>
      </c>
      <c r="J587" s="310" t="s">
        <v>172</v>
      </c>
      <c r="K587" s="312">
        <v>33770</v>
      </c>
      <c r="L587" s="312">
        <v>46620</v>
      </c>
      <c r="M587" s="313">
        <f t="shared" si="57"/>
        <v>12850</v>
      </c>
      <c r="N587" s="314">
        <f t="shared" si="58"/>
        <v>0.275632775632776</v>
      </c>
      <c r="O587" s="312">
        <v>33770</v>
      </c>
      <c r="P587" s="313">
        <f t="shared" si="54"/>
        <v>0</v>
      </c>
      <c r="Q587" s="310" t="s">
        <v>147</v>
      </c>
      <c r="R587" s="310">
        <v>132</v>
      </c>
      <c r="S587" s="310"/>
      <c r="T587" s="308">
        <v>45845</v>
      </c>
      <c r="U587" s="308">
        <v>45845</v>
      </c>
      <c r="V587" s="308"/>
      <c r="W587" s="315">
        <f t="shared" si="59"/>
        <v>4</v>
      </c>
      <c r="X587" s="310" t="s">
        <v>54</v>
      </c>
      <c r="Y587" s="310" t="s">
        <v>56</v>
      </c>
      <c r="Z587" s="316"/>
      <c r="AA587" s="317">
        <v>45845</v>
      </c>
      <c r="AB587" s="317">
        <v>45845</v>
      </c>
    </row>
    <row r="588" spans="1:28" x14ac:dyDescent="0.25">
      <c r="A588" s="307">
        <f t="shared" si="55"/>
        <v>582</v>
      </c>
      <c r="B588" s="308">
        <v>45842</v>
      </c>
      <c r="C588" s="309">
        <f t="shared" si="56"/>
        <v>45839</v>
      </c>
      <c r="D588" s="310" t="s">
        <v>56</v>
      </c>
      <c r="E588" s="310" t="s">
        <v>38</v>
      </c>
      <c r="F588" s="311">
        <v>9515412075</v>
      </c>
      <c r="G588" s="316" t="s">
        <v>1093</v>
      </c>
      <c r="H588" s="316" t="s">
        <v>2148</v>
      </c>
      <c r="I588" s="316" t="s">
        <v>2149</v>
      </c>
      <c r="J588" s="310" t="s">
        <v>59</v>
      </c>
      <c r="K588" s="312">
        <v>40480</v>
      </c>
      <c r="L588" s="312">
        <v>91350</v>
      </c>
      <c r="M588" s="313">
        <f t="shared" si="57"/>
        <v>50870</v>
      </c>
      <c r="N588" s="314">
        <f t="shared" si="58"/>
        <v>0.556869184455391</v>
      </c>
      <c r="O588" s="312">
        <v>40480</v>
      </c>
      <c r="P588" s="313">
        <f t="shared" si="54"/>
        <v>0</v>
      </c>
      <c r="Q588" s="310" t="s">
        <v>147</v>
      </c>
      <c r="R588" s="310">
        <v>133</v>
      </c>
      <c r="S588" s="310"/>
      <c r="T588" s="308">
        <v>45845</v>
      </c>
      <c r="U588" s="308">
        <v>45845</v>
      </c>
      <c r="V588" s="308"/>
      <c r="W588" s="315">
        <f t="shared" si="59"/>
        <v>3</v>
      </c>
      <c r="X588" s="310" t="s">
        <v>54</v>
      </c>
      <c r="Y588" s="310" t="s">
        <v>56</v>
      </c>
      <c r="Z588" s="316"/>
      <c r="AA588" s="317">
        <v>45845</v>
      </c>
      <c r="AB588" s="317">
        <v>45845</v>
      </c>
    </row>
    <row r="589" spans="1:28" x14ac:dyDescent="0.25">
      <c r="A589" s="307">
        <f t="shared" si="55"/>
        <v>583</v>
      </c>
      <c r="B589" s="308">
        <v>45842</v>
      </c>
      <c r="C589" s="309">
        <f t="shared" si="56"/>
        <v>45839</v>
      </c>
      <c r="D589" s="310" t="s">
        <v>51</v>
      </c>
      <c r="E589" s="310" t="s">
        <v>2108</v>
      </c>
      <c r="F589" s="311">
        <v>9947636074</v>
      </c>
      <c r="G589" s="316" t="s">
        <v>6</v>
      </c>
      <c r="H589" s="316" t="s">
        <v>2128</v>
      </c>
      <c r="I589" s="316" t="s">
        <v>2129</v>
      </c>
      <c r="J589" s="310" t="s">
        <v>172</v>
      </c>
      <c r="K589" s="312">
        <v>33230</v>
      </c>
      <c r="L589" s="312">
        <v>46620</v>
      </c>
      <c r="M589" s="313">
        <f t="shared" si="57"/>
        <v>13390</v>
      </c>
      <c r="N589" s="314">
        <f t="shared" si="58"/>
        <v>0.287215787215787</v>
      </c>
      <c r="O589" s="312">
        <v>33230</v>
      </c>
      <c r="P589" s="313">
        <f t="shared" si="54"/>
        <v>0</v>
      </c>
      <c r="Q589" s="310" t="s">
        <v>147</v>
      </c>
      <c r="R589" s="310">
        <v>134</v>
      </c>
      <c r="S589" s="310"/>
      <c r="T589" s="308">
        <v>45846</v>
      </c>
      <c r="U589" s="308">
        <v>45846</v>
      </c>
      <c r="V589" s="308"/>
      <c r="W589" s="315">
        <f t="shared" si="59"/>
        <v>4</v>
      </c>
      <c r="X589" s="310" t="s">
        <v>54</v>
      </c>
      <c r="Y589" s="310" t="s">
        <v>439</v>
      </c>
      <c r="Z589" s="316"/>
      <c r="AA589" s="317">
        <v>45876</v>
      </c>
      <c r="AB589" s="317">
        <v>45876</v>
      </c>
    </row>
    <row r="590" spans="1:28" x14ac:dyDescent="0.25">
      <c r="A590" s="307">
        <f t="shared" si="55"/>
        <v>584</v>
      </c>
      <c r="B590" s="308">
        <v>45844</v>
      </c>
      <c r="C590" s="309">
        <f t="shared" si="56"/>
        <v>45839</v>
      </c>
      <c r="D590" s="310" t="s">
        <v>56</v>
      </c>
      <c r="E590" s="310" t="s">
        <v>1635</v>
      </c>
      <c r="F590" s="311">
        <v>9472230553</v>
      </c>
      <c r="G590" s="316" t="s">
        <v>1093</v>
      </c>
      <c r="H590" s="316" t="s">
        <v>1874</v>
      </c>
      <c r="I590" s="316" t="s">
        <v>2153</v>
      </c>
      <c r="J590" s="310" t="s">
        <v>172</v>
      </c>
      <c r="K590" s="312">
        <v>41230</v>
      </c>
      <c r="L590" s="312">
        <v>96390</v>
      </c>
      <c r="M590" s="313">
        <f t="shared" si="57"/>
        <v>55160</v>
      </c>
      <c r="N590" s="314">
        <f t="shared" si="58"/>
        <v>0.572258533042847</v>
      </c>
      <c r="O590" s="312">
        <v>41230</v>
      </c>
      <c r="P590" s="313">
        <f t="shared" si="54"/>
        <v>0</v>
      </c>
      <c r="Q590" s="310" t="s">
        <v>147</v>
      </c>
      <c r="R590" s="310">
        <v>135</v>
      </c>
      <c r="S590" s="310"/>
      <c r="T590" s="308">
        <v>45846</v>
      </c>
      <c r="U590" s="308">
        <v>45846</v>
      </c>
      <c r="V590" s="308"/>
      <c r="W590" s="315">
        <f t="shared" si="59"/>
        <v>2</v>
      </c>
      <c r="X590" s="310" t="s">
        <v>54</v>
      </c>
      <c r="Y590" s="310" t="s">
        <v>56</v>
      </c>
      <c r="Z590" s="316"/>
      <c r="AA590" s="317">
        <v>45876</v>
      </c>
      <c r="AB590" s="317">
        <v>45876</v>
      </c>
    </row>
    <row r="591" spans="1:28" x14ac:dyDescent="0.25">
      <c r="A591" s="307">
        <f t="shared" si="55"/>
        <v>585</v>
      </c>
      <c r="B591" s="308">
        <v>45844</v>
      </c>
      <c r="C591" s="309">
        <f t="shared" si="56"/>
        <v>45839</v>
      </c>
      <c r="D591" s="310" t="s">
        <v>56</v>
      </c>
      <c r="E591" s="310" t="s">
        <v>38</v>
      </c>
      <c r="F591" s="311">
        <v>9515412075</v>
      </c>
      <c r="G591" s="316" t="s">
        <v>6</v>
      </c>
      <c r="H591" s="316" t="s">
        <v>2130</v>
      </c>
      <c r="I591" s="316" t="s">
        <v>2131</v>
      </c>
      <c r="J591" s="310" t="s">
        <v>59</v>
      </c>
      <c r="K591" s="312">
        <v>33770</v>
      </c>
      <c r="L591" s="312">
        <v>46620</v>
      </c>
      <c r="M591" s="313">
        <f t="shared" si="57"/>
        <v>12850</v>
      </c>
      <c r="N591" s="314">
        <f t="shared" si="58"/>
        <v>0.275632775632776</v>
      </c>
      <c r="O591" s="312">
        <v>33770</v>
      </c>
      <c r="P591" s="313">
        <f t="shared" si="54"/>
        <v>0</v>
      </c>
      <c r="Q591" s="310" t="s">
        <v>147</v>
      </c>
      <c r="R591" s="310">
        <v>136</v>
      </c>
      <c r="S591" s="310"/>
      <c r="T591" s="308">
        <v>45848</v>
      </c>
      <c r="U591" s="308">
        <v>45848</v>
      </c>
      <c r="V591" s="308"/>
      <c r="W591" s="315">
        <f t="shared" si="59"/>
        <v>4</v>
      </c>
      <c r="X591" s="310" t="s">
        <v>54</v>
      </c>
      <c r="Y591" s="310" t="s">
        <v>56</v>
      </c>
      <c r="Z591" s="316"/>
      <c r="AA591" s="317">
        <v>45937</v>
      </c>
      <c r="AB591" s="317">
        <v>45937</v>
      </c>
    </row>
    <row r="592" spans="1:28" x14ac:dyDescent="0.25">
      <c r="A592" s="307">
        <f t="shared" si="55"/>
        <v>586</v>
      </c>
      <c r="B592" s="308">
        <v>45845</v>
      </c>
      <c r="C592" s="309">
        <f t="shared" si="56"/>
        <v>45839</v>
      </c>
      <c r="D592" s="310" t="s">
        <v>56</v>
      </c>
      <c r="E592" s="310" t="s">
        <v>60</v>
      </c>
      <c r="F592" s="311">
        <v>9220186371</v>
      </c>
      <c r="G592" s="316" t="s">
        <v>6</v>
      </c>
      <c r="H592" s="316" t="s">
        <v>1874</v>
      </c>
      <c r="I592" s="316" t="s">
        <v>2132</v>
      </c>
      <c r="J592" s="310" t="s">
        <v>172</v>
      </c>
      <c r="K592" s="312">
        <v>32820</v>
      </c>
      <c r="L592" s="312">
        <v>40320</v>
      </c>
      <c r="M592" s="313">
        <f t="shared" si="57"/>
        <v>7500</v>
      </c>
      <c r="N592" s="314">
        <f t="shared" si="58"/>
        <v>0.186011904761905</v>
      </c>
      <c r="O592" s="312">
        <v>32820</v>
      </c>
      <c r="P592" s="313">
        <f t="shared" si="54"/>
        <v>0</v>
      </c>
      <c r="Q592" s="310" t="s">
        <v>147</v>
      </c>
      <c r="R592" s="310">
        <v>137</v>
      </c>
      <c r="S592" s="310"/>
      <c r="T592" s="308">
        <v>45848</v>
      </c>
      <c r="U592" s="308">
        <v>45848</v>
      </c>
      <c r="V592" s="308"/>
      <c r="W592" s="315">
        <f t="shared" si="59"/>
        <v>3</v>
      </c>
      <c r="X592" s="310" t="s">
        <v>54</v>
      </c>
      <c r="Y592" s="310" t="s">
        <v>56</v>
      </c>
      <c r="Z592" s="316"/>
      <c r="AA592" s="317">
        <v>45937</v>
      </c>
      <c r="AB592" s="317">
        <v>45937</v>
      </c>
    </row>
    <row r="593" spans="1:28" x14ac:dyDescent="0.25">
      <c r="A593" s="307">
        <f t="shared" si="55"/>
        <v>587</v>
      </c>
      <c r="B593" s="308">
        <v>45845</v>
      </c>
      <c r="C593" s="309">
        <f t="shared" si="56"/>
        <v>45839</v>
      </c>
      <c r="D593" s="310" t="s">
        <v>56</v>
      </c>
      <c r="E593" s="310" t="s">
        <v>1637</v>
      </c>
      <c r="F593" s="311">
        <v>9025368773</v>
      </c>
      <c r="G593" s="316" t="s">
        <v>6</v>
      </c>
      <c r="H593" s="316" t="s">
        <v>2133</v>
      </c>
      <c r="I593" s="316" t="s">
        <v>2134</v>
      </c>
      <c r="J593" s="310" t="s">
        <v>172</v>
      </c>
      <c r="K593" s="312">
        <v>33770</v>
      </c>
      <c r="L593" s="312">
        <v>46620</v>
      </c>
      <c r="M593" s="313">
        <f t="shared" si="57"/>
        <v>12850</v>
      </c>
      <c r="N593" s="314">
        <f t="shared" si="58"/>
        <v>0.275632775632776</v>
      </c>
      <c r="O593" s="312">
        <v>33770</v>
      </c>
      <c r="P593" s="313">
        <f t="shared" si="54"/>
        <v>0</v>
      </c>
      <c r="Q593" s="310" t="s">
        <v>147</v>
      </c>
      <c r="R593" s="310">
        <v>138</v>
      </c>
      <c r="S593" s="310"/>
      <c r="T593" s="308">
        <v>45849</v>
      </c>
      <c r="U593" s="308">
        <v>45850</v>
      </c>
      <c r="V593" s="308"/>
      <c r="W593" s="315">
        <f t="shared" si="59"/>
        <v>5</v>
      </c>
      <c r="X593" s="310" t="s">
        <v>54</v>
      </c>
      <c r="Y593" s="310" t="s">
        <v>56</v>
      </c>
      <c r="Z593" s="316"/>
      <c r="AA593" s="317">
        <v>45968</v>
      </c>
      <c r="AB593" s="317">
        <v>45998</v>
      </c>
    </row>
    <row r="594" spans="1:28" x14ac:dyDescent="0.25">
      <c r="A594" s="307">
        <f t="shared" si="55"/>
        <v>588</v>
      </c>
      <c r="B594" s="308">
        <v>45846</v>
      </c>
      <c r="C594" s="309">
        <f t="shared" si="56"/>
        <v>45839</v>
      </c>
      <c r="D594" s="310" t="s">
        <v>56</v>
      </c>
      <c r="E594" s="310" t="s">
        <v>1635</v>
      </c>
      <c r="F594" s="311">
        <v>9472230553</v>
      </c>
      <c r="G594" s="316" t="s">
        <v>6</v>
      </c>
      <c r="H594" s="316" t="s">
        <v>2135</v>
      </c>
      <c r="I594" s="316" t="s">
        <v>2136</v>
      </c>
      <c r="J594" s="310" t="s">
        <v>172</v>
      </c>
      <c r="K594" s="312">
        <v>33770</v>
      </c>
      <c r="L594" s="312">
        <v>46620</v>
      </c>
      <c r="M594" s="313">
        <f t="shared" si="57"/>
        <v>12850</v>
      </c>
      <c r="N594" s="314">
        <f t="shared" si="58"/>
        <v>0.275632775632776</v>
      </c>
      <c r="O594" s="312">
        <v>33770</v>
      </c>
      <c r="P594" s="313">
        <f t="shared" si="54"/>
        <v>0</v>
      </c>
      <c r="Q594" s="310" t="s">
        <v>147</v>
      </c>
      <c r="R594" s="310">
        <v>142</v>
      </c>
      <c r="S594" s="310"/>
      <c r="T594" s="308">
        <v>45848</v>
      </c>
      <c r="U594" s="308">
        <v>45850</v>
      </c>
      <c r="V594" s="308"/>
      <c r="W594" s="315">
        <f t="shared" si="59"/>
        <v>4</v>
      </c>
      <c r="X594" s="310" t="s">
        <v>54</v>
      </c>
      <c r="Y594" s="310" t="s">
        <v>56</v>
      </c>
      <c r="Z594" s="316"/>
      <c r="AA594" s="317">
        <v>45937</v>
      </c>
      <c r="AB594" s="317">
        <v>45998</v>
      </c>
    </row>
    <row r="595" spans="1:28" x14ac:dyDescent="0.25">
      <c r="A595" s="307">
        <f t="shared" si="55"/>
        <v>589</v>
      </c>
      <c r="B595" s="308">
        <v>45846</v>
      </c>
      <c r="C595" s="309">
        <f t="shared" si="56"/>
        <v>45839</v>
      </c>
      <c r="D595" s="310" t="s">
        <v>56</v>
      </c>
      <c r="E595" s="310" t="s">
        <v>1644</v>
      </c>
      <c r="F595" s="311">
        <v>9902798068</v>
      </c>
      <c r="G595" s="316" t="s">
        <v>1093</v>
      </c>
      <c r="H595" s="316" t="s">
        <v>2112</v>
      </c>
      <c r="I595" s="316" t="s">
        <v>2147</v>
      </c>
      <c r="J595" s="310" t="s">
        <v>172</v>
      </c>
      <c r="K595" s="312">
        <v>41230</v>
      </c>
      <c r="L595" s="312">
        <v>96390</v>
      </c>
      <c r="M595" s="313">
        <f t="shared" si="57"/>
        <v>55160</v>
      </c>
      <c r="N595" s="314">
        <f t="shared" si="58"/>
        <v>0.572258533042847</v>
      </c>
      <c r="O595" s="312">
        <v>41230</v>
      </c>
      <c r="P595" s="313">
        <f t="shared" si="54"/>
        <v>0</v>
      </c>
      <c r="Q595" s="310" t="s">
        <v>147</v>
      </c>
      <c r="R595" s="310">
        <v>139</v>
      </c>
      <c r="S595" s="310"/>
      <c r="T595" s="308">
        <v>45849</v>
      </c>
      <c r="U595" s="308">
        <v>45849</v>
      </c>
      <c r="V595" s="308"/>
      <c r="W595" s="315">
        <f t="shared" si="59"/>
        <v>3</v>
      </c>
      <c r="X595" s="310" t="s">
        <v>54</v>
      </c>
      <c r="Y595" s="310" t="s">
        <v>56</v>
      </c>
      <c r="Z595" s="316"/>
      <c r="AA595" s="317">
        <v>45968</v>
      </c>
      <c r="AB595" s="317">
        <v>45968</v>
      </c>
    </row>
    <row r="596" spans="1:28" x14ac:dyDescent="0.25">
      <c r="A596" s="307">
        <f t="shared" si="55"/>
        <v>590</v>
      </c>
      <c r="B596" s="308">
        <v>45848</v>
      </c>
      <c r="C596" s="309">
        <f t="shared" si="56"/>
        <v>45839</v>
      </c>
      <c r="D596" s="310" t="s">
        <v>56</v>
      </c>
      <c r="E596" s="310" t="s">
        <v>1641</v>
      </c>
      <c r="F596" s="311">
        <v>9281983602</v>
      </c>
      <c r="G596" s="316" t="s">
        <v>6</v>
      </c>
      <c r="H596" s="316" t="s">
        <v>2137</v>
      </c>
      <c r="I596" s="316" t="s">
        <v>2138</v>
      </c>
      <c r="J596" s="310" t="s">
        <v>172</v>
      </c>
      <c r="K596" s="312">
        <v>33770</v>
      </c>
      <c r="L596" s="312">
        <v>46620</v>
      </c>
      <c r="M596" s="313">
        <f t="shared" si="57"/>
        <v>12850</v>
      </c>
      <c r="N596" s="314">
        <f t="shared" si="58"/>
        <v>0.275632775632776</v>
      </c>
      <c r="O596" s="312">
        <v>33770</v>
      </c>
      <c r="P596" s="313">
        <f t="shared" si="54"/>
        <v>0</v>
      </c>
      <c r="Q596" s="310" t="s">
        <v>147</v>
      </c>
      <c r="R596" s="310">
        <v>140</v>
      </c>
      <c r="S596" s="310"/>
      <c r="T596" s="308">
        <v>45851</v>
      </c>
      <c r="U596" s="308">
        <v>45852</v>
      </c>
      <c r="V596" s="308"/>
      <c r="W596" s="315">
        <f t="shared" si="59"/>
        <v>4</v>
      </c>
      <c r="X596" s="310" t="s">
        <v>54</v>
      </c>
      <c r="Y596" s="310" t="s">
        <v>56</v>
      </c>
      <c r="Z596" s="316"/>
      <c r="AA596" s="316" t="s">
        <v>2117</v>
      </c>
      <c r="AB596" s="316" t="s">
        <v>2118</v>
      </c>
    </row>
    <row r="597" spans="1:28" x14ac:dyDescent="0.25">
      <c r="A597" s="307">
        <f t="shared" si="55"/>
        <v>591</v>
      </c>
      <c r="B597" s="308">
        <v>45849</v>
      </c>
      <c r="C597" s="309">
        <f t="shared" si="56"/>
        <v>45839</v>
      </c>
      <c r="D597" s="310" t="s">
        <v>56</v>
      </c>
      <c r="E597" s="310" t="s">
        <v>1644</v>
      </c>
      <c r="F597" s="311">
        <v>9220186371</v>
      </c>
      <c r="G597" s="316" t="s">
        <v>6</v>
      </c>
      <c r="H597" s="316" t="s">
        <v>2139</v>
      </c>
      <c r="I597" s="316" t="s">
        <v>2140</v>
      </c>
      <c r="J597" s="310" t="s">
        <v>172</v>
      </c>
      <c r="K597" s="312">
        <v>33770</v>
      </c>
      <c r="L597" s="312">
        <v>46620</v>
      </c>
      <c r="M597" s="313">
        <f t="shared" si="57"/>
        <v>12850</v>
      </c>
      <c r="N597" s="314">
        <f t="shared" si="58"/>
        <v>0.275632775632776</v>
      </c>
      <c r="O597" s="312">
        <v>33770</v>
      </c>
      <c r="P597" s="313">
        <f t="shared" si="54"/>
        <v>0</v>
      </c>
      <c r="Q597" s="310" t="s">
        <v>147</v>
      </c>
      <c r="R597" s="310">
        <v>141</v>
      </c>
      <c r="S597" s="310"/>
      <c r="T597" s="308">
        <v>45852</v>
      </c>
      <c r="U597" s="308">
        <v>45852</v>
      </c>
      <c r="V597" s="308"/>
      <c r="W597" s="315">
        <f t="shared" si="59"/>
        <v>3</v>
      </c>
      <c r="X597" s="310" t="s">
        <v>54</v>
      </c>
      <c r="Y597" s="310" t="s">
        <v>56</v>
      </c>
      <c r="Z597" s="316"/>
      <c r="AA597" s="316" t="s">
        <v>2118</v>
      </c>
      <c r="AB597" s="316" t="s">
        <v>2118</v>
      </c>
    </row>
    <row r="598" spans="1:28" x14ac:dyDescent="0.25">
      <c r="A598" s="307">
        <f t="shared" si="55"/>
        <v>592</v>
      </c>
      <c r="B598" s="308">
        <v>45849</v>
      </c>
      <c r="C598" s="309">
        <f t="shared" si="56"/>
        <v>45839</v>
      </c>
      <c r="D598" s="310" t="s">
        <v>56</v>
      </c>
      <c r="E598" s="310" t="s">
        <v>38</v>
      </c>
      <c r="F598" s="311">
        <v>9515412075</v>
      </c>
      <c r="G598" s="316" t="s">
        <v>105</v>
      </c>
      <c r="H598" s="316" t="s">
        <v>2150</v>
      </c>
      <c r="I598" s="316" t="s">
        <v>2151</v>
      </c>
      <c r="J598" s="310" t="s">
        <v>59</v>
      </c>
      <c r="K598" s="312">
        <v>40480</v>
      </c>
      <c r="L598" s="312">
        <v>91350</v>
      </c>
      <c r="M598" s="313">
        <f t="shared" si="57"/>
        <v>50870</v>
      </c>
      <c r="N598" s="314">
        <f t="shared" si="58"/>
        <v>0.556869184455391</v>
      </c>
      <c r="O598" s="312">
        <v>40480</v>
      </c>
      <c r="P598" s="313">
        <f t="shared" si="54"/>
        <v>0</v>
      </c>
      <c r="Q598" s="310" t="s">
        <v>147</v>
      </c>
      <c r="R598" s="310">
        <v>143</v>
      </c>
      <c r="S598" s="310"/>
      <c r="T598" s="308">
        <v>45851</v>
      </c>
      <c r="U598" s="308">
        <v>45851</v>
      </c>
      <c r="V598" s="308"/>
      <c r="W598" s="315">
        <f t="shared" si="59"/>
        <v>2</v>
      </c>
      <c r="X598" s="310" t="s">
        <v>54</v>
      </c>
      <c r="Y598" s="310" t="s">
        <v>56</v>
      </c>
      <c r="Z598" s="316"/>
      <c r="AA598" s="316" t="s">
        <v>2117</v>
      </c>
      <c r="AB598" s="316" t="s">
        <v>2117</v>
      </c>
    </row>
    <row r="599" spans="1:28" x14ac:dyDescent="0.25">
      <c r="A599" s="307">
        <f t="shared" si="55"/>
        <v>593</v>
      </c>
      <c r="B599" s="308">
        <v>45850</v>
      </c>
      <c r="C599" s="309">
        <f t="shared" si="56"/>
        <v>45839</v>
      </c>
      <c r="D599" s="310" t="s">
        <v>56</v>
      </c>
      <c r="E599" s="310" t="s">
        <v>60</v>
      </c>
      <c r="F599" s="311">
        <v>9220186371</v>
      </c>
      <c r="G599" s="316" t="s">
        <v>1093</v>
      </c>
      <c r="H599" s="316" t="s">
        <v>2159</v>
      </c>
      <c r="I599" s="316" t="s">
        <v>2160</v>
      </c>
      <c r="J599" s="310" t="s">
        <v>172</v>
      </c>
      <c r="K599" s="312">
        <v>42180</v>
      </c>
      <c r="L599" s="312">
        <v>102690</v>
      </c>
      <c r="M599" s="313">
        <f t="shared" si="57"/>
        <v>60510</v>
      </c>
      <c r="N599" s="314">
        <f t="shared" si="58"/>
        <v>0.58924919661116</v>
      </c>
      <c r="O599" s="312">
        <v>42180</v>
      </c>
      <c r="P599" s="313">
        <f t="shared" si="54"/>
        <v>0</v>
      </c>
      <c r="Q599" s="310" t="s">
        <v>147</v>
      </c>
      <c r="R599" s="310">
        <v>144</v>
      </c>
      <c r="S599" s="310"/>
      <c r="T599" s="308">
        <v>45852</v>
      </c>
      <c r="U599" s="308">
        <v>45852</v>
      </c>
      <c r="V599" s="308"/>
      <c r="W599" s="315">
        <f t="shared" si="59"/>
        <v>2</v>
      </c>
      <c r="X599" s="310" t="s">
        <v>54</v>
      </c>
      <c r="Y599" s="310" t="s">
        <v>56</v>
      </c>
      <c r="Z599" s="316"/>
      <c r="AA599" s="316" t="s">
        <v>2118</v>
      </c>
      <c r="AB599" s="316" t="s">
        <v>2118</v>
      </c>
    </row>
    <row r="600" spans="1:28" x14ac:dyDescent="0.25">
      <c r="A600" s="307">
        <f t="shared" si="55"/>
        <v>594</v>
      </c>
      <c r="B600" s="308">
        <v>45850</v>
      </c>
      <c r="C600" s="309">
        <f t="shared" si="56"/>
        <v>45839</v>
      </c>
      <c r="D600" s="310" t="s">
        <v>51</v>
      </c>
      <c r="E600" s="310" t="s">
        <v>1108</v>
      </c>
      <c r="F600" s="311">
        <v>9299677001</v>
      </c>
      <c r="G600" s="316" t="s">
        <v>6</v>
      </c>
      <c r="H600" s="316" t="s">
        <v>2141</v>
      </c>
      <c r="I600" s="316" t="s">
        <v>2142</v>
      </c>
      <c r="J600" s="310" t="s">
        <v>172</v>
      </c>
      <c r="K600" s="312">
        <v>33230</v>
      </c>
      <c r="L600" s="312">
        <v>46620</v>
      </c>
      <c r="M600" s="313">
        <f t="shared" si="57"/>
        <v>13390</v>
      </c>
      <c r="N600" s="314">
        <f t="shared" si="58"/>
        <v>0.287215787215787</v>
      </c>
      <c r="O600" s="312">
        <v>33230</v>
      </c>
      <c r="P600" s="313">
        <f t="shared" si="54"/>
        <v>0</v>
      </c>
      <c r="Q600" s="310" t="s">
        <v>147</v>
      </c>
      <c r="R600" s="310">
        <v>145</v>
      </c>
      <c r="S600" s="310"/>
      <c r="T600" s="308">
        <v>45854</v>
      </c>
      <c r="U600" s="308">
        <v>45854</v>
      </c>
      <c r="V600" s="308"/>
      <c r="W600" s="315">
        <f t="shared" si="59"/>
        <v>4</v>
      </c>
      <c r="X600" s="310" t="s">
        <v>54</v>
      </c>
      <c r="Y600" s="310" t="s">
        <v>529</v>
      </c>
      <c r="Z600" s="316"/>
      <c r="AA600" s="316" t="s">
        <v>2161</v>
      </c>
      <c r="AB600" s="316" t="s">
        <v>2161</v>
      </c>
    </row>
    <row r="601" spans="1:28" x14ac:dyDescent="0.25">
      <c r="A601" s="307">
        <f t="shared" si="55"/>
        <v>595</v>
      </c>
      <c r="B601" s="308">
        <v>45851</v>
      </c>
      <c r="C601" s="309">
        <f t="shared" si="56"/>
        <v>45839</v>
      </c>
      <c r="D601" s="310" t="s">
        <v>56</v>
      </c>
      <c r="E601" s="310" t="s">
        <v>1637</v>
      </c>
      <c r="F601" s="311">
        <v>9025368773</v>
      </c>
      <c r="G601" s="316" t="s">
        <v>1093</v>
      </c>
      <c r="H601" s="316" t="s">
        <v>1874</v>
      </c>
      <c r="I601" s="316" t="s">
        <v>2158</v>
      </c>
      <c r="J601" s="310" t="s">
        <v>172</v>
      </c>
      <c r="K601" s="312">
        <v>41230</v>
      </c>
      <c r="L601" s="312">
        <v>96390</v>
      </c>
      <c r="M601" s="313">
        <f t="shared" si="57"/>
        <v>55160</v>
      </c>
      <c r="N601" s="314">
        <f t="shared" si="58"/>
        <v>0.572258533042847</v>
      </c>
      <c r="O601" s="312">
        <v>41230</v>
      </c>
      <c r="P601" s="313">
        <f t="shared" si="54"/>
        <v>0</v>
      </c>
      <c r="Q601" s="310" t="s">
        <v>147</v>
      </c>
      <c r="R601" s="310">
        <v>146</v>
      </c>
      <c r="S601" s="310"/>
      <c r="T601" s="308">
        <v>45853</v>
      </c>
      <c r="U601" s="308">
        <v>45853</v>
      </c>
      <c r="V601" s="308"/>
      <c r="W601" s="315">
        <f t="shared" si="59"/>
        <v>2</v>
      </c>
      <c r="X601" s="310" t="s">
        <v>54</v>
      </c>
      <c r="Y601" s="310" t="s">
        <v>56</v>
      </c>
      <c r="Z601" s="316"/>
      <c r="AA601" s="316" t="s">
        <v>2119</v>
      </c>
      <c r="AB601" s="316" t="s">
        <v>2119</v>
      </c>
    </row>
    <row r="602" spans="1:28" x14ac:dyDescent="0.25">
      <c r="A602" s="307">
        <f t="shared" si="55"/>
        <v>596</v>
      </c>
      <c r="B602" s="308">
        <v>45852</v>
      </c>
      <c r="C602" s="309">
        <f t="shared" si="56"/>
        <v>45839</v>
      </c>
      <c r="D602" s="310" t="s">
        <v>56</v>
      </c>
      <c r="E602" s="310" t="s">
        <v>38</v>
      </c>
      <c r="F602" s="311">
        <v>9515412075</v>
      </c>
      <c r="G602" s="316" t="s">
        <v>6</v>
      </c>
      <c r="H602" s="316" t="s">
        <v>2143</v>
      </c>
      <c r="I602" s="316" t="s">
        <v>2144</v>
      </c>
      <c r="J602" s="310" t="s">
        <v>59</v>
      </c>
      <c r="K602" s="312">
        <v>33530</v>
      </c>
      <c r="L602" s="312">
        <v>45040</v>
      </c>
      <c r="M602" s="313">
        <f t="shared" si="57"/>
        <v>11510</v>
      </c>
      <c r="N602" s="314">
        <f t="shared" si="58"/>
        <v>0.255550621669627</v>
      </c>
      <c r="O602" s="312">
        <v>33530</v>
      </c>
      <c r="P602" s="313">
        <f t="shared" si="54"/>
        <v>0</v>
      </c>
      <c r="Q602" s="310" t="s">
        <v>147</v>
      </c>
      <c r="R602" s="310">
        <v>147</v>
      </c>
      <c r="S602" s="310"/>
      <c r="T602" s="308">
        <v>45855</v>
      </c>
      <c r="U602" s="308">
        <v>45856</v>
      </c>
      <c r="V602" s="308"/>
      <c r="W602" s="315">
        <f t="shared" si="59"/>
        <v>4</v>
      </c>
      <c r="X602" s="310" t="s">
        <v>54</v>
      </c>
      <c r="Y602" s="310" t="s">
        <v>56</v>
      </c>
      <c r="Z602" s="316"/>
      <c r="AA602" s="316" t="s">
        <v>2162</v>
      </c>
      <c r="AB602" s="316" t="s">
        <v>2163</v>
      </c>
    </row>
    <row r="603" spans="1:28" x14ac:dyDescent="0.25">
      <c r="A603" s="307">
        <f t="shared" si="55"/>
        <v>597</v>
      </c>
      <c r="B603" s="308">
        <v>45853</v>
      </c>
      <c r="C603" s="309">
        <f t="shared" si="56"/>
        <v>45839</v>
      </c>
      <c r="D603" s="310" t="s">
        <v>56</v>
      </c>
      <c r="E603" s="310" t="s">
        <v>60</v>
      </c>
      <c r="F603" s="311">
        <v>9220186371</v>
      </c>
      <c r="G603" s="316" t="s">
        <v>6</v>
      </c>
      <c r="H603" s="316" t="s">
        <v>2180</v>
      </c>
      <c r="I603" s="316" t="s">
        <v>2181</v>
      </c>
      <c r="J603" s="310" t="s">
        <v>172</v>
      </c>
      <c r="K603" s="312">
        <v>33770</v>
      </c>
      <c r="L603" s="312">
        <v>46620</v>
      </c>
      <c r="M603" s="313">
        <f t="shared" si="57"/>
        <v>12850</v>
      </c>
      <c r="N603" s="314">
        <f t="shared" si="58"/>
        <v>0.275632775632776</v>
      </c>
      <c r="O603" s="312">
        <v>33770</v>
      </c>
      <c r="P603" s="313">
        <f t="shared" si="54"/>
        <v>0</v>
      </c>
      <c r="Q603" s="310" t="s">
        <v>147</v>
      </c>
      <c r="R603" s="310">
        <v>149</v>
      </c>
      <c r="S603" s="310"/>
      <c r="T603" s="308">
        <v>45856</v>
      </c>
      <c r="U603" s="308">
        <v>45856</v>
      </c>
      <c r="V603" s="308"/>
      <c r="W603" s="315">
        <f t="shared" si="59"/>
        <v>3</v>
      </c>
      <c r="X603" s="310" t="s">
        <v>54</v>
      </c>
      <c r="Y603" s="310" t="s">
        <v>56</v>
      </c>
      <c r="Z603" s="316"/>
      <c r="AA603" s="316" t="s">
        <v>2163</v>
      </c>
      <c r="AB603" s="316" t="s">
        <v>2163</v>
      </c>
    </row>
    <row r="604" spans="1:28" x14ac:dyDescent="0.25">
      <c r="A604" s="307">
        <f t="shared" si="55"/>
        <v>598</v>
      </c>
      <c r="B604" s="308">
        <v>45854</v>
      </c>
      <c r="C604" s="309">
        <f t="shared" si="56"/>
        <v>45839</v>
      </c>
      <c r="D604" s="310" t="s">
        <v>56</v>
      </c>
      <c r="E604" s="310" t="s">
        <v>1637</v>
      </c>
      <c r="F604" s="311">
        <v>9025368773</v>
      </c>
      <c r="G604" s="316" t="s">
        <v>6</v>
      </c>
      <c r="H604" s="316" t="s">
        <v>1874</v>
      </c>
      <c r="I604" s="316" t="s">
        <v>2182</v>
      </c>
      <c r="J604" s="310" t="s">
        <v>172</v>
      </c>
      <c r="K604" s="312">
        <v>32820</v>
      </c>
      <c r="L604" s="312">
        <v>40320</v>
      </c>
      <c r="M604" s="313">
        <f t="shared" si="57"/>
        <v>7500</v>
      </c>
      <c r="N604" s="314">
        <f t="shared" si="58"/>
        <v>0.186011904761905</v>
      </c>
      <c r="O604" s="312">
        <v>32820</v>
      </c>
      <c r="P604" s="313">
        <f t="shared" si="54"/>
        <v>0</v>
      </c>
      <c r="Q604" s="310" t="s">
        <v>147</v>
      </c>
      <c r="R604" s="310">
        <v>150</v>
      </c>
      <c r="S604" s="310"/>
      <c r="T604" s="308">
        <v>45856</v>
      </c>
      <c r="U604" s="308">
        <v>45856</v>
      </c>
      <c r="V604" s="308"/>
      <c r="W604" s="315">
        <f t="shared" si="59"/>
        <v>2</v>
      </c>
      <c r="X604" s="310" t="s">
        <v>54</v>
      </c>
      <c r="Y604" s="310" t="s">
        <v>56</v>
      </c>
      <c r="Z604" s="316"/>
      <c r="AA604" s="316" t="s">
        <v>2163</v>
      </c>
      <c r="AB604" s="316" t="s">
        <v>2163</v>
      </c>
    </row>
    <row r="605" spans="1:28" x14ac:dyDescent="0.25">
      <c r="A605" s="307">
        <f t="shared" si="55"/>
        <v>599</v>
      </c>
      <c r="B605" s="308">
        <v>45854</v>
      </c>
      <c r="C605" s="309">
        <f t="shared" si="56"/>
        <v>45839</v>
      </c>
      <c r="D605" s="310" t="s">
        <v>56</v>
      </c>
      <c r="E605" s="310" t="s">
        <v>1635</v>
      </c>
      <c r="F605" s="311">
        <v>9472230553</v>
      </c>
      <c r="G605" s="316" t="s">
        <v>6</v>
      </c>
      <c r="H605" s="316" t="s">
        <v>2183</v>
      </c>
      <c r="I605" s="316" t="s">
        <v>2184</v>
      </c>
      <c r="J605" s="310" t="s">
        <v>172</v>
      </c>
      <c r="K605" s="312">
        <v>33770</v>
      </c>
      <c r="L605" s="312">
        <v>46620</v>
      </c>
      <c r="M605" s="313">
        <f t="shared" si="57"/>
        <v>12850</v>
      </c>
      <c r="N605" s="314">
        <f t="shared" si="58"/>
        <v>0.275632775632776</v>
      </c>
      <c r="O605" s="312">
        <v>33770</v>
      </c>
      <c r="P605" s="313">
        <f t="shared" si="54"/>
        <v>0</v>
      </c>
      <c r="Q605" s="310" t="s">
        <v>147</v>
      </c>
      <c r="R605" s="310">
        <v>151</v>
      </c>
      <c r="S605" s="310"/>
      <c r="T605" s="308">
        <v>45856</v>
      </c>
      <c r="U605" s="308">
        <v>45856</v>
      </c>
      <c r="V605" s="308"/>
      <c r="W605" s="315">
        <f t="shared" si="59"/>
        <v>2</v>
      </c>
      <c r="X605" s="310" t="s">
        <v>54</v>
      </c>
      <c r="Y605" s="310" t="s">
        <v>56</v>
      </c>
      <c r="Z605" s="316"/>
      <c r="AA605" s="316" t="s">
        <v>2163</v>
      </c>
      <c r="AB605" s="316" t="s">
        <v>2163</v>
      </c>
    </row>
    <row r="606" spans="1:28" x14ac:dyDescent="0.25">
      <c r="A606" s="307">
        <f t="shared" si="55"/>
        <v>600</v>
      </c>
      <c r="B606" s="308">
        <v>45854</v>
      </c>
      <c r="C606" s="309">
        <f t="shared" si="56"/>
        <v>45839</v>
      </c>
      <c r="D606" s="310" t="s">
        <v>56</v>
      </c>
      <c r="E606" s="310" t="s">
        <v>1644</v>
      </c>
      <c r="F606" s="311">
        <v>9902798068</v>
      </c>
      <c r="G606" s="316" t="s">
        <v>1093</v>
      </c>
      <c r="H606" s="316" t="s">
        <v>2170</v>
      </c>
      <c r="I606" s="316" t="s">
        <v>2169</v>
      </c>
      <c r="J606" s="310" t="s">
        <v>172</v>
      </c>
      <c r="K606" s="312">
        <v>42180</v>
      </c>
      <c r="L606" s="312">
        <v>102690</v>
      </c>
      <c r="M606" s="313">
        <f t="shared" si="57"/>
        <v>60510</v>
      </c>
      <c r="N606" s="314">
        <f t="shared" si="58"/>
        <v>0.58924919661116</v>
      </c>
      <c r="O606" s="312">
        <v>42180</v>
      </c>
      <c r="P606" s="313">
        <f t="shared" si="54"/>
        <v>0</v>
      </c>
      <c r="Q606" s="310" t="s">
        <v>147</v>
      </c>
      <c r="R606" s="310">
        <v>152</v>
      </c>
      <c r="S606" s="310"/>
      <c r="T606" s="308">
        <v>45856</v>
      </c>
      <c r="U606" s="308">
        <v>45856</v>
      </c>
      <c r="V606" s="308"/>
      <c r="W606" s="315">
        <f t="shared" si="59"/>
        <v>2</v>
      </c>
      <c r="X606" s="310" t="s">
        <v>54</v>
      </c>
      <c r="Y606" s="310" t="s">
        <v>56</v>
      </c>
      <c r="Z606" s="316"/>
      <c r="AA606" s="316" t="s">
        <v>2163</v>
      </c>
      <c r="AB606" s="316" t="s">
        <v>2163</v>
      </c>
    </row>
    <row r="607" spans="1:28" x14ac:dyDescent="0.25">
      <c r="A607" s="307">
        <f t="shared" si="55"/>
        <v>601</v>
      </c>
      <c r="B607" s="308">
        <v>45855</v>
      </c>
      <c r="C607" s="309">
        <f t="shared" si="56"/>
        <v>45839</v>
      </c>
      <c r="D607" s="310" t="s">
        <v>56</v>
      </c>
      <c r="E607" s="310" t="s">
        <v>1641</v>
      </c>
      <c r="F607" s="311">
        <v>9281983602</v>
      </c>
      <c r="G607" s="316" t="s">
        <v>1093</v>
      </c>
      <c r="H607" s="316" t="s">
        <v>2174</v>
      </c>
      <c r="I607" s="316" t="s">
        <v>2173</v>
      </c>
      <c r="J607" s="310" t="s">
        <v>172</v>
      </c>
      <c r="K607" s="312">
        <v>42180</v>
      </c>
      <c r="L607" s="312">
        <v>102690</v>
      </c>
      <c r="M607" s="313">
        <f t="shared" si="57"/>
        <v>60510</v>
      </c>
      <c r="N607" s="314">
        <f t="shared" si="58"/>
        <v>0.58924919661116</v>
      </c>
      <c r="O607" s="312">
        <v>42180</v>
      </c>
      <c r="P607" s="313">
        <f t="shared" si="54"/>
        <v>0</v>
      </c>
      <c r="Q607" s="310" t="s">
        <v>147</v>
      </c>
      <c r="R607" s="310">
        <v>153</v>
      </c>
      <c r="S607" s="310"/>
      <c r="T607" s="308">
        <v>45857</v>
      </c>
      <c r="U607" s="308">
        <v>45857</v>
      </c>
      <c r="V607" s="308"/>
      <c r="W607" s="315">
        <f t="shared" si="59"/>
        <v>2</v>
      </c>
      <c r="X607" s="310" t="s">
        <v>54</v>
      </c>
      <c r="Y607" s="310" t="s">
        <v>56</v>
      </c>
      <c r="Z607" s="316"/>
      <c r="AA607" s="316" t="s">
        <v>2164</v>
      </c>
      <c r="AB607" s="316" t="s">
        <v>2164</v>
      </c>
    </row>
    <row r="608" spans="1:28" x14ac:dyDescent="0.25">
      <c r="A608" s="307">
        <f t="shared" si="55"/>
        <v>602</v>
      </c>
      <c r="B608" s="308">
        <v>45856</v>
      </c>
      <c r="C608" s="309">
        <f t="shared" si="56"/>
        <v>45839</v>
      </c>
      <c r="D608" s="310" t="s">
        <v>56</v>
      </c>
      <c r="E608" s="310" t="s">
        <v>1644</v>
      </c>
      <c r="F608" s="311">
        <v>9220186371</v>
      </c>
      <c r="G608" s="316" t="s">
        <v>6</v>
      </c>
      <c r="H608" s="316" t="s">
        <v>2185</v>
      </c>
      <c r="I608" s="316" t="s">
        <v>2186</v>
      </c>
      <c r="J608" s="310" t="s">
        <v>172</v>
      </c>
      <c r="K608" s="312">
        <v>33770</v>
      </c>
      <c r="L608" s="312">
        <v>46620</v>
      </c>
      <c r="M608" s="313">
        <f t="shared" si="57"/>
        <v>12850</v>
      </c>
      <c r="N608" s="314">
        <f t="shared" si="58"/>
        <v>0.275632775632776</v>
      </c>
      <c r="O608" s="312">
        <v>33770</v>
      </c>
      <c r="P608" s="313">
        <f t="shared" si="54"/>
        <v>0</v>
      </c>
      <c r="Q608" s="310" t="s">
        <v>147</v>
      </c>
      <c r="R608" s="310">
        <v>154</v>
      </c>
      <c r="S608" s="310"/>
      <c r="T608" s="308">
        <v>45859</v>
      </c>
      <c r="U608" s="308">
        <v>45859</v>
      </c>
      <c r="V608" s="308"/>
      <c r="W608" s="315">
        <f t="shared" si="59"/>
        <v>3</v>
      </c>
      <c r="X608" s="310" t="s">
        <v>54</v>
      </c>
      <c r="Y608" s="310" t="s">
        <v>56</v>
      </c>
      <c r="Z608" s="316"/>
      <c r="AA608" s="316" t="s">
        <v>2166</v>
      </c>
      <c r="AB608" s="316" t="s">
        <v>2166</v>
      </c>
    </row>
    <row r="609" spans="1:28" x14ac:dyDescent="0.25">
      <c r="A609" s="307">
        <f t="shared" si="55"/>
        <v>603</v>
      </c>
      <c r="B609" s="308">
        <v>45857</v>
      </c>
      <c r="C609" s="309">
        <f t="shared" si="56"/>
        <v>45839</v>
      </c>
      <c r="D609" s="310" t="s">
        <v>56</v>
      </c>
      <c r="E609" s="310" t="s">
        <v>1637</v>
      </c>
      <c r="F609" s="311">
        <v>9025368773</v>
      </c>
      <c r="G609" s="316" t="s">
        <v>105</v>
      </c>
      <c r="H609" s="316" t="s">
        <v>1874</v>
      </c>
      <c r="I609" s="316" t="s">
        <v>2177</v>
      </c>
      <c r="J609" s="310" t="s">
        <v>172</v>
      </c>
      <c r="K609" s="312">
        <v>41230</v>
      </c>
      <c r="L609" s="312">
        <v>96390</v>
      </c>
      <c r="M609" s="313">
        <f t="shared" si="57"/>
        <v>55160</v>
      </c>
      <c r="N609" s="314">
        <f t="shared" si="58"/>
        <v>0.572258533042847</v>
      </c>
      <c r="O609" s="312">
        <v>41230</v>
      </c>
      <c r="P609" s="313">
        <f t="shared" si="54"/>
        <v>0</v>
      </c>
      <c r="Q609" s="310" t="s">
        <v>147</v>
      </c>
      <c r="R609" s="310">
        <v>155</v>
      </c>
      <c r="S609" s="310"/>
      <c r="T609" s="308">
        <v>45858</v>
      </c>
      <c r="U609" s="308">
        <v>45859</v>
      </c>
      <c r="V609" s="308"/>
      <c r="W609" s="315">
        <f t="shared" si="59"/>
        <v>2</v>
      </c>
      <c r="X609" s="310" t="s">
        <v>54</v>
      </c>
      <c r="Y609" s="310" t="s">
        <v>56</v>
      </c>
      <c r="Z609" s="316"/>
      <c r="AA609" s="316" t="s">
        <v>2165</v>
      </c>
      <c r="AB609" s="316" t="s">
        <v>2166</v>
      </c>
    </row>
    <row r="610" spans="1:28" x14ac:dyDescent="0.25">
      <c r="A610" s="307">
        <f t="shared" si="55"/>
        <v>604</v>
      </c>
      <c r="B610" s="308">
        <v>45857</v>
      </c>
      <c r="C610" s="309">
        <f t="shared" si="56"/>
        <v>45839</v>
      </c>
      <c r="D610" s="310" t="s">
        <v>56</v>
      </c>
      <c r="E610" s="310" t="s">
        <v>38</v>
      </c>
      <c r="F610" s="311">
        <v>9515412075</v>
      </c>
      <c r="G610" s="316" t="s">
        <v>1093</v>
      </c>
      <c r="H610" s="316" t="s">
        <v>1874</v>
      </c>
      <c r="I610" s="316" t="s">
        <v>2178</v>
      </c>
      <c r="J610" s="310" t="s">
        <v>59</v>
      </c>
      <c r="K610" s="312">
        <v>40480</v>
      </c>
      <c r="L610" s="312">
        <v>91350</v>
      </c>
      <c r="M610" s="313">
        <f t="shared" si="57"/>
        <v>50870</v>
      </c>
      <c r="N610" s="314">
        <f t="shared" si="58"/>
        <v>0.556869184455391</v>
      </c>
      <c r="O610" s="312">
        <v>40480</v>
      </c>
      <c r="P610" s="313">
        <f t="shared" si="54"/>
        <v>0</v>
      </c>
      <c r="Q610" s="310" t="s">
        <v>147</v>
      </c>
      <c r="R610" s="310">
        <v>156</v>
      </c>
      <c r="S610" s="310"/>
      <c r="T610" s="308">
        <v>45860</v>
      </c>
      <c r="U610" s="308">
        <v>45860</v>
      </c>
      <c r="V610" s="308"/>
      <c r="W610" s="315">
        <f t="shared" si="59"/>
        <v>3</v>
      </c>
      <c r="X610" s="310" t="s">
        <v>54</v>
      </c>
      <c r="Y610" s="310" t="s">
        <v>56</v>
      </c>
      <c r="Z610" s="316"/>
      <c r="AA610" s="316" t="s">
        <v>2167</v>
      </c>
      <c r="AB610" s="316" t="s">
        <v>2167</v>
      </c>
    </row>
    <row r="611" spans="1:28" x14ac:dyDescent="0.25">
      <c r="A611" s="307">
        <f t="shared" si="55"/>
        <v>605</v>
      </c>
      <c r="B611" s="308">
        <v>45859</v>
      </c>
      <c r="C611" s="309">
        <f t="shared" si="56"/>
        <v>45839</v>
      </c>
      <c r="D611" s="310" t="s">
        <v>56</v>
      </c>
      <c r="E611" s="310" t="s">
        <v>1641</v>
      </c>
      <c r="F611" s="311">
        <v>9281983602</v>
      </c>
      <c r="G611" s="316" t="s">
        <v>6</v>
      </c>
      <c r="H611" s="316" t="s">
        <v>1874</v>
      </c>
      <c r="I611" s="316" t="s">
        <v>2187</v>
      </c>
      <c r="J611" s="310" t="s">
        <v>172</v>
      </c>
      <c r="K611" s="312">
        <v>32820</v>
      </c>
      <c r="L611" s="312">
        <v>40320</v>
      </c>
      <c r="M611" s="313">
        <f t="shared" si="57"/>
        <v>7500</v>
      </c>
      <c r="N611" s="314">
        <f t="shared" si="58"/>
        <v>0.186011904761905</v>
      </c>
      <c r="O611" s="312">
        <v>32820</v>
      </c>
      <c r="P611" s="313">
        <f t="shared" si="54"/>
        <v>0</v>
      </c>
      <c r="Q611" s="310" t="s">
        <v>147</v>
      </c>
      <c r="R611" s="310">
        <v>157</v>
      </c>
      <c r="S611" s="310"/>
      <c r="T611" s="308">
        <v>45866</v>
      </c>
      <c r="U611" s="308">
        <v>45866</v>
      </c>
      <c r="V611" s="308"/>
      <c r="W611" s="315">
        <f t="shared" si="59"/>
        <v>7</v>
      </c>
      <c r="X611" s="310" t="s">
        <v>54</v>
      </c>
      <c r="Y611" s="310" t="s">
        <v>56</v>
      </c>
      <c r="Z611" s="316"/>
      <c r="AA611" s="316" t="s">
        <v>2195</v>
      </c>
      <c r="AB611" s="316" t="s">
        <v>2195</v>
      </c>
    </row>
    <row r="612" spans="1:28" x14ac:dyDescent="0.25">
      <c r="A612" s="307">
        <f t="shared" si="55"/>
        <v>606</v>
      </c>
      <c r="B612" s="308">
        <v>45859</v>
      </c>
      <c r="C612" s="309">
        <f t="shared" si="56"/>
        <v>45839</v>
      </c>
      <c r="D612" s="310" t="s">
        <v>56</v>
      </c>
      <c r="E612" s="310" t="s">
        <v>1637</v>
      </c>
      <c r="F612" s="311">
        <v>9025368773</v>
      </c>
      <c r="G612" s="316" t="s">
        <v>6</v>
      </c>
      <c r="H612" s="316" t="s">
        <v>2188</v>
      </c>
      <c r="I612" s="316" t="s">
        <v>2189</v>
      </c>
      <c r="J612" s="310" t="s">
        <v>172</v>
      </c>
      <c r="K612" s="312">
        <v>33770</v>
      </c>
      <c r="L612" s="312">
        <v>46620</v>
      </c>
      <c r="M612" s="313">
        <f t="shared" si="57"/>
        <v>12850</v>
      </c>
      <c r="N612" s="314">
        <f t="shared" si="58"/>
        <v>0.275632775632776</v>
      </c>
      <c r="O612" s="312">
        <v>33770</v>
      </c>
      <c r="P612" s="313">
        <f t="shared" si="54"/>
        <v>0</v>
      </c>
      <c r="Q612" s="310" t="s">
        <v>147</v>
      </c>
      <c r="R612" s="310">
        <v>158</v>
      </c>
      <c r="S612" s="310"/>
      <c r="T612" s="308">
        <v>45863</v>
      </c>
      <c r="U612" s="308">
        <v>45863</v>
      </c>
      <c r="V612" s="308"/>
      <c r="W612" s="315">
        <f t="shared" si="59"/>
        <v>4</v>
      </c>
      <c r="X612" s="310" t="s">
        <v>54</v>
      </c>
      <c r="Y612" s="310" t="s">
        <v>56</v>
      </c>
      <c r="Z612" s="316"/>
      <c r="AA612" s="316" t="s">
        <v>2196</v>
      </c>
      <c r="AB612" s="316" t="s">
        <v>2196</v>
      </c>
    </row>
    <row r="613" spans="1:28" x14ac:dyDescent="0.25">
      <c r="A613" s="307">
        <f t="shared" si="55"/>
        <v>607</v>
      </c>
      <c r="B613" s="308">
        <v>45860</v>
      </c>
      <c r="C613" s="309">
        <f t="shared" si="56"/>
        <v>45839</v>
      </c>
      <c r="D613" s="310" t="s">
        <v>51</v>
      </c>
      <c r="E613" s="310" t="s">
        <v>696</v>
      </c>
      <c r="F613" s="311">
        <v>9103584346</v>
      </c>
      <c r="G613" s="316" t="s">
        <v>6</v>
      </c>
      <c r="H613" s="316" t="s">
        <v>2190</v>
      </c>
      <c r="I613" s="316" t="s">
        <v>2191</v>
      </c>
      <c r="J613" s="310" t="s">
        <v>172</v>
      </c>
      <c r="K613" s="312">
        <v>33230</v>
      </c>
      <c r="L613" s="312">
        <v>46620</v>
      </c>
      <c r="M613" s="313">
        <f t="shared" si="57"/>
        <v>13390</v>
      </c>
      <c r="N613" s="314">
        <f t="shared" si="58"/>
        <v>0.287215787215787</v>
      </c>
      <c r="O613" s="312">
        <v>33230</v>
      </c>
      <c r="P613" s="313">
        <f t="shared" si="54"/>
        <v>0</v>
      </c>
      <c r="Q613" s="310" t="s">
        <v>147</v>
      </c>
      <c r="R613" s="310">
        <v>159</v>
      </c>
      <c r="S613" s="310"/>
      <c r="T613" s="308">
        <v>45864</v>
      </c>
      <c r="U613" s="308">
        <v>45864</v>
      </c>
      <c r="V613" s="308"/>
      <c r="W613" s="315">
        <f t="shared" si="59"/>
        <v>4</v>
      </c>
      <c r="X613" s="310" t="s">
        <v>54</v>
      </c>
      <c r="Y613" s="310" t="s">
        <v>439</v>
      </c>
      <c r="Z613" s="316"/>
      <c r="AA613" s="316" t="s">
        <v>2197</v>
      </c>
      <c r="AB613" s="316" t="s">
        <v>2197</v>
      </c>
    </row>
    <row r="614" spans="1:28" x14ac:dyDescent="0.25">
      <c r="A614" s="307">
        <f t="shared" si="55"/>
        <v>608</v>
      </c>
      <c r="B614" s="308">
        <v>45862</v>
      </c>
      <c r="C614" s="309">
        <f t="shared" si="56"/>
        <v>45839</v>
      </c>
      <c r="D614" s="310" t="s">
        <v>56</v>
      </c>
      <c r="E614" s="310" t="s">
        <v>38</v>
      </c>
      <c r="F614" s="311">
        <v>9515412075</v>
      </c>
      <c r="G614" s="316" t="s">
        <v>6</v>
      </c>
      <c r="H614" s="316" t="s">
        <v>2192</v>
      </c>
      <c r="I614" s="316" t="s">
        <v>2193</v>
      </c>
      <c r="J614" s="310" t="s">
        <v>59</v>
      </c>
      <c r="K614" s="312">
        <v>35280</v>
      </c>
      <c r="L614" s="312">
        <v>56700</v>
      </c>
      <c r="M614" s="313">
        <f t="shared" si="57"/>
        <v>21420</v>
      </c>
      <c r="N614" s="314">
        <f t="shared" si="58"/>
        <v>0.377777777777778</v>
      </c>
      <c r="O614" s="312">
        <v>35280</v>
      </c>
      <c r="P614" s="313">
        <f t="shared" si="54"/>
        <v>0</v>
      </c>
      <c r="Q614" s="310" t="s">
        <v>147</v>
      </c>
      <c r="R614" s="310">
        <v>160</v>
      </c>
      <c r="S614" s="310"/>
      <c r="T614" s="308">
        <v>45867</v>
      </c>
      <c r="U614" s="308">
        <v>45867</v>
      </c>
      <c r="V614" s="308"/>
      <c r="W614" s="315">
        <f t="shared" si="59"/>
        <v>5</v>
      </c>
      <c r="X614" s="310" t="s">
        <v>54</v>
      </c>
      <c r="Y614" s="310" t="s">
        <v>56</v>
      </c>
      <c r="Z614" s="316"/>
      <c r="AA614" s="316" t="s">
        <v>2199</v>
      </c>
      <c r="AB614" s="316" t="s">
        <v>2199</v>
      </c>
    </row>
    <row r="615" spans="1:28" x14ac:dyDescent="0.25">
      <c r="A615" s="307">
        <f t="shared" si="55"/>
        <v>609</v>
      </c>
      <c r="B615" s="308">
        <v>45862</v>
      </c>
      <c r="C615" s="309">
        <f t="shared" si="56"/>
        <v>45839</v>
      </c>
      <c r="D615" s="310" t="s">
        <v>56</v>
      </c>
      <c r="E615" s="310" t="s">
        <v>1644</v>
      </c>
      <c r="F615" s="311">
        <v>9902798068</v>
      </c>
      <c r="G615" s="316" t="s">
        <v>1093</v>
      </c>
      <c r="H615" s="316" t="s">
        <v>2171</v>
      </c>
      <c r="I615" s="316" t="s">
        <v>2172</v>
      </c>
      <c r="J615" s="310" t="s">
        <v>172</v>
      </c>
      <c r="K615" s="312">
        <v>42180</v>
      </c>
      <c r="L615" s="312">
        <v>102690</v>
      </c>
      <c r="M615" s="313">
        <f t="shared" si="57"/>
        <v>60510</v>
      </c>
      <c r="N615" s="314">
        <f t="shared" si="58"/>
        <v>0.58924919661116</v>
      </c>
      <c r="O615" s="312">
        <v>42180</v>
      </c>
      <c r="P615" s="313">
        <f t="shared" si="54"/>
        <v>0</v>
      </c>
      <c r="Q615" s="310" t="s">
        <v>147</v>
      </c>
      <c r="R615" s="310">
        <v>161</v>
      </c>
      <c r="S615" s="310"/>
      <c r="T615" s="308">
        <v>45865</v>
      </c>
      <c r="U615" s="308">
        <v>45865</v>
      </c>
      <c r="V615" s="308"/>
      <c r="W615" s="315">
        <f t="shared" si="59"/>
        <v>3</v>
      </c>
      <c r="X615" s="310" t="s">
        <v>54</v>
      </c>
      <c r="Y615" s="310" t="s">
        <v>56</v>
      </c>
      <c r="Z615" s="316"/>
      <c r="AA615" s="316" t="s">
        <v>2198</v>
      </c>
      <c r="AB615" s="316" t="s">
        <v>2198</v>
      </c>
    </row>
    <row r="616" spans="1:28" x14ac:dyDescent="0.25">
      <c r="A616" s="307">
        <f t="shared" si="55"/>
        <v>610</v>
      </c>
      <c r="B616" s="308">
        <v>45862</v>
      </c>
      <c r="C616" s="309">
        <f t="shared" si="56"/>
        <v>45839</v>
      </c>
      <c r="D616" s="310" t="s">
        <v>56</v>
      </c>
      <c r="E616" s="310" t="s">
        <v>60</v>
      </c>
      <c r="F616" s="311">
        <v>9220186371</v>
      </c>
      <c r="G616" s="316" t="s">
        <v>2168</v>
      </c>
      <c r="H616" s="316" t="s">
        <v>2179</v>
      </c>
      <c r="I616" s="316" t="s">
        <v>6</v>
      </c>
      <c r="J616" s="310" t="s">
        <v>172</v>
      </c>
      <c r="K616" s="312">
        <v>40570</v>
      </c>
      <c r="L616" s="312">
        <v>91980</v>
      </c>
      <c r="M616" s="313">
        <f t="shared" si="57"/>
        <v>51410</v>
      </c>
      <c r="N616" s="314">
        <f t="shared" si="58"/>
        <v>0.558925853446401</v>
      </c>
      <c r="O616" s="312">
        <v>40570</v>
      </c>
      <c r="P616" s="313">
        <f t="shared" si="54"/>
        <v>0</v>
      </c>
      <c r="Q616" s="310" t="s">
        <v>147</v>
      </c>
      <c r="R616" s="310">
        <v>162</v>
      </c>
      <c r="S616" s="310"/>
      <c r="T616" s="308">
        <v>45865</v>
      </c>
      <c r="U616" s="308">
        <v>45866</v>
      </c>
      <c r="V616" s="308"/>
      <c r="W616" s="315">
        <f t="shared" si="59"/>
        <v>4</v>
      </c>
      <c r="X616" s="310" t="s">
        <v>54</v>
      </c>
      <c r="Y616" s="310" t="s">
        <v>56</v>
      </c>
      <c r="Z616" s="316"/>
      <c r="AA616" s="316" t="s">
        <v>2198</v>
      </c>
      <c r="AB616" s="316" t="s">
        <v>2195</v>
      </c>
    </row>
    <row r="617" spans="1:28" x14ac:dyDescent="0.25">
      <c r="A617" s="307">
        <f t="shared" si="55"/>
        <v>611</v>
      </c>
      <c r="B617" s="308">
        <v>45864</v>
      </c>
      <c r="C617" s="309">
        <f t="shared" si="56"/>
        <v>45839</v>
      </c>
      <c r="D617" s="310" t="s">
        <v>56</v>
      </c>
      <c r="E617" s="310" t="s">
        <v>1641</v>
      </c>
      <c r="F617" s="311">
        <v>9281983602</v>
      </c>
      <c r="G617" s="316" t="s">
        <v>1093</v>
      </c>
      <c r="H617" s="316" t="s">
        <v>2175</v>
      </c>
      <c r="I617" s="316" t="s">
        <v>2176</v>
      </c>
      <c r="J617" s="310" t="s">
        <v>172</v>
      </c>
      <c r="K617" s="312">
        <v>42180</v>
      </c>
      <c r="L617" s="312">
        <v>102690</v>
      </c>
      <c r="M617" s="313">
        <f t="shared" si="57"/>
        <v>60510</v>
      </c>
      <c r="N617" s="314">
        <f t="shared" si="58"/>
        <v>0.58924919661116</v>
      </c>
      <c r="O617" s="312">
        <v>42180</v>
      </c>
      <c r="P617" s="313">
        <f t="shared" si="54"/>
        <v>0</v>
      </c>
      <c r="Q617" s="310" t="s">
        <v>147</v>
      </c>
      <c r="R617" s="310">
        <v>163</v>
      </c>
      <c r="S617" s="310"/>
      <c r="T617" s="308">
        <v>45866</v>
      </c>
      <c r="U617" s="308">
        <v>45866</v>
      </c>
      <c r="V617" s="308"/>
      <c r="W617" s="315">
        <f t="shared" si="59"/>
        <v>2</v>
      </c>
      <c r="X617" s="310" t="s">
        <v>54</v>
      </c>
      <c r="Y617" s="310" t="s">
        <v>56</v>
      </c>
      <c r="Z617" s="316"/>
      <c r="AA617" s="316" t="s">
        <v>2195</v>
      </c>
      <c r="AB617" s="316" t="s">
        <v>2195</v>
      </c>
    </row>
    <row r="618" spans="1:28" x14ac:dyDescent="0.25">
      <c r="A618" s="307">
        <f t="shared" si="55"/>
        <v>612</v>
      </c>
      <c r="B618" s="308">
        <v>45864</v>
      </c>
      <c r="C618" s="309">
        <f t="shared" si="56"/>
        <v>45839</v>
      </c>
      <c r="D618" s="310" t="s">
        <v>51</v>
      </c>
      <c r="E618" s="310" t="s">
        <v>1448</v>
      </c>
      <c r="F618" s="311">
        <v>9108592771</v>
      </c>
      <c r="G618" s="316" t="s">
        <v>6</v>
      </c>
      <c r="H618" s="316" t="s">
        <v>1874</v>
      </c>
      <c r="I618" s="316" t="s">
        <v>2218</v>
      </c>
      <c r="J618" s="310" t="s">
        <v>172</v>
      </c>
      <c r="K618" s="312">
        <v>31750</v>
      </c>
      <c r="L618" s="312">
        <v>40320</v>
      </c>
      <c r="M618" s="313">
        <f t="shared" si="57"/>
        <v>8570</v>
      </c>
      <c r="N618" s="314">
        <f t="shared" si="58"/>
        <v>0.212549603174603</v>
      </c>
      <c r="O618" s="312">
        <v>31750</v>
      </c>
      <c r="P618" s="313">
        <f t="shared" si="54"/>
        <v>0</v>
      </c>
      <c r="Q618" s="310" t="s">
        <v>147</v>
      </c>
      <c r="R618" s="310">
        <v>164</v>
      </c>
      <c r="S618" s="310"/>
      <c r="T618" s="308">
        <v>45867</v>
      </c>
      <c r="U618" s="308">
        <v>45867</v>
      </c>
      <c r="V618" s="308"/>
      <c r="W618" s="315">
        <f t="shared" si="59"/>
        <v>3</v>
      </c>
      <c r="X618" s="310" t="s">
        <v>54</v>
      </c>
      <c r="Y618" s="310" t="s">
        <v>529</v>
      </c>
      <c r="Z618" s="316"/>
      <c r="AA618" s="316" t="s">
        <v>2199</v>
      </c>
      <c r="AB618" s="316" t="s">
        <v>2199</v>
      </c>
    </row>
    <row r="619" spans="1:28" x14ac:dyDescent="0.25">
      <c r="A619" s="307">
        <f t="shared" si="55"/>
        <v>613</v>
      </c>
      <c r="B619" s="308">
        <v>45864</v>
      </c>
      <c r="C619" s="309">
        <f t="shared" si="56"/>
        <v>45839</v>
      </c>
      <c r="D619" s="310" t="s">
        <v>56</v>
      </c>
      <c r="E619" s="310" t="s">
        <v>1635</v>
      </c>
      <c r="F619" s="311">
        <v>9472230553</v>
      </c>
      <c r="G619" s="316" t="s">
        <v>6</v>
      </c>
      <c r="H619" s="316" t="s">
        <v>2219</v>
      </c>
      <c r="I619" s="316" t="s">
        <v>2220</v>
      </c>
      <c r="J619" s="310" t="s">
        <v>172</v>
      </c>
      <c r="K619" s="312">
        <v>33770</v>
      </c>
      <c r="L619" s="312">
        <v>46620</v>
      </c>
      <c r="M619" s="313">
        <f t="shared" si="57"/>
        <v>12850</v>
      </c>
      <c r="N619" s="314">
        <f t="shared" si="58"/>
        <v>0.275632775632776</v>
      </c>
      <c r="O619" s="312">
        <v>33770</v>
      </c>
      <c r="P619" s="313">
        <f t="shared" si="54"/>
        <v>0</v>
      </c>
      <c r="Q619" s="310" t="s">
        <v>147</v>
      </c>
      <c r="R619" s="310">
        <v>165</v>
      </c>
      <c r="S619" s="310"/>
      <c r="T619" s="308">
        <v>45867</v>
      </c>
      <c r="U619" s="308">
        <v>45867</v>
      </c>
      <c r="V619" s="308"/>
      <c r="W619" s="315">
        <f t="shared" si="59"/>
        <v>3</v>
      </c>
      <c r="X619" s="310" t="s">
        <v>54</v>
      </c>
      <c r="Y619" s="310" t="s">
        <v>56</v>
      </c>
      <c r="Z619" s="316"/>
      <c r="AA619" s="316" t="s">
        <v>2199</v>
      </c>
      <c r="AB619" s="316" t="s">
        <v>2199</v>
      </c>
    </row>
    <row r="620" spans="1:28" x14ac:dyDescent="0.25">
      <c r="A620" s="307">
        <f t="shared" si="55"/>
        <v>614</v>
      </c>
      <c r="B620" s="308">
        <v>45865</v>
      </c>
      <c r="C620" s="309">
        <f t="shared" si="56"/>
        <v>45839</v>
      </c>
      <c r="D620" s="310" t="s">
        <v>56</v>
      </c>
      <c r="E620" s="310" t="s">
        <v>1637</v>
      </c>
      <c r="F620" s="311">
        <v>9025368773</v>
      </c>
      <c r="G620" s="316" t="s">
        <v>1093</v>
      </c>
      <c r="H620" s="316" t="s">
        <v>2249</v>
      </c>
      <c r="I620" s="316" t="s">
        <v>6</v>
      </c>
      <c r="J620" s="310" t="s">
        <v>172</v>
      </c>
      <c r="K620" s="312">
        <v>42180</v>
      </c>
      <c r="L620" s="312">
        <v>102690</v>
      </c>
      <c r="M620" s="313">
        <f t="shared" si="57"/>
        <v>60510</v>
      </c>
      <c r="N620" s="314">
        <f t="shared" si="58"/>
        <v>0.58924919661116</v>
      </c>
      <c r="O620" s="312">
        <v>42180</v>
      </c>
      <c r="P620" s="313">
        <f t="shared" si="54"/>
        <v>0</v>
      </c>
      <c r="Q620" s="310" t="s">
        <v>147</v>
      </c>
      <c r="R620" s="310">
        <v>166</v>
      </c>
      <c r="S620" s="310"/>
      <c r="T620" s="308">
        <v>45867</v>
      </c>
      <c r="U620" s="308">
        <v>45867</v>
      </c>
      <c r="V620" s="308"/>
      <c r="W620" s="315">
        <f t="shared" si="59"/>
        <v>2</v>
      </c>
      <c r="X620" s="310" t="s">
        <v>54</v>
      </c>
      <c r="Y620" s="310" t="s">
        <v>56</v>
      </c>
      <c r="Z620" s="316"/>
      <c r="AA620" s="316" t="s">
        <v>2199</v>
      </c>
      <c r="AB620" s="316" t="s">
        <v>2199</v>
      </c>
    </row>
    <row r="621" spans="1:28" x14ac:dyDescent="0.25">
      <c r="A621" s="307">
        <f t="shared" si="55"/>
        <v>615</v>
      </c>
      <c r="B621" s="308">
        <v>45867</v>
      </c>
      <c r="C621" s="309">
        <f t="shared" si="56"/>
        <v>45839</v>
      </c>
      <c r="D621" s="310" t="s">
        <v>56</v>
      </c>
      <c r="E621" s="310" t="s">
        <v>1644</v>
      </c>
      <c r="F621" s="311">
        <v>9220186371</v>
      </c>
      <c r="G621" s="316" t="s">
        <v>6</v>
      </c>
      <c r="H621" s="316" t="s">
        <v>2221</v>
      </c>
      <c r="I621" s="316" t="s">
        <v>2222</v>
      </c>
      <c r="J621" s="310" t="s">
        <v>172</v>
      </c>
      <c r="K621" s="312">
        <v>33770</v>
      </c>
      <c r="L621" s="312">
        <v>46620</v>
      </c>
      <c r="M621" s="313">
        <f t="shared" si="57"/>
        <v>12850</v>
      </c>
      <c r="N621" s="314">
        <f t="shared" si="58"/>
        <v>0.275632775632776</v>
      </c>
      <c r="O621" s="312">
        <v>33770</v>
      </c>
      <c r="P621" s="313">
        <f t="shared" si="54"/>
        <v>0</v>
      </c>
      <c r="Q621" s="310" t="s">
        <v>147</v>
      </c>
      <c r="R621" s="310">
        <v>167</v>
      </c>
      <c r="S621" s="310"/>
      <c r="T621" s="308">
        <v>45869</v>
      </c>
      <c r="U621" s="308">
        <v>45869</v>
      </c>
      <c r="V621" s="308"/>
      <c r="W621" s="315">
        <f t="shared" si="59"/>
        <v>2</v>
      </c>
      <c r="X621" s="310" t="s">
        <v>54</v>
      </c>
      <c r="Y621" s="310" t="s">
        <v>56</v>
      </c>
      <c r="Z621" s="316"/>
      <c r="AA621" s="316" t="s">
        <v>2202</v>
      </c>
      <c r="AB621" s="316" t="s">
        <v>2202</v>
      </c>
    </row>
    <row r="622" spans="1:28" x14ac:dyDescent="0.25">
      <c r="A622" s="307">
        <f t="shared" si="55"/>
        <v>616</v>
      </c>
      <c r="B622" s="308">
        <v>45867</v>
      </c>
      <c r="C622" s="309">
        <f t="shared" si="56"/>
        <v>45839</v>
      </c>
      <c r="D622" s="310" t="s">
        <v>56</v>
      </c>
      <c r="E622" s="310" t="s">
        <v>60</v>
      </c>
      <c r="F622" s="311">
        <v>9589264337</v>
      </c>
      <c r="G622" s="316" t="s">
        <v>6</v>
      </c>
      <c r="H622" s="316" t="s">
        <v>2223</v>
      </c>
      <c r="I622" s="316" t="s">
        <v>2224</v>
      </c>
      <c r="J622" s="310" t="s">
        <v>172</v>
      </c>
      <c r="K622" s="312">
        <v>33770</v>
      </c>
      <c r="L622" s="312">
        <v>46620</v>
      </c>
      <c r="M622" s="313">
        <f t="shared" si="57"/>
        <v>12850</v>
      </c>
      <c r="N622" s="314">
        <f t="shared" si="58"/>
        <v>0.275632775632776</v>
      </c>
      <c r="O622" s="312">
        <v>33770</v>
      </c>
      <c r="P622" s="313">
        <f t="shared" si="54"/>
        <v>0</v>
      </c>
      <c r="Q622" s="310" t="s">
        <v>147</v>
      </c>
      <c r="R622" s="310">
        <v>168</v>
      </c>
      <c r="S622" s="310"/>
      <c r="T622" s="308">
        <v>45870</v>
      </c>
      <c r="U622" s="308">
        <v>45871</v>
      </c>
      <c r="V622" s="308"/>
      <c r="W622" s="315">
        <f t="shared" si="59"/>
        <v>4</v>
      </c>
      <c r="X622" s="310" t="s">
        <v>54</v>
      </c>
      <c r="Y622" s="310" t="s">
        <v>56</v>
      </c>
      <c r="Z622" s="316"/>
      <c r="AA622" s="317">
        <v>45665</v>
      </c>
      <c r="AB622" s="317">
        <v>45696</v>
      </c>
    </row>
    <row r="623" spans="1:28" x14ac:dyDescent="0.25">
      <c r="A623" s="307">
        <f t="shared" si="55"/>
        <v>617</v>
      </c>
      <c r="B623" s="308">
        <v>45868</v>
      </c>
      <c r="C623" s="309">
        <f t="shared" si="56"/>
        <v>45839</v>
      </c>
      <c r="D623" s="310" t="s">
        <v>56</v>
      </c>
      <c r="E623" s="310" t="s">
        <v>1641</v>
      </c>
      <c r="F623" s="311">
        <v>9281983602</v>
      </c>
      <c r="G623" s="316" t="s">
        <v>6</v>
      </c>
      <c r="H623" s="316" t="s">
        <v>2225</v>
      </c>
      <c r="I623" s="316" t="s">
        <v>2226</v>
      </c>
      <c r="J623" s="310" t="s">
        <v>172</v>
      </c>
      <c r="K623" s="312">
        <v>34710</v>
      </c>
      <c r="L623" s="312">
        <v>52920</v>
      </c>
      <c r="M623" s="313">
        <f t="shared" si="57"/>
        <v>18210</v>
      </c>
      <c r="N623" s="314">
        <f t="shared" si="58"/>
        <v>0.344104308390023</v>
      </c>
      <c r="O623" s="312">
        <v>34710</v>
      </c>
      <c r="P623" s="313">
        <f t="shared" si="54"/>
        <v>0</v>
      </c>
      <c r="Q623" s="310" t="s">
        <v>147</v>
      </c>
      <c r="R623" s="310">
        <v>169</v>
      </c>
      <c r="S623" s="310"/>
      <c r="T623" s="308">
        <v>45871</v>
      </c>
      <c r="U623" s="308">
        <v>45872</v>
      </c>
      <c r="V623" s="308"/>
      <c r="W623" s="315">
        <f t="shared" si="59"/>
        <v>4</v>
      </c>
      <c r="X623" s="310" t="s">
        <v>54</v>
      </c>
      <c r="Y623" s="310" t="s">
        <v>56</v>
      </c>
      <c r="Z623" s="316"/>
      <c r="AA623" s="317">
        <v>45696</v>
      </c>
      <c r="AB623" s="317">
        <v>45724</v>
      </c>
    </row>
    <row r="624" spans="1:28" x14ac:dyDescent="0.25">
      <c r="A624" s="307">
        <f t="shared" si="55"/>
        <v>618</v>
      </c>
      <c r="B624" s="308">
        <v>45868</v>
      </c>
      <c r="C624" s="309">
        <f t="shared" si="56"/>
        <v>45839</v>
      </c>
      <c r="D624" s="310" t="s">
        <v>56</v>
      </c>
      <c r="E624" s="310" t="s">
        <v>38</v>
      </c>
      <c r="F624" s="311">
        <v>9515412075</v>
      </c>
      <c r="G624" s="316" t="s">
        <v>1093</v>
      </c>
      <c r="H624" s="316" t="s">
        <v>1874</v>
      </c>
      <c r="I624" s="316" t="s">
        <v>2250</v>
      </c>
      <c r="J624" s="310" t="s">
        <v>59</v>
      </c>
      <c r="K624" s="312">
        <v>40480</v>
      </c>
      <c r="L624" s="312">
        <v>91350</v>
      </c>
      <c r="M624" s="313">
        <f t="shared" si="57"/>
        <v>50870</v>
      </c>
      <c r="N624" s="314">
        <f t="shared" si="58"/>
        <v>0.556869184455391</v>
      </c>
      <c r="O624" s="312">
        <v>40480</v>
      </c>
      <c r="P624" s="313">
        <f t="shared" si="54"/>
        <v>0</v>
      </c>
      <c r="Q624" s="310" t="s">
        <v>147</v>
      </c>
      <c r="R624" s="310">
        <v>170</v>
      </c>
      <c r="S624" s="310"/>
      <c r="T624" s="308">
        <v>45871</v>
      </c>
      <c r="U624" s="308">
        <v>45871</v>
      </c>
      <c r="V624" s="308"/>
      <c r="W624" s="315">
        <f t="shared" si="59"/>
        <v>3</v>
      </c>
      <c r="X624" s="310" t="s">
        <v>54</v>
      </c>
      <c r="Y624" s="310" t="s">
        <v>56</v>
      </c>
      <c r="Z624" s="316"/>
      <c r="AA624" s="317">
        <v>45696</v>
      </c>
      <c r="AB624" s="317">
        <v>45696</v>
      </c>
    </row>
    <row r="625" spans="1:28" x14ac:dyDescent="0.25">
      <c r="A625" s="307">
        <f t="shared" si="55"/>
        <v>619</v>
      </c>
      <c r="B625" s="308">
        <v>45869</v>
      </c>
      <c r="C625" s="309">
        <f t="shared" si="56"/>
        <v>45839</v>
      </c>
      <c r="D625" s="310" t="s">
        <v>56</v>
      </c>
      <c r="E625" s="310" t="s">
        <v>1635</v>
      </c>
      <c r="F625" s="311">
        <v>9472230553</v>
      </c>
      <c r="G625" s="316" t="s">
        <v>1093</v>
      </c>
      <c r="H625" s="316" t="s">
        <v>2252</v>
      </c>
      <c r="I625" s="316" t="s">
        <v>6</v>
      </c>
      <c r="J625" s="310" t="s">
        <v>172</v>
      </c>
      <c r="K625" s="312">
        <v>42180</v>
      </c>
      <c r="L625" s="312">
        <v>102690</v>
      </c>
      <c r="M625" s="313">
        <f t="shared" si="57"/>
        <v>60510</v>
      </c>
      <c r="N625" s="314">
        <f t="shared" si="58"/>
        <v>0.58924919661116</v>
      </c>
      <c r="O625" s="312">
        <v>42180</v>
      </c>
      <c r="P625" s="313">
        <f t="shared" si="54"/>
        <v>0</v>
      </c>
      <c r="Q625" s="310" t="s">
        <v>147</v>
      </c>
      <c r="R625" s="310">
        <v>171</v>
      </c>
      <c r="S625" s="310"/>
      <c r="T625" s="308">
        <v>45872</v>
      </c>
      <c r="U625" s="308">
        <v>45872</v>
      </c>
      <c r="V625" s="308"/>
      <c r="W625" s="315">
        <f t="shared" si="59"/>
        <v>3</v>
      </c>
      <c r="X625" s="310" t="s">
        <v>54</v>
      </c>
      <c r="Y625" s="310" t="s">
        <v>56</v>
      </c>
      <c r="Z625" s="316"/>
      <c r="AA625" s="317">
        <v>45724</v>
      </c>
      <c r="AB625" s="317">
        <v>45724</v>
      </c>
    </row>
    <row r="626" spans="1:28" x14ac:dyDescent="0.25">
      <c r="A626" s="307">
        <f t="shared" si="55"/>
        <v>620</v>
      </c>
      <c r="B626" s="308">
        <v>45869</v>
      </c>
      <c r="C626" s="309">
        <f t="shared" si="56"/>
        <v>45839</v>
      </c>
      <c r="D626" s="310" t="s">
        <v>56</v>
      </c>
      <c r="E626" s="310" t="s">
        <v>1637</v>
      </c>
      <c r="F626" s="311">
        <v>9025368773</v>
      </c>
      <c r="G626" s="316" t="s">
        <v>6</v>
      </c>
      <c r="H626" s="316" t="s">
        <v>2227</v>
      </c>
      <c r="I626" s="316" t="s">
        <v>2228</v>
      </c>
      <c r="J626" s="310" t="s">
        <v>172</v>
      </c>
      <c r="K626" s="312">
        <v>33770</v>
      </c>
      <c r="L626" s="312">
        <v>46620</v>
      </c>
      <c r="M626" s="313">
        <f t="shared" si="57"/>
        <v>12850</v>
      </c>
      <c r="N626" s="314">
        <f t="shared" si="58"/>
        <v>0.275632775632776</v>
      </c>
      <c r="O626" s="312">
        <v>33770</v>
      </c>
      <c r="P626" s="313">
        <f t="shared" si="54"/>
        <v>0</v>
      </c>
      <c r="Q626" s="310" t="s">
        <v>147</v>
      </c>
      <c r="R626" s="310">
        <v>172</v>
      </c>
      <c r="S626" s="310"/>
      <c r="T626" s="308">
        <v>45872</v>
      </c>
      <c r="U626" s="308">
        <v>45873</v>
      </c>
      <c r="V626" s="308"/>
      <c r="W626" s="315">
        <f t="shared" si="59"/>
        <v>4</v>
      </c>
      <c r="X626" s="310" t="s">
        <v>54</v>
      </c>
      <c r="Y626" s="310" t="s">
        <v>56</v>
      </c>
      <c r="Z626" s="316"/>
      <c r="AA626" s="317">
        <v>45724</v>
      </c>
      <c r="AB626" s="317">
        <v>45755</v>
      </c>
    </row>
    <row r="627" spans="1:28" x14ac:dyDescent="0.25">
      <c r="A627" s="307">
        <f t="shared" si="55"/>
        <v>621</v>
      </c>
      <c r="B627" s="308">
        <v>45870</v>
      </c>
      <c r="C627" s="309">
        <f t="shared" si="56"/>
        <v>45870</v>
      </c>
      <c r="D627" s="310" t="s">
        <v>56</v>
      </c>
      <c r="E627" s="310" t="s">
        <v>1644</v>
      </c>
      <c r="F627" s="311">
        <v>9902798068</v>
      </c>
      <c r="G627" s="316" t="s">
        <v>1093</v>
      </c>
      <c r="H627" s="316" t="s">
        <v>2253</v>
      </c>
      <c r="I627" s="316" t="s">
        <v>6</v>
      </c>
      <c r="J627" s="310" t="s">
        <v>172</v>
      </c>
      <c r="K627" s="312">
        <v>41230</v>
      </c>
      <c r="L627" s="312">
        <v>96390</v>
      </c>
      <c r="M627" s="313">
        <f t="shared" si="57"/>
        <v>55160</v>
      </c>
      <c r="N627" s="314">
        <f t="shared" si="58"/>
        <v>0.572258533042847</v>
      </c>
      <c r="O627" s="312">
        <v>41230</v>
      </c>
      <c r="P627" s="313">
        <f t="shared" si="54"/>
        <v>0</v>
      </c>
      <c r="Q627" s="310" t="s">
        <v>147</v>
      </c>
      <c r="R627" s="310">
        <v>173</v>
      </c>
      <c r="S627" s="310"/>
      <c r="T627" s="308">
        <v>45872</v>
      </c>
      <c r="U627" s="308">
        <v>45872</v>
      </c>
      <c r="V627" s="308"/>
      <c r="W627" s="315">
        <f t="shared" si="59"/>
        <v>2</v>
      </c>
      <c r="X627" s="310" t="s">
        <v>54</v>
      </c>
      <c r="Y627" s="310" t="s">
        <v>56</v>
      </c>
      <c r="Z627" s="316"/>
      <c r="AA627" s="317">
        <v>45724</v>
      </c>
      <c r="AB627" s="317">
        <v>45724</v>
      </c>
    </row>
    <row r="628" spans="1:28" x14ac:dyDescent="0.25">
      <c r="A628" s="307">
        <f t="shared" si="55"/>
        <v>622</v>
      </c>
      <c r="B628" s="308">
        <v>45871</v>
      </c>
      <c r="C628" s="309">
        <f t="shared" si="56"/>
        <v>45870</v>
      </c>
      <c r="D628" s="310" t="s">
        <v>56</v>
      </c>
      <c r="E628" s="310" t="s">
        <v>38</v>
      </c>
      <c r="F628" s="311">
        <v>9515412075</v>
      </c>
      <c r="G628" s="316" t="s">
        <v>6</v>
      </c>
      <c r="H628" s="316" t="s">
        <v>2229</v>
      </c>
      <c r="I628" s="316" t="s">
        <v>2230</v>
      </c>
      <c r="J628" s="310" t="s">
        <v>59</v>
      </c>
      <c r="K628" s="312">
        <v>33530</v>
      </c>
      <c r="L628" s="312">
        <v>45040</v>
      </c>
      <c r="M628" s="313">
        <f t="shared" si="57"/>
        <v>11510</v>
      </c>
      <c r="N628" s="314">
        <f t="shared" si="58"/>
        <v>0.255550621669627</v>
      </c>
      <c r="O628" s="312">
        <v>33530</v>
      </c>
      <c r="P628" s="313">
        <f t="shared" si="54"/>
        <v>0</v>
      </c>
      <c r="Q628" s="310" t="s">
        <v>147</v>
      </c>
      <c r="R628" s="310">
        <v>174</v>
      </c>
      <c r="S628" s="310"/>
      <c r="T628" s="308">
        <v>45874</v>
      </c>
      <c r="U628" s="308">
        <v>45875</v>
      </c>
      <c r="V628" s="308"/>
      <c r="W628" s="315">
        <f t="shared" si="59"/>
        <v>4</v>
      </c>
      <c r="X628" s="310" t="s">
        <v>54</v>
      </c>
      <c r="Y628" s="310" t="s">
        <v>56</v>
      </c>
      <c r="Z628" s="316"/>
      <c r="AA628" s="317">
        <v>45785</v>
      </c>
      <c r="AB628" s="317">
        <v>45816</v>
      </c>
    </row>
    <row r="629" spans="1:28" x14ac:dyDescent="0.25">
      <c r="A629" s="307">
        <f t="shared" si="55"/>
        <v>623</v>
      </c>
      <c r="B629" s="308">
        <v>45871</v>
      </c>
      <c r="C629" s="309">
        <f t="shared" si="56"/>
        <v>45870</v>
      </c>
      <c r="D629" s="310" t="s">
        <v>51</v>
      </c>
      <c r="E629" s="310" t="s">
        <v>2205</v>
      </c>
      <c r="F629" s="311">
        <v>9915991042</v>
      </c>
      <c r="G629" s="316" t="s">
        <v>6</v>
      </c>
      <c r="H629" s="316" t="s">
        <v>1874</v>
      </c>
      <c r="I629" s="316" t="s">
        <v>2231</v>
      </c>
      <c r="J629" s="310" t="s">
        <v>172</v>
      </c>
      <c r="K629" s="312">
        <v>27470</v>
      </c>
      <c r="L629" s="312">
        <v>40320</v>
      </c>
      <c r="M629" s="313">
        <f t="shared" si="57"/>
        <v>12850</v>
      </c>
      <c r="N629" s="314">
        <f t="shared" si="58"/>
        <v>0.318700396825397</v>
      </c>
      <c r="O629" s="312">
        <v>27470</v>
      </c>
      <c r="P629" s="313">
        <f t="shared" si="54"/>
        <v>0</v>
      </c>
      <c r="Q629" s="310" t="s">
        <v>147</v>
      </c>
      <c r="R629" s="310">
        <v>175</v>
      </c>
      <c r="S629" s="310"/>
      <c r="T629" s="308">
        <v>45874</v>
      </c>
      <c r="U629" s="308">
        <v>45874</v>
      </c>
      <c r="V629" s="308"/>
      <c r="W629" s="315">
        <f t="shared" si="59"/>
        <v>3</v>
      </c>
      <c r="X629" s="310" t="s">
        <v>54</v>
      </c>
      <c r="Y629" s="310" t="s">
        <v>529</v>
      </c>
      <c r="Z629" s="316"/>
      <c r="AA629" s="317">
        <v>45785</v>
      </c>
      <c r="AB629" s="317">
        <v>45785</v>
      </c>
    </row>
    <row r="630" spans="1:28" x14ac:dyDescent="0.25">
      <c r="A630" s="307">
        <f t="shared" si="55"/>
        <v>624</v>
      </c>
      <c r="B630" s="308">
        <v>45873</v>
      </c>
      <c r="C630" s="309">
        <f t="shared" si="56"/>
        <v>45870</v>
      </c>
      <c r="D630" s="310" t="s">
        <v>56</v>
      </c>
      <c r="E630" s="310" t="s">
        <v>1635</v>
      </c>
      <c r="F630" s="311">
        <v>9472230553</v>
      </c>
      <c r="G630" s="316" t="s">
        <v>6</v>
      </c>
      <c r="H630" s="316" t="s">
        <v>2232</v>
      </c>
      <c r="I630" s="316" t="s">
        <v>2233</v>
      </c>
      <c r="J630" s="310" t="s">
        <v>172</v>
      </c>
      <c r="K630" s="312">
        <v>33770</v>
      </c>
      <c r="L630" s="312">
        <v>46620</v>
      </c>
      <c r="M630" s="313">
        <f t="shared" si="57"/>
        <v>12850</v>
      </c>
      <c r="N630" s="314">
        <f t="shared" si="58"/>
        <v>0.275632775632776</v>
      </c>
      <c r="O630" s="312">
        <v>33770</v>
      </c>
      <c r="P630" s="313">
        <f t="shared" si="54"/>
        <v>0</v>
      </c>
      <c r="Q630" s="310" t="s">
        <v>147</v>
      </c>
      <c r="R630" s="310">
        <v>176</v>
      </c>
      <c r="S630" s="310"/>
      <c r="T630" s="308">
        <v>45876</v>
      </c>
      <c r="U630" s="308">
        <v>45876</v>
      </c>
      <c r="V630" s="308"/>
      <c r="W630" s="315">
        <f t="shared" si="59"/>
        <v>3</v>
      </c>
      <c r="X630" s="310" t="s">
        <v>54</v>
      </c>
      <c r="Y630" s="310" t="s">
        <v>56</v>
      </c>
      <c r="Z630" s="316"/>
      <c r="AA630" s="317">
        <v>45846</v>
      </c>
      <c r="AB630" s="317">
        <v>45846</v>
      </c>
    </row>
    <row r="631" spans="1:28" x14ac:dyDescent="0.25">
      <c r="A631" s="307">
        <f t="shared" si="55"/>
        <v>625</v>
      </c>
      <c r="B631" s="308">
        <v>45874</v>
      </c>
      <c r="C631" s="309">
        <f t="shared" si="56"/>
        <v>45870</v>
      </c>
      <c r="D631" s="310" t="s">
        <v>56</v>
      </c>
      <c r="E631" s="310" t="s">
        <v>1644</v>
      </c>
      <c r="F631" s="311">
        <v>9220186371</v>
      </c>
      <c r="G631" s="316" t="s">
        <v>6</v>
      </c>
      <c r="H631" s="316" t="s">
        <v>2234</v>
      </c>
      <c r="I631" s="316" t="s">
        <v>2242</v>
      </c>
      <c r="J631" s="310" t="s">
        <v>172</v>
      </c>
      <c r="K631" s="312">
        <v>34710</v>
      </c>
      <c r="L631" s="312">
        <v>52920</v>
      </c>
      <c r="M631" s="313">
        <f t="shared" si="57"/>
        <v>18210</v>
      </c>
      <c r="N631" s="314">
        <f t="shared" si="58"/>
        <v>0.344104308390023</v>
      </c>
      <c r="O631" s="312">
        <v>34710</v>
      </c>
      <c r="P631" s="313">
        <f t="shared" si="54"/>
        <v>0</v>
      </c>
      <c r="Q631" s="310" t="s">
        <v>147</v>
      </c>
      <c r="R631" s="310">
        <v>177</v>
      </c>
      <c r="S631" s="310"/>
      <c r="T631" s="308">
        <v>45877</v>
      </c>
      <c r="U631" s="308">
        <v>45877</v>
      </c>
      <c r="V631" s="308"/>
      <c r="W631" s="315">
        <f t="shared" si="59"/>
        <v>3</v>
      </c>
      <c r="X631" s="310" t="s">
        <v>54</v>
      </c>
      <c r="Y631" s="310" t="s">
        <v>56</v>
      </c>
      <c r="Z631" s="316"/>
      <c r="AA631" s="317">
        <v>45877</v>
      </c>
      <c r="AB631" s="317">
        <v>45877</v>
      </c>
    </row>
    <row r="632" spans="1:28" x14ac:dyDescent="0.25">
      <c r="A632" s="307">
        <f t="shared" si="55"/>
        <v>626</v>
      </c>
      <c r="B632" s="308">
        <v>45874</v>
      </c>
      <c r="C632" s="309">
        <f t="shared" si="56"/>
        <v>45870</v>
      </c>
      <c r="D632" s="310" t="s">
        <v>56</v>
      </c>
      <c r="E632" s="310" t="s">
        <v>60</v>
      </c>
      <c r="F632" s="311">
        <v>9220186371</v>
      </c>
      <c r="G632" s="316" t="s">
        <v>1093</v>
      </c>
      <c r="H632" s="316" t="s">
        <v>2254</v>
      </c>
      <c r="I632" s="316" t="s">
        <v>6</v>
      </c>
      <c r="J632" s="310" t="s">
        <v>172</v>
      </c>
      <c r="K632" s="312">
        <v>41230</v>
      </c>
      <c r="L632" s="312">
        <v>96390</v>
      </c>
      <c r="M632" s="313">
        <f t="shared" si="57"/>
        <v>55160</v>
      </c>
      <c r="N632" s="314">
        <f t="shared" si="58"/>
        <v>0.572258533042847</v>
      </c>
      <c r="O632" s="312">
        <v>41230</v>
      </c>
      <c r="P632" s="313">
        <f t="shared" si="54"/>
        <v>0</v>
      </c>
      <c r="Q632" s="310" t="s">
        <v>147</v>
      </c>
      <c r="R632" s="310">
        <v>178</v>
      </c>
      <c r="S632" s="310"/>
      <c r="T632" s="308">
        <v>45877</v>
      </c>
      <c r="U632" s="308">
        <v>45877</v>
      </c>
      <c r="V632" s="308"/>
      <c r="W632" s="315">
        <f t="shared" si="59"/>
        <v>3</v>
      </c>
      <c r="X632" s="310" t="s">
        <v>54</v>
      </c>
      <c r="Y632" s="310" t="s">
        <v>56</v>
      </c>
      <c r="Z632" s="316"/>
      <c r="AA632" s="317">
        <v>45877</v>
      </c>
      <c r="AB632" s="317">
        <v>45877</v>
      </c>
    </row>
    <row r="633" spans="1:28" x14ac:dyDescent="0.25">
      <c r="A633" s="307">
        <f t="shared" si="55"/>
        <v>627</v>
      </c>
      <c r="B633" s="308">
        <v>45875</v>
      </c>
      <c r="C633" s="309">
        <f t="shared" si="56"/>
        <v>45870</v>
      </c>
      <c r="D633" s="310" t="s">
        <v>51</v>
      </c>
      <c r="E633" s="310" t="s">
        <v>2206</v>
      </c>
      <c r="F633" s="311">
        <v>9756273044</v>
      </c>
      <c r="G633" s="316" t="s">
        <v>6</v>
      </c>
      <c r="H633" s="316" t="s">
        <v>1874</v>
      </c>
      <c r="I633" s="316" t="s">
        <v>2239</v>
      </c>
      <c r="J633" s="310" t="s">
        <v>172</v>
      </c>
      <c r="K633" s="312">
        <v>31750</v>
      </c>
      <c r="L633" s="312">
        <v>40320</v>
      </c>
      <c r="M633" s="313">
        <f t="shared" si="57"/>
        <v>8570</v>
      </c>
      <c r="N633" s="314">
        <f t="shared" si="58"/>
        <v>0.212549603174603</v>
      </c>
      <c r="O633" s="312">
        <v>31750</v>
      </c>
      <c r="P633" s="313">
        <f t="shared" si="54"/>
        <v>0</v>
      </c>
      <c r="Q633" s="310" t="s">
        <v>147</v>
      </c>
      <c r="R633" s="310">
        <v>179</v>
      </c>
      <c r="S633" s="310"/>
      <c r="T633" s="308">
        <v>45878</v>
      </c>
      <c r="U633" s="308">
        <v>45878</v>
      </c>
      <c r="V633" s="308"/>
      <c r="W633" s="315">
        <f t="shared" si="59"/>
        <v>3</v>
      </c>
      <c r="X633" s="310" t="s">
        <v>54</v>
      </c>
      <c r="Y633" s="310" t="s">
        <v>529</v>
      </c>
      <c r="Z633" s="316"/>
      <c r="AA633" s="317">
        <v>45908</v>
      </c>
      <c r="AB633" s="317">
        <v>45908</v>
      </c>
    </row>
    <row r="634" spans="1:28" x14ac:dyDescent="0.25">
      <c r="A634" s="307">
        <f t="shared" si="55"/>
        <v>628</v>
      </c>
      <c r="B634" s="308">
        <v>45875</v>
      </c>
      <c r="C634" s="309">
        <f t="shared" si="56"/>
        <v>45870</v>
      </c>
      <c r="D634" s="310" t="s">
        <v>51</v>
      </c>
      <c r="E634" s="310" t="s">
        <v>2207</v>
      </c>
      <c r="F634" s="311">
        <v>9364639011</v>
      </c>
      <c r="G634" s="316" t="s">
        <v>6</v>
      </c>
      <c r="H634" s="316" t="s">
        <v>2236</v>
      </c>
      <c r="I634" s="316" t="s">
        <v>2237</v>
      </c>
      <c r="J634" s="310" t="s">
        <v>172</v>
      </c>
      <c r="K634" s="312">
        <v>32700</v>
      </c>
      <c r="L634" s="312">
        <v>46620</v>
      </c>
      <c r="M634" s="313">
        <f t="shared" si="57"/>
        <v>13920</v>
      </c>
      <c r="N634" s="314">
        <f t="shared" si="58"/>
        <v>0.298584298584299</v>
      </c>
      <c r="O634" s="312">
        <v>32700</v>
      </c>
      <c r="P634" s="313">
        <f t="shared" si="54"/>
        <v>0</v>
      </c>
      <c r="Q634" s="310" t="s">
        <v>147</v>
      </c>
      <c r="R634" s="310">
        <v>180</v>
      </c>
      <c r="S634" s="310"/>
      <c r="T634" s="308">
        <v>45878</v>
      </c>
      <c r="U634" s="308">
        <v>45878</v>
      </c>
      <c r="V634" s="308"/>
      <c r="W634" s="315">
        <f t="shared" si="59"/>
        <v>3</v>
      </c>
      <c r="X634" s="310" t="s">
        <v>54</v>
      </c>
      <c r="Y634" s="310" t="s">
        <v>529</v>
      </c>
      <c r="Z634" s="316"/>
      <c r="AA634" s="317">
        <v>45908</v>
      </c>
      <c r="AB634" s="317">
        <v>45908</v>
      </c>
    </row>
    <row r="635" spans="1:28" x14ac:dyDescent="0.25">
      <c r="A635" s="307">
        <f t="shared" si="55"/>
        <v>629</v>
      </c>
      <c r="B635" s="308">
        <v>45876</v>
      </c>
      <c r="C635" s="309">
        <f t="shared" si="56"/>
        <v>45870</v>
      </c>
      <c r="D635" s="310" t="s">
        <v>56</v>
      </c>
      <c r="E635" s="310" t="s">
        <v>1641</v>
      </c>
      <c r="F635" s="311">
        <v>9281983602</v>
      </c>
      <c r="G635" s="316" t="s">
        <v>1093</v>
      </c>
      <c r="H635" s="316" t="s">
        <v>2255</v>
      </c>
      <c r="I635" s="316" t="s">
        <v>6</v>
      </c>
      <c r="J635" s="310" t="s">
        <v>172</v>
      </c>
      <c r="K635" s="312">
        <v>42180</v>
      </c>
      <c r="L635" s="312">
        <v>102690</v>
      </c>
      <c r="M635" s="313">
        <f t="shared" si="57"/>
        <v>60510</v>
      </c>
      <c r="N635" s="314">
        <f t="shared" si="58"/>
        <v>0.58924919661116</v>
      </c>
      <c r="O635" s="312">
        <v>42180</v>
      </c>
      <c r="P635" s="313">
        <f t="shared" si="54"/>
        <v>0</v>
      </c>
      <c r="Q635" s="310" t="s">
        <v>147</v>
      </c>
      <c r="R635" s="310">
        <v>181</v>
      </c>
      <c r="S635" s="310"/>
      <c r="T635" s="308">
        <v>45878</v>
      </c>
      <c r="U635" s="308">
        <v>45878</v>
      </c>
      <c r="V635" s="308"/>
      <c r="W635" s="315">
        <f t="shared" si="59"/>
        <v>2</v>
      </c>
      <c r="X635" s="310" t="s">
        <v>54</v>
      </c>
      <c r="Y635" s="310" t="s">
        <v>56</v>
      </c>
      <c r="Z635" s="316"/>
      <c r="AA635" s="317">
        <v>45908</v>
      </c>
      <c r="AB635" s="317">
        <v>45908</v>
      </c>
    </row>
    <row r="636" spans="1:28" x14ac:dyDescent="0.25">
      <c r="A636" s="307">
        <f t="shared" si="55"/>
        <v>630</v>
      </c>
      <c r="B636" s="308">
        <v>45877</v>
      </c>
      <c r="C636" s="309">
        <f t="shared" si="56"/>
        <v>45870</v>
      </c>
      <c r="D636" s="310" t="s">
        <v>56</v>
      </c>
      <c r="E636" s="310" t="s">
        <v>60</v>
      </c>
      <c r="F636" s="311">
        <v>9589264337</v>
      </c>
      <c r="G636" s="316" t="s">
        <v>6</v>
      </c>
      <c r="H636" s="316" t="s">
        <v>2235</v>
      </c>
      <c r="I636" s="316" t="s">
        <v>2238</v>
      </c>
      <c r="J636" s="310" t="s">
        <v>172</v>
      </c>
      <c r="K636" s="312">
        <v>33770</v>
      </c>
      <c r="L636" s="312">
        <v>46620</v>
      </c>
      <c r="M636" s="313">
        <f t="shared" si="57"/>
        <v>12850</v>
      </c>
      <c r="N636" s="314">
        <f t="shared" si="58"/>
        <v>0.275632775632776</v>
      </c>
      <c r="O636" s="312">
        <v>33770</v>
      </c>
      <c r="P636" s="313">
        <f t="shared" si="54"/>
        <v>0</v>
      </c>
      <c r="Q636" s="310" t="s">
        <v>147</v>
      </c>
      <c r="R636" s="310">
        <v>182</v>
      </c>
      <c r="S636" s="310"/>
      <c r="T636" s="308">
        <v>45880</v>
      </c>
      <c r="U636" s="308">
        <v>45880</v>
      </c>
      <c r="V636" s="308"/>
      <c r="W636" s="315">
        <f t="shared" si="59"/>
        <v>3</v>
      </c>
      <c r="X636" s="310" t="s">
        <v>54</v>
      </c>
      <c r="Y636" s="310" t="s">
        <v>56</v>
      </c>
      <c r="Z636" s="316"/>
      <c r="AA636" s="317">
        <v>45969</v>
      </c>
      <c r="AB636" s="317">
        <v>45969</v>
      </c>
    </row>
    <row r="637" spans="1:28" x14ac:dyDescent="0.25">
      <c r="A637" s="307">
        <f t="shared" si="55"/>
        <v>631</v>
      </c>
      <c r="B637" s="308">
        <v>45878</v>
      </c>
      <c r="C637" s="309">
        <f t="shared" si="56"/>
        <v>45870</v>
      </c>
      <c r="D637" s="310" t="s">
        <v>56</v>
      </c>
      <c r="E637" s="310" t="s">
        <v>1641</v>
      </c>
      <c r="F637" s="311">
        <v>9281983602</v>
      </c>
      <c r="G637" s="316" t="s">
        <v>6</v>
      </c>
      <c r="H637" s="316" t="s">
        <v>2240</v>
      </c>
      <c r="I637" s="316" t="s">
        <v>2241</v>
      </c>
      <c r="J637" s="310" t="s">
        <v>172</v>
      </c>
      <c r="K637" s="312">
        <v>33770</v>
      </c>
      <c r="L637" s="312">
        <v>46620</v>
      </c>
      <c r="M637" s="313">
        <f t="shared" si="57"/>
        <v>12850</v>
      </c>
      <c r="N637" s="314">
        <f t="shared" si="58"/>
        <v>0.275632775632776</v>
      </c>
      <c r="O637" s="312">
        <v>33770</v>
      </c>
      <c r="P637" s="313">
        <f t="shared" si="54"/>
        <v>0</v>
      </c>
      <c r="Q637" s="310" t="s">
        <v>147</v>
      </c>
      <c r="R637" s="310">
        <v>183</v>
      </c>
      <c r="S637" s="310"/>
      <c r="T637" s="308">
        <v>45880</v>
      </c>
      <c r="U637" s="308">
        <v>45881</v>
      </c>
      <c r="V637" s="308"/>
      <c r="W637" s="315">
        <f t="shared" si="59"/>
        <v>3</v>
      </c>
      <c r="X637" s="310" t="s">
        <v>54</v>
      </c>
      <c r="Y637" s="310" t="s">
        <v>56</v>
      </c>
      <c r="Z637" s="316"/>
      <c r="AA637" s="317">
        <v>45969</v>
      </c>
      <c r="AB637" s="317">
        <v>45999</v>
      </c>
    </row>
    <row r="638" spans="1:28" x14ac:dyDescent="0.25">
      <c r="A638" s="307">
        <f t="shared" si="55"/>
        <v>632</v>
      </c>
      <c r="B638" s="308">
        <v>45878</v>
      </c>
      <c r="C638" s="309">
        <f t="shared" si="56"/>
        <v>45870</v>
      </c>
      <c r="D638" s="310" t="s">
        <v>56</v>
      </c>
      <c r="E638" s="310" t="s">
        <v>38</v>
      </c>
      <c r="F638" s="311">
        <v>9515412075</v>
      </c>
      <c r="G638" s="316" t="s">
        <v>1093</v>
      </c>
      <c r="H638" s="316" t="s">
        <v>2251</v>
      </c>
      <c r="I638" s="316" t="s">
        <v>6</v>
      </c>
      <c r="J638" s="310" t="s">
        <v>59</v>
      </c>
      <c r="K638" s="312">
        <v>40480</v>
      </c>
      <c r="L638" s="312">
        <v>91350</v>
      </c>
      <c r="M638" s="313">
        <f t="shared" si="57"/>
        <v>50870</v>
      </c>
      <c r="N638" s="314">
        <f t="shared" si="58"/>
        <v>0.556869184455391</v>
      </c>
      <c r="O638" s="312">
        <v>40480</v>
      </c>
      <c r="P638" s="313">
        <f t="shared" si="54"/>
        <v>0</v>
      </c>
      <c r="Q638" s="310" t="s">
        <v>147</v>
      </c>
      <c r="R638" s="310">
        <v>184</v>
      </c>
      <c r="S638" s="310"/>
      <c r="T638" s="308">
        <v>45881</v>
      </c>
      <c r="U638" s="308">
        <v>45881</v>
      </c>
      <c r="V638" s="308"/>
      <c r="W638" s="315">
        <f t="shared" si="59"/>
        <v>3</v>
      </c>
      <c r="X638" s="310" t="s">
        <v>54</v>
      </c>
      <c r="Y638" s="310" t="s">
        <v>56</v>
      </c>
      <c r="Z638" s="316"/>
      <c r="AA638" s="317">
        <v>45999</v>
      </c>
      <c r="AB638" s="317">
        <v>45999</v>
      </c>
    </row>
    <row r="639" spans="1:28" x14ac:dyDescent="0.25">
      <c r="A639" s="307">
        <f t="shared" si="55"/>
        <v>633</v>
      </c>
      <c r="B639" s="308">
        <v>45881</v>
      </c>
      <c r="C639" s="309">
        <f t="shared" si="56"/>
        <v>45870</v>
      </c>
      <c r="D639" s="310" t="s">
        <v>56</v>
      </c>
      <c r="E639" s="310" t="s">
        <v>38</v>
      </c>
      <c r="F639" s="311">
        <v>9515412075</v>
      </c>
      <c r="G639" s="316" t="s">
        <v>6</v>
      </c>
      <c r="H639" s="316" t="s">
        <v>2243</v>
      </c>
      <c r="I639" s="316" t="s">
        <v>2244</v>
      </c>
      <c r="J639" s="310" t="s">
        <v>59</v>
      </c>
      <c r="K639" s="312">
        <v>33530</v>
      </c>
      <c r="L639" s="312">
        <v>45040</v>
      </c>
      <c r="M639" s="313">
        <f t="shared" si="57"/>
        <v>11510</v>
      </c>
      <c r="N639" s="314">
        <f t="shared" si="58"/>
        <v>0.255550621669627</v>
      </c>
      <c r="O639" s="312">
        <v>33530</v>
      </c>
      <c r="P639" s="313">
        <f t="shared" si="54"/>
        <v>0</v>
      </c>
      <c r="Q639" s="310" t="s">
        <v>147</v>
      </c>
      <c r="R639" s="310">
        <v>185</v>
      </c>
      <c r="S639" s="310"/>
      <c r="T639" s="308">
        <v>45881</v>
      </c>
      <c r="U639" s="308">
        <v>45882</v>
      </c>
      <c r="V639" s="308"/>
      <c r="W639" s="315">
        <f t="shared" si="59"/>
        <v>1</v>
      </c>
      <c r="X639" s="310" t="s">
        <v>54</v>
      </c>
      <c r="Y639" s="310" t="s">
        <v>56</v>
      </c>
      <c r="Z639" s="316"/>
      <c r="AA639" s="317">
        <v>45999</v>
      </c>
      <c r="AB639" s="316" t="s">
        <v>2257</v>
      </c>
    </row>
    <row r="640" spans="1:28" x14ac:dyDescent="0.25">
      <c r="A640" s="307">
        <f t="shared" si="55"/>
        <v>634</v>
      </c>
      <c r="B640" s="308">
        <v>45881</v>
      </c>
      <c r="C640" s="309">
        <f t="shared" si="56"/>
        <v>45870</v>
      </c>
      <c r="D640" s="310" t="s">
        <v>56</v>
      </c>
      <c r="E640" s="310" t="s">
        <v>1637</v>
      </c>
      <c r="F640" s="311">
        <v>9025368773</v>
      </c>
      <c r="G640" s="316" t="s">
        <v>6</v>
      </c>
      <c r="H640" s="316" t="s">
        <v>2245</v>
      </c>
      <c r="I640" s="316" t="s">
        <v>2246</v>
      </c>
      <c r="J640" s="310" t="s">
        <v>172</v>
      </c>
      <c r="K640" s="312">
        <v>33770</v>
      </c>
      <c r="L640" s="312">
        <v>46620</v>
      </c>
      <c r="M640" s="313">
        <f t="shared" si="57"/>
        <v>12850</v>
      </c>
      <c r="N640" s="314">
        <f t="shared" si="58"/>
        <v>0.275632775632776</v>
      </c>
      <c r="O640" s="312">
        <v>33770</v>
      </c>
      <c r="P640" s="313">
        <f t="shared" si="54"/>
        <v>0</v>
      </c>
      <c r="Q640" s="310" t="s">
        <v>147</v>
      </c>
      <c r="R640" s="310">
        <v>186</v>
      </c>
      <c r="S640" s="310"/>
      <c r="T640" s="308">
        <v>45881</v>
      </c>
      <c r="U640" s="308">
        <v>45882</v>
      </c>
      <c r="V640" s="308"/>
      <c r="W640" s="315">
        <f t="shared" si="59"/>
        <v>1</v>
      </c>
      <c r="X640" s="310" t="s">
        <v>54</v>
      </c>
      <c r="Y640" s="310" t="s">
        <v>56</v>
      </c>
      <c r="Z640" s="316"/>
      <c r="AA640" s="317">
        <v>45999</v>
      </c>
      <c r="AB640" s="316" t="s">
        <v>2257</v>
      </c>
    </row>
    <row r="641" spans="1:28" x14ac:dyDescent="0.25">
      <c r="A641" s="307">
        <f t="shared" si="55"/>
        <v>635</v>
      </c>
      <c r="B641" s="308">
        <v>45882</v>
      </c>
      <c r="C641" s="309">
        <f t="shared" si="56"/>
        <v>45870</v>
      </c>
      <c r="D641" s="310" t="s">
        <v>51</v>
      </c>
      <c r="E641" s="310" t="s">
        <v>1108</v>
      </c>
      <c r="F641" s="311">
        <v>9299677001</v>
      </c>
      <c r="G641" s="316" t="s">
        <v>6</v>
      </c>
      <c r="H641" s="316" t="s">
        <v>1874</v>
      </c>
      <c r="I641" s="316" t="s">
        <v>2247</v>
      </c>
      <c r="J641" s="310" t="s">
        <v>172</v>
      </c>
      <c r="K641" s="312">
        <v>32290</v>
      </c>
      <c r="L641" s="312">
        <v>40320</v>
      </c>
      <c r="M641" s="313">
        <f t="shared" si="57"/>
        <v>8030</v>
      </c>
      <c r="N641" s="314">
        <f t="shared" si="58"/>
        <v>0.199156746031746</v>
      </c>
      <c r="O641" s="312">
        <v>32290</v>
      </c>
      <c r="P641" s="313">
        <f t="shared" si="54"/>
        <v>0</v>
      </c>
      <c r="Q641" s="310" t="s">
        <v>147</v>
      </c>
      <c r="R641" s="310">
        <v>187</v>
      </c>
      <c r="S641" s="310"/>
      <c r="T641" s="308">
        <v>45886</v>
      </c>
      <c r="U641" s="308">
        <v>45887</v>
      </c>
      <c r="V641" s="308"/>
      <c r="W641" s="315">
        <f t="shared" si="59"/>
        <v>5</v>
      </c>
      <c r="X641" s="310" t="s">
        <v>54</v>
      </c>
      <c r="Y641" s="310" t="s">
        <v>529</v>
      </c>
      <c r="Z641" s="316"/>
      <c r="AA641" s="316" t="s">
        <v>2258</v>
      </c>
      <c r="AB641" s="316" t="s">
        <v>2259</v>
      </c>
    </row>
    <row r="642" spans="1:28" x14ac:dyDescent="0.25">
      <c r="A642" s="307">
        <f t="shared" si="55"/>
        <v>636</v>
      </c>
      <c r="B642" s="308">
        <v>45883</v>
      </c>
      <c r="C642" s="309">
        <f t="shared" si="56"/>
        <v>45870</v>
      </c>
      <c r="D642" s="310" t="s">
        <v>51</v>
      </c>
      <c r="E642" s="310" t="s">
        <v>2217</v>
      </c>
      <c r="F642" s="311">
        <v>9569183341</v>
      </c>
      <c r="G642" s="316" t="s">
        <v>6</v>
      </c>
      <c r="H642" s="316" t="s">
        <v>1874</v>
      </c>
      <c r="I642" s="316" t="s">
        <v>2248</v>
      </c>
      <c r="J642" s="310" t="s">
        <v>623</v>
      </c>
      <c r="K642" s="312">
        <v>25690</v>
      </c>
      <c r="L642" s="312">
        <v>35600</v>
      </c>
      <c r="M642" s="313">
        <f t="shared" si="57"/>
        <v>9910</v>
      </c>
      <c r="N642" s="314">
        <f t="shared" si="58"/>
        <v>0.278370786516854</v>
      </c>
      <c r="O642" s="312">
        <v>25690</v>
      </c>
      <c r="P642" s="313">
        <f t="shared" si="54"/>
        <v>0</v>
      </c>
      <c r="Q642" s="310" t="s">
        <v>147</v>
      </c>
      <c r="R642" s="310">
        <v>188</v>
      </c>
      <c r="S642" s="310"/>
      <c r="T642" s="308">
        <v>45887</v>
      </c>
      <c r="U642" s="308">
        <v>45887</v>
      </c>
      <c r="V642" s="308"/>
      <c r="W642" s="315">
        <f t="shared" si="59"/>
        <v>4</v>
      </c>
      <c r="X642" s="310" t="s">
        <v>54</v>
      </c>
      <c r="Y642" s="310" t="s">
        <v>439</v>
      </c>
      <c r="Z642" s="316"/>
      <c r="AA642" s="316" t="s">
        <v>2259</v>
      </c>
      <c r="AB642" s="316" t="s">
        <v>2259</v>
      </c>
    </row>
    <row r="643" spans="1:28" x14ac:dyDescent="0.25">
      <c r="A643" s="307">
        <f t="shared" si="55"/>
        <v>637</v>
      </c>
      <c r="B643" s="308">
        <v>45883</v>
      </c>
      <c r="C643" s="309">
        <f t="shared" si="56"/>
        <v>45870</v>
      </c>
      <c r="D643" s="310" t="s">
        <v>56</v>
      </c>
      <c r="E643" s="310" t="s">
        <v>1644</v>
      </c>
      <c r="F643" s="311">
        <v>9902798068</v>
      </c>
      <c r="G643" s="316" t="s">
        <v>1093</v>
      </c>
      <c r="H643" s="316" t="s">
        <v>1874</v>
      </c>
      <c r="I643" s="316" t="s">
        <v>2291</v>
      </c>
      <c r="J643" s="310" t="s">
        <v>172</v>
      </c>
      <c r="K643" s="312">
        <v>41230</v>
      </c>
      <c r="L643" s="312">
        <v>96390</v>
      </c>
      <c r="M643" s="313">
        <f t="shared" si="57"/>
        <v>55160</v>
      </c>
      <c r="N643" s="314">
        <f t="shared" si="58"/>
        <v>0.572258533042847</v>
      </c>
      <c r="O643" s="312">
        <v>41230</v>
      </c>
      <c r="P643" s="313">
        <f t="shared" si="54"/>
        <v>0</v>
      </c>
      <c r="Q643" s="310" t="s">
        <v>147</v>
      </c>
      <c r="R643" s="310">
        <v>190</v>
      </c>
      <c r="S643" s="310"/>
      <c r="T643" s="308">
        <v>45885</v>
      </c>
      <c r="U643" s="308">
        <v>45885</v>
      </c>
      <c r="V643" s="308"/>
      <c r="W643" s="315">
        <f t="shared" si="59"/>
        <v>2</v>
      </c>
      <c r="X643" s="310" t="s">
        <v>54</v>
      </c>
      <c r="Y643" s="310" t="s">
        <v>56</v>
      </c>
      <c r="Z643" s="316"/>
      <c r="AA643" s="316" t="s">
        <v>2260</v>
      </c>
      <c r="AB643" s="316" t="s">
        <v>2260</v>
      </c>
    </row>
    <row r="644" spans="1:28" x14ac:dyDescent="0.25">
      <c r="A644" s="307">
        <f t="shared" si="55"/>
        <v>638</v>
      </c>
      <c r="B644" s="308">
        <v>45885</v>
      </c>
      <c r="C644" s="309">
        <f t="shared" si="56"/>
        <v>45870</v>
      </c>
      <c r="D644" s="310" t="s">
        <v>56</v>
      </c>
      <c r="E644" s="310" t="s">
        <v>1635</v>
      </c>
      <c r="F644" s="311">
        <v>9472230553</v>
      </c>
      <c r="G644" s="316" t="s">
        <v>1093</v>
      </c>
      <c r="H644" s="316" t="s">
        <v>2292</v>
      </c>
      <c r="I644" s="316" t="s">
        <v>2293</v>
      </c>
      <c r="J644" s="310" t="s">
        <v>172</v>
      </c>
      <c r="K644" s="312">
        <v>42180</v>
      </c>
      <c r="L644" s="312">
        <v>102690</v>
      </c>
      <c r="M644" s="313">
        <f t="shared" si="57"/>
        <v>60510</v>
      </c>
      <c r="N644" s="314">
        <f t="shared" si="58"/>
        <v>0.58924919661116</v>
      </c>
      <c r="O644" s="312">
        <v>42180</v>
      </c>
      <c r="P644" s="313">
        <f t="shared" si="54"/>
        <v>0</v>
      </c>
      <c r="Q644" s="310" t="s">
        <v>147</v>
      </c>
      <c r="R644" s="310">
        <v>191</v>
      </c>
      <c r="S644" s="310"/>
      <c r="T644" s="308">
        <v>45888</v>
      </c>
      <c r="U644" s="308">
        <v>45888</v>
      </c>
      <c r="V644" s="308"/>
      <c r="W644" s="315">
        <f t="shared" si="59"/>
        <v>3</v>
      </c>
      <c r="X644" s="310" t="s">
        <v>54</v>
      </c>
      <c r="Y644" s="310" t="s">
        <v>56</v>
      </c>
      <c r="Z644" s="316"/>
      <c r="AA644" s="316" t="s">
        <v>2261</v>
      </c>
      <c r="AB644" s="316" t="s">
        <v>2261</v>
      </c>
    </row>
    <row r="645" spans="1:28" x14ac:dyDescent="0.25">
      <c r="A645" s="307">
        <f t="shared" si="55"/>
        <v>639</v>
      </c>
      <c r="B645" s="308">
        <v>45885</v>
      </c>
      <c r="C645" s="309">
        <f t="shared" si="56"/>
        <v>45870</v>
      </c>
      <c r="D645" s="310" t="s">
        <v>51</v>
      </c>
      <c r="E645" s="310" t="s">
        <v>2256</v>
      </c>
      <c r="F645" s="311">
        <v>9371069421</v>
      </c>
      <c r="G645" s="316" t="s">
        <v>1542</v>
      </c>
      <c r="H645" s="316" t="s">
        <v>1874</v>
      </c>
      <c r="I645" s="316" t="s">
        <v>2294</v>
      </c>
      <c r="J645" s="310" t="s">
        <v>168</v>
      </c>
      <c r="K645" s="312">
        <v>13190</v>
      </c>
      <c r="L645" s="312">
        <v>16380</v>
      </c>
      <c r="M645" s="313">
        <f t="shared" si="57"/>
        <v>3190</v>
      </c>
      <c r="N645" s="314">
        <f t="shared" si="58"/>
        <v>0.194749694749695</v>
      </c>
      <c r="O645" s="312">
        <v>13190</v>
      </c>
      <c r="P645" s="313">
        <f t="shared" si="54"/>
        <v>0</v>
      </c>
      <c r="Q645" s="310" t="s">
        <v>147</v>
      </c>
      <c r="R645" s="310">
        <v>192</v>
      </c>
      <c r="S645" s="310"/>
      <c r="T645" s="308">
        <v>45886</v>
      </c>
      <c r="U645" s="308">
        <v>45886</v>
      </c>
      <c r="V645" s="308"/>
      <c r="W645" s="315">
        <f t="shared" si="59"/>
        <v>1</v>
      </c>
      <c r="X645" s="310" t="s">
        <v>54</v>
      </c>
      <c r="Y645" s="310" t="s">
        <v>3762</v>
      </c>
      <c r="Z645" s="316"/>
      <c r="AA645" s="316" t="s">
        <v>2258</v>
      </c>
      <c r="AB645" s="316" t="s">
        <v>2258</v>
      </c>
    </row>
    <row r="646" spans="1:28" x14ac:dyDescent="0.25">
      <c r="A646" s="307">
        <f t="shared" si="55"/>
        <v>640</v>
      </c>
      <c r="B646" s="308">
        <v>45887</v>
      </c>
      <c r="C646" s="309">
        <f t="shared" si="56"/>
        <v>45870</v>
      </c>
      <c r="D646" s="310" t="s">
        <v>56</v>
      </c>
      <c r="E646" s="310" t="s">
        <v>1644</v>
      </c>
      <c r="F646" s="311">
        <v>9220186371</v>
      </c>
      <c r="G646" s="316" t="s">
        <v>6</v>
      </c>
      <c r="H646" s="316" t="s">
        <v>2270</v>
      </c>
      <c r="I646" s="316" t="s">
        <v>2271</v>
      </c>
      <c r="J646" s="310" t="s">
        <v>172</v>
      </c>
      <c r="K646" s="312">
        <v>33770</v>
      </c>
      <c r="L646" s="312">
        <v>46620</v>
      </c>
      <c r="M646" s="313">
        <f t="shared" si="57"/>
        <v>12850</v>
      </c>
      <c r="N646" s="314">
        <f t="shared" si="58"/>
        <v>0.275632775632776</v>
      </c>
      <c r="O646" s="312">
        <v>33770</v>
      </c>
      <c r="P646" s="313">
        <f t="shared" si="54"/>
        <v>0</v>
      </c>
      <c r="Q646" s="310" t="s">
        <v>147</v>
      </c>
      <c r="R646" s="310">
        <v>193</v>
      </c>
      <c r="S646" s="310"/>
      <c r="T646" s="308">
        <v>45890</v>
      </c>
      <c r="U646" s="308">
        <v>45890</v>
      </c>
      <c r="V646" s="308"/>
      <c r="W646" s="315">
        <f t="shared" si="59"/>
        <v>3</v>
      </c>
      <c r="X646" s="310" t="s">
        <v>54</v>
      </c>
      <c r="Y646" s="310" t="s">
        <v>56</v>
      </c>
      <c r="Z646" s="316"/>
      <c r="AA646" s="316" t="s">
        <v>2262</v>
      </c>
      <c r="AB646" s="316" t="s">
        <v>2262</v>
      </c>
    </row>
    <row r="647" spans="1:28" x14ac:dyDescent="0.25">
      <c r="A647" s="307">
        <f t="shared" si="55"/>
        <v>641</v>
      </c>
      <c r="B647" s="308">
        <v>45887</v>
      </c>
      <c r="C647" s="309">
        <f t="shared" si="56"/>
        <v>45870</v>
      </c>
      <c r="D647" s="310" t="s">
        <v>51</v>
      </c>
      <c r="E647" s="310" t="s">
        <v>757</v>
      </c>
      <c r="F647" s="311">
        <v>9030586663</v>
      </c>
      <c r="G647" s="316" t="s">
        <v>6</v>
      </c>
      <c r="H647" s="316" t="s">
        <v>1874</v>
      </c>
      <c r="I647" s="316" t="s">
        <v>2272</v>
      </c>
      <c r="J647" s="310" t="s">
        <v>623</v>
      </c>
      <c r="K647" s="312">
        <v>25690</v>
      </c>
      <c r="L647" s="312">
        <v>35600</v>
      </c>
      <c r="M647" s="313">
        <f t="shared" si="57"/>
        <v>9910</v>
      </c>
      <c r="N647" s="314">
        <f t="shared" si="58"/>
        <v>0.278370786516854</v>
      </c>
      <c r="O647" s="312">
        <v>25690</v>
      </c>
      <c r="P647" s="313">
        <f t="shared" ref="P647:P710" si="60">IF(OR($K647="",$O647=""),"",$K647-$O647)</f>
        <v>0</v>
      </c>
      <c r="Q647" s="310" t="s">
        <v>147</v>
      </c>
      <c r="R647" s="310">
        <v>194</v>
      </c>
      <c r="S647" s="310"/>
      <c r="T647" s="308">
        <v>45890</v>
      </c>
      <c r="U647" s="308">
        <v>45890</v>
      </c>
      <c r="V647" s="308"/>
      <c r="W647" s="315">
        <f t="shared" si="59"/>
        <v>3</v>
      </c>
      <c r="X647" s="310" t="s">
        <v>54</v>
      </c>
      <c r="Y647" s="310" t="s">
        <v>439</v>
      </c>
      <c r="Z647" s="316"/>
      <c r="AA647" s="316" t="s">
        <v>2262</v>
      </c>
      <c r="AB647" s="316" t="s">
        <v>2262</v>
      </c>
    </row>
    <row r="648" spans="1:28" x14ac:dyDescent="0.25">
      <c r="A648" s="307">
        <f t="shared" ref="A648:A711" si="61">IF($B648="","",ROW()-6)</f>
        <v>642</v>
      </c>
      <c r="B648" s="308">
        <v>45888</v>
      </c>
      <c r="C648" s="309">
        <f t="shared" ref="C648:C711" si="62">IF($B648="","",EOMONTH($B648,-1)+1)</f>
        <v>45870</v>
      </c>
      <c r="D648" s="310" t="s">
        <v>56</v>
      </c>
      <c r="E648" s="310" t="s">
        <v>1635</v>
      </c>
      <c r="F648" s="311">
        <v>9472230553</v>
      </c>
      <c r="G648" s="316" t="s">
        <v>6</v>
      </c>
      <c r="H648" s="316" t="s">
        <v>2273</v>
      </c>
      <c r="I648" s="316" t="s">
        <v>2274</v>
      </c>
      <c r="J648" s="310" t="s">
        <v>172</v>
      </c>
      <c r="K648" s="312">
        <v>33770</v>
      </c>
      <c r="L648" s="312">
        <v>46620</v>
      </c>
      <c r="M648" s="313">
        <f t="shared" ref="M648:M711" si="63">IF(OR($K648="",$L648=""),"",$L648-$K648)</f>
        <v>12850</v>
      </c>
      <c r="N648" s="314">
        <f t="shared" ref="N648:N711" si="64">IF(OR($L648="",$L648=0,$M648=""),"",$M648/$L648)</f>
        <v>0.275632775632776</v>
      </c>
      <c r="O648" s="312">
        <v>33770</v>
      </c>
      <c r="P648" s="313">
        <f t="shared" si="60"/>
        <v>0</v>
      </c>
      <c r="Q648" s="310" t="s">
        <v>147</v>
      </c>
      <c r="R648" s="310">
        <v>195</v>
      </c>
      <c r="S648" s="310"/>
      <c r="T648" s="308">
        <v>45891</v>
      </c>
      <c r="U648" s="308">
        <v>45891</v>
      </c>
      <c r="V648" s="308"/>
      <c r="W648" s="315">
        <f t="shared" ref="W648:W711" si="65">IF(OR($B648="",$U648=""),"",$U648-$B648)</f>
        <v>3</v>
      </c>
      <c r="X648" s="310" t="s">
        <v>54</v>
      </c>
      <c r="Y648" s="310" t="s">
        <v>56</v>
      </c>
      <c r="Z648" s="316"/>
      <c r="AA648" s="316" t="s">
        <v>2264</v>
      </c>
      <c r="AB648" s="316" t="s">
        <v>2264</v>
      </c>
    </row>
    <row r="649" spans="1:28" x14ac:dyDescent="0.25">
      <c r="A649" s="307">
        <f t="shared" si="61"/>
        <v>643</v>
      </c>
      <c r="B649" s="308">
        <v>45890</v>
      </c>
      <c r="C649" s="309">
        <f t="shared" si="62"/>
        <v>45870</v>
      </c>
      <c r="D649" s="310" t="s">
        <v>56</v>
      </c>
      <c r="E649" s="310" t="s">
        <v>60</v>
      </c>
      <c r="F649" s="311">
        <v>9589264337</v>
      </c>
      <c r="G649" s="316" t="s">
        <v>6</v>
      </c>
      <c r="H649" s="316" t="s">
        <v>2275</v>
      </c>
      <c r="I649" s="316" t="s">
        <v>2276</v>
      </c>
      <c r="J649" s="310" t="s">
        <v>172</v>
      </c>
      <c r="K649" s="312">
        <v>33770</v>
      </c>
      <c r="L649" s="312">
        <v>46620</v>
      </c>
      <c r="M649" s="313">
        <f t="shared" si="63"/>
        <v>12850</v>
      </c>
      <c r="N649" s="314">
        <f t="shared" si="64"/>
        <v>0.275632775632776</v>
      </c>
      <c r="O649" s="312">
        <v>33770</v>
      </c>
      <c r="P649" s="313">
        <f t="shared" si="60"/>
        <v>0</v>
      </c>
      <c r="Q649" s="310" t="s">
        <v>147</v>
      </c>
      <c r="R649" s="310">
        <v>196</v>
      </c>
      <c r="S649" s="310"/>
      <c r="T649" s="308">
        <v>45893</v>
      </c>
      <c r="U649" s="308">
        <v>45894</v>
      </c>
      <c r="V649" s="308"/>
      <c r="W649" s="315">
        <f t="shared" si="65"/>
        <v>4</v>
      </c>
      <c r="X649" s="310" t="s">
        <v>54</v>
      </c>
      <c r="Y649" s="310" t="s">
        <v>56</v>
      </c>
      <c r="Z649" s="316"/>
      <c r="AA649" s="316" t="s">
        <v>2267</v>
      </c>
      <c r="AB649" s="316" t="s">
        <v>2268</v>
      </c>
    </row>
    <row r="650" spans="1:28" x14ac:dyDescent="0.25">
      <c r="A650" s="307">
        <f t="shared" si="61"/>
        <v>644</v>
      </c>
      <c r="B650" s="308">
        <v>45891</v>
      </c>
      <c r="C650" s="309">
        <f t="shared" si="62"/>
        <v>45870</v>
      </c>
      <c r="D650" s="310" t="s">
        <v>56</v>
      </c>
      <c r="E650" s="310" t="s">
        <v>1641</v>
      </c>
      <c r="F650" s="311">
        <v>9281983602</v>
      </c>
      <c r="G650" s="316" t="s">
        <v>6</v>
      </c>
      <c r="H650" s="316" t="s">
        <v>2277</v>
      </c>
      <c r="I650" s="316" t="s">
        <v>2278</v>
      </c>
      <c r="J650" s="310" t="s">
        <v>172</v>
      </c>
      <c r="K650" s="312">
        <v>33770</v>
      </c>
      <c r="L650" s="312">
        <v>46620</v>
      </c>
      <c r="M650" s="313">
        <f t="shared" si="63"/>
        <v>12850</v>
      </c>
      <c r="N650" s="314">
        <f t="shared" si="64"/>
        <v>0.275632775632776</v>
      </c>
      <c r="O650" s="312">
        <v>33770</v>
      </c>
      <c r="P650" s="313">
        <f t="shared" si="60"/>
        <v>0</v>
      </c>
      <c r="Q650" s="310" t="s">
        <v>147</v>
      </c>
      <c r="R650" s="310">
        <v>197</v>
      </c>
      <c r="S650" s="310"/>
      <c r="T650" s="308">
        <v>45893</v>
      </c>
      <c r="U650" s="308">
        <v>45894</v>
      </c>
      <c r="V650" s="308"/>
      <c r="W650" s="315">
        <f t="shared" si="65"/>
        <v>3</v>
      </c>
      <c r="X650" s="310" t="s">
        <v>54</v>
      </c>
      <c r="Y650" s="310" t="s">
        <v>56</v>
      </c>
      <c r="Z650" s="316"/>
      <c r="AA650" s="316" t="s">
        <v>2267</v>
      </c>
      <c r="AB650" s="316" t="s">
        <v>2268</v>
      </c>
    </row>
    <row r="651" spans="1:28" x14ac:dyDescent="0.25">
      <c r="A651" s="307">
        <f t="shared" si="61"/>
        <v>645</v>
      </c>
      <c r="B651" s="308">
        <v>45891</v>
      </c>
      <c r="C651" s="309">
        <f t="shared" si="62"/>
        <v>45870</v>
      </c>
      <c r="D651" s="310" t="s">
        <v>51</v>
      </c>
      <c r="E651" s="310" t="s">
        <v>2263</v>
      </c>
      <c r="F651" s="311">
        <v>9112622468</v>
      </c>
      <c r="G651" s="316" t="s">
        <v>6</v>
      </c>
      <c r="H651" s="316" t="s">
        <v>2280</v>
      </c>
      <c r="I651" s="316" t="s">
        <v>2281</v>
      </c>
      <c r="J651" s="310" t="s">
        <v>623</v>
      </c>
      <c r="K651" s="312">
        <v>27700</v>
      </c>
      <c r="L651" s="312">
        <v>41900</v>
      </c>
      <c r="M651" s="313">
        <f t="shared" si="63"/>
        <v>14200</v>
      </c>
      <c r="N651" s="314">
        <f t="shared" si="64"/>
        <v>0.33890214797136</v>
      </c>
      <c r="O651" s="312">
        <v>27700</v>
      </c>
      <c r="P651" s="313">
        <f t="shared" si="60"/>
        <v>0</v>
      </c>
      <c r="Q651" s="310" t="s">
        <v>147</v>
      </c>
      <c r="R651" s="310">
        <v>198</v>
      </c>
      <c r="S651" s="310"/>
      <c r="T651" s="308">
        <v>45898</v>
      </c>
      <c r="U651" s="308">
        <v>45898</v>
      </c>
      <c r="V651" s="308"/>
      <c r="W651" s="315">
        <f t="shared" si="65"/>
        <v>7</v>
      </c>
      <c r="X651" s="310" t="s">
        <v>54</v>
      </c>
      <c r="Y651" s="310" t="s">
        <v>529</v>
      </c>
      <c r="Z651" s="316"/>
      <c r="AA651" s="316" t="s">
        <v>2299</v>
      </c>
      <c r="AB651" s="316" t="s">
        <v>2299</v>
      </c>
    </row>
    <row r="652" spans="1:28" x14ac:dyDescent="0.25">
      <c r="A652" s="307">
        <f t="shared" si="61"/>
        <v>646</v>
      </c>
      <c r="B652" s="308">
        <v>45892</v>
      </c>
      <c r="C652" s="309">
        <f t="shared" si="62"/>
        <v>45870</v>
      </c>
      <c r="D652" s="310" t="s">
        <v>56</v>
      </c>
      <c r="E652" s="310" t="s">
        <v>1637</v>
      </c>
      <c r="F652" s="311">
        <v>9025368773</v>
      </c>
      <c r="G652" s="316" t="s">
        <v>6</v>
      </c>
      <c r="H652" s="316" t="s">
        <v>2282</v>
      </c>
      <c r="I652" s="316" t="s">
        <v>2283</v>
      </c>
      <c r="J652" s="310" t="s">
        <v>172</v>
      </c>
      <c r="K652" s="312">
        <v>33770</v>
      </c>
      <c r="L652" s="312">
        <v>46620</v>
      </c>
      <c r="M652" s="313">
        <f t="shared" si="63"/>
        <v>12850</v>
      </c>
      <c r="N652" s="314">
        <f t="shared" si="64"/>
        <v>0.275632775632776</v>
      </c>
      <c r="O652" s="312">
        <v>33770</v>
      </c>
      <c r="P652" s="313">
        <f t="shared" si="60"/>
        <v>0</v>
      </c>
      <c r="Q652" s="310" t="s">
        <v>147</v>
      </c>
      <c r="R652" s="310">
        <v>199</v>
      </c>
      <c r="S652" s="310"/>
      <c r="T652" s="308">
        <v>45895</v>
      </c>
      <c r="U652" s="308">
        <v>45895</v>
      </c>
      <c r="V652" s="308"/>
      <c r="W652" s="315">
        <f t="shared" si="65"/>
        <v>3</v>
      </c>
      <c r="X652" s="310" t="s">
        <v>54</v>
      </c>
      <c r="Y652" s="310" t="s">
        <v>56</v>
      </c>
      <c r="Z652" s="316"/>
      <c r="AA652" s="316" t="s">
        <v>2269</v>
      </c>
      <c r="AB652" s="316" t="s">
        <v>2269</v>
      </c>
    </row>
    <row r="653" spans="1:28" x14ac:dyDescent="0.25">
      <c r="A653" s="307">
        <f t="shared" si="61"/>
        <v>647</v>
      </c>
      <c r="B653" s="308">
        <v>45892</v>
      </c>
      <c r="C653" s="309">
        <f t="shared" si="62"/>
        <v>45870</v>
      </c>
      <c r="D653" s="310" t="s">
        <v>51</v>
      </c>
      <c r="E653" s="310" t="s">
        <v>2265</v>
      </c>
      <c r="F653" s="311">
        <v>9988659797</v>
      </c>
      <c r="G653" s="316" t="s">
        <v>6</v>
      </c>
      <c r="H653" s="316" t="s">
        <v>1874</v>
      </c>
      <c r="I653" s="316" t="s">
        <v>2279</v>
      </c>
      <c r="J653" s="310" t="s">
        <v>172</v>
      </c>
      <c r="K653" s="312">
        <v>32290</v>
      </c>
      <c r="L653" s="312">
        <v>40320</v>
      </c>
      <c r="M653" s="313">
        <f t="shared" si="63"/>
        <v>8030</v>
      </c>
      <c r="N653" s="314">
        <f t="shared" si="64"/>
        <v>0.199156746031746</v>
      </c>
      <c r="O653" s="312">
        <v>32290</v>
      </c>
      <c r="P653" s="313">
        <f t="shared" si="60"/>
        <v>0</v>
      </c>
      <c r="Q653" s="310" t="s">
        <v>147</v>
      </c>
      <c r="R653" s="310">
        <v>200</v>
      </c>
      <c r="S653" s="310"/>
      <c r="T653" s="308">
        <v>45896</v>
      </c>
      <c r="U653" s="308">
        <v>45897</v>
      </c>
      <c r="V653" s="308"/>
      <c r="W653" s="315">
        <f t="shared" si="65"/>
        <v>5</v>
      </c>
      <c r="X653" s="310" t="s">
        <v>54</v>
      </c>
      <c r="Y653" s="310" t="s">
        <v>3742</v>
      </c>
      <c r="Z653" s="316"/>
      <c r="AA653" s="316" t="s">
        <v>2298</v>
      </c>
      <c r="AB653" s="316" t="s">
        <v>2297</v>
      </c>
    </row>
    <row r="654" spans="1:28" x14ac:dyDescent="0.25">
      <c r="A654" s="307">
        <f t="shared" si="61"/>
        <v>648</v>
      </c>
      <c r="B654" s="308">
        <v>45893</v>
      </c>
      <c r="C654" s="309">
        <f t="shared" si="62"/>
        <v>45870</v>
      </c>
      <c r="D654" s="310" t="s">
        <v>56</v>
      </c>
      <c r="E654" s="310" t="s">
        <v>38</v>
      </c>
      <c r="F654" s="311">
        <v>9515412075</v>
      </c>
      <c r="G654" s="316" t="s">
        <v>1093</v>
      </c>
      <c r="H654" s="316" t="s">
        <v>2295</v>
      </c>
      <c r="I654" s="316" t="s">
        <v>6</v>
      </c>
      <c r="J654" s="310" t="s">
        <v>59</v>
      </c>
      <c r="K654" s="312">
        <v>42370</v>
      </c>
      <c r="L654" s="312">
        <v>103950</v>
      </c>
      <c r="M654" s="313">
        <f t="shared" si="63"/>
        <v>61580</v>
      </c>
      <c r="N654" s="314">
        <f t="shared" si="64"/>
        <v>0.592400192400192</v>
      </c>
      <c r="O654" s="312">
        <v>42370</v>
      </c>
      <c r="P654" s="313">
        <f t="shared" si="60"/>
        <v>0</v>
      </c>
      <c r="Q654" s="310" t="s">
        <v>147</v>
      </c>
      <c r="R654" s="310">
        <v>201</v>
      </c>
      <c r="S654" s="310"/>
      <c r="T654" s="308">
        <v>45895</v>
      </c>
      <c r="U654" s="308">
        <v>45895</v>
      </c>
      <c r="V654" s="308"/>
      <c r="W654" s="315">
        <f t="shared" si="65"/>
        <v>2</v>
      </c>
      <c r="X654" s="310" t="s">
        <v>54</v>
      </c>
      <c r="Y654" s="310" t="s">
        <v>56</v>
      </c>
      <c r="Z654" s="316"/>
      <c r="AA654" s="316" t="s">
        <v>2269</v>
      </c>
      <c r="AB654" s="316" t="s">
        <v>2269</v>
      </c>
    </row>
    <row r="655" spans="1:28" x14ac:dyDescent="0.25">
      <c r="A655" s="307">
        <f t="shared" si="61"/>
        <v>649</v>
      </c>
      <c r="B655" s="308">
        <v>45894</v>
      </c>
      <c r="C655" s="309">
        <f t="shared" si="62"/>
        <v>45870</v>
      </c>
      <c r="D655" s="310" t="s">
        <v>51</v>
      </c>
      <c r="E655" s="310" t="s">
        <v>2266</v>
      </c>
      <c r="F655" s="311">
        <v>9671832523</v>
      </c>
      <c r="G655" s="316" t="s">
        <v>6</v>
      </c>
      <c r="H655" s="316" t="s">
        <v>2284</v>
      </c>
      <c r="I655" s="316" t="s">
        <v>2285</v>
      </c>
      <c r="J655" s="310" t="s">
        <v>172</v>
      </c>
      <c r="K655" s="312">
        <v>33770</v>
      </c>
      <c r="L655" s="312">
        <v>46620</v>
      </c>
      <c r="M655" s="313">
        <f t="shared" si="63"/>
        <v>12850</v>
      </c>
      <c r="N655" s="314">
        <f t="shared" si="64"/>
        <v>0.275632775632776</v>
      </c>
      <c r="O655" s="312">
        <v>33770</v>
      </c>
      <c r="P655" s="313">
        <f t="shared" si="60"/>
        <v>0</v>
      </c>
      <c r="Q655" s="310" t="s">
        <v>147</v>
      </c>
      <c r="R655" s="310">
        <v>202</v>
      </c>
      <c r="S655" s="310"/>
      <c r="T655" s="308">
        <v>45897</v>
      </c>
      <c r="U655" s="308">
        <v>45898</v>
      </c>
      <c r="V655" s="308"/>
      <c r="W655" s="315">
        <f t="shared" si="65"/>
        <v>4</v>
      </c>
      <c r="X655" s="310" t="s">
        <v>54</v>
      </c>
      <c r="Y655" s="310" t="s">
        <v>529</v>
      </c>
      <c r="Z655" s="316"/>
      <c r="AA655" s="316" t="s">
        <v>2297</v>
      </c>
      <c r="AB655" s="316" t="s">
        <v>2299</v>
      </c>
    </row>
    <row r="656" spans="1:28" x14ac:dyDescent="0.25">
      <c r="A656" s="307">
        <f t="shared" si="61"/>
        <v>650</v>
      </c>
      <c r="B656" s="308">
        <v>45895</v>
      </c>
      <c r="C656" s="309">
        <f t="shared" si="62"/>
        <v>45870</v>
      </c>
      <c r="D656" s="310" t="s">
        <v>56</v>
      </c>
      <c r="E656" s="310" t="s">
        <v>2286</v>
      </c>
      <c r="F656" s="311">
        <v>9220186371</v>
      </c>
      <c r="G656" s="316" t="s">
        <v>6</v>
      </c>
      <c r="H656" s="316" t="s">
        <v>2287</v>
      </c>
      <c r="I656" s="316" t="s">
        <v>2288</v>
      </c>
      <c r="J656" s="310" t="s">
        <v>172</v>
      </c>
      <c r="K656" s="312">
        <v>33770</v>
      </c>
      <c r="L656" s="312">
        <v>46620</v>
      </c>
      <c r="M656" s="313">
        <f t="shared" si="63"/>
        <v>12850</v>
      </c>
      <c r="N656" s="314">
        <f t="shared" si="64"/>
        <v>0.275632775632776</v>
      </c>
      <c r="O656" s="312">
        <v>33770</v>
      </c>
      <c r="P656" s="313">
        <f t="shared" si="60"/>
        <v>0</v>
      </c>
      <c r="Q656" s="310" t="s">
        <v>147</v>
      </c>
      <c r="R656" s="310">
        <v>203</v>
      </c>
      <c r="S656" s="310"/>
      <c r="T656" s="308">
        <v>45899</v>
      </c>
      <c r="U656" s="308">
        <v>45899</v>
      </c>
      <c r="V656" s="308"/>
      <c r="W656" s="315">
        <f t="shared" si="65"/>
        <v>4</v>
      </c>
      <c r="X656" s="310" t="s">
        <v>54</v>
      </c>
      <c r="Y656" s="310" t="s">
        <v>56</v>
      </c>
      <c r="Z656" s="316"/>
      <c r="AA656" s="316" t="s">
        <v>2303</v>
      </c>
      <c r="AB656" s="316" t="s">
        <v>2303</v>
      </c>
    </row>
    <row r="657" spans="1:28" x14ac:dyDescent="0.25">
      <c r="A657" s="307">
        <f t="shared" si="61"/>
        <v>651</v>
      </c>
      <c r="B657" s="308">
        <v>45896</v>
      </c>
      <c r="C657" s="309">
        <f t="shared" si="62"/>
        <v>45870</v>
      </c>
      <c r="D657" s="310" t="s">
        <v>56</v>
      </c>
      <c r="E657" s="310" t="s">
        <v>1641</v>
      </c>
      <c r="F657" s="311">
        <v>9281983602</v>
      </c>
      <c r="G657" s="316" t="s">
        <v>1093</v>
      </c>
      <c r="H657" s="316" t="s">
        <v>2296</v>
      </c>
      <c r="I657" s="316" t="s">
        <v>6</v>
      </c>
      <c r="J657" s="310" t="s">
        <v>172</v>
      </c>
      <c r="K657" s="312">
        <v>41230</v>
      </c>
      <c r="L657" s="312">
        <v>96390</v>
      </c>
      <c r="M657" s="313">
        <f t="shared" si="63"/>
        <v>55160</v>
      </c>
      <c r="N657" s="314">
        <f t="shared" si="64"/>
        <v>0.572258533042847</v>
      </c>
      <c r="O657" s="312">
        <v>41230</v>
      </c>
      <c r="P657" s="313">
        <f t="shared" si="60"/>
        <v>0</v>
      </c>
      <c r="Q657" s="310" t="s">
        <v>147</v>
      </c>
      <c r="R657" s="310">
        <v>204</v>
      </c>
      <c r="S657" s="310"/>
      <c r="T657" s="308">
        <v>45898</v>
      </c>
      <c r="U657" s="308">
        <v>45898</v>
      </c>
      <c r="V657" s="308"/>
      <c r="W657" s="315">
        <f t="shared" si="65"/>
        <v>2</v>
      </c>
      <c r="X657" s="310" t="s">
        <v>54</v>
      </c>
      <c r="Y657" s="310" t="s">
        <v>56</v>
      </c>
      <c r="Z657" s="316"/>
      <c r="AA657" s="316" t="s">
        <v>2299</v>
      </c>
      <c r="AB657" s="316" t="s">
        <v>2299</v>
      </c>
    </row>
    <row r="658" spans="1:28" x14ac:dyDescent="0.25">
      <c r="A658" s="307">
        <f t="shared" si="61"/>
        <v>652</v>
      </c>
      <c r="B658" s="308">
        <v>45896</v>
      </c>
      <c r="C658" s="309">
        <f t="shared" si="62"/>
        <v>45870</v>
      </c>
      <c r="D658" s="310" t="s">
        <v>56</v>
      </c>
      <c r="E658" s="310" t="s">
        <v>1635</v>
      </c>
      <c r="F658" s="311">
        <v>9472230553</v>
      </c>
      <c r="G658" s="316" t="s">
        <v>6</v>
      </c>
      <c r="H658" s="316" t="s">
        <v>2289</v>
      </c>
      <c r="I658" s="316" t="s">
        <v>2290</v>
      </c>
      <c r="J658" s="310" t="s">
        <v>172</v>
      </c>
      <c r="K658" s="312">
        <v>33770</v>
      </c>
      <c r="L658" s="312">
        <v>46620</v>
      </c>
      <c r="M658" s="313">
        <f t="shared" si="63"/>
        <v>12850</v>
      </c>
      <c r="N658" s="314">
        <f t="shared" si="64"/>
        <v>0.275632775632776</v>
      </c>
      <c r="O658" s="312">
        <v>33770</v>
      </c>
      <c r="P658" s="313">
        <f t="shared" si="60"/>
        <v>0</v>
      </c>
      <c r="Q658" s="310" t="s">
        <v>147</v>
      </c>
      <c r="R658" s="310">
        <v>205</v>
      </c>
      <c r="S658" s="310"/>
      <c r="T658" s="308">
        <v>45899</v>
      </c>
      <c r="U658" s="308">
        <v>45899</v>
      </c>
      <c r="V658" s="308"/>
      <c r="W658" s="315">
        <f t="shared" si="65"/>
        <v>3</v>
      </c>
      <c r="X658" s="310" t="s">
        <v>54</v>
      </c>
      <c r="Y658" s="310" t="s">
        <v>56</v>
      </c>
      <c r="Z658" s="316"/>
      <c r="AA658" s="316" t="s">
        <v>2303</v>
      </c>
      <c r="AB658" s="316" t="s">
        <v>2303</v>
      </c>
    </row>
    <row r="659" spans="1:28" x14ac:dyDescent="0.25">
      <c r="A659" s="307">
        <f t="shared" si="61"/>
        <v>653</v>
      </c>
      <c r="B659" s="308">
        <v>45897</v>
      </c>
      <c r="C659" s="309">
        <f t="shared" si="62"/>
        <v>45870</v>
      </c>
      <c r="D659" s="310" t="s">
        <v>56</v>
      </c>
      <c r="E659" s="310" t="s">
        <v>60</v>
      </c>
      <c r="F659" s="311">
        <v>9589264337</v>
      </c>
      <c r="G659" s="316" t="s">
        <v>1093</v>
      </c>
      <c r="H659" s="316" t="s">
        <v>2310</v>
      </c>
      <c r="I659" s="316" t="s">
        <v>6</v>
      </c>
      <c r="J659" s="310" t="s">
        <v>172</v>
      </c>
      <c r="K659" s="312">
        <v>42180</v>
      </c>
      <c r="L659" s="312">
        <v>102690</v>
      </c>
      <c r="M659" s="313">
        <f t="shared" si="63"/>
        <v>60510</v>
      </c>
      <c r="N659" s="314">
        <f t="shared" si="64"/>
        <v>0.58924919661116</v>
      </c>
      <c r="O659" s="312">
        <v>42180</v>
      </c>
      <c r="P659" s="313">
        <f t="shared" si="60"/>
        <v>0</v>
      </c>
      <c r="Q659" s="310" t="s">
        <v>147</v>
      </c>
      <c r="R659" s="310">
        <v>206</v>
      </c>
      <c r="S659" s="310"/>
      <c r="T659" s="308">
        <v>45900</v>
      </c>
      <c r="U659" s="308">
        <v>45900</v>
      </c>
      <c r="V659" s="308"/>
      <c r="W659" s="315">
        <f t="shared" si="65"/>
        <v>3</v>
      </c>
      <c r="X659" s="310" t="s">
        <v>54</v>
      </c>
      <c r="Y659" s="310" t="s">
        <v>56</v>
      </c>
      <c r="Z659" s="316"/>
      <c r="AA659" s="316" t="s">
        <v>2304</v>
      </c>
      <c r="AB659" s="316" t="s">
        <v>2304</v>
      </c>
    </row>
    <row r="660" spans="1:28" x14ac:dyDescent="0.25">
      <c r="A660" s="307">
        <f t="shared" si="61"/>
        <v>654</v>
      </c>
      <c r="B660" s="308">
        <v>45897</v>
      </c>
      <c r="C660" s="309">
        <f t="shared" si="62"/>
        <v>45870</v>
      </c>
      <c r="D660" s="310" t="s">
        <v>56</v>
      </c>
      <c r="E660" s="310" t="s">
        <v>38</v>
      </c>
      <c r="F660" s="311">
        <v>9025368773</v>
      </c>
      <c r="G660" s="316" t="s">
        <v>6</v>
      </c>
      <c r="H660" s="316" t="s">
        <v>2323</v>
      </c>
      <c r="I660" s="316" t="s">
        <v>2324</v>
      </c>
      <c r="J660" s="310" t="s">
        <v>59</v>
      </c>
      <c r="K660" s="312">
        <v>33530</v>
      </c>
      <c r="L660" s="312">
        <v>45040</v>
      </c>
      <c r="M660" s="313">
        <f t="shared" si="63"/>
        <v>11510</v>
      </c>
      <c r="N660" s="314">
        <f t="shared" si="64"/>
        <v>0.255550621669627</v>
      </c>
      <c r="O660" s="312">
        <v>33530</v>
      </c>
      <c r="P660" s="313">
        <f t="shared" si="60"/>
        <v>0</v>
      </c>
      <c r="Q660" s="310" t="s">
        <v>147</v>
      </c>
      <c r="R660" s="310">
        <v>207</v>
      </c>
      <c r="S660" s="310"/>
      <c r="T660" s="308">
        <v>45900</v>
      </c>
      <c r="U660" s="308">
        <v>45900</v>
      </c>
      <c r="V660" s="308"/>
      <c r="W660" s="315">
        <f t="shared" si="65"/>
        <v>3</v>
      </c>
      <c r="X660" s="310" t="s">
        <v>54</v>
      </c>
      <c r="Y660" s="310" t="s">
        <v>56</v>
      </c>
      <c r="Z660" s="316"/>
      <c r="AA660" s="316" t="s">
        <v>2304</v>
      </c>
      <c r="AB660" s="316" t="s">
        <v>2304</v>
      </c>
    </row>
    <row r="661" spans="1:28" x14ac:dyDescent="0.25">
      <c r="A661" s="307">
        <f t="shared" si="61"/>
        <v>655</v>
      </c>
      <c r="B661" s="308">
        <v>45898</v>
      </c>
      <c r="C661" s="309">
        <f t="shared" si="62"/>
        <v>45870</v>
      </c>
      <c r="D661" s="310" t="s">
        <v>56</v>
      </c>
      <c r="E661" s="310" t="s">
        <v>1641</v>
      </c>
      <c r="F661" s="311">
        <v>9281983602</v>
      </c>
      <c r="G661" s="316" t="s">
        <v>6</v>
      </c>
      <c r="H661" s="316" t="s">
        <v>2315</v>
      </c>
      <c r="I661" s="316" t="s">
        <v>2316</v>
      </c>
      <c r="J661" s="310" t="s">
        <v>172</v>
      </c>
      <c r="K661" s="312">
        <v>33770</v>
      </c>
      <c r="L661" s="312">
        <v>46620</v>
      </c>
      <c r="M661" s="313">
        <f t="shared" si="63"/>
        <v>12850</v>
      </c>
      <c r="N661" s="314">
        <f t="shared" si="64"/>
        <v>0.275632775632776</v>
      </c>
      <c r="O661" s="312">
        <v>33770</v>
      </c>
      <c r="P661" s="313">
        <f t="shared" si="60"/>
        <v>0</v>
      </c>
      <c r="Q661" s="310" t="s">
        <v>147</v>
      </c>
      <c r="R661" s="310">
        <v>208</v>
      </c>
      <c r="S661" s="310"/>
      <c r="T661" s="308">
        <v>45902</v>
      </c>
      <c r="U661" s="308">
        <v>45903</v>
      </c>
      <c r="V661" s="308"/>
      <c r="W661" s="315">
        <f t="shared" si="65"/>
        <v>5</v>
      </c>
      <c r="X661" s="310" t="s">
        <v>54</v>
      </c>
      <c r="Y661" s="310" t="s">
        <v>56</v>
      </c>
      <c r="Z661" s="316"/>
      <c r="AA661" s="317">
        <v>45697</v>
      </c>
      <c r="AB661" s="317">
        <v>45725</v>
      </c>
    </row>
    <row r="662" spans="1:28" x14ac:dyDescent="0.25">
      <c r="A662" s="307">
        <f t="shared" si="61"/>
        <v>656</v>
      </c>
      <c r="B662" s="308">
        <v>45899</v>
      </c>
      <c r="C662" s="309">
        <f t="shared" si="62"/>
        <v>45870</v>
      </c>
      <c r="D662" s="310" t="s">
        <v>56</v>
      </c>
      <c r="E662" s="310" t="s">
        <v>1637</v>
      </c>
      <c r="F662" s="311">
        <v>9842431449</v>
      </c>
      <c r="G662" s="316" t="s">
        <v>1093</v>
      </c>
      <c r="H662" s="316" t="s">
        <v>2311</v>
      </c>
      <c r="I662" s="316" t="s">
        <v>6</v>
      </c>
      <c r="J662" s="310" t="s">
        <v>172</v>
      </c>
      <c r="K662" s="312">
        <v>42180</v>
      </c>
      <c r="L662" s="312">
        <v>102690</v>
      </c>
      <c r="M662" s="313">
        <f t="shared" si="63"/>
        <v>60510</v>
      </c>
      <c r="N662" s="314">
        <f t="shared" si="64"/>
        <v>0.58924919661116</v>
      </c>
      <c r="O662" s="312">
        <v>42180</v>
      </c>
      <c r="P662" s="313">
        <f t="shared" si="60"/>
        <v>0</v>
      </c>
      <c r="Q662" s="310" t="s">
        <v>147</v>
      </c>
      <c r="R662" s="310">
        <v>209</v>
      </c>
      <c r="S662" s="310"/>
      <c r="T662" s="308">
        <v>45901</v>
      </c>
      <c r="U662" s="308">
        <v>45902</v>
      </c>
      <c r="V662" s="308"/>
      <c r="W662" s="315">
        <f t="shared" si="65"/>
        <v>3</v>
      </c>
      <c r="X662" s="310" t="s">
        <v>54</v>
      </c>
      <c r="Y662" s="310" t="s">
        <v>56</v>
      </c>
      <c r="Z662" s="316"/>
      <c r="AA662" s="317">
        <v>45666</v>
      </c>
      <c r="AB662" s="317">
        <v>45697</v>
      </c>
    </row>
    <row r="663" spans="1:28" x14ac:dyDescent="0.25">
      <c r="A663" s="307">
        <f t="shared" si="61"/>
        <v>657</v>
      </c>
      <c r="B663" s="308">
        <v>45900</v>
      </c>
      <c r="C663" s="309">
        <f t="shared" si="62"/>
        <v>45870</v>
      </c>
      <c r="D663" s="310" t="s">
        <v>56</v>
      </c>
      <c r="E663" s="310" t="s">
        <v>60</v>
      </c>
      <c r="F663" s="311">
        <v>9589264337</v>
      </c>
      <c r="G663" s="316" t="s">
        <v>6</v>
      </c>
      <c r="H663" s="316" t="s">
        <v>2317</v>
      </c>
      <c r="I663" s="316" t="s">
        <v>2318</v>
      </c>
      <c r="J663" s="310" t="s">
        <v>172</v>
      </c>
      <c r="K663" s="312">
        <v>33770</v>
      </c>
      <c r="L663" s="312">
        <v>46620</v>
      </c>
      <c r="M663" s="313">
        <f t="shared" si="63"/>
        <v>12850</v>
      </c>
      <c r="N663" s="314">
        <f t="shared" si="64"/>
        <v>0.275632775632776</v>
      </c>
      <c r="O663" s="312">
        <v>33770</v>
      </c>
      <c r="P663" s="313">
        <f t="shared" si="60"/>
        <v>0</v>
      </c>
      <c r="Q663" s="310" t="s">
        <v>147</v>
      </c>
      <c r="R663" s="310">
        <v>210</v>
      </c>
      <c r="S663" s="310"/>
      <c r="T663" s="308">
        <v>45903</v>
      </c>
      <c r="U663" s="308">
        <v>45903</v>
      </c>
      <c r="V663" s="308"/>
      <c r="W663" s="315">
        <f t="shared" si="65"/>
        <v>3</v>
      </c>
      <c r="X663" s="310" t="s">
        <v>54</v>
      </c>
      <c r="Y663" s="310" t="s">
        <v>56</v>
      </c>
      <c r="Z663" s="316"/>
      <c r="AA663" s="317">
        <v>45725</v>
      </c>
      <c r="AB663" s="317">
        <v>45725</v>
      </c>
    </row>
    <row r="664" spans="1:28" x14ac:dyDescent="0.25">
      <c r="A664" s="307">
        <f t="shared" si="61"/>
        <v>658</v>
      </c>
      <c r="B664" s="308">
        <v>45901</v>
      </c>
      <c r="C664" s="309">
        <f t="shared" si="62"/>
        <v>45901</v>
      </c>
      <c r="D664" s="310" t="s">
        <v>51</v>
      </c>
      <c r="E664" s="310" t="s">
        <v>2301</v>
      </c>
      <c r="F664" s="311">
        <v>9701859674</v>
      </c>
      <c r="G664" s="316" t="s">
        <v>6</v>
      </c>
      <c r="H664" s="316" t="s">
        <v>2319</v>
      </c>
      <c r="I664" s="316" t="s">
        <v>2320</v>
      </c>
      <c r="J664" s="310" t="s">
        <v>2302</v>
      </c>
      <c r="K664" s="312">
        <v>30850</v>
      </c>
      <c r="L664" s="312">
        <v>45040</v>
      </c>
      <c r="M664" s="313">
        <f t="shared" si="63"/>
        <v>14190</v>
      </c>
      <c r="N664" s="314">
        <f t="shared" si="64"/>
        <v>0.315053285968028</v>
      </c>
      <c r="O664" s="312">
        <v>30850</v>
      </c>
      <c r="P664" s="313">
        <f t="shared" si="60"/>
        <v>0</v>
      </c>
      <c r="Q664" s="310" t="s">
        <v>147</v>
      </c>
      <c r="R664" s="310">
        <v>211</v>
      </c>
      <c r="S664" s="310"/>
      <c r="T664" s="308">
        <v>45905</v>
      </c>
      <c r="U664" s="308">
        <v>45905</v>
      </c>
      <c r="V664" s="308"/>
      <c r="W664" s="315">
        <f t="shared" si="65"/>
        <v>4</v>
      </c>
      <c r="X664" s="310" t="s">
        <v>54</v>
      </c>
      <c r="Y664" s="310" t="s">
        <v>529</v>
      </c>
      <c r="Z664" s="316"/>
      <c r="AA664" s="317">
        <v>45786</v>
      </c>
      <c r="AB664" s="317">
        <v>45786</v>
      </c>
    </row>
    <row r="665" spans="1:28" x14ac:dyDescent="0.25">
      <c r="A665" s="307">
        <f t="shared" si="61"/>
        <v>659</v>
      </c>
      <c r="B665" s="308">
        <v>45902</v>
      </c>
      <c r="C665" s="309">
        <f t="shared" si="62"/>
        <v>45901</v>
      </c>
      <c r="D665" s="310" t="s">
        <v>56</v>
      </c>
      <c r="E665" s="310" t="s">
        <v>1635</v>
      </c>
      <c r="F665" s="311">
        <v>9472230553</v>
      </c>
      <c r="G665" s="316" t="s">
        <v>1093</v>
      </c>
      <c r="H665" s="316" t="s">
        <v>2314</v>
      </c>
      <c r="I665" s="316" t="s">
        <v>6</v>
      </c>
      <c r="J665" s="310" t="s">
        <v>172</v>
      </c>
      <c r="K665" s="312">
        <v>42180</v>
      </c>
      <c r="L665" s="312">
        <v>102690</v>
      </c>
      <c r="M665" s="313">
        <f t="shared" si="63"/>
        <v>60510</v>
      </c>
      <c r="N665" s="314">
        <f t="shared" si="64"/>
        <v>0.58924919661116</v>
      </c>
      <c r="O665" s="312">
        <v>42180</v>
      </c>
      <c r="P665" s="313">
        <f t="shared" si="60"/>
        <v>0</v>
      </c>
      <c r="Q665" s="310" t="s">
        <v>147</v>
      </c>
      <c r="R665" s="310">
        <v>212</v>
      </c>
      <c r="S665" s="310"/>
      <c r="T665" s="308">
        <v>45904</v>
      </c>
      <c r="U665" s="308">
        <v>45904</v>
      </c>
      <c r="V665" s="308"/>
      <c r="W665" s="315">
        <f t="shared" si="65"/>
        <v>2</v>
      </c>
      <c r="X665" s="310" t="s">
        <v>54</v>
      </c>
      <c r="Y665" s="310" t="s">
        <v>56</v>
      </c>
      <c r="Z665" s="316"/>
      <c r="AA665" s="317">
        <v>45756</v>
      </c>
      <c r="AB665" s="317">
        <v>45756</v>
      </c>
    </row>
    <row r="666" spans="1:28" x14ac:dyDescent="0.25">
      <c r="A666" s="307">
        <f t="shared" si="61"/>
        <v>660</v>
      </c>
      <c r="B666" s="308">
        <v>45902</v>
      </c>
      <c r="C666" s="309">
        <f t="shared" si="62"/>
        <v>45901</v>
      </c>
      <c r="D666" s="310" t="s">
        <v>56</v>
      </c>
      <c r="E666" s="310" t="s">
        <v>1637</v>
      </c>
      <c r="F666" s="311">
        <v>9515412075</v>
      </c>
      <c r="G666" s="316" t="s">
        <v>6</v>
      </c>
      <c r="H666" s="316" t="s">
        <v>2321</v>
      </c>
      <c r="I666" s="316" t="s">
        <v>2322</v>
      </c>
      <c r="J666" s="310" t="s">
        <v>172</v>
      </c>
      <c r="K666" s="312">
        <v>33770</v>
      </c>
      <c r="L666" s="312">
        <v>46620</v>
      </c>
      <c r="M666" s="313">
        <f t="shared" si="63"/>
        <v>12850</v>
      </c>
      <c r="N666" s="314">
        <f t="shared" si="64"/>
        <v>0.275632775632776</v>
      </c>
      <c r="O666" s="312">
        <v>33770</v>
      </c>
      <c r="P666" s="313">
        <f t="shared" si="60"/>
        <v>0</v>
      </c>
      <c r="Q666" s="310" t="s">
        <v>147</v>
      </c>
      <c r="R666" s="310">
        <v>213</v>
      </c>
      <c r="S666" s="310"/>
      <c r="T666" s="308">
        <v>45904</v>
      </c>
      <c r="U666" s="308">
        <v>45904</v>
      </c>
      <c r="V666" s="308"/>
      <c r="W666" s="315">
        <f t="shared" si="65"/>
        <v>2</v>
      </c>
      <c r="X666" s="310" t="s">
        <v>54</v>
      </c>
      <c r="Y666" s="310" t="s">
        <v>56</v>
      </c>
      <c r="Z666" s="316"/>
      <c r="AA666" s="317">
        <v>45756</v>
      </c>
      <c r="AB666" s="317">
        <v>45756</v>
      </c>
    </row>
    <row r="667" spans="1:28" x14ac:dyDescent="0.25">
      <c r="A667" s="307">
        <f t="shared" si="61"/>
        <v>661</v>
      </c>
      <c r="B667" s="308">
        <v>45902</v>
      </c>
      <c r="C667" s="309">
        <f t="shared" si="62"/>
        <v>45901</v>
      </c>
      <c r="D667" s="310" t="s">
        <v>56</v>
      </c>
      <c r="E667" s="310" t="s">
        <v>1644</v>
      </c>
      <c r="F667" s="311">
        <v>9902798068</v>
      </c>
      <c r="G667" s="316" t="s">
        <v>1093</v>
      </c>
      <c r="H667" s="316" t="s">
        <v>1874</v>
      </c>
      <c r="I667" s="316" t="s">
        <v>2312</v>
      </c>
      <c r="J667" s="310" t="s">
        <v>172</v>
      </c>
      <c r="K667" s="312">
        <v>41230</v>
      </c>
      <c r="L667" s="312">
        <v>96390</v>
      </c>
      <c r="M667" s="313">
        <f t="shared" si="63"/>
        <v>55160</v>
      </c>
      <c r="N667" s="314">
        <f t="shared" si="64"/>
        <v>0.572258533042847</v>
      </c>
      <c r="O667" s="312">
        <v>41230</v>
      </c>
      <c r="P667" s="313">
        <f t="shared" si="60"/>
        <v>0</v>
      </c>
      <c r="Q667" s="310" t="s">
        <v>147</v>
      </c>
      <c r="R667" s="310">
        <v>214</v>
      </c>
      <c r="S667" s="310"/>
      <c r="T667" s="308">
        <v>45906</v>
      </c>
      <c r="U667" s="308">
        <v>45906</v>
      </c>
      <c r="V667" s="308"/>
      <c r="W667" s="315">
        <f t="shared" si="65"/>
        <v>4</v>
      </c>
      <c r="X667" s="310" t="s">
        <v>54</v>
      </c>
      <c r="Y667" s="310" t="s">
        <v>56</v>
      </c>
      <c r="Z667" s="316"/>
      <c r="AA667" s="317">
        <v>45817</v>
      </c>
      <c r="AB667" s="317">
        <v>45817</v>
      </c>
    </row>
    <row r="668" spans="1:28" x14ac:dyDescent="0.25">
      <c r="A668" s="307">
        <f t="shared" si="61"/>
        <v>662</v>
      </c>
      <c r="B668" s="308">
        <v>45904</v>
      </c>
      <c r="C668" s="309">
        <f t="shared" si="62"/>
        <v>45901</v>
      </c>
      <c r="D668" s="310" t="s">
        <v>56</v>
      </c>
      <c r="E668" s="310" t="s">
        <v>38</v>
      </c>
      <c r="F668" s="311">
        <v>9842431449</v>
      </c>
      <c r="G668" s="316" t="s">
        <v>1093</v>
      </c>
      <c r="H668" s="316" t="s">
        <v>1874</v>
      </c>
      <c r="I668" s="316" t="s">
        <v>2313</v>
      </c>
      <c r="J668" s="310" t="s">
        <v>59</v>
      </c>
      <c r="K668" s="312">
        <v>40480</v>
      </c>
      <c r="L668" s="312">
        <v>91350</v>
      </c>
      <c r="M668" s="313">
        <f t="shared" si="63"/>
        <v>50870</v>
      </c>
      <c r="N668" s="314">
        <f t="shared" si="64"/>
        <v>0.556869184455391</v>
      </c>
      <c r="O668" s="312">
        <v>40480</v>
      </c>
      <c r="P668" s="313">
        <f t="shared" si="60"/>
        <v>0</v>
      </c>
      <c r="Q668" s="310" t="s">
        <v>147</v>
      </c>
      <c r="R668" s="310">
        <v>215</v>
      </c>
      <c r="S668" s="310"/>
      <c r="T668" s="308">
        <v>45907</v>
      </c>
      <c r="U668" s="308">
        <v>45907</v>
      </c>
      <c r="V668" s="308"/>
      <c r="W668" s="315">
        <f t="shared" si="65"/>
        <v>3</v>
      </c>
      <c r="X668" s="310" t="s">
        <v>54</v>
      </c>
      <c r="Y668" s="310" t="s">
        <v>56</v>
      </c>
      <c r="Z668" s="316"/>
      <c r="AA668" s="317">
        <v>45847</v>
      </c>
      <c r="AB668" s="317">
        <v>45847</v>
      </c>
    </row>
    <row r="669" spans="1:28" x14ac:dyDescent="0.25">
      <c r="A669" s="307">
        <f t="shared" si="61"/>
        <v>663</v>
      </c>
      <c r="B669" s="308">
        <v>45905</v>
      </c>
      <c r="C669" s="309">
        <f t="shared" si="62"/>
        <v>45901</v>
      </c>
      <c r="D669" s="310" t="s">
        <v>56</v>
      </c>
      <c r="E669" s="310" t="s">
        <v>1635</v>
      </c>
      <c r="F669" s="311">
        <v>9472230553</v>
      </c>
      <c r="G669" s="316" t="s">
        <v>6</v>
      </c>
      <c r="H669" s="316" t="s">
        <v>440</v>
      </c>
      <c r="I669" s="316" t="s">
        <v>41</v>
      </c>
      <c r="J669" s="310" t="s">
        <v>172</v>
      </c>
      <c r="K669" s="312">
        <v>33770</v>
      </c>
      <c r="L669" s="312">
        <v>46620</v>
      </c>
      <c r="M669" s="313">
        <f t="shared" si="63"/>
        <v>12850</v>
      </c>
      <c r="N669" s="314">
        <f t="shared" si="64"/>
        <v>0.275632775632776</v>
      </c>
      <c r="O669" s="312">
        <v>33770</v>
      </c>
      <c r="P669" s="313">
        <f t="shared" si="60"/>
        <v>0</v>
      </c>
      <c r="Q669" s="310" t="s">
        <v>147</v>
      </c>
      <c r="R669" s="310">
        <v>216</v>
      </c>
      <c r="S669" s="310"/>
      <c r="T669" s="308">
        <v>45908</v>
      </c>
      <c r="U669" s="308">
        <v>45908</v>
      </c>
      <c r="V669" s="308"/>
      <c r="W669" s="315">
        <f t="shared" si="65"/>
        <v>3</v>
      </c>
      <c r="X669" s="310" t="s">
        <v>54</v>
      </c>
      <c r="Y669" s="310" t="s">
        <v>56</v>
      </c>
      <c r="Z669" s="316"/>
      <c r="AA669" s="317">
        <v>45878</v>
      </c>
      <c r="AB669" s="317">
        <v>45878</v>
      </c>
    </row>
    <row r="670" spans="1:28" x14ac:dyDescent="0.25">
      <c r="A670" s="307">
        <f t="shared" si="61"/>
        <v>664</v>
      </c>
      <c r="B670" s="308">
        <v>45905</v>
      </c>
      <c r="C670" s="309">
        <f t="shared" si="62"/>
        <v>45901</v>
      </c>
      <c r="D670" s="310" t="s">
        <v>56</v>
      </c>
      <c r="E670" s="310" t="s">
        <v>60</v>
      </c>
      <c r="F670" s="311">
        <v>9589264337</v>
      </c>
      <c r="G670" s="316" t="s">
        <v>1093</v>
      </c>
      <c r="H670" s="316" t="s">
        <v>2332</v>
      </c>
      <c r="I670" s="316" t="s">
        <v>6</v>
      </c>
      <c r="J670" s="310" t="s">
        <v>172</v>
      </c>
      <c r="K670" s="312">
        <v>43120</v>
      </c>
      <c r="L670" s="312">
        <v>108990</v>
      </c>
      <c r="M670" s="313">
        <f t="shared" si="63"/>
        <v>65870</v>
      </c>
      <c r="N670" s="314">
        <f t="shared" si="64"/>
        <v>0.6043673731535</v>
      </c>
      <c r="O670" s="312">
        <v>43120</v>
      </c>
      <c r="P670" s="313">
        <f t="shared" si="60"/>
        <v>0</v>
      </c>
      <c r="Q670" s="310" t="s">
        <v>147</v>
      </c>
      <c r="R670" s="310">
        <v>217</v>
      </c>
      <c r="S670" s="310"/>
      <c r="T670" s="308">
        <v>45908</v>
      </c>
      <c r="U670" s="308">
        <v>45908</v>
      </c>
      <c r="V670" s="308"/>
      <c r="W670" s="315">
        <f t="shared" si="65"/>
        <v>3</v>
      </c>
      <c r="X670" s="310" t="s">
        <v>54</v>
      </c>
      <c r="Y670" s="310" t="s">
        <v>56</v>
      </c>
      <c r="Z670" s="316"/>
      <c r="AA670" s="317">
        <v>45878</v>
      </c>
      <c r="AB670" s="317">
        <v>45878</v>
      </c>
    </row>
    <row r="671" spans="1:28" x14ac:dyDescent="0.25">
      <c r="A671" s="307">
        <f t="shared" si="61"/>
        <v>665</v>
      </c>
      <c r="B671" s="308">
        <v>45906</v>
      </c>
      <c r="C671" s="309">
        <f t="shared" si="62"/>
        <v>45901</v>
      </c>
      <c r="D671" s="310" t="s">
        <v>56</v>
      </c>
      <c r="E671" s="310" t="s">
        <v>1644</v>
      </c>
      <c r="F671" s="311">
        <v>9220186371</v>
      </c>
      <c r="G671" s="316" t="s">
        <v>6</v>
      </c>
      <c r="H671" s="316" t="s">
        <v>440</v>
      </c>
      <c r="I671" s="316" t="s">
        <v>41</v>
      </c>
      <c r="J671" s="310" t="s">
        <v>172</v>
      </c>
      <c r="K671" s="312">
        <v>33770</v>
      </c>
      <c r="L671" s="312">
        <v>46620</v>
      </c>
      <c r="M671" s="313">
        <f t="shared" si="63"/>
        <v>12850</v>
      </c>
      <c r="N671" s="314">
        <f t="shared" si="64"/>
        <v>0.275632775632776</v>
      </c>
      <c r="O671" s="312">
        <v>33770</v>
      </c>
      <c r="P671" s="313">
        <f t="shared" si="60"/>
        <v>0</v>
      </c>
      <c r="Q671" s="310" t="s">
        <v>147</v>
      </c>
      <c r="R671" s="310">
        <v>218</v>
      </c>
      <c r="S671" s="310"/>
      <c r="T671" s="308">
        <v>45909</v>
      </c>
      <c r="U671" s="308">
        <v>45909</v>
      </c>
      <c r="V671" s="308"/>
      <c r="W671" s="315">
        <f t="shared" si="65"/>
        <v>3</v>
      </c>
      <c r="X671" s="310" t="s">
        <v>54</v>
      </c>
      <c r="Y671" s="310" t="s">
        <v>56</v>
      </c>
      <c r="Z671" s="316"/>
      <c r="AA671" s="317">
        <v>45909</v>
      </c>
      <c r="AB671" s="317">
        <v>45909</v>
      </c>
    </row>
    <row r="672" spans="1:28" x14ac:dyDescent="0.25">
      <c r="A672" s="307">
        <f t="shared" si="61"/>
        <v>666</v>
      </c>
      <c r="B672" s="308">
        <v>45907</v>
      </c>
      <c r="C672" s="309">
        <f t="shared" si="62"/>
        <v>45901</v>
      </c>
      <c r="D672" s="310" t="s">
        <v>56</v>
      </c>
      <c r="E672" s="310" t="s">
        <v>1637</v>
      </c>
      <c r="F672" s="311">
        <v>9842431449</v>
      </c>
      <c r="G672" s="316" t="s">
        <v>1093</v>
      </c>
      <c r="H672" s="316" t="s">
        <v>2327</v>
      </c>
      <c r="I672" s="316" t="s">
        <v>2331</v>
      </c>
      <c r="J672" s="310" t="s">
        <v>172</v>
      </c>
      <c r="K672" s="312">
        <v>41230</v>
      </c>
      <c r="L672" s="312">
        <v>96390</v>
      </c>
      <c r="M672" s="313">
        <f t="shared" si="63"/>
        <v>55160</v>
      </c>
      <c r="N672" s="314">
        <f t="shared" si="64"/>
        <v>0.572258533042847</v>
      </c>
      <c r="O672" s="312">
        <v>41230</v>
      </c>
      <c r="P672" s="313">
        <f t="shared" si="60"/>
        <v>0</v>
      </c>
      <c r="Q672" s="310" t="s">
        <v>147</v>
      </c>
      <c r="R672" s="310">
        <v>219</v>
      </c>
      <c r="S672" s="310"/>
      <c r="T672" s="308">
        <v>45909</v>
      </c>
      <c r="U672" s="308">
        <v>45909</v>
      </c>
      <c r="V672" s="308"/>
      <c r="W672" s="315">
        <f t="shared" si="65"/>
        <v>2</v>
      </c>
      <c r="X672" s="310" t="s">
        <v>54</v>
      </c>
      <c r="Y672" s="310" t="s">
        <v>56</v>
      </c>
      <c r="Z672" s="316"/>
      <c r="AA672" s="317">
        <v>45909</v>
      </c>
      <c r="AB672" s="317">
        <v>45909</v>
      </c>
    </row>
    <row r="673" spans="1:28" x14ac:dyDescent="0.25">
      <c r="A673" s="307">
        <f t="shared" si="61"/>
        <v>667</v>
      </c>
      <c r="B673" s="308">
        <v>45908</v>
      </c>
      <c r="C673" s="309">
        <f t="shared" si="62"/>
        <v>45901</v>
      </c>
      <c r="D673" s="310" t="s">
        <v>56</v>
      </c>
      <c r="E673" s="310" t="s">
        <v>60</v>
      </c>
      <c r="F673" s="311">
        <v>9589264337</v>
      </c>
      <c r="G673" s="316" t="s">
        <v>6</v>
      </c>
      <c r="H673" s="316" t="s">
        <v>440</v>
      </c>
      <c r="I673" s="316" t="s">
        <v>41</v>
      </c>
      <c r="J673" s="310" t="s">
        <v>172</v>
      </c>
      <c r="K673" s="312">
        <v>33770</v>
      </c>
      <c r="L673" s="312">
        <v>46620</v>
      </c>
      <c r="M673" s="313">
        <f t="shared" si="63"/>
        <v>12850</v>
      </c>
      <c r="N673" s="314">
        <f t="shared" si="64"/>
        <v>0.275632775632776</v>
      </c>
      <c r="O673" s="312">
        <v>33770</v>
      </c>
      <c r="P673" s="313">
        <f t="shared" si="60"/>
        <v>0</v>
      </c>
      <c r="Q673" s="310" t="s">
        <v>147</v>
      </c>
      <c r="R673" s="310">
        <v>220</v>
      </c>
      <c r="S673" s="310"/>
      <c r="T673" s="308">
        <v>45912</v>
      </c>
      <c r="U673" s="308">
        <v>45912</v>
      </c>
      <c r="V673" s="308"/>
      <c r="W673" s="315">
        <f t="shared" si="65"/>
        <v>4</v>
      </c>
      <c r="X673" s="310" t="s">
        <v>54</v>
      </c>
      <c r="Y673" s="310" t="s">
        <v>56</v>
      </c>
      <c r="Z673" s="316"/>
      <c r="AA673" s="317">
        <v>46000</v>
      </c>
      <c r="AB673" s="317">
        <v>46000</v>
      </c>
    </row>
    <row r="674" spans="1:28" x14ac:dyDescent="0.25">
      <c r="A674" s="307">
        <f t="shared" si="61"/>
        <v>668</v>
      </c>
      <c r="B674" s="308">
        <v>45908</v>
      </c>
      <c r="C674" s="309">
        <f t="shared" si="62"/>
        <v>45901</v>
      </c>
      <c r="D674" s="310" t="s">
        <v>51</v>
      </c>
      <c r="E674" s="310" t="s">
        <v>696</v>
      </c>
      <c r="F674" s="311">
        <v>9103584346</v>
      </c>
      <c r="G674" s="316" t="s">
        <v>6</v>
      </c>
      <c r="H674" s="316" t="s">
        <v>1874</v>
      </c>
      <c r="I674" s="316" t="s">
        <v>2379</v>
      </c>
      <c r="J674" s="310" t="s">
        <v>172</v>
      </c>
      <c r="K674" s="312">
        <v>31750</v>
      </c>
      <c r="L674" s="312">
        <v>40320</v>
      </c>
      <c r="M674" s="313">
        <f t="shared" si="63"/>
        <v>8570</v>
      </c>
      <c r="N674" s="314">
        <f t="shared" si="64"/>
        <v>0.212549603174603</v>
      </c>
      <c r="O674" s="312">
        <v>31750</v>
      </c>
      <c r="P674" s="313">
        <f t="shared" si="60"/>
        <v>0</v>
      </c>
      <c r="Q674" s="310" t="s">
        <v>147</v>
      </c>
      <c r="R674" s="310">
        <v>225</v>
      </c>
      <c r="S674" s="310"/>
      <c r="T674" s="308">
        <v>45912</v>
      </c>
      <c r="U674" s="308">
        <v>45912</v>
      </c>
      <c r="V674" s="308"/>
      <c r="W674" s="315">
        <f t="shared" si="65"/>
        <v>4</v>
      </c>
      <c r="X674" s="310" t="s">
        <v>54</v>
      </c>
      <c r="Y674" s="310" t="s">
        <v>439</v>
      </c>
      <c r="Z674" s="316"/>
      <c r="AA674" s="317">
        <v>46000</v>
      </c>
      <c r="AB674" s="317">
        <v>46000</v>
      </c>
    </row>
    <row r="675" spans="1:28" x14ac:dyDescent="0.25">
      <c r="A675" s="307">
        <f t="shared" si="61"/>
        <v>669</v>
      </c>
      <c r="B675" s="308">
        <v>45909</v>
      </c>
      <c r="C675" s="309">
        <f t="shared" si="62"/>
        <v>45901</v>
      </c>
      <c r="D675" s="310" t="s">
        <v>56</v>
      </c>
      <c r="E675" s="310" t="s">
        <v>38</v>
      </c>
      <c r="F675" s="311">
        <v>9515412075</v>
      </c>
      <c r="G675" s="316" t="s">
        <v>6</v>
      </c>
      <c r="H675" s="316" t="s">
        <v>440</v>
      </c>
      <c r="I675" s="316" t="s">
        <v>2381</v>
      </c>
      <c r="J675" s="310" t="s">
        <v>59</v>
      </c>
      <c r="K675" s="312">
        <v>33530</v>
      </c>
      <c r="L675" s="312">
        <v>45040</v>
      </c>
      <c r="M675" s="313">
        <f t="shared" si="63"/>
        <v>11510</v>
      </c>
      <c r="N675" s="314">
        <f t="shared" si="64"/>
        <v>0.255550621669627</v>
      </c>
      <c r="O675" s="312">
        <v>33530</v>
      </c>
      <c r="P675" s="313">
        <f t="shared" si="60"/>
        <v>0</v>
      </c>
      <c r="Q675" s="310" t="s">
        <v>147</v>
      </c>
      <c r="R675" s="310">
        <v>226</v>
      </c>
      <c r="S675" s="310"/>
      <c r="T675" s="308">
        <v>45912</v>
      </c>
      <c r="U675" s="308">
        <v>45912</v>
      </c>
      <c r="V675" s="308"/>
      <c r="W675" s="315">
        <f t="shared" si="65"/>
        <v>3</v>
      </c>
      <c r="X675" s="310" t="s">
        <v>54</v>
      </c>
      <c r="Y675" s="310" t="s">
        <v>56</v>
      </c>
      <c r="Z675" s="316"/>
      <c r="AA675" s="317">
        <v>46000</v>
      </c>
      <c r="AB675" s="317">
        <v>46000</v>
      </c>
    </row>
    <row r="676" spans="1:28" x14ac:dyDescent="0.25">
      <c r="A676" s="307">
        <f t="shared" si="61"/>
        <v>670</v>
      </c>
      <c r="B676" s="308">
        <v>45910</v>
      </c>
      <c r="C676" s="309">
        <f t="shared" si="62"/>
        <v>45901</v>
      </c>
      <c r="D676" s="310" t="s">
        <v>56</v>
      </c>
      <c r="E676" s="310" t="s">
        <v>1635</v>
      </c>
      <c r="F676" s="311">
        <v>9472230553</v>
      </c>
      <c r="G676" s="316" t="s">
        <v>1093</v>
      </c>
      <c r="H676" s="316" t="s">
        <v>1874</v>
      </c>
      <c r="I676" s="316" t="s">
        <v>2333</v>
      </c>
      <c r="J676" s="310" t="s">
        <v>172</v>
      </c>
      <c r="K676" s="312">
        <v>41230</v>
      </c>
      <c r="L676" s="312">
        <v>96390</v>
      </c>
      <c r="M676" s="313">
        <f t="shared" si="63"/>
        <v>55160</v>
      </c>
      <c r="N676" s="314">
        <f t="shared" si="64"/>
        <v>0.572258533042847</v>
      </c>
      <c r="O676" s="312">
        <v>41230</v>
      </c>
      <c r="P676" s="313">
        <f t="shared" si="60"/>
        <v>0</v>
      </c>
      <c r="Q676" s="310" t="s">
        <v>147</v>
      </c>
      <c r="R676" s="310">
        <v>223</v>
      </c>
      <c r="S676" s="310"/>
      <c r="T676" s="308">
        <v>45912</v>
      </c>
      <c r="U676" s="308">
        <v>45912</v>
      </c>
      <c r="V676" s="308"/>
      <c r="W676" s="315">
        <f t="shared" si="65"/>
        <v>2</v>
      </c>
      <c r="X676" s="310" t="s">
        <v>54</v>
      </c>
      <c r="Y676" s="310" t="s">
        <v>56</v>
      </c>
      <c r="Z676" s="316"/>
      <c r="AA676" s="317">
        <v>46000</v>
      </c>
      <c r="AB676" s="317">
        <v>46000</v>
      </c>
    </row>
    <row r="677" spans="1:28" x14ac:dyDescent="0.25">
      <c r="A677" s="307">
        <f t="shared" si="61"/>
        <v>671</v>
      </c>
      <c r="B677" s="308">
        <v>45910</v>
      </c>
      <c r="C677" s="309">
        <f t="shared" si="62"/>
        <v>45901</v>
      </c>
      <c r="D677" s="310" t="s">
        <v>56</v>
      </c>
      <c r="E677" s="310" t="s">
        <v>1637</v>
      </c>
      <c r="F677" s="311">
        <v>9842431449</v>
      </c>
      <c r="G677" s="316" t="s">
        <v>6</v>
      </c>
      <c r="H677" s="316" t="s">
        <v>440</v>
      </c>
      <c r="I677" s="316" t="s">
        <v>2380</v>
      </c>
      <c r="J677" s="310" t="s">
        <v>172</v>
      </c>
      <c r="K677" s="312">
        <v>33770</v>
      </c>
      <c r="L677" s="312">
        <v>46620</v>
      </c>
      <c r="M677" s="313">
        <f t="shared" si="63"/>
        <v>12850</v>
      </c>
      <c r="N677" s="314">
        <f t="shared" si="64"/>
        <v>0.275632775632776</v>
      </c>
      <c r="O677" s="312">
        <v>33770</v>
      </c>
      <c r="P677" s="313">
        <f t="shared" si="60"/>
        <v>0</v>
      </c>
      <c r="Q677" s="310" t="s">
        <v>147</v>
      </c>
      <c r="R677" s="310">
        <v>227</v>
      </c>
      <c r="S677" s="310"/>
      <c r="T677" s="308">
        <v>45912</v>
      </c>
      <c r="U677" s="308">
        <v>45912</v>
      </c>
      <c r="V677" s="308"/>
      <c r="W677" s="315">
        <f t="shared" si="65"/>
        <v>2</v>
      </c>
      <c r="X677" s="310" t="s">
        <v>54</v>
      </c>
      <c r="Y677" s="310" t="s">
        <v>56</v>
      </c>
      <c r="Z677" s="316"/>
      <c r="AA677" s="317">
        <v>46000</v>
      </c>
      <c r="AB677" s="317">
        <v>46000</v>
      </c>
    </row>
    <row r="678" spans="1:28" x14ac:dyDescent="0.25">
      <c r="A678" s="307">
        <f t="shared" si="61"/>
        <v>672</v>
      </c>
      <c r="B678" s="308">
        <v>45911</v>
      </c>
      <c r="C678" s="309">
        <f t="shared" si="62"/>
        <v>45901</v>
      </c>
      <c r="D678" s="310" t="s">
        <v>51</v>
      </c>
      <c r="E678" s="310" t="s">
        <v>2334</v>
      </c>
      <c r="F678" s="311" t="s">
        <v>1874</v>
      </c>
      <c r="G678" s="316" t="s">
        <v>6</v>
      </c>
      <c r="H678" s="316" t="s">
        <v>1874</v>
      </c>
      <c r="I678" s="316" t="s">
        <v>2359</v>
      </c>
      <c r="J678" s="310" t="s">
        <v>381</v>
      </c>
      <c r="K678" s="312">
        <v>60920</v>
      </c>
      <c r="L678" s="312">
        <v>80500</v>
      </c>
      <c r="M678" s="313">
        <f t="shared" si="63"/>
        <v>19580</v>
      </c>
      <c r="N678" s="314">
        <f t="shared" si="64"/>
        <v>0.243229813664596</v>
      </c>
      <c r="O678" s="312">
        <v>60920</v>
      </c>
      <c r="P678" s="313">
        <f t="shared" si="60"/>
        <v>0</v>
      </c>
      <c r="Q678" s="310" t="s">
        <v>147</v>
      </c>
      <c r="R678" s="310">
        <v>251</v>
      </c>
      <c r="S678" s="310"/>
      <c r="T678" s="308">
        <v>45912</v>
      </c>
      <c r="U678" s="308">
        <v>45912</v>
      </c>
      <c r="V678" s="308"/>
      <c r="W678" s="315">
        <f t="shared" si="65"/>
        <v>1</v>
      </c>
      <c r="X678" s="310" t="s">
        <v>54</v>
      </c>
      <c r="Y678" s="310" t="s">
        <v>2334</v>
      </c>
      <c r="Z678" s="316" t="s">
        <v>3774</v>
      </c>
      <c r="AA678" s="317">
        <v>46000</v>
      </c>
      <c r="AB678" s="317">
        <v>46000</v>
      </c>
    </row>
    <row r="679" spans="1:28" x14ac:dyDescent="0.25">
      <c r="A679" s="307">
        <f t="shared" si="61"/>
        <v>673</v>
      </c>
      <c r="B679" s="308">
        <v>45912</v>
      </c>
      <c r="C679" s="309">
        <f t="shared" si="62"/>
        <v>45901</v>
      </c>
      <c r="D679" s="310" t="s">
        <v>51</v>
      </c>
      <c r="E679" s="310" t="s">
        <v>2336</v>
      </c>
      <c r="F679" s="311">
        <v>9220186371</v>
      </c>
      <c r="G679" s="316" t="s">
        <v>6</v>
      </c>
      <c r="H679" s="316" t="s">
        <v>2355</v>
      </c>
      <c r="I679" s="316" t="s">
        <v>2356</v>
      </c>
      <c r="J679" s="310" t="s">
        <v>172</v>
      </c>
      <c r="K679" s="312">
        <v>40570</v>
      </c>
      <c r="L679" s="312">
        <v>46620</v>
      </c>
      <c r="M679" s="313">
        <f t="shared" si="63"/>
        <v>6050</v>
      </c>
      <c r="N679" s="314">
        <f t="shared" si="64"/>
        <v>0.12977262977263</v>
      </c>
      <c r="O679" s="312">
        <v>40570</v>
      </c>
      <c r="P679" s="313">
        <f t="shared" si="60"/>
        <v>0</v>
      </c>
      <c r="Q679" s="310" t="s">
        <v>147</v>
      </c>
      <c r="R679" s="310">
        <v>252</v>
      </c>
      <c r="S679" s="310"/>
      <c r="T679" s="308">
        <v>45918</v>
      </c>
      <c r="U679" s="308">
        <v>45918</v>
      </c>
      <c r="V679" s="308"/>
      <c r="W679" s="315">
        <f t="shared" si="65"/>
        <v>6</v>
      </c>
      <c r="X679" s="310" t="s">
        <v>54</v>
      </c>
      <c r="Y679" s="310" t="s">
        <v>2337</v>
      </c>
      <c r="Z679" s="316"/>
      <c r="AA679" s="316" t="s">
        <v>2342</v>
      </c>
      <c r="AB679" s="316" t="s">
        <v>2342</v>
      </c>
    </row>
    <row r="680" spans="1:28" x14ac:dyDescent="0.25">
      <c r="A680" s="307">
        <f t="shared" si="61"/>
        <v>674</v>
      </c>
      <c r="B680" s="308">
        <v>45913</v>
      </c>
      <c r="C680" s="309">
        <f t="shared" si="62"/>
        <v>45901</v>
      </c>
      <c r="D680" s="310" t="s">
        <v>56</v>
      </c>
      <c r="E680" s="310" t="s">
        <v>1641</v>
      </c>
      <c r="F680" s="311">
        <v>9220186371</v>
      </c>
      <c r="G680" s="316" t="s">
        <v>6</v>
      </c>
      <c r="H680" s="316" t="s">
        <v>2353</v>
      </c>
      <c r="I680" s="316" t="s">
        <v>2354</v>
      </c>
      <c r="J680" s="310" t="s">
        <v>172</v>
      </c>
      <c r="K680" s="312">
        <v>33770</v>
      </c>
      <c r="L680" s="312">
        <v>46620</v>
      </c>
      <c r="M680" s="313">
        <f t="shared" si="63"/>
        <v>12850</v>
      </c>
      <c r="N680" s="314">
        <f t="shared" si="64"/>
        <v>0.275632775632776</v>
      </c>
      <c r="O680" s="312">
        <v>33770</v>
      </c>
      <c r="P680" s="313">
        <f t="shared" si="60"/>
        <v>0</v>
      </c>
      <c r="Q680" s="310" t="s">
        <v>147</v>
      </c>
      <c r="R680" s="310">
        <v>254</v>
      </c>
      <c r="S680" s="310"/>
      <c r="T680" s="308">
        <v>45916</v>
      </c>
      <c r="U680" s="308">
        <v>45916</v>
      </c>
      <c r="V680" s="308"/>
      <c r="W680" s="315">
        <f t="shared" si="65"/>
        <v>3</v>
      </c>
      <c r="X680" s="310" t="s">
        <v>54</v>
      </c>
      <c r="Y680" s="310" t="s">
        <v>56</v>
      </c>
      <c r="Z680" s="316"/>
      <c r="AA680" s="316" t="s">
        <v>2340</v>
      </c>
      <c r="AB680" s="316" t="s">
        <v>2340</v>
      </c>
    </row>
    <row r="681" spans="1:28" x14ac:dyDescent="0.25">
      <c r="A681" s="307">
        <f t="shared" si="61"/>
        <v>675</v>
      </c>
      <c r="B681" s="308">
        <v>45914</v>
      </c>
      <c r="C681" s="309">
        <f t="shared" si="62"/>
        <v>45901</v>
      </c>
      <c r="D681" s="310" t="s">
        <v>51</v>
      </c>
      <c r="E681" s="310" t="s">
        <v>2339</v>
      </c>
      <c r="F681" s="311">
        <v>9421848031</v>
      </c>
      <c r="G681" s="316" t="s">
        <v>6</v>
      </c>
      <c r="H681" s="316" t="s">
        <v>2360</v>
      </c>
      <c r="I681" s="316" t="s">
        <v>1874</v>
      </c>
      <c r="J681" s="310" t="s">
        <v>168</v>
      </c>
      <c r="K681" s="312">
        <v>25690</v>
      </c>
      <c r="L681" s="312">
        <v>35600</v>
      </c>
      <c r="M681" s="313">
        <f t="shared" si="63"/>
        <v>9910</v>
      </c>
      <c r="N681" s="314">
        <f t="shared" si="64"/>
        <v>0.278370786516854</v>
      </c>
      <c r="O681" s="312">
        <v>25690</v>
      </c>
      <c r="P681" s="313">
        <f t="shared" si="60"/>
        <v>0</v>
      </c>
      <c r="Q681" s="310" t="s">
        <v>147</v>
      </c>
      <c r="R681" s="310">
        <v>255</v>
      </c>
      <c r="S681" s="310"/>
      <c r="T681" s="308">
        <v>45918</v>
      </c>
      <c r="U681" s="308">
        <v>45918</v>
      </c>
      <c r="V681" s="308"/>
      <c r="W681" s="315">
        <f t="shared" si="65"/>
        <v>4</v>
      </c>
      <c r="X681" s="310" t="s">
        <v>54</v>
      </c>
      <c r="Y681" s="310" t="s">
        <v>439</v>
      </c>
      <c r="Z681" s="316"/>
      <c r="AA681" s="316" t="s">
        <v>2342</v>
      </c>
      <c r="AB681" s="316" t="s">
        <v>2342</v>
      </c>
    </row>
    <row r="682" spans="1:28" x14ac:dyDescent="0.25">
      <c r="A682" s="307">
        <f t="shared" si="61"/>
        <v>676</v>
      </c>
      <c r="B682" s="308">
        <v>45914</v>
      </c>
      <c r="C682" s="309">
        <f t="shared" si="62"/>
        <v>45901</v>
      </c>
      <c r="D682" s="310" t="s">
        <v>56</v>
      </c>
      <c r="E682" s="310" t="s">
        <v>38</v>
      </c>
      <c r="F682" s="311">
        <v>9842431449</v>
      </c>
      <c r="G682" s="316" t="s">
        <v>105</v>
      </c>
      <c r="H682" s="316" t="s">
        <v>2370</v>
      </c>
      <c r="I682" s="316" t="s">
        <v>6</v>
      </c>
      <c r="J682" s="310" t="s">
        <v>59</v>
      </c>
      <c r="K682" s="312">
        <v>40480</v>
      </c>
      <c r="L682" s="312">
        <v>91350</v>
      </c>
      <c r="M682" s="313">
        <f t="shared" si="63"/>
        <v>50870</v>
      </c>
      <c r="N682" s="314">
        <f t="shared" si="64"/>
        <v>0.556869184455391</v>
      </c>
      <c r="O682" s="312">
        <v>40480</v>
      </c>
      <c r="P682" s="313">
        <f t="shared" si="60"/>
        <v>0</v>
      </c>
      <c r="Q682" s="310" t="s">
        <v>147</v>
      </c>
      <c r="R682" s="310">
        <v>253</v>
      </c>
      <c r="S682" s="310"/>
      <c r="T682" s="308">
        <v>45916</v>
      </c>
      <c r="U682" s="308">
        <v>45917</v>
      </c>
      <c r="V682" s="308"/>
      <c r="W682" s="315">
        <f t="shared" si="65"/>
        <v>3</v>
      </c>
      <c r="X682" s="310" t="s">
        <v>54</v>
      </c>
      <c r="Y682" s="310" t="s">
        <v>56</v>
      </c>
      <c r="Z682" s="316"/>
      <c r="AA682" s="316" t="s">
        <v>2340</v>
      </c>
      <c r="AB682" s="316" t="s">
        <v>2341</v>
      </c>
    </row>
    <row r="683" spans="1:28" x14ac:dyDescent="0.25">
      <c r="A683" s="307">
        <f t="shared" si="61"/>
        <v>677</v>
      </c>
      <c r="B683" s="308">
        <v>45916</v>
      </c>
      <c r="C683" s="309">
        <f t="shared" si="62"/>
        <v>45901</v>
      </c>
      <c r="D683" s="310" t="s">
        <v>56</v>
      </c>
      <c r="E683" s="310" t="s">
        <v>1635</v>
      </c>
      <c r="F683" s="311">
        <v>9472230553</v>
      </c>
      <c r="G683" s="316" t="s">
        <v>6</v>
      </c>
      <c r="H683" s="316" t="s">
        <v>1874</v>
      </c>
      <c r="I683" s="316" t="s">
        <v>2352</v>
      </c>
      <c r="J683" s="310" t="s">
        <v>172</v>
      </c>
      <c r="K683" s="312">
        <v>32820</v>
      </c>
      <c r="L683" s="312">
        <v>40320</v>
      </c>
      <c r="M683" s="313">
        <f t="shared" si="63"/>
        <v>7500</v>
      </c>
      <c r="N683" s="314">
        <f t="shared" si="64"/>
        <v>0.186011904761905</v>
      </c>
      <c r="O683" s="312">
        <v>32820</v>
      </c>
      <c r="P683" s="313">
        <f t="shared" si="60"/>
        <v>0</v>
      </c>
      <c r="Q683" s="310" t="s">
        <v>147</v>
      </c>
      <c r="R683" s="310">
        <v>256</v>
      </c>
      <c r="S683" s="310"/>
      <c r="T683" s="308">
        <v>45919</v>
      </c>
      <c r="U683" s="308">
        <v>45919</v>
      </c>
      <c r="V683" s="308"/>
      <c r="W683" s="315">
        <f t="shared" si="65"/>
        <v>3</v>
      </c>
      <c r="X683" s="310" t="s">
        <v>54</v>
      </c>
      <c r="Y683" s="310" t="s">
        <v>56</v>
      </c>
      <c r="Z683" s="316"/>
      <c r="AA683" s="316" t="s">
        <v>2345</v>
      </c>
      <c r="AB683" s="316" t="s">
        <v>2345</v>
      </c>
    </row>
    <row r="684" spans="1:28" x14ac:dyDescent="0.25">
      <c r="A684" s="307">
        <f t="shared" si="61"/>
        <v>678</v>
      </c>
      <c r="B684" s="308">
        <v>45916</v>
      </c>
      <c r="C684" s="309">
        <f t="shared" si="62"/>
        <v>45901</v>
      </c>
      <c r="D684" s="310" t="s">
        <v>56</v>
      </c>
      <c r="E684" s="310" t="s">
        <v>60</v>
      </c>
      <c r="F684" s="311">
        <v>9589264337</v>
      </c>
      <c r="G684" s="316" t="s">
        <v>1093</v>
      </c>
      <c r="H684" s="316" t="s">
        <v>2357</v>
      </c>
      <c r="I684" s="316" t="s">
        <v>6</v>
      </c>
      <c r="J684" s="310" t="s">
        <v>172</v>
      </c>
      <c r="K684" s="312">
        <v>41230</v>
      </c>
      <c r="L684" s="312">
        <v>96390</v>
      </c>
      <c r="M684" s="313">
        <f t="shared" si="63"/>
        <v>55160</v>
      </c>
      <c r="N684" s="314">
        <f t="shared" si="64"/>
        <v>0.572258533042847</v>
      </c>
      <c r="O684" s="312">
        <v>41230</v>
      </c>
      <c r="P684" s="313">
        <f t="shared" si="60"/>
        <v>0</v>
      </c>
      <c r="Q684" s="310" t="s">
        <v>147</v>
      </c>
      <c r="R684" s="310">
        <v>257</v>
      </c>
      <c r="S684" s="310"/>
      <c r="T684" s="308">
        <v>45920</v>
      </c>
      <c r="U684" s="308">
        <v>45920</v>
      </c>
      <c r="V684" s="308"/>
      <c r="W684" s="315">
        <f t="shared" si="65"/>
        <v>4</v>
      </c>
      <c r="X684" s="310" t="s">
        <v>54</v>
      </c>
      <c r="Y684" s="310" t="s">
        <v>56</v>
      </c>
      <c r="Z684" s="316"/>
      <c r="AA684" s="316" t="s">
        <v>2346</v>
      </c>
      <c r="AB684" s="316" t="s">
        <v>2346</v>
      </c>
    </row>
    <row r="685" spans="1:28" x14ac:dyDescent="0.25">
      <c r="A685" s="307">
        <f t="shared" si="61"/>
        <v>679</v>
      </c>
      <c r="B685" s="308">
        <v>45917</v>
      </c>
      <c r="C685" s="309">
        <f t="shared" si="62"/>
        <v>45901</v>
      </c>
      <c r="D685" s="310" t="s">
        <v>56</v>
      </c>
      <c r="E685" s="310" t="s">
        <v>38</v>
      </c>
      <c r="F685" s="311">
        <v>9515412075</v>
      </c>
      <c r="G685" s="316" t="s">
        <v>6</v>
      </c>
      <c r="H685" s="316" t="s">
        <v>1874</v>
      </c>
      <c r="I685" s="316" t="s">
        <v>2361</v>
      </c>
      <c r="J685" s="310" t="s">
        <v>59</v>
      </c>
      <c r="K685" s="312">
        <v>32590</v>
      </c>
      <c r="L685" s="312">
        <v>38740</v>
      </c>
      <c r="M685" s="313">
        <f t="shared" si="63"/>
        <v>6150</v>
      </c>
      <c r="N685" s="314">
        <f t="shared" si="64"/>
        <v>0.158750645327827</v>
      </c>
      <c r="O685" s="312">
        <v>32590</v>
      </c>
      <c r="P685" s="313">
        <f t="shared" si="60"/>
        <v>0</v>
      </c>
      <c r="Q685" s="310" t="s">
        <v>147</v>
      </c>
      <c r="R685" s="310">
        <v>258</v>
      </c>
      <c r="S685" s="310"/>
      <c r="T685" s="308">
        <v>45922</v>
      </c>
      <c r="U685" s="308">
        <v>45922</v>
      </c>
      <c r="V685" s="308"/>
      <c r="W685" s="315">
        <f t="shared" si="65"/>
        <v>5</v>
      </c>
      <c r="X685" s="310" t="s">
        <v>54</v>
      </c>
      <c r="Y685" s="310" t="s">
        <v>56</v>
      </c>
      <c r="Z685" s="316"/>
      <c r="AA685" s="316" t="s">
        <v>2347</v>
      </c>
      <c r="AB685" s="316" t="s">
        <v>2347</v>
      </c>
    </row>
    <row r="686" spans="1:28" x14ac:dyDescent="0.25">
      <c r="A686" s="307">
        <f t="shared" si="61"/>
        <v>680</v>
      </c>
      <c r="B686" s="308">
        <v>45917</v>
      </c>
      <c r="C686" s="309">
        <f t="shared" si="62"/>
        <v>45901</v>
      </c>
      <c r="D686" s="310" t="s">
        <v>56</v>
      </c>
      <c r="E686" s="310" t="s">
        <v>1644</v>
      </c>
      <c r="F686" s="311">
        <v>9062508646</v>
      </c>
      <c r="G686" s="316" t="s">
        <v>6</v>
      </c>
      <c r="H686" s="316" t="s">
        <v>1874</v>
      </c>
      <c r="I686" s="316" t="s">
        <v>2358</v>
      </c>
      <c r="J686" s="310" t="s">
        <v>172</v>
      </c>
      <c r="K686" s="312">
        <v>32820</v>
      </c>
      <c r="L686" s="312">
        <v>40320</v>
      </c>
      <c r="M686" s="313">
        <f t="shared" si="63"/>
        <v>7500</v>
      </c>
      <c r="N686" s="314">
        <f t="shared" si="64"/>
        <v>0.186011904761905</v>
      </c>
      <c r="O686" s="312">
        <v>32820</v>
      </c>
      <c r="P686" s="313">
        <f t="shared" si="60"/>
        <v>0</v>
      </c>
      <c r="Q686" s="310" t="s">
        <v>147</v>
      </c>
      <c r="R686" s="310">
        <v>259</v>
      </c>
      <c r="S686" s="310"/>
      <c r="T686" s="308">
        <v>45922</v>
      </c>
      <c r="U686" s="308">
        <v>45922</v>
      </c>
      <c r="V686" s="308"/>
      <c r="W686" s="315">
        <f t="shared" si="65"/>
        <v>5</v>
      </c>
      <c r="X686" s="310" t="s">
        <v>54</v>
      </c>
      <c r="Y686" s="310" t="s">
        <v>56</v>
      </c>
      <c r="Z686" s="316"/>
      <c r="AA686" s="316" t="s">
        <v>2347</v>
      </c>
      <c r="AB686" s="316" t="s">
        <v>2347</v>
      </c>
    </row>
    <row r="687" spans="1:28" x14ac:dyDescent="0.25">
      <c r="A687" s="307">
        <f t="shared" si="61"/>
        <v>681</v>
      </c>
      <c r="B687" s="308">
        <v>45920</v>
      </c>
      <c r="C687" s="309">
        <f t="shared" si="62"/>
        <v>45901</v>
      </c>
      <c r="D687" s="310" t="s">
        <v>56</v>
      </c>
      <c r="E687" s="310" t="s">
        <v>2343</v>
      </c>
      <c r="F687" s="311">
        <v>9543444535</v>
      </c>
      <c r="G687" s="316" t="s">
        <v>6</v>
      </c>
      <c r="H687" s="316" t="s">
        <v>440</v>
      </c>
      <c r="I687" s="316" t="s">
        <v>2382</v>
      </c>
      <c r="J687" s="310" t="s">
        <v>172</v>
      </c>
      <c r="K687" s="312">
        <v>33230</v>
      </c>
      <c r="L687" s="312">
        <v>46620</v>
      </c>
      <c r="M687" s="313">
        <f t="shared" si="63"/>
        <v>13390</v>
      </c>
      <c r="N687" s="314">
        <f t="shared" si="64"/>
        <v>0.287215787215787</v>
      </c>
      <c r="O687" s="312">
        <v>33230</v>
      </c>
      <c r="P687" s="313">
        <f t="shared" si="60"/>
        <v>0</v>
      </c>
      <c r="Q687" s="310" t="s">
        <v>147</v>
      </c>
      <c r="R687" s="310">
        <v>261</v>
      </c>
      <c r="S687" s="310"/>
      <c r="T687" s="308">
        <v>45924</v>
      </c>
      <c r="U687" s="308">
        <v>45924</v>
      </c>
      <c r="V687" s="308"/>
      <c r="W687" s="315">
        <f t="shared" si="65"/>
        <v>4</v>
      </c>
      <c r="X687" s="310" t="s">
        <v>54</v>
      </c>
      <c r="Y687" s="310" t="s">
        <v>529</v>
      </c>
      <c r="Z687" s="316"/>
      <c r="AA687" s="316" t="s">
        <v>2362</v>
      </c>
      <c r="AB687" s="316" t="s">
        <v>2362</v>
      </c>
    </row>
    <row r="688" spans="1:28" x14ac:dyDescent="0.25">
      <c r="A688" s="307">
        <f t="shared" si="61"/>
        <v>682</v>
      </c>
      <c r="B688" s="308">
        <v>45920</v>
      </c>
      <c r="C688" s="309">
        <f t="shared" si="62"/>
        <v>45901</v>
      </c>
      <c r="D688" s="310" t="s">
        <v>51</v>
      </c>
      <c r="E688" s="310" t="s">
        <v>1448</v>
      </c>
      <c r="F688" s="311">
        <v>9947982595</v>
      </c>
      <c r="G688" s="316" t="s">
        <v>6</v>
      </c>
      <c r="H688" s="316" t="s">
        <v>440</v>
      </c>
      <c r="I688" s="316" t="s">
        <v>2383</v>
      </c>
      <c r="J688" s="310" t="s">
        <v>172</v>
      </c>
      <c r="K688" s="312">
        <v>35940</v>
      </c>
      <c r="L688" s="312">
        <v>50400</v>
      </c>
      <c r="M688" s="313">
        <f t="shared" si="63"/>
        <v>14460</v>
      </c>
      <c r="N688" s="314">
        <f t="shared" si="64"/>
        <v>0.286904761904762</v>
      </c>
      <c r="O688" s="312">
        <v>35940</v>
      </c>
      <c r="P688" s="313">
        <f t="shared" si="60"/>
        <v>0</v>
      </c>
      <c r="Q688" s="310" t="s">
        <v>147</v>
      </c>
      <c r="R688" s="310">
        <v>262</v>
      </c>
      <c r="S688" s="310"/>
      <c r="T688" s="308">
        <v>45924</v>
      </c>
      <c r="U688" s="308">
        <v>45924</v>
      </c>
      <c r="V688" s="308"/>
      <c r="W688" s="315">
        <f t="shared" si="65"/>
        <v>4</v>
      </c>
      <c r="X688" s="310" t="s">
        <v>54</v>
      </c>
      <c r="Y688" s="310" t="s">
        <v>529</v>
      </c>
      <c r="Z688" s="316" t="s">
        <v>2344</v>
      </c>
      <c r="AA688" s="316" t="s">
        <v>2362</v>
      </c>
      <c r="AB688" s="316" t="s">
        <v>2362</v>
      </c>
    </row>
    <row r="689" spans="1:28" x14ac:dyDescent="0.25">
      <c r="A689" s="307">
        <f t="shared" si="61"/>
        <v>683</v>
      </c>
      <c r="B689" s="308">
        <v>45920</v>
      </c>
      <c r="C689" s="309">
        <f t="shared" si="62"/>
        <v>45901</v>
      </c>
      <c r="D689" s="310" t="s">
        <v>56</v>
      </c>
      <c r="E689" s="310" t="s">
        <v>1635</v>
      </c>
      <c r="F689" s="311">
        <v>9472230553</v>
      </c>
      <c r="G689" s="316" t="s">
        <v>105</v>
      </c>
      <c r="H689" s="316" t="s">
        <v>2372</v>
      </c>
      <c r="I689" s="316" t="s">
        <v>6</v>
      </c>
      <c r="J689" s="310" t="s">
        <v>172</v>
      </c>
      <c r="K689" s="312">
        <v>41230</v>
      </c>
      <c r="L689" s="312">
        <v>96390</v>
      </c>
      <c r="M689" s="313">
        <f t="shared" si="63"/>
        <v>55160</v>
      </c>
      <c r="N689" s="314">
        <f t="shared" si="64"/>
        <v>0.572258533042847</v>
      </c>
      <c r="O689" s="312">
        <v>41230</v>
      </c>
      <c r="P689" s="313">
        <f t="shared" si="60"/>
        <v>0</v>
      </c>
      <c r="Q689" s="310" t="s">
        <v>147</v>
      </c>
      <c r="R689" s="310">
        <v>263</v>
      </c>
      <c r="S689" s="310"/>
      <c r="T689" s="308">
        <v>45922</v>
      </c>
      <c r="U689" s="308">
        <v>45922</v>
      </c>
      <c r="V689" s="308"/>
      <c r="W689" s="315">
        <f t="shared" si="65"/>
        <v>2</v>
      </c>
      <c r="X689" s="310" t="s">
        <v>54</v>
      </c>
      <c r="Y689" s="310" t="s">
        <v>56</v>
      </c>
      <c r="Z689" s="316"/>
      <c r="AA689" s="316" t="s">
        <v>2347</v>
      </c>
      <c r="AB689" s="316" t="s">
        <v>2347</v>
      </c>
    </row>
    <row r="690" spans="1:28" x14ac:dyDescent="0.25">
      <c r="A690" s="307">
        <f t="shared" si="61"/>
        <v>684</v>
      </c>
      <c r="B690" s="308">
        <v>45922</v>
      </c>
      <c r="C690" s="309">
        <f t="shared" si="62"/>
        <v>45901</v>
      </c>
      <c r="D690" s="310" t="s">
        <v>56</v>
      </c>
      <c r="E690" s="310" t="s">
        <v>1637</v>
      </c>
      <c r="F690" s="311">
        <v>9842431449</v>
      </c>
      <c r="G690" s="316" t="s">
        <v>6</v>
      </c>
      <c r="H690" s="316" t="s">
        <v>440</v>
      </c>
      <c r="I690" s="316" t="s">
        <v>2384</v>
      </c>
      <c r="J690" s="310" t="s">
        <v>172</v>
      </c>
      <c r="K690" s="312">
        <v>33770</v>
      </c>
      <c r="L690" s="312">
        <v>46620</v>
      </c>
      <c r="M690" s="313">
        <f t="shared" si="63"/>
        <v>12850</v>
      </c>
      <c r="N690" s="314">
        <f t="shared" si="64"/>
        <v>0.275632775632776</v>
      </c>
      <c r="O690" s="312">
        <v>33770</v>
      </c>
      <c r="P690" s="313">
        <f t="shared" si="60"/>
        <v>0</v>
      </c>
      <c r="Q690" s="310" t="s">
        <v>147</v>
      </c>
      <c r="R690" s="310">
        <v>264</v>
      </c>
      <c r="S690" s="310"/>
      <c r="T690" s="308">
        <v>45925</v>
      </c>
      <c r="U690" s="308">
        <v>45925</v>
      </c>
      <c r="V690" s="308"/>
      <c r="W690" s="315">
        <f t="shared" si="65"/>
        <v>3</v>
      </c>
      <c r="X690" s="310" t="s">
        <v>54</v>
      </c>
      <c r="Y690" s="310" t="s">
        <v>56</v>
      </c>
      <c r="Z690" s="316"/>
      <c r="AA690" s="316" t="s">
        <v>2363</v>
      </c>
      <c r="AB690" s="316" t="s">
        <v>2363</v>
      </c>
    </row>
    <row r="691" spans="1:28" x14ac:dyDescent="0.25">
      <c r="A691" s="307">
        <f t="shared" si="61"/>
        <v>685</v>
      </c>
      <c r="B691" s="308">
        <v>45923</v>
      </c>
      <c r="C691" s="309">
        <f t="shared" si="62"/>
        <v>45901</v>
      </c>
      <c r="D691" s="310" t="s">
        <v>56</v>
      </c>
      <c r="E691" s="310" t="s">
        <v>60</v>
      </c>
      <c r="F691" s="311">
        <v>9589264337</v>
      </c>
      <c r="G691" s="316" t="s">
        <v>6</v>
      </c>
      <c r="H691" s="316" t="s">
        <v>440</v>
      </c>
      <c r="I691" s="316" t="s">
        <v>2385</v>
      </c>
      <c r="J691" s="310" t="s">
        <v>172</v>
      </c>
      <c r="K691" s="312">
        <v>33770</v>
      </c>
      <c r="L691" s="312">
        <v>46620</v>
      </c>
      <c r="M691" s="313">
        <f t="shared" si="63"/>
        <v>12850</v>
      </c>
      <c r="N691" s="314">
        <f t="shared" si="64"/>
        <v>0.275632775632776</v>
      </c>
      <c r="O691" s="312">
        <v>33770</v>
      </c>
      <c r="P691" s="313">
        <f t="shared" si="60"/>
        <v>0</v>
      </c>
      <c r="Q691" s="310" t="s">
        <v>147</v>
      </c>
      <c r="R691" s="310">
        <v>265</v>
      </c>
      <c r="S691" s="310"/>
      <c r="T691" s="308">
        <v>45926</v>
      </c>
      <c r="U691" s="308">
        <v>45926</v>
      </c>
      <c r="V691" s="308"/>
      <c r="W691" s="315">
        <f t="shared" si="65"/>
        <v>3</v>
      </c>
      <c r="X691" s="310" t="s">
        <v>54</v>
      </c>
      <c r="Y691" s="310" t="s">
        <v>56</v>
      </c>
      <c r="Z691" s="316"/>
      <c r="AA691" s="316" t="s">
        <v>2364</v>
      </c>
      <c r="AB691" s="316" t="s">
        <v>2364</v>
      </c>
    </row>
    <row r="692" spans="1:28" x14ac:dyDescent="0.25">
      <c r="A692" s="307">
        <f t="shared" si="61"/>
        <v>686</v>
      </c>
      <c r="B692" s="308">
        <v>45923</v>
      </c>
      <c r="C692" s="309">
        <f t="shared" si="62"/>
        <v>45901</v>
      </c>
      <c r="D692" s="310" t="s">
        <v>56</v>
      </c>
      <c r="E692" s="310" t="s">
        <v>1644</v>
      </c>
      <c r="F692" s="311">
        <v>9062508646</v>
      </c>
      <c r="G692" s="316" t="s">
        <v>1093</v>
      </c>
      <c r="H692" s="316" t="s">
        <v>2371</v>
      </c>
      <c r="I692" s="316" t="s">
        <v>6</v>
      </c>
      <c r="J692" s="310" t="s">
        <v>172</v>
      </c>
      <c r="K692" s="312">
        <v>41230</v>
      </c>
      <c r="L692" s="312">
        <v>96390</v>
      </c>
      <c r="M692" s="313">
        <f t="shared" si="63"/>
        <v>55160</v>
      </c>
      <c r="N692" s="314">
        <f t="shared" si="64"/>
        <v>0.572258533042847</v>
      </c>
      <c r="O692" s="312">
        <v>41230</v>
      </c>
      <c r="P692" s="313">
        <f t="shared" si="60"/>
        <v>0</v>
      </c>
      <c r="Q692" s="310" t="s">
        <v>147</v>
      </c>
      <c r="R692" s="310">
        <v>266</v>
      </c>
      <c r="S692" s="310"/>
      <c r="T692" s="308">
        <v>45926</v>
      </c>
      <c r="U692" s="308">
        <v>45926</v>
      </c>
      <c r="V692" s="308"/>
      <c r="W692" s="315">
        <f t="shared" si="65"/>
        <v>3</v>
      </c>
      <c r="X692" s="310" t="s">
        <v>54</v>
      </c>
      <c r="Y692" s="310" t="s">
        <v>56</v>
      </c>
      <c r="Z692" s="316"/>
      <c r="AA692" s="316" t="s">
        <v>2364</v>
      </c>
      <c r="AB692" s="316" t="s">
        <v>2364</v>
      </c>
    </row>
    <row r="693" spans="1:28" x14ac:dyDescent="0.25">
      <c r="A693" s="307">
        <f t="shared" si="61"/>
        <v>687</v>
      </c>
      <c r="B693" s="308">
        <v>45924</v>
      </c>
      <c r="C693" s="309">
        <f t="shared" si="62"/>
        <v>45901</v>
      </c>
      <c r="D693" s="310" t="s">
        <v>56</v>
      </c>
      <c r="E693" s="310" t="s">
        <v>1635</v>
      </c>
      <c r="F693" s="311">
        <v>9472230553</v>
      </c>
      <c r="G693" s="316" t="s">
        <v>6</v>
      </c>
      <c r="H693" s="316" t="s">
        <v>2348</v>
      </c>
      <c r="I693" s="316" t="s">
        <v>2386</v>
      </c>
      <c r="J693" s="310" t="s">
        <v>172</v>
      </c>
      <c r="K693" s="312">
        <v>34710</v>
      </c>
      <c r="L693" s="312">
        <v>52920</v>
      </c>
      <c r="M693" s="313">
        <f t="shared" si="63"/>
        <v>18210</v>
      </c>
      <c r="N693" s="314">
        <f t="shared" si="64"/>
        <v>0.344104308390023</v>
      </c>
      <c r="O693" s="312">
        <v>34710</v>
      </c>
      <c r="P693" s="313">
        <f t="shared" si="60"/>
        <v>0</v>
      </c>
      <c r="Q693" s="310" t="s">
        <v>147</v>
      </c>
      <c r="R693" s="310">
        <v>267</v>
      </c>
      <c r="S693" s="310"/>
      <c r="T693" s="308">
        <v>45927</v>
      </c>
      <c r="U693" s="308">
        <v>45927</v>
      </c>
      <c r="V693" s="308"/>
      <c r="W693" s="315">
        <f t="shared" si="65"/>
        <v>3</v>
      </c>
      <c r="X693" s="310" t="s">
        <v>54</v>
      </c>
      <c r="Y693" s="310" t="s">
        <v>56</v>
      </c>
      <c r="Z693" s="316" t="s">
        <v>3775</v>
      </c>
      <c r="AA693" s="316" t="s">
        <v>2367</v>
      </c>
      <c r="AB693" s="316" t="s">
        <v>2367</v>
      </c>
    </row>
    <row r="694" spans="1:28" x14ac:dyDescent="0.25">
      <c r="A694" s="307">
        <f t="shared" si="61"/>
        <v>688</v>
      </c>
      <c r="B694" s="308">
        <v>45924</v>
      </c>
      <c r="C694" s="309">
        <f t="shared" si="62"/>
        <v>45901</v>
      </c>
      <c r="D694" s="310" t="s">
        <v>51</v>
      </c>
      <c r="E694" s="310" t="s">
        <v>2349</v>
      </c>
      <c r="F694" s="311">
        <v>9142370650</v>
      </c>
      <c r="G694" s="316" t="s">
        <v>1093</v>
      </c>
      <c r="H694" s="316" t="s">
        <v>2374</v>
      </c>
      <c r="I694" s="316" t="s">
        <v>6</v>
      </c>
      <c r="J694" s="310" t="s">
        <v>623</v>
      </c>
      <c r="K694" s="312">
        <v>49680</v>
      </c>
      <c r="L694" s="312">
        <v>59850</v>
      </c>
      <c r="M694" s="313">
        <f t="shared" si="63"/>
        <v>10170</v>
      </c>
      <c r="N694" s="314">
        <f t="shared" si="64"/>
        <v>0.169924812030075</v>
      </c>
      <c r="O694" s="312">
        <v>48370</v>
      </c>
      <c r="P694" s="313">
        <f t="shared" si="60"/>
        <v>1310</v>
      </c>
      <c r="Q694" s="310" t="s">
        <v>147</v>
      </c>
      <c r="R694" s="310">
        <v>268</v>
      </c>
      <c r="S694" s="310"/>
      <c r="T694" s="308">
        <v>45927</v>
      </c>
      <c r="U694" s="308">
        <v>45927</v>
      </c>
      <c r="V694" s="308"/>
      <c r="W694" s="315">
        <f t="shared" si="65"/>
        <v>3</v>
      </c>
      <c r="X694" s="310" t="s">
        <v>54</v>
      </c>
      <c r="Y694" s="310" t="s">
        <v>2350</v>
      </c>
      <c r="Z694" s="316"/>
      <c r="AA694" s="316" t="s">
        <v>2367</v>
      </c>
      <c r="AB694" s="316" t="s">
        <v>2367</v>
      </c>
    </row>
    <row r="695" spans="1:28" x14ac:dyDescent="0.25">
      <c r="A695" s="307">
        <f t="shared" si="61"/>
        <v>689</v>
      </c>
      <c r="B695" s="308">
        <v>45924</v>
      </c>
      <c r="C695" s="309">
        <f t="shared" si="62"/>
        <v>45901</v>
      </c>
      <c r="D695" s="310" t="s">
        <v>56</v>
      </c>
      <c r="E695" s="310" t="s">
        <v>2351</v>
      </c>
      <c r="F695" s="311">
        <v>9793531306</v>
      </c>
      <c r="G695" s="316" t="s">
        <v>105</v>
      </c>
      <c r="H695" s="316" t="s">
        <v>2369</v>
      </c>
      <c r="I695" s="316" t="s">
        <v>6</v>
      </c>
      <c r="J695" s="310" t="s">
        <v>59</v>
      </c>
      <c r="K695" s="312">
        <v>41420</v>
      </c>
      <c r="L695" s="312">
        <v>97650</v>
      </c>
      <c r="M695" s="313">
        <f t="shared" si="63"/>
        <v>56230</v>
      </c>
      <c r="N695" s="314">
        <f t="shared" si="64"/>
        <v>0.575832053251408</v>
      </c>
      <c r="O695" s="312">
        <v>41420</v>
      </c>
      <c r="P695" s="313">
        <f t="shared" si="60"/>
        <v>0</v>
      </c>
      <c r="Q695" s="310" t="s">
        <v>147</v>
      </c>
      <c r="R695" s="310">
        <v>269</v>
      </c>
      <c r="S695" s="310"/>
      <c r="T695" s="308">
        <v>45927</v>
      </c>
      <c r="U695" s="308">
        <v>45927</v>
      </c>
      <c r="V695" s="308"/>
      <c r="W695" s="315">
        <f t="shared" si="65"/>
        <v>3</v>
      </c>
      <c r="X695" s="310" t="s">
        <v>54</v>
      </c>
      <c r="Y695" s="310" t="s">
        <v>56</v>
      </c>
      <c r="Z695" s="316"/>
      <c r="AA695" s="316" t="s">
        <v>2367</v>
      </c>
      <c r="AB695" s="316" t="s">
        <v>2367</v>
      </c>
    </row>
    <row r="696" spans="1:28" x14ac:dyDescent="0.25">
      <c r="A696" s="307">
        <f t="shared" si="61"/>
        <v>690</v>
      </c>
      <c r="B696" s="308">
        <v>45925</v>
      </c>
      <c r="C696" s="309">
        <f t="shared" si="62"/>
        <v>45901</v>
      </c>
      <c r="D696" s="310" t="s">
        <v>56</v>
      </c>
      <c r="E696" s="310" t="s">
        <v>1641</v>
      </c>
      <c r="F696" s="311">
        <v>9281983602</v>
      </c>
      <c r="G696" s="316" t="s">
        <v>6</v>
      </c>
      <c r="H696" s="316" t="s">
        <v>440</v>
      </c>
      <c r="I696" s="316" t="s">
        <v>2387</v>
      </c>
      <c r="J696" s="310" t="s">
        <v>172</v>
      </c>
      <c r="K696" s="312">
        <v>33770</v>
      </c>
      <c r="L696" s="312">
        <v>46620</v>
      </c>
      <c r="M696" s="313">
        <f t="shared" si="63"/>
        <v>12850</v>
      </c>
      <c r="N696" s="314">
        <f t="shared" si="64"/>
        <v>0.275632775632776</v>
      </c>
      <c r="O696" s="312">
        <v>33770</v>
      </c>
      <c r="P696" s="313">
        <f t="shared" si="60"/>
        <v>0</v>
      </c>
      <c r="Q696" s="310" t="s">
        <v>147</v>
      </c>
      <c r="R696" s="310">
        <v>270</v>
      </c>
      <c r="S696" s="310"/>
      <c r="T696" s="308">
        <v>45928</v>
      </c>
      <c r="U696" s="308">
        <v>45929</v>
      </c>
      <c r="V696" s="308"/>
      <c r="W696" s="315">
        <f t="shared" si="65"/>
        <v>4</v>
      </c>
      <c r="X696" s="310" t="s">
        <v>54</v>
      </c>
      <c r="Y696" s="310" t="s">
        <v>56</v>
      </c>
      <c r="Z696" s="316"/>
      <c r="AA696" s="316" t="s">
        <v>2390</v>
      </c>
      <c r="AB696" s="316" t="s">
        <v>2391</v>
      </c>
    </row>
    <row r="697" spans="1:28" x14ac:dyDescent="0.25">
      <c r="A697" s="307">
        <f t="shared" si="61"/>
        <v>691</v>
      </c>
      <c r="B697" s="308">
        <v>45926</v>
      </c>
      <c r="C697" s="309">
        <f t="shared" si="62"/>
        <v>45901</v>
      </c>
      <c r="D697" s="310" t="s">
        <v>51</v>
      </c>
      <c r="E697" s="310" t="s">
        <v>2336</v>
      </c>
      <c r="F697" s="311">
        <v>9220186371</v>
      </c>
      <c r="G697" s="316" t="s">
        <v>2365</v>
      </c>
      <c r="H697" s="316" t="s">
        <v>1874</v>
      </c>
      <c r="I697" s="316" t="s">
        <v>2375</v>
      </c>
      <c r="J697" s="310" t="s">
        <v>172</v>
      </c>
      <c r="K697" s="312">
        <v>8550</v>
      </c>
      <c r="L697" s="312">
        <v>15750</v>
      </c>
      <c r="M697" s="313">
        <f t="shared" si="63"/>
        <v>7200</v>
      </c>
      <c r="N697" s="314">
        <f t="shared" si="64"/>
        <v>0.457142857142857</v>
      </c>
      <c r="O697" s="312">
        <v>8550</v>
      </c>
      <c r="P697" s="313">
        <f t="shared" si="60"/>
        <v>0</v>
      </c>
      <c r="Q697" s="310" t="s">
        <v>147</v>
      </c>
      <c r="R697" s="310">
        <v>271</v>
      </c>
      <c r="S697" s="310"/>
      <c r="T697" s="308">
        <v>45927</v>
      </c>
      <c r="U697" s="308">
        <v>45927</v>
      </c>
      <c r="V697" s="308"/>
      <c r="W697" s="315">
        <f t="shared" si="65"/>
        <v>1</v>
      </c>
      <c r="X697" s="310" t="s">
        <v>54</v>
      </c>
      <c r="Y697" s="310" t="s">
        <v>2337</v>
      </c>
      <c r="Z697" s="316"/>
      <c r="AA697" s="316" t="s">
        <v>2367</v>
      </c>
      <c r="AB697" s="316" t="s">
        <v>2367</v>
      </c>
    </row>
    <row r="698" spans="1:28" x14ac:dyDescent="0.25">
      <c r="A698" s="307">
        <f t="shared" si="61"/>
        <v>692</v>
      </c>
      <c r="B698" s="308">
        <v>45926</v>
      </c>
      <c r="C698" s="309">
        <f t="shared" si="62"/>
        <v>45901</v>
      </c>
      <c r="D698" s="310" t="s">
        <v>51</v>
      </c>
      <c r="E698" s="310" t="s">
        <v>2366</v>
      </c>
      <c r="F698" s="311">
        <v>9249035301</v>
      </c>
      <c r="G698" s="316" t="s">
        <v>45</v>
      </c>
      <c r="H698" s="316" t="s">
        <v>1874</v>
      </c>
      <c r="I698" s="316" t="s">
        <v>2376</v>
      </c>
      <c r="J698" s="310" t="s">
        <v>168</v>
      </c>
      <c r="K698" s="312">
        <v>43630</v>
      </c>
      <c r="L698" s="312">
        <v>51660</v>
      </c>
      <c r="M698" s="313">
        <f t="shared" si="63"/>
        <v>8030</v>
      </c>
      <c r="N698" s="314">
        <f t="shared" si="64"/>
        <v>0.155439411536973</v>
      </c>
      <c r="O698" s="312">
        <v>43630</v>
      </c>
      <c r="P698" s="313">
        <f t="shared" si="60"/>
        <v>0</v>
      </c>
      <c r="Q698" s="310" t="s">
        <v>147</v>
      </c>
      <c r="R698" s="310">
        <v>272</v>
      </c>
      <c r="S698" s="310"/>
      <c r="T698" s="308">
        <v>45929</v>
      </c>
      <c r="U698" s="308">
        <v>45930</v>
      </c>
      <c r="V698" s="308"/>
      <c r="W698" s="315">
        <f t="shared" si="65"/>
        <v>4</v>
      </c>
      <c r="X698" s="310" t="s">
        <v>54</v>
      </c>
      <c r="Y698" s="310" t="s">
        <v>529</v>
      </c>
      <c r="Z698" s="316"/>
      <c r="AA698" s="316" t="s">
        <v>2391</v>
      </c>
      <c r="AB698" s="316" t="s">
        <v>2392</v>
      </c>
    </row>
    <row r="699" spans="1:28" x14ac:dyDescent="0.25">
      <c r="A699" s="307">
        <f t="shared" si="61"/>
        <v>693</v>
      </c>
      <c r="B699" s="308">
        <v>45927</v>
      </c>
      <c r="C699" s="309">
        <f t="shared" si="62"/>
        <v>45901</v>
      </c>
      <c r="D699" s="310" t="s">
        <v>56</v>
      </c>
      <c r="E699" s="310" t="s">
        <v>1637</v>
      </c>
      <c r="F699" s="311">
        <v>9842431449</v>
      </c>
      <c r="G699" s="316" t="s">
        <v>1093</v>
      </c>
      <c r="H699" s="316" t="s">
        <v>1874</v>
      </c>
      <c r="I699" s="316" t="s">
        <v>2377</v>
      </c>
      <c r="J699" s="310" t="s">
        <v>172</v>
      </c>
      <c r="K699" s="312">
        <v>41230</v>
      </c>
      <c r="L699" s="312">
        <v>96390</v>
      </c>
      <c r="M699" s="313">
        <f t="shared" si="63"/>
        <v>55160</v>
      </c>
      <c r="N699" s="314">
        <f t="shared" si="64"/>
        <v>0.572258533042847</v>
      </c>
      <c r="O699" s="312">
        <v>41230</v>
      </c>
      <c r="P699" s="313">
        <f t="shared" si="60"/>
        <v>0</v>
      </c>
      <c r="Q699" s="310" t="s">
        <v>147</v>
      </c>
      <c r="R699" s="310">
        <v>273</v>
      </c>
      <c r="S699" s="310"/>
      <c r="T699" s="308">
        <v>45929</v>
      </c>
      <c r="U699" s="308">
        <v>45929</v>
      </c>
      <c r="V699" s="308"/>
      <c r="W699" s="315">
        <f t="shared" si="65"/>
        <v>2</v>
      </c>
      <c r="X699" s="310" t="s">
        <v>54</v>
      </c>
      <c r="Y699" s="310" t="s">
        <v>56</v>
      </c>
      <c r="Z699" s="316"/>
      <c r="AA699" s="316" t="s">
        <v>2391</v>
      </c>
      <c r="AB699" s="316" t="s">
        <v>2391</v>
      </c>
    </row>
    <row r="700" spans="1:28" x14ac:dyDescent="0.25">
      <c r="A700" s="307">
        <f t="shared" si="61"/>
        <v>694</v>
      </c>
      <c r="B700" s="308">
        <v>45927</v>
      </c>
      <c r="C700" s="309">
        <f t="shared" si="62"/>
        <v>45901</v>
      </c>
      <c r="D700" s="310" t="s">
        <v>56</v>
      </c>
      <c r="E700" s="310" t="s">
        <v>1644</v>
      </c>
      <c r="F700" s="311">
        <v>9062508646</v>
      </c>
      <c r="G700" s="316" t="s">
        <v>6</v>
      </c>
      <c r="H700" s="316" t="s">
        <v>440</v>
      </c>
      <c r="I700" s="316" t="s">
        <v>2388</v>
      </c>
      <c r="J700" s="310" t="s">
        <v>172</v>
      </c>
      <c r="K700" s="312">
        <v>33770</v>
      </c>
      <c r="L700" s="312">
        <v>46620</v>
      </c>
      <c r="M700" s="313">
        <f t="shared" si="63"/>
        <v>12850</v>
      </c>
      <c r="N700" s="314">
        <f t="shared" si="64"/>
        <v>0.275632775632776</v>
      </c>
      <c r="O700" s="312">
        <v>33770</v>
      </c>
      <c r="P700" s="313">
        <f t="shared" si="60"/>
        <v>0</v>
      </c>
      <c r="Q700" s="310" t="s">
        <v>147</v>
      </c>
      <c r="R700" s="310">
        <v>274</v>
      </c>
      <c r="S700" s="310"/>
      <c r="T700" s="308">
        <v>45930</v>
      </c>
      <c r="U700" s="308">
        <v>45930</v>
      </c>
      <c r="V700" s="308"/>
      <c r="W700" s="315">
        <f t="shared" si="65"/>
        <v>3</v>
      </c>
      <c r="X700" s="310" t="s">
        <v>54</v>
      </c>
      <c r="Y700" s="310" t="s">
        <v>56</v>
      </c>
      <c r="Z700" s="316"/>
      <c r="AA700" s="316" t="s">
        <v>2392</v>
      </c>
      <c r="AB700" s="316" t="s">
        <v>2392</v>
      </c>
    </row>
    <row r="701" spans="1:28" x14ac:dyDescent="0.25">
      <c r="A701" s="307">
        <f t="shared" si="61"/>
        <v>695</v>
      </c>
      <c r="B701" s="308">
        <v>45927</v>
      </c>
      <c r="C701" s="309">
        <f t="shared" si="62"/>
        <v>45901</v>
      </c>
      <c r="D701" s="310" t="s">
        <v>56</v>
      </c>
      <c r="E701" s="310" t="s">
        <v>38</v>
      </c>
      <c r="F701" s="311">
        <v>9793531306</v>
      </c>
      <c r="G701" s="316" t="s">
        <v>6</v>
      </c>
      <c r="H701" s="316" t="s">
        <v>440</v>
      </c>
      <c r="I701" s="316" t="s">
        <v>2389</v>
      </c>
      <c r="J701" s="310" t="s">
        <v>59</v>
      </c>
      <c r="K701" s="312">
        <v>33480</v>
      </c>
      <c r="L701" s="312">
        <v>44730</v>
      </c>
      <c r="M701" s="313">
        <f t="shared" si="63"/>
        <v>11250</v>
      </c>
      <c r="N701" s="314">
        <f t="shared" si="64"/>
        <v>0.251509054325956</v>
      </c>
      <c r="O701" s="312">
        <v>33480</v>
      </c>
      <c r="P701" s="313">
        <f t="shared" si="60"/>
        <v>0</v>
      </c>
      <c r="Q701" s="310" t="s">
        <v>147</v>
      </c>
      <c r="R701" s="310">
        <v>275</v>
      </c>
      <c r="S701" s="310"/>
      <c r="T701" s="308">
        <v>45930</v>
      </c>
      <c r="U701" s="308">
        <v>45930</v>
      </c>
      <c r="V701" s="308"/>
      <c r="W701" s="315">
        <f t="shared" si="65"/>
        <v>3</v>
      </c>
      <c r="X701" s="310" t="s">
        <v>54</v>
      </c>
      <c r="Y701" s="310" t="s">
        <v>56</v>
      </c>
      <c r="Z701" s="316"/>
      <c r="AA701" s="316" t="s">
        <v>2392</v>
      </c>
      <c r="AB701" s="316" t="s">
        <v>2392</v>
      </c>
    </row>
    <row r="702" spans="1:28" x14ac:dyDescent="0.25">
      <c r="A702" s="307">
        <f t="shared" si="61"/>
        <v>696</v>
      </c>
      <c r="B702" s="308">
        <v>45927</v>
      </c>
      <c r="C702" s="309">
        <f t="shared" si="62"/>
        <v>45901</v>
      </c>
      <c r="D702" s="310" t="s">
        <v>56</v>
      </c>
      <c r="E702" s="310" t="s">
        <v>60</v>
      </c>
      <c r="F702" s="311">
        <v>9589264337</v>
      </c>
      <c r="G702" s="316" t="s">
        <v>1093</v>
      </c>
      <c r="H702" s="316" t="s">
        <v>2373</v>
      </c>
      <c r="I702" s="316" t="s">
        <v>6</v>
      </c>
      <c r="J702" s="310" t="s">
        <v>172</v>
      </c>
      <c r="K702" s="312">
        <v>42180</v>
      </c>
      <c r="L702" s="312">
        <v>102690</v>
      </c>
      <c r="M702" s="313">
        <f t="shared" si="63"/>
        <v>60510</v>
      </c>
      <c r="N702" s="314">
        <f t="shared" si="64"/>
        <v>0.58924919661116</v>
      </c>
      <c r="O702" s="312">
        <v>42180</v>
      </c>
      <c r="P702" s="313">
        <f t="shared" si="60"/>
        <v>0</v>
      </c>
      <c r="Q702" s="310" t="s">
        <v>147</v>
      </c>
      <c r="R702" s="310">
        <v>276</v>
      </c>
      <c r="S702" s="310"/>
      <c r="T702" s="308">
        <v>45930</v>
      </c>
      <c r="U702" s="308">
        <v>45933</v>
      </c>
      <c r="V702" s="308"/>
      <c r="W702" s="315">
        <f t="shared" si="65"/>
        <v>6</v>
      </c>
      <c r="X702" s="310" t="s">
        <v>54</v>
      </c>
      <c r="Y702" s="310" t="s">
        <v>56</v>
      </c>
      <c r="Z702" s="316"/>
      <c r="AA702" s="316" t="s">
        <v>2392</v>
      </c>
      <c r="AB702" s="317">
        <v>45726</v>
      </c>
    </row>
    <row r="703" spans="1:28" x14ac:dyDescent="0.25">
      <c r="A703" s="307">
        <f t="shared" si="61"/>
        <v>697</v>
      </c>
      <c r="B703" s="308">
        <v>45929</v>
      </c>
      <c r="C703" s="309">
        <f t="shared" si="62"/>
        <v>45901</v>
      </c>
      <c r="D703" s="310" t="s">
        <v>56</v>
      </c>
      <c r="E703" s="310" t="s">
        <v>1637</v>
      </c>
      <c r="F703" s="311">
        <v>9515412075</v>
      </c>
      <c r="G703" s="316" t="s">
        <v>6</v>
      </c>
      <c r="H703" s="316" t="s">
        <v>2430</v>
      </c>
      <c r="I703" s="316" t="s">
        <v>2431</v>
      </c>
      <c r="J703" s="310" t="s">
        <v>172</v>
      </c>
      <c r="K703" s="312">
        <v>33770</v>
      </c>
      <c r="L703" s="312">
        <v>46620</v>
      </c>
      <c r="M703" s="313">
        <f t="shared" si="63"/>
        <v>12850</v>
      </c>
      <c r="N703" s="314">
        <f t="shared" si="64"/>
        <v>0.275632775632776</v>
      </c>
      <c r="O703" s="312">
        <v>33770</v>
      </c>
      <c r="P703" s="313">
        <f t="shared" si="60"/>
        <v>0</v>
      </c>
      <c r="Q703" s="310" t="s">
        <v>147</v>
      </c>
      <c r="R703" s="310">
        <v>278</v>
      </c>
      <c r="S703" s="310"/>
      <c r="T703" s="308">
        <v>45933</v>
      </c>
      <c r="U703" s="308">
        <v>45933</v>
      </c>
      <c r="V703" s="308"/>
      <c r="W703" s="315">
        <f t="shared" si="65"/>
        <v>4</v>
      </c>
      <c r="X703" s="310" t="s">
        <v>54</v>
      </c>
      <c r="Y703" s="310" t="s">
        <v>56</v>
      </c>
      <c r="Z703" s="316"/>
      <c r="AA703" s="317">
        <v>45726</v>
      </c>
      <c r="AB703" s="317">
        <v>45726</v>
      </c>
    </row>
    <row r="704" spans="1:28" x14ac:dyDescent="0.25">
      <c r="A704" s="307">
        <f t="shared" si="61"/>
        <v>698</v>
      </c>
      <c r="B704" s="308">
        <v>45929</v>
      </c>
      <c r="C704" s="309">
        <f t="shared" si="62"/>
        <v>45901</v>
      </c>
      <c r="D704" s="310" t="s">
        <v>56</v>
      </c>
      <c r="E704" s="310" t="s">
        <v>1635</v>
      </c>
      <c r="F704" s="311">
        <v>9472230553</v>
      </c>
      <c r="G704" s="316" t="s">
        <v>1093</v>
      </c>
      <c r="H704" s="316" t="s">
        <v>2432</v>
      </c>
      <c r="I704" s="316" t="s">
        <v>6</v>
      </c>
      <c r="J704" s="310" t="s">
        <v>172</v>
      </c>
      <c r="K704" s="312">
        <v>42180</v>
      </c>
      <c r="L704" s="312">
        <v>102690</v>
      </c>
      <c r="M704" s="313">
        <f t="shared" si="63"/>
        <v>60510</v>
      </c>
      <c r="N704" s="314">
        <f t="shared" si="64"/>
        <v>0.58924919661116</v>
      </c>
      <c r="O704" s="312">
        <v>42180</v>
      </c>
      <c r="P704" s="313">
        <f t="shared" si="60"/>
        <v>0</v>
      </c>
      <c r="Q704" s="310" t="s">
        <v>147</v>
      </c>
      <c r="R704" s="310">
        <v>279</v>
      </c>
      <c r="S704" s="310"/>
      <c r="T704" s="308">
        <v>45934</v>
      </c>
      <c r="U704" s="308">
        <v>45934</v>
      </c>
      <c r="V704" s="308"/>
      <c r="W704" s="315">
        <f t="shared" si="65"/>
        <v>5</v>
      </c>
      <c r="X704" s="310" t="s">
        <v>54</v>
      </c>
      <c r="Y704" s="310" t="s">
        <v>56</v>
      </c>
      <c r="Z704" s="316"/>
      <c r="AA704" s="317">
        <v>45757</v>
      </c>
      <c r="AB704" s="317">
        <v>45757</v>
      </c>
    </row>
    <row r="705" spans="1:28" x14ac:dyDescent="0.25">
      <c r="A705" s="307">
        <f t="shared" si="61"/>
        <v>699</v>
      </c>
      <c r="B705" s="308">
        <v>45930</v>
      </c>
      <c r="C705" s="309">
        <f t="shared" si="62"/>
        <v>45901</v>
      </c>
      <c r="D705" s="310" t="s">
        <v>56</v>
      </c>
      <c r="E705" s="310" t="s">
        <v>1641</v>
      </c>
      <c r="F705" s="311">
        <v>9281983602</v>
      </c>
      <c r="G705" s="316" t="s">
        <v>1093</v>
      </c>
      <c r="H705" s="316" t="s">
        <v>2434</v>
      </c>
      <c r="I705" s="316" t="s">
        <v>6</v>
      </c>
      <c r="J705" s="310" t="s">
        <v>172</v>
      </c>
      <c r="K705" s="312">
        <v>41230</v>
      </c>
      <c r="L705" s="312">
        <v>96390</v>
      </c>
      <c r="M705" s="313">
        <f t="shared" si="63"/>
        <v>55160</v>
      </c>
      <c r="N705" s="314">
        <f t="shared" si="64"/>
        <v>0.572258533042847</v>
      </c>
      <c r="O705" s="312">
        <v>41230</v>
      </c>
      <c r="P705" s="313">
        <f t="shared" si="60"/>
        <v>0</v>
      </c>
      <c r="Q705" s="310" t="s">
        <v>147</v>
      </c>
      <c r="R705" s="310">
        <v>280</v>
      </c>
      <c r="S705" s="310"/>
      <c r="T705" s="308">
        <v>45933</v>
      </c>
      <c r="U705" s="308">
        <v>45934</v>
      </c>
      <c r="V705" s="308"/>
      <c r="W705" s="315">
        <f t="shared" si="65"/>
        <v>4</v>
      </c>
      <c r="X705" s="310" t="s">
        <v>54</v>
      </c>
      <c r="Y705" s="310" t="s">
        <v>56</v>
      </c>
      <c r="Z705" s="316"/>
      <c r="AA705" s="317">
        <v>45726</v>
      </c>
      <c r="AB705" s="317">
        <v>45757</v>
      </c>
    </row>
    <row r="706" spans="1:28" x14ac:dyDescent="0.25">
      <c r="A706" s="307">
        <f t="shared" si="61"/>
        <v>700</v>
      </c>
      <c r="B706" s="308">
        <v>45930</v>
      </c>
      <c r="C706" s="309">
        <f t="shared" si="62"/>
        <v>45901</v>
      </c>
      <c r="D706" s="310" t="s">
        <v>51</v>
      </c>
      <c r="E706" s="310" t="s">
        <v>2378</v>
      </c>
      <c r="F706" s="311">
        <v>9797226233</v>
      </c>
      <c r="G706" s="316" t="s">
        <v>6</v>
      </c>
      <c r="H706" s="316" t="s">
        <v>2409</v>
      </c>
      <c r="I706" s="316" t="s">
        <v>2410</v>
      </c>
      <c r="J706" s="310" t="s">
        <v>172</v>
      </c>
      <c r="K706" s="312">
        <v>33770</v>
      </c>
      <c r="L706" s="312">
        <v>46620</v>
      </c>
      <c r="M706" s="313">
        <f t="shared" si="63"/>
        <v>12850</v>
      </c>
      <c r="N706" s="314">
        <f t="shared" si="64"/>
        <v>0.275632775632776</v>
      </c>
      <c r="O706" s="312">
        <v>33770</v>
      </c>
      <c r="P706" s="313">
        <f t="shared" si="60"/>
        <v>0</v>
      </c>
      <c r="Q706" s="310" t="s">
        <v>147</v>
      </c>
      <c r="R706" s="310">
        <v>281</v>
      </c>
      <c r="S706" s="310"/>
      <c r="T706" s="308">
        <v>45933</v>
      </c>
      <c r="U706" s="308">
        <v>45934</v>
      </c>
      <c r="V706" s="308"/>
      <c r="W706" s="315">
        <f t="shared" si="65"/>
        <v>4</v>
      </c>
      <c r="X706" s="310" t="s">
        <v>54</v>
      </c>
      <c r="Y706" s="310" t="s">
        <v>529</v>
      </c>
      <c r="Z706" s="316"/>
      <c r="AA706" s="317">
        <v>45726</v>
      </c>
      <c r="AB706" s="317">
        <v>45757</v>
      </c>
    </row>
    <row r="707" spans="1:28" x14ac:dyDescent="0.25">
      <c r="A707" s="307">
        <f t="shared" si="61"/>
        <v>701</v>
      </c>
      <c r="B707" s="308">
        <v>45930</v>
      </c>
      <c r="C707" s="309">
        <f t="shared" si="62"/>
        <v>45901</v>
      </c>
      <c r="D707" s="310" t="s">
        <v>51</v>
      </c>
      <c r="E707" s="310" t="s">
        <v>1643</v>
      </c>
      <c r="F707" s="311">
        <v>9915991042</v>
      </c>
      <c r="G707" s="316" t="s">
        <v>6</v>
      </c>
      <c r="H707" s="316" t="s">
        <v>1874</v>
      </c>
      <c r="I707" s="316" t="s">
        <v>2411</v>
      </c>
      <c r="J707" s="310" t="s">
        <v>623</v>
      </c>
      <c r="K707" s="312">
        <v>25690</v>
      </c>
      <c r="L707" s="312">
        <v>35600</v>
      </c>
      <c r="M707" s="313">
        <f t="shared" si="63"/>
        <v>9910</v>
      </c>
      <c r="N707" s="314">
        <f t="shared" si="64"/>
        <v>0.278370786516854</v>
      </c>
      <c r="O707" s="312">
        <v>25690</v>
      </c>
      <c r="P707" s="313">
        <f t="shared" si="60"/>
        <v>0</v>
      </c>
      <c r="Q707" s="310" t="s">
        <v>147</v>
      </c>
      <c r="R707" s="310">
        <v>282</v>
      </c>
      <c r="S707" s="310"/>
      <c r="T707" s="308">
        <v>45933</v>
      </c>
      <c r="U707" s="308">
        <v>45933</v>
      </c>
      <c r="V707" s="308"/>
      <c r="W707" s="315">
        <f t="shared" si="65"/>
        <v>3</v>
      </c>
      <c r="X707" s="310" t="s">
        <v>54</v>
      </c>
      <c r="Y707" s="310" t="s">
        <v>529</v>
      </c>
      <c r="Z707" s="316"/>
      <c r="AA707" s="317">
        <v>45726</v>
      </c>
      <c r="AB707" s="317">
        <v>45726</v>
      </c>
    </row>
    <row r="708" spans="1:28" x14ac:dyDescent="0.25">
      <c r="A708" s="307">
        <f t="shared" si="61"/>
        <v>702</v>
      </c>
      <c r="B708" s="308">
        <v>45934</v>
      </c>
      <c r="C708" s="309">
        <f t="shared" si="62"/>
        <v>45931</v>
      </c>
      <c r="D708" s="310" t="s">
        <v>56</v>
      </c>
      <c r="E708" s="310" t="s">
        <v>60</v>
      </c>
      <c r="F708" s="311">
        <v>9589264337</v>
      </c>
      <c r="G708" s="316" t="s">
        <v>6</v>
      </c>
      <c r="H708" s="316" t="s">
        <v>2412</v>
      </c>
      <c r="I708" s="316" t="s">
        <v>2413</v>
      </c>
      <c r="J708" s="310" t="s">
        <v>172</v>
      </c>
      <c r="K708" s="312">
        <v>33770</v>
      </c>
      <c r="L708" s="312">
        <v>46620</v>
      </c>
      <c r="M708" s="313">
        <f t="shared" si="63"/>
        <v>12850</v>
      </c>
      <c r="N708" s="314">
        <f t="shared" si="64"/>
        <v>0.275632775632776</v>
      </c>
      <c r="O708" s="312">
        <v>33770</v>
      </c>
      <c r="P708" s="313">
        <f t="shared" si="60"/>
        <v>0</v>
      </c>
      <c r="Q708" s="310" t="s">
        <v>147</v>
      </c>
      <c r="R708" s="310">
        <v>283</v>
      </c>
      <c r="S708" s="310"/>
      <c r="T708" s="308">
        <v>45937</v>
      </c>
      <c r="U708" s="308">
        <v>45937</v>
      </c>
      <c r="V708" s="308"/>
      <c r="W708" s="315">
        <f t="shared" si="65"/>
        <v>3</v>
      </c>
      <c r="X708" s="310" t="s">
        <v>54</v>
      </c>
      <c r="Y708" s="310" t="s">
        <v>56</v>
      </c>
      <c r="Z708" s="316"/>
      <c r="AA708" s="317">
        <v>45848</v>
      </c>
      <c r="AB708" s="317">
        <v>45848</v>
      </c>
    </row>
    <row r="709" spans="1:28" x14ac:dyDescent="0.25">
      <c r="A709" s="307">
        <f t="shared" si="61"/>
        <v>703</v>
      </c>
      <c r="B709" s="308">
        <v>45935</v>
      </c>
      <c r="C709" s="309">
        <f t="shared" si="62"/>
        <v>45931</v>
      </c>
      <c r="D709" s="310" t="s">
        <v>56</v>
      </c>
      <c r="E709" s="310" t="s">
        <v>1644</v>
      </c>
      <c r="F709" s="311">
        <v>9062508646</v>
      </c>
      <c r="G709" s="316" t="s">
        <v>1093</v>
      </c>
      <c r="H709" s="316" t="s">
        <v>2436</v>
      </c>
      <c r="I709" s="316" t="s">
        <v>6</v>
      </c>
      <c r="J709" s="310" t="s">
        <v>172</v>
      </c>
      <c r="K709" s="312">
        <v>42180</v>
      </c>
      <c r="L709" s="312">
        <v>102690</v>
      </c>
      <c r="M709" s="313">
        <f t="shared" si="63"/>
        <v>60510</v>
      </c>
      <c r="N709" s="314">
        <f t="shared" si="64"/>
        <v>0.58924919661116</v>
      </c>
      <c r="O709" s="312">
        <v>42180</v>
      </c>
      <c r="P709" s="313">
        <f t="shared" si="60"/>
        <v>0</v>
      </c>
      <c r="Q709" s="310" t="s">
        <v>147</v>
      </c>
      <c r="R709" s="310">
        <v>284</v>
      </c>
      <c r="S709" s="310"/>
      <c r="T709" s="308">
        <v>45938</v>
      </c>
      <c r="U709" s="308">
        <v>45938</v>
      </c>
      <c r="V709" s="308"/>
      <c r="W709" s="315">
        <f t="shared" si="65"/>
        <v>3</v>
      </c>
      <c r="X709" s="310" t="s">
        <v>54</v>
      </c>
      <c r="Y709" s="310" t="s">
        <v>56</v>
      </c>
      <c r="Z709" s="316"/>
      <c r="AA709" s="317">
        <v>45879</v>
      </c>
      <c r="AB709" s="317">
        <v>45879</v>
      </c>
    </row>
    <row r="710" spans="1:28" x14ac:dyDescent="0.25">
      <c r="A710" s="307">
        <f t="shared" si="61"/>
        <v>704</v>
      </c>
      <c r="B710" s="308">
        <v>45935</v>
      </c>
      <c r="C710" s="309">
        <f t="shared" si="62"/>
        <v>45931</v>
      </c>
      <c r="D710" s="310" t="s">
        <v>56</v>
      </c>
      <c r="E710" s="310" t="s">
        <v>1637</v>
      </c>
      <c r="F710" s="311">
        <v>9515412075</v>
      </c>
      <c r="G710" s="316" t="s">
        <v>105</v>
      </c>
      <c r="H710" s="316" t="s">
        <v>2438</v>
      </c>
      <c r="I710" s="316" t="s">
        <v>6</v>
      </c>
      <c r="J710" s="310" t="s">
        <v>172</v>
      </c>
      <c r="K710" s="312">
        <v>41230</v>
      </c>
      <c r="L710" s="312">
        <v>96390</v>
      </c>
      <c r="M710" s="313">
        <f t="shared" si="63"/>
        <v>55160</v>
      </c>
      <c r="N710" s="314">
        <f t="shared" si="64"/>
        <v>0.572258533042847</v>
      </c>
      <c r="O710" s="312">
        <v>41230</v>
      </c>
      <c r="P710" s="313">
        <f t="shared" si="60"/>
        <v>0</v>
      </c>
      <c r="Q710" s="310" t="s">
        <v>147</v>
      </c>
      <c r="R710" s="310">
        <v>285</v>
      </c>
      <c r="S710" s="310"/>
      <c r="T710" s="308">
        <v>45938</v>
      </c>
      <c r="U710" s="308">
        <v>45938</v>
      </c>
      <c r="V710" s="308"/>
      <c r="W710" s="315">
        <f t="shared" si="65"/>
        <v>3</v>
      </c>
      <c r="X710" s="310" t="s">
        <v>54</v>
      </c>
      <c r="Y710" s="310" t="s">
        <v>56</v>
      </c>
      <c r="Z710" s="316"/>
      <c r="AA710" s="317">
        <v>45879</v>
      </c>
      <c r="AB710" s="317">
        <v>45879</v>
      </c>
    </row>
    <row r="711" spans="1:28" x14ac:dyDescent="0.25">
      <c r="A711" s="307">
        <f t="shared" si="61"/>
        <v>705</v>
      </c>
      <c r="B711" s="308">
        <v>45936</v>
      </c>
      <c r="C711" s="309">
        <f t="shared" si="62"/>
        <v>45931</v>
      </c>
      <c r="D711" s="310" t="s">
        <v>56</v>
      </c>
      <c r="E711" s="310" t="s">
        <v>38</v>
      </c>
      <c r="F711" s="311">
        <v>9793531306</v>
      </c>
      <c r="G711" s="316" t="s">
        <v>1093</v>
      </c>
      <c r="H711" s="316" t="s">
        <v>2441</v>
      </c>
      <c r="I711" s="316" t="s">
        <v>6</v>
      </c>
      <c r="J711" s="310" t="s">
        <v>59</v>
      </c>
      <c r="K711" s="312">
        <v>40480</v>
      </c>
      <c r="L711" s="312">
        <v>91350</v>
      </c>
      <c r="M711" s="313">
        <f t="shared" si="63"/>
        <v>50870</v>
      </c>
      <c r="N711" s="314">
        <f t="shared" si="64"/>
        <v>0.556869184455391</v>
      </c>
      <c r="O711" s="312">
        <v>40480</v>
      </c>
      <c r="P711" s="313">
        <f t="shared" ref="P711:P774" si="66">IF(OR($K711="",$O711=""),"",$K711-$O711)</f>
        <v>0</v>
      </c>
      <c r="Q711" s="310" t="s">
        <v>147</v>
      </c>
      <c r="R711" s="310">
        <v>286</v>
      </c>
      <c r="S711" s="310"/>
      <c r="T711" s="308">
        <v>45939</v>
      </c>
      <c r="U711" s="308">
        <v>45939</v>
      </c>
      <c r="V711" s="308"/>
      <c r="W711" s="315">
        <f t="shared" si="65"/>
        <v>3</v>
      </c>
      <c r="X711" s="310" t="s">
        <v>54</v>
      </c>
      <c r="Y711" s="310" t="s">
        <v>56</v>
      </c>
      <c r="Z711" s="316"/>
      <c r="AA711" s="317">
        <v>45910</v>
      </c>
      <c r="AB711" s="317">
        <v>45910</v>
      </c>
    </row>
    <row r="712" spans="1:28" x14ac:dyDescent="0.25">
      <c r="A712" s="307">
        <f t="shared" ref="A712:A775" si="67">IF($B712="","",ROW()-6)</f>
        <v>706</v>
      </c>
      <c r="B712" s="308">
        <v>45936</v>
      </c>
      <c r="C712" s="309">
        <f t="shared" ref="C712:C775" si="68">IF($B712="","",EOMONTH($B712,-1)+1)</f>
        <v>45931</v>
      </c>
      <c r="D712" s="310" t="s">
        <v>56</v>
      </c>
      <c r="E712" s="310" t="s">
        <v>1635</v>
      </c>
      <c r="F712" s="311">
        <v>9220186371</v>
      </c>
      <c r="G712" s="316" t="s">
        <v>6</v>
      </c>
      <c r="H712" s="316" t="s">
        <v>1874</v>
      </c>
      <c r="I712" s="316" t="s">
        <v>2414</v>
      </c>
      <c r="J712" s="310" t="s">
        <v>172</v>
      </c>
      <c r="K712" s="312">
        <v>32820</v>
      </c>
      <c r="L712" s="312">
        <v>40320</v>
      </c>
      <c r="M712" s="313">
        <f t="shared" ref="M712:M775" si="69">IF(OR($K712="",$L712=""),"",$L712-$K712)</f>
        <v>7500</v>
      </c>
      <c r="N712" s="314">
        <f t="shared" ref="N712:N775" si="70">IF(OR($L712="",$L712=0,$M712=""),"",$M712/$L712)</f>
        <v>0.186011904761905</v>
      </c>
      <c r="O712" s="312">
        <v>32820</v>
      </c>
      <c r="P712" s="313">
        <f t="shared" si="66"/>
        <v>0</v>
      </c>
      <c r="Q712" s="310" t="s">
        <v>147</v>
      </c>
      <c r="R712" s="310">
        <v>287</v>
      </c>
      <c r="S712" s="310"/>
      <c r="T712" s="308">
        <v>45939</v>
      </c>
      <c r="U712" s="308">
        <v>45939</v>
      </c>
      <c r="V712" s="308"/>
      <c r="W712" s="315">
        <f t="shared" ref="W712:W775" si="71">IF(OR($B712="",$U712=""),"",$U712-$B712)</f>
        <v>3</v>
      </c>
      <c r="X712" s="310" t="s">
        <v>54</v>
      </c>
      <c r="Y712" s="310" t="s">
        <v>56</v>
      </c>
      <c r="Z712" s="316"/>
      <c r="AA712" s="317">
        <v>45910</v>
      </c>
      <c r="AB712" s="317">
        <v>45910</v>
      </c>
    </row>
    <row r="713" spans="1:28" x14ac:dyDescent="0.25">
      <c r="A713" s="307">
        <f t="shared" si="67"/>
        <v>707</v>
      </c>
      <c r="B713" s="308">
        <v>45936</v>
      </c>
      <c r="C713" s="309">
        <f t="shared" si="68"/>
        <v>45931</v>
      </c>
      <c r="D713" s="310" t="s">
        <v>56</v>
      </c>
      <c r="E713" s="310" t="s">
        <v>1641</v>
      </c>
      <c r="F713" s="311">
        <v>9281983602</v>
      </c>
      <c r="G713" s="316" t="s">
        <v>6</v>
      </c>
      <c r="H713" s="316" t="s">
        <v>2415</v>
      </c>
      <c r="I713" s="316" t="s">
        <v>2416</v>
      </c>
      <c r="J713" s="310" t="s">
        <v>172</v>
      </c>
      <c r="K713" s="312">
        <v>33770</v>
      </c>
      <c r="L713" s="312">
        <v>46620</v>
      </c>
      <c r="M713" s="313">
        <f t="shared" si="69"/>
        <v>12850</v>
      </c>
      <c r="N713" s="314">
        <f t="shared" si="70"/>
        <v>0.275632775632776</v>
      </c>
      <c r="O713" s="312">
        <v>33770</v>
      </c>
      <c r="P713" s="313">
        <f t="shared" si="66"/>
        <v>0</v>
      </c>
      <c r="Q713" s="310" t="s">
        <v>147</v>
      </c>
      <c r="R713" s="310">
        <v>288</v>
      </c>
      <c r="S713" s="310"/>
      <c r="T713" s="308">
        <v>45939</v>
      </c>
      <c r="U713" s="308">
        <v>45939</v>
      </c>
      <c r="V713" s="308"/>
      <c r="W713" s="315">
        <f t="shared" si="71"/>
        <v>3</v>
      </c>
      <c r="X713" s="310" t="s">
        <v>54</v>
      </c>
      <c r="Y713" s="310" t="s">
        <v>56</v>
      </c>
      <c r="Z713" s="316"/>
      <c r="AA713" s="317">
        <v>45910</v>
      </c>
      <c r="AB713" s="317">
        <v>45910</v>
      </c>
    </row>
    <row r="714" spans="1:28" x14ac:dyDescent="0.25">
      <c r="A714" s="307">
        <f t="shared" si="67"/>
        <v>708</v>
      </c>
      <c r="B714" s="308">
        <v>45938</v>
      </c>
      <c r="C714" s="309">
        <f t="shared" si="68"/>
        <v>45931</v>
      </c>
      <c r="D714" s="310" t="s">
        <v>56</v>
      </c>
      <c r="E714" s="310" t="s">
        <v>1644</v>
      </c>
      <c r="F714" s="311">
        <v>9902798068</v>
      </c>
      <c r="G714" s="316" t="s">
        <v>6</v>
      </c>
      <c r="H714" s="316" t="s">
        <v>2417</v>
      </c>
      <c r="I714" s="316" t="s">
        <v>2418</v>
      </c>
      <c r="J714" s="310" t="s">
        <v>172</v>
      </c>
      <c r="K714" s="312">
        <v>33770</v>
      </c>
      <c r="L714" s="312">
        <v>46620</v>
      </c>
      <c r="M714" s="313">
        <f t="shared" si="69"/>
        <v>12850</v>
      </c>
      <c r="N714" s="314">
        <f t="shared" si="70"/>
        <v>0.275632775632776</v>
      </c>
      <c r="O714" s="312">
        <v>33770</v>
      </c>
      <c r="P714" s="313">
        <f t="shared" si="66"/>
        <v>0</v>
      </c>
      <c r="Q714" s="310" t="s">
        <v>147</v>
      </c>
      <c r="R714" s="310">
        <v>289</v>
      </c>
      <c r="S714" s="310"/>
      <c r="T714" s="308">
        <v>45940</v>
      </c>
      <c r="U714" s="308">
        <v>45941</v>
      </c>
      <c r="V714" s="308"/>
      <c r="W714" s="315">
        <f t="shared" si="71"/>
        <v>3</v>
      </c>
      <c r="X714" s="310" t="s">
        <v>54</v>
      </c>
      <c r="Y714" s="310" t="s">
        <v>56</v>
      </c>
      <c r="Z714" s="316"/>
      <c r="AA714" s="317">
        <v>45940</v>
      </c>
      <c r="AB714" s="317">
        <v>45971</v>
      </c>
    </row>
    <row r="715" spans="1:28" x14ac:dyDescent="0.25">
      <c r="A715" s="307">
        <f t="shared" si="67"/>
        <v>709</v>
      </c>
      <c r="B715" s="308">
        <v>45938</v>
      </c>
      <c r="C715" s="309">
        <f t="shared" si="68"/>
        <v>45931</v>
      </c>
      <c r="D715" s="310" t="s">
        <v>56</v>
      </c>
      <c r="E715" s="310" t="s">
        <v>1637</v>
      </c>
      <c r="F715" s="311">
        <v>9515412075</v>
      </c>
      <c r="G715" s="316" t="s">
        <v>6</v>
      </c>
      <c r="H715" s="316" t="s">
        <v>2419</v>
      </c>
      <c r="I715" s="316" t="s">
        <v>2420</v>
      </c>
      <c r="J715" s="310" t="s">
        <v>172</v>
      </c>
      <c r="K715" s="312">
        <v>33770</v>
      </c>
      <c r="L715" s="312">
        <v>46620</v>
      </c>
      <c r="M715" s="313">
        <f t="shared" si="69"/>
        <v>12850</v>
      </c>
      <c r="N715" s="314">
        <f t="shared" si="70"/>
        <v>0.275632775632776</v>
      </c>
      <c r="O715" s="312">
        <v>33770</v>
      </c>
      <c r="P715" s="313">
        <f t="shared" si="66"/>
        <v>0</v>
      </c>
      <c r="Q715" s="310" t="s">
        <v>147</v>
      </c>
      <c r="R715" s="310">
        <v>289</v>
      </c>
      <c r="S715" s="310"/>
      <c r="T715" s="308">
        <v>45940</v>
      </c>
      <c r="U715" s="308">
        <v>45941</v>
      </c>
      <c r="V715" s="308"/>
      <c r="W715" s="315">
        <f t="shared" si="71"/>
        <v>3</v>
      </c>
      <c r="X715" s="310" t="s">
        <v>54</v>
      </c>
      <c r="Y715" s="310" t="s">
        <v>56</v>
      </c>
      <c r="Z715" s="316"/>
      <c r="AA715" s="317">
        <v>45940</v>
      </c>
      <c r="AB715" s="317">
        <v>45971</v>
      </c>
    </row>
    <row r="716" spans="1:28" x14ac:dyDescent="0.25">
      <c r="A716" s="307">
        <f t="shared" si="67"/>
        <v>710</v>
      </c>
      <c r="B716" s="308">
        <v>45940</v>
      </c>
      <c r="C716" s="309">
        <f t="shared" si="68"/>
        <v>45931</v>
      </c>
      <c r="D716" s="310" t="s">
        <v>56</v>
      </c>
      <c r="E716" s="310" t="s">
        <v>38</v>
      </c>
      <c r="F716" s="311">
        <v>9589264337</v>
      </c>
      <c r="G716" s="316" t="s">
        <v>6</v>
      </c>
      <c r="H716" s="316" t="s">
        <v>2421</v>
      </c>
      <c r="I716" s="316" t="s">
        <v>2422</v>
      </c>
      <c r="J716" s="310" t="s">
        <v>59</v>
      </c>
      <c r="K716" s="312">
        <v>33530</v>
      </c>
      <c r="L716" s="312">
        <v>45040</v>
      </c>
      <c r="M716" s="313">
        <f t="shared" si="69"/>
        <v>11510</v>
      </c>
      <c r="N716" s="314">
        <f t="shared" si="70"/>
        <v>0.255550621669627</v>
      </c>
      <c r="O716" s="312">
        <v>33530</v>
      </c>
      <c r="P716" s="313">
        <f t="shared" si="66"/>
        <v>0</v>
      </c>
      <c r="Q716" s="310" t="s">
        <v>147</v>
      </c>
      <c r="R716" s="310">
        <v>290</v>
      </c>
      <c r="S716" s="310"/>
      <c r="T716" s="308">
        <v>45944</v>
      </c>
      <c r="U716" s="308">
        <v>45944</v>
      </c>
      <c r="V716" s="308"/>
      <c r="W716" s="315">
        <f t="shared" si="71"/>
        <v>4</v>
      </c>
      <c r="X716" s="310" t="s">
        <v>54</v>
      </c>
      <c r="Y716" s="310" t="s">
        <v>56</v>
      </c>
      <c r="Z716" s="316"/>
      <c r="AA716" s="316" t="s">
        <v>2403</v>
      </c>
      <c r="AB716" s="316" t="s">
        <v>2403</v>
      </c>
    </row>
    <row r="717" spans="1:28" x14ac:dyDescent="0.25">
      <c r="A717" s="307">
        <f t="shared" si="67"/>
        <v>711</v>
      </c>
      <c r="B717" s="308">
        <v>45940</v>
      </c>
      <c r="C717" s="309">
        <f t="shared" si="68"/>
        <v>45931</v>
      </c>
      <c r="D717" s="310" t="s">
        <v>51</v>
      </c>
      <c r="E717" s="310" t="s">
        <v>2402</v>
      </c>
      <c r="F717" s="311">
        <v>9914761444</v>
      </c>
      <c r="G717" s="316" t="s">
        <v>6</v>
      </c>
      <c r="H717" s="316" t="s">
        <v>440</v>
      </c>
      <c r="I717" s="316" t="s">
        <v>2423</v>
      </c>
      <c r="J717" s="310" t="s">
        <v>59</v>
      </c>
      <c r="K717" s="312">
        <v>30850</v>
      </c>
      <c r="L717" s="312">
        <v>45040</v>
      </c>
      <c r="M717" s="313">
        <f t="shared" si="69"/>
        <v>14190</v>
      </c>
      <c r="N717" s="314">
        <f t="shared" si="70"/>
        <v>0.315053285968028</v>
      </c>
      <c r="O717" s="312">
        <v>30850</v>
      </c>
      <c r="P717" s="313">
        <f t="shared" si="66"/>
        <v>0</v>
      </c>
      <c r="Q717" s="310" t="s">
        <v>147</v>
      </c>
      <c r="R717" s="310">
        <v>291</v>
      </c>
      <c r="S717" s="310"/>
      <c r="T717" s="308">
        <v>45944</v>
      </c>
      <c r="U717" s="308">
        <v>45944</v>
      </c>
      <c r="V717" s="308"/>
      <c r="W717" s="315">
        <f t="shared" si="71"/>
        <v>4</v>
      </c>
      <c r="X717" s="310" t="s">
        <v>54</v>
      </c>
      <c r="Y717" s="310" t="s">
        <v>529</v>
      </c>
      <c r="Z717" s="316"/>
      <c r="AA717" s="316" t="s">
        <v>2403</v>
      </c>
      <c r="AB717" s="316" t="s">
        <v>2403</v>
      </c>
    </row>
    <row r="718" spans="1:28" x14ac:dyDescent="0.25">
      <c r="A718" s="307">
        <f t="shared" si="67"/>
        <v>712</v>
      </c>
      <c r="B718" s="308">
        <v>45940</v>
      </c>
      <c r="C718" s="309">
        <f t="shared" si="68"/>
        <v>45931</v>
      </c>
      <c r="D718" s="310" t="s">
        <v>56</v>
      </c>
      <c r="E718" s="310" t="s">
        <v>60</v>
      </c>
      <c r="F718" s="311">
        <v>9793531306</v>
      </c>
      <c r="G718" s="316" t="s">
        <v>1093</v>
      </c>
      <c r="H718" s="316" t="s">
        <v>2440</v>
      </c>
      <c r="I718" s="316" t="s">
        <v>6</v>
      </c>
      <c r="J718" s="310" t="s">
        <v>172</v>
      </c>
      <c r="K718" s="312">
        <v>42180</v>
      </c>
      <c r="L718" s="312">
        <v>102690</v>
      </c>
      <c r="M718" s="313">
        <f t="shared" si="69"/>
        <v>60510</v>
      </c>
      <c r="N718" s="314">
        <f t="shared" si="70"/>
        <v>0.58924919661116</v>
      </c>
      <c r="O718" s="312">
        <v>42180</v>
      </c>
      <c r="P718" s="313">
        <f t="shared" si="66"/>
        <v>0</v>
      </c>
      <c r="Q718" s="310" t="s">
        <v>147</v>
      </c>
      <c r="R718" s="310">
        <v>292</v>
      </c>
      <c r="S718" s="310"/>
      <c r="T718" s="308">
        <v>45942</v>
      </c>
      <c r="U718" s="308">
        <v>45943</v>
      </c>
      <c r="V718" s="308"/>
      <c r="W718" s="315">
        <f t="shared" si="71"/>
        <v>3</v>
      </c>
      <c r="X718" s="310" t="s">
        <v>54</v>
      </c>
      <c r="Y718" s="310" t="s">
        <v>56</v>
      </c>
      <c r="Z718" s="316"/>
      <c r="AA718" s="317">
        <v>46001</v>
      </c>
      <c r="AB718" s="316" t="s">
        <v>2405</v>
      </c>
    </row>
    <row r="719" spans="1:28" x14ac:dyDescent="0.25">
      <c r="A719" s="307">
        <f t="shared" si="67"/>
        <v>713</v>
      </c>
      <c r="B719" s="308">
        <v>45940</v>
      </c>
      <c r="C719" s="309">
        <f t="shared" si="68"/>
        <v>45931</v>
      </c>
      <c r="D719" s="310" t="s">
        <v>56</v>
      </c>
      <c r="E719" s="310" t="s">
        <v>1635</v>
      </c>
      <c r="F719" s="311">
        <v>9220186371</v>
      </c>
      <c r="G719" s="316" t="s">
        <v>105</v>
      </c>
      <c r="H719" s="316" t="s">
        <v>2433</v>
      </c>
      <c r="I719" s="316" t="s">
        <v>6</v>
      </c>
      <c r="J719" s="310" t="s">
        <v>172</v>
      </c>
      <c r="K719" s="312">
        <v>41230</v>
      </c>
      <c r="L719" s="312">
        <v>96390</v>
      </c>
      <c r="M719" s="313">
        <f t="shared" si="69"/>
        <v>55160</v>
      </c>
      <c r="N719" s="314">
        <f t="shared" si="70"/>
        <v>0.572258533042847</v>
      </c>
      <c r="O719" s="312">
        <v>41230</v>
      </c>
      <c r="P719" s="313">
        <f t="shared" si="66"/>
        <v>0</v>
      </c>
      <c r="Q719" s="310" t="s">
        <v>147</v>
      </c>
      <c r="R719" s="310">
        <v>293</v>
      </c>
      <c r="S719" s="310"/>
      <c r="T719" s="308">
        <v>45943</v>
      </c>
      <c r="U719" s="308">
        <v>45944</v>
      </c>
      <c r="V719" s="308"/>
      <c r="W719" s="315">
        <f t="shared" si="71"/>
        <v>4</v>
      </c>
      <c r="X719" s="310" t="s">
        <v>54</v>
      </c>
      <c r="Y719" s="310" t="s">
        <v>56</v>
      </c>
      <c r="Z719" s="316"/>
      <c r="AA719" s="316" t="s">
        <v>2405</v>
      </c>
      <c r="AB719" s="316" t="s">
        <v>2403</v>
      </c>
    </row>
    <row r="720" spans="1:28" x14ac:dyDescent="0.25">
      <c r="A720" s="307">
        <f t="shared" si="67"/>
        <v>714</v>
      </c>
      <c r="B720" s="308">
        <v>45940</v>
      </c>
      <c r="C720" s="309">
        <f t="shared" si="68"/>
        <v>45931</v>
      </c>
      <c r="D720" s="310" t="s">
        <v>56</v>
      </c>
      <c r="E720" s="310" t="s">
        <v>1641</v>
      </c>
      <c r="F720" s="311">
        <v>9281983602</v>
      </c>
      <c r="G720" s="316" t="s">
        <v>1093</v>
      </c>
      <c r="H720" s="316" t="s">
        <v>2435</v>
      </c>
      <c r="I720" s="316" t="s">
        <v>6</v>
      </c>
      <c r="J720" s="310" t="s">
        <v>172</v>
      </c>
      <c r="K720" s="312">
        <v>41230</v>
      </c>
      <c r="L720" s="312">
        <v>96390</v>
      </c>
      <c r="M720" s="313">
        <f t="shared" si="69"/>
        <v>55160</v>
      </c>
      <c r="N720" s="314">
        <f t="shared" si="70"/>
        <v>0.572258533042847</v>
      </c>
      <c r="O720" s="312">
        <v>41230</v>
      </c>
      <c r="P720" s="313">
        <f t="shared" si="66"/>
        <v>0</v>
      </c>
      <c r="Q720" s="310" t="s">
        <v>147</v>
      </c>
      <c r="R720" s="310">
        <v>294</v>
      </c>
      <c r="S720" s="310"/>
      <c r="T720" s="308">
        <v>45943</v>
      </c>
      <c r="U720" s="308">
        <v>45944</v>
      </c>
      <c r="V720" s="308"/>
      <c r="W720" s="315">
        <f t="shared" si="71"/>
        <v>4</v>
      </c>
      <c r="X720" s="310" t="s">
        <v>54</v>
      </c>
      <c r="Y720" s="310" t="s">
        <v>56</v>
      </c>
      <c r="Z720" s="316"/>
      <c r="AA720" s="316" t="s">
        <v>2405</v>
      </c>
      <c r="AB720" s="316" t="s">
        <v>2403</v>
      </c>
    </row>
    <row r="721" spans="1:28" x14ac:dyDescent="0.25">
      <c r="A721" s="307">
        <f t="shared" si="67"/>
        <v>715</v>
      </c>
      <c r="B721" s="308">
        <v>45941</v>
      </c>
      <c r="C721" s="309">
        <f t="shared" si="68"/>
        <v>45931</v>
      </c>
      <c r="D721" s="310" t="s">
        <v>51</v>
      </c>
      <c r="E721" s="310" t="s">
        <v>2407</v>
      </c>
      <c r="F721" s="311">
        <v>9902172063</v>
      </c>
      <c r="G721" s="316" t="s">
        <v>6</v>
      </c>
      <c r="H721" s="316" t="s">
        <v>2424</v>
      </c>
      <c r="I721" s="316" t="s">
        <v>2425</v>
      </c>
      <c r="J721" s="310" t="s">
        <v>623</v>
      </c>
      <c r="K721" s="312">
        <v>27700</v>
      </c>
      <c r="L721" s="312">
        <v>41900</v>
      </c>
      <c r="M721" s="313">
        <f t="shared" si="69"/>
        <v>14200</v>
      </c>
      <c r="N721" s="314">
        <f t="shared" si="70"/>
        <v>0.33890214797136</v>
      </c>
      <c r="O721" s="312">
        <v>27700</v>
      </c>
      <c r="P721" s="313">
        <f t="shared" si="66"/>
        <v>0</v>
      </c>
      <c r="Q721" s="310" t="s">
        <v>147</v>
      </c>
      <c r="R721" s="310">
        <v>295</v>
      </c>
      <c r="S721" s="310"/>
      <c r="T721" s="308">
        <v>45945</v>
      </c>
      <c r="U721" s="308">
        <v>45946</v>
      </c>
      <c r="V721" s="308"/>
      <c r="W721" s="315">
        <f t="shared" si="71"/>
        <v>5</v>
      </c>
      <c r="X721" s="310" t="s">
        <v>54</v>
      </c>
      <c r="Y721" s="310" t="s">
        <v>529</v>
      </c>
      <c r="Z721" s="316"/>
      <c r="AA721" s="316" t="s">
        <v>2406</v>
      </c>
      <c r="AB721" s="316" t="s">
        <v>2408</v>
      </c>
    </row>
    <row r="722" spans="1:28" x14ac:dyDescent="0.25">
      <c r="A722" s="307">
        <f t="shared" si="67"/>
        <v>716</v>
      </c>
      <c r="B722" s="308">
        <v>45942</v>
      </c>
      <c r="C722" s="309">
        <f t="shared" si="68"/>
        <v>45931</v>
      </c>
      <c r="D722" s="310" t="s">
        <v>56</v>
      </c>
      <c r="E722" s="310" t="s">
        <v>1637</v>
      </c>
      <c r="F722" s="311">
        <v>9842431449</v>
      </c>
      <c r="G722" s="316" t="s">
        <v>1093</v>
      </c>
      <c r="H722" s="316" t="s">
        <v>2439</v>
      </c>
      <c r="I722" s="316" t="s">
        <v>6</v>
      </c>
      <c r="J722" s="310" t="s">
        <v>172</v>
      </c>
      <c r="K722" s="312">
        <v>41230</v>
      </c>
      <c r="L722" s="312">
        <v>96390</v>
      </c>
      <c r="M722" s="313">
        <f t="shared" si="69"/>
        <v>55160</v>
      </c>
      <c r="N722" s="314">
        <f t="shared" si="70"/>
        <v>0.572258533042847</v>
      </c>
      <c r="O722" s="312">
        <v>41230</v>
      </c>
      <c r="P722" s="313">
        <f t="shared" si="66"/>
        <v>0</v>
      </c>
      <c r="Q722" s="310" t="s">
        <v>147</v>
      </c>
      <c r="R722" s="310">
        <v>296</v>
      </c>
      <c r="S722" s="310"/>
      <c r="T722" s="308">
        <v>45945</v>
      </c>
      <c r="U722" s="308">
        <v>45945</v>
      </c>
      <c r="V722" s="308"/>
      <c r="W722" s="315">
        <f t="shared" si="71"/>
        <v>3</v>
      </c>
      <c r="X722" s="310" t="s">
        <v>54</v>
      </c>
      <c r="Y722" s="310" t="s">
        <v>56</v>
      </c>
      <c r="Z722" s="316"/>
      <c r="AA722" s="316" t="s">
        <v>2406</v>
      </c>
      <c r="AB722" s="316" t="s">
        <v>2406</v>
      </c>
    </row>
    <row r="723" spans="1:28" x14ac:dyDescent="0.25">
      <c r="A723" s="307">
        <f t="shared" si="67"/>
        <v>717</v>
      </c>
      <c r="B723" s="308">
        <v>45943</v>
      </c>
      <c r="C723" s="309">
        <f t="shared" si="68"/>
        <v>45931</v>
      </c>
      <c r="D723" s="310" t="s">
        <v>56</v>
      </c>
      <c r="E723" s="310" t="s">
        <v>60</v>
      </c>
      <c r="F723" s="311">
        <v>9589264337</v>
      </c>
      <c r="G723" s="316" t="s">
        <v>6</v>
      </c>
      <c r="H723" s="316" t="s">
        <v>2426</v>
      </c>
      <c r="I723" s="316" t="s">
        <v>2427</v>
      </c>
      <c r="J723" s="310" t="s">
        <v>172</v>
      </c>
      <c r="K723" s="312">
        <v>33770</v>
      </c>
      <c r="L723" s="312">
        <v>46620</v>
      </c>
      <c r="M723" s="313">
        <f t="shared" si="69"/>
        <v>12850</v>
      </c>
      <c r="N723" s="314">
        <f t="shared" si="70"/>
        <v>0.275632775632776</v>
      </c>
      <c r="O723" s="312">
        <v>33770</v>
      </c>
      <c r="P723" s="313">
        <f t="shared" si="66"/>
        <v>0</v>
      </c>
      <c r="Q723" s="310" t="s">
        <v>147</v>
      </c>
      <c r="R723" s="310">
        <v>297</v>
      </c>
      <c r="S723" s="310"/>
      <c r="T723" s="308">
        <v>45946</v>
      </c>
      <c r="U723" s="308">
        <v>45947</v>
      </c>
      <c r="V723" s="308"/>
      <c r="W723" s="315">
        <f t="shared" si="71"/>
        <v>4</v>
      </c>
      <c r="X723" s="310" t="s">
        <v>54</v>
      </c>
      <c r="Y723" s="310" t="s">
        <v>56</v>
      </c>
      <c r="Z723" s="316"/>
      <c r="AA723" s="316" t="s">
        <v>2408</v>
      </c>
      <c r="AB723" s="316" t="s">
        <v>2443</v>
      </c>
    </row>
    <row r="724" spans="1:28" x14ac:dyDescent="0.25">
      <c r="A724" s="307">
        <f t="shared" si="67"/>
        <v>718</v>
      </c>
      <c r="B724" s="308">
        <v>45944</v>
      </c>
      <c r="C724" s="309">
        <f t="shared" si="68"/>
        <v>45931</v>
      </c>
      <c r="D724" s="310" t="s">
        <v>56</v>
      </c>
      <c r="E724" s="310" t="s">
        <v>1644</v>
      </c>
      <c r="F724" s="311">
        <v>9902798068</v>
      </c>
      <c r="G724" s="316" t="s">
        <v>1093</v>
      </c>
      <c r="H724" s="316" t="s">
        <v>2437</v>
      </c>
      <c r="I724" s="316" t="s">
        <v>6</v>
      </c>
      <c r="J724" s="310" t="s">
        <v>172</v>
      </c>
      <c r="K724" s="312">
        <v>42180</v>
      </c>
      <c r="L724" s="312">
        <v>102690</v>
      </c>
      <c r="M724" s="313">
        <f t="shared" si="69"/>
        <v>60510</v>
      </c>
      <c r="N724" s="314">
        <f t="shared" si="70"/>
        <v>0.58924919661116</v>
      </c>
      <c r="O724" s="312">
        <v>42180</v>
      </c>
      <c r="P724" s="313">
        <f t="shared" si="66"/>
        <v>0</v>
      </c>
      <c r="Q724" s="310" t="s">
        <v>147</v>
      </c>
      <c r="R724" s="310">
        <v>298</v>
      </c>
      <c r="S724" s="310"/>
      <c r="T724" s="308">
        <v>45946</v>
      </c>
      <c r="U724" s="308">
        <v>45947</v>
      </c>
      <c r="V724" s="308"/>
      <c r="W724" s="315">
        <f t="shared" si="71"/>
        <v>3</v>
      </c>
      <c r="X724" s="310" t="s">
        <v>54</v>
      </c>
      <c r="Y724" s="310" t="s">
        <v>56</v>
      </c>
      <c r="Z724" s="316"/>
      <c r="AA724" s="316" t="s">
        <v>2408</v>
      </c>
      <c r="AB724" s="316" t="s">
        <v>2443</v>
      </c>
    </row>
    <row r="725" spans="1:28" x14ac:dyDescent="0.25">
      <c r="A725" s="307">
        <f t="shared" si="67"/>
        <v>719</v>
      </c>
      <c r="B725" s="308">
        <v>45944</v>
      </c>
      <c r="C725" s="309">
        <f t="shared" si="68"/>
        <v>45931</v>
      </c>
      <c r="D725" s="310" t="s">
        <v>56</v>
      </c>
      <c r="E725" s="310" t="s">
        <v>1641</v>
      </c>
      <c r="F725" s="311">
        <v>9281983602</v>
      </c>
      <c r="G725" s="316" t="s">
        <v>6</v>
      </c>
      <c r="H725" s="316" t="s">
        <v>2428</v>
      </c>
      <c r="I725" s="316" t="s">
        <v>2429</v>
      </c>
      <c r="J725" s="310" t="s">
        <v>172</v>
      </c>
      <c r="K725" s="312">
        <v>33770</v>
      </c>
      <c r="L725" s="312">
        <v>46620</v>
      </c>
      <c r="M725" s="313">
        <f t="shared" si="69"/>
        <v>12850</v>
      </c>
      <c r="N725" s="314">
        <f t="shared" si="70"/>
        <v>0.275632775632776</v>
      </c>
      <c r="O725" s="312">
        <v>33770</v>
      </c>
      <c r="P725" s="313">
        <f t="shared" si="66"/>
        <v>0</v>
      </c>
      <c r="Q725" s="310" t="s">
        <v>147</v>
      </c>
      <c r="R725" s="310">
        <v>299</v>
      </c>
      <c r="S725" s="310"/>
      <c r="T725" s="308">
        <v>45947</v>
      </c>
      <c r="U725" s="308">
        <v>45947</v>
      </c>
      <c r="V725" s="308"/>
      <c r="W725" s="315">
        <f t="shared" si="71"/>
        <v>3</v>
      </c>
      <c r="X725" s="310" t="s">
        <v>54</v>
      </c>
      <c r="Y725" s="310" t="s">
        <v>56</v>
      </c>
      <c r="Z725" s="316"/>
      <c r="AA725" s="316" t="s">
        <v>2443</v>
      </c>
      <c r="AB725" s="316" t="s">
        <v>2443</v>
      </c>
    </row>
    <row r="726" spans="1:28" x14ac:dyDescent="0.25">
      <c r="A726" s="307">
        <f t="shared" si="67"/>
        <v>720</v>
      </c>
      <c r="B726" s="308">
        <v>45945</v>
      </c>
      <c r="C726" s="309">
        <f t="shared" si="68"/>
        <v>45931</v>
      </c>
      <c r="D726" s="310" t="s">
        <v>56</v>
      </c>
      <c r="E726" s="310" t="s">
        <v>1635</v>
      </c>
      <c r="F726" s="311">
        <v>9220186371</v>
      </c>
      <c r="G726" s="316" t="s">
        <v>6</v>
      </c>
      <c r="H726" s="316" t="s">
        <v>2353</v>
      </c>
      <c r="I726" s="316" t="s">
        <v>2354</v>
      </c>
      <c r="J726" s="310" t="s">
        <v>172</v>
      </c>
      <c r="K726" s="312">
        <v>33770</v>
      </c>
      <c r="L726" s="312">
        <v>46620</v>
      </c>
      <c r="M726" s="313">
        <f t="shared" si="69"/>
        <v>12850</v>
      </c>
      <c r="N726" s="314">
        <f t="shared" si="70"/>
        <v>0.275632775632776</v>
      </c>
      <c r="O726" s="312">
        <v>33770</v>
      </c>
      <c r="P726" s="313">
        <f t="shared" si="66"/>
        <v>0</v>
      </c>
      <c r="Q726" s="310" t="s">
        <v>147</v>
      </c>
      <c r="R726" s="310">
        <v>300</v>
      </c>
      <c r="S726" s="310"/>
      <c r="T726" s="308">
        <v>45948</v>
      </c>
      <c r="U726" s="308">
        <v>45948</v>
      </c>
      <c r="V726" s="308"/>
      <c r="W726" s="315">
        <f t="shared" si="71"/>
        <v>3</v>
      </c>
      <c r="X726" s="310" t="s">
        <v>54</v>
      </c>
      <c r="Y726" s="310" t="s">
        <v>56</v>
      </c>
      <c r="Z726" s="316"/>
      <c r="AA726" s="316" t="s">
        <v>2444</v>
      </c>
      <c r="AB726" s="316" t="s">
        <v>2444</v>
      </c>
    </row>
    <row r="727" spans="1:28" x14ac:dyDescent="0.25">
      <c r="A727" s="307">
        <f t="shared" si="67"/>
        <v>721</v>
      </c>
      <c r="B727" s="308">
        <v>45946</v>
      </c>
      <c r="C727" s="309">
        <f t="shared" si="68"/>
        <v>45931</v>
      </c>
      <c r="D727" s="310" t="s">
        <v>56</v>
      </c>
      <c r="E727" s="310" t="s">
        <v>1637</v>
      </c>
      <c r="F727" s="311">
        <v>9515412075</v>
      </c>
      <c r="G727" s="316" t="s">
        <v>6</v>
      </c>
      <c r="H727" s="316" t="s">
        <v>1874</v>
      </c>
      <c r="I727" s="316" t="s">
        <v>2469</v>
      </c>
      <c r="J727" s="310" t="s">
        <v>172</v>
      </c>
      <c r="K727" s="312">
        <v>32820</v>
      </c>
      <c r="L727" s="312">
        <v>40320</v>
      </c>
      <c r="M727" s="313">
        <f t="shared" si="69"/>
        <v>7500</v>
      </c>
      <c r="N727" s="314">
        <f t="shared" si="70"/>
        <v>0.186011904761905</v>
      </c>
      <c r="O727" s="312">
        <v>32820</v>
      </c>
      <c r="P727" s="313">
        <f t="shared" si="66"/>
        <v>0</v>
      </c>
      <c r="Q727" s="310" t="s">
        <v>147</v>
      </c>
      <c r="R727" s="310">
        <v>301</v>
      </c>
      <c r="S727" s="310"/>
      <c r="T727" s="308">
        <v>45949</v>
      </c>
      <c r="U727" s="308">
        <v>45949</v>
      </c>
      <c r="V727" s="308"/>
      <c r="W727" s="315">
        <f t="shared" si="71"/>
        <v>3</v>
      </c>
      <c r="X727" s="310" t="s">
        <v>54</v>
      </c>
      <c r="Y727" s="310" t="s">
        <v>56</v>
      </c>
      <c r="Z727" s="316"/>
      <c r="AA727" s="316" t="s">
        <v>2445</v>
      </c>
      <c r="AB727" s="316" t="s">
        <v>2445</v>
      </c>
    </row>
    <row r="728" spans="1:28" x14ac:dyDescent="0.25">
      <c r="A728" s="307">
        <f t="shared" si="67"/>
        <v>722</v>
      </c>
      <c r="B728" s="308">
        <v>45947</v>
      </c>
      <c r="C728" s="309">
        <f t="shared" si="68"/>
        <v>45931</v>
      </c>
      <c r="D728" s="310" t="s">
        <v>56</v>
      </c>
      <c r="E728" s="310" t="s">
        <v>38</v>
      </c>
      <c r="F728" s="311">
        <v>9793531306</v>
      </c>
      <c r="G728" s="316" t="s">
        <v>1093</v>
      </c>
      <c r="H728" s="316" t="s">
        <v>2504</v>
      </c>
      <c r="I728" s="316" t="s">
        <v>6</v>
      </c>
      <c r="J728" s="310" t="s">
        <v>59</v>
      </c>
      <c r="K728" s="312">
        <v>40480</v>
      </c>
      <c r="L728" s="312">
        <v>91350</v>
      </c>
      <c r="M728" s="313">
        <f t="shared" si="69"/>
        <v>50870</v>
      </c>
      <c r="N728" s="314">
        <f t="shared" si="70"/>
        <v>0.556869184455391</v>
      </c>
      <c r="O728" s="312">
        <v>40480</v>
      </c>
      <c r="P728" s="313">
        <f t="shared" si="66"/>
        <v>0</v>
      </c>
      <c r="Q728" s="310" t="s">
        <v>147</v>
      </c>
      <c r="R728" s="310">
        <v>303</v>
      </c>
      <c r="S728" s="310"/>
      <c r="T728" s="308">
        <v>45950</v>
      </c>
      <c r="U728" s="308">
        <v>45951</v>
      </c>
      <c r="V728" s="308"/>
      <c r="W728" s="315">
        <f t="shared" si="71"/>
        <v>4</v>
      </c>
      <c r="X728" s="310" t="s">
        <v>54</v>
      </c>
      <c r="Y728" s="310" t="s">
        <v>56</v>
      </c>
      <c r="Z728" s="316"/>
      <c r="AA728" s="316" t="s">
        <v>2446</v>
      </c>
      <c r="AB728" s="316" t="s">
        <v>2447</v>
      </c>
    </row>
    <row r="729" spans="1:28" x14ac:dyDescent="0.25">
      <c r="A729" s="307">
        <f t="shared" si="67"/>
        <v>723</v>
      </c>
      <c r="B729" s="308">
        <v>45948</v>
      </c>
      <c r="C729" s="309">
        <f t="shared" si="68"/>
        <v>45931</v>
      </c>
      <c r="D729" s="310" t="s">
        <v>56</v>
      </c>
      <c r="E729" s="310" t="s">
        <v>60</v>
      </c>
      <c r="F729" s="311">
        <v>9793531306</v>
      </c>
      <c r="G729" s="316" t="s">
        <v>1093</v>
      </c>
      <c r="H729" s="316" t="s">
        <v>2498</v>
      </c>
      <c r="I729" s="316" t="s">
        <v>6</v>
      </c>
      <c r="J729" s="310" t="s">
        <v>172</v>
      </c>
      <c r="K729" s="312">
        <v>41230</v>
      </c>
      <c r="L729" s="312">
        <v>96390</v>
      </c>
      <c r="M729" s="313">
        <f t="shared" si="69"/>
        <v>55160</v>
      </c>
      <c r="N729" s="314">
        <f t="shared" si="70"/>
        <v>0.572258533042847</v>
      </c>
      <c r="O729" s="312">
        <v>41230</v>
      </c>
      <c r="P729" s="313">
        <f t="shared" si="66"/>
        <v>0</v>
      </c>
      <c r="Q729" s="310" t="s">
        <v>147</v>
      </c>
      <c r="R729" s="310">
        <v>304</v>
      </c>
      <c r="S729" s="310"/>
      <c r="T729" s="308">
        <v>45951</v>
      </c>
      <c r="U729" s="308">
        <v>45951</v>
      </c>
      <c r="V729" s="308"/>
      <c r="W729" s="315">
        <f t="shared" si="71"/>
        <v>3</v>
      </c>
      <c r="X729" s="310" t="s">
        <v>54</v>
      </c>
      <c r="Y729" s="310" t="s">
        <v>56</v>
      </c>
      <c r="Z729" s="316"/>
      <c r="AA729" s="316" t="s">
        <v>2447</v>
      </c>
      <c r="AB729" s="316" t="s">
        <v>2447</v>
      </c>
    </row>
    <row r="730" spans="1:28" x14ac:dyDescent="0.25">
      <c r="A730" s="307">
        <f t="shared" si="67"/>
        <v>724</v>
      </c>
      <c r="B730" s="308">
        <v>45948</v>
      </c>
      <c r="C730" s="309">
        <f t="shared" si="68"/>
        <v>45931</v>
      </c>
      <c r="D730" s="310" t="s">
        <v>56</v>
      </c>
      <c r="E730" s="310" t="s">
        <v>1641</v>
      </c>
      <c r="F730" s="311">
        <v>9281983602</v>
      </c>
      <c r="G730" s="316" t="s">
        <v>1093</v>
      </c>
      <c r="H730" s="316" t="s">
        <v>2500</v>
      </c>
      <c r="I730" s="316" t="s">
        <v>6</v>
      </c>
      <c r="J730" s="310" t="s">
        <v>172</v>
      </c>
      <c r="K730" s="312">
        <v>41230</v>
      </c>
      <c r="L730" s="312">
        <v>96390</v>
      </c>
      <c r="M730" s="313">
        <f t="shared" si="69"/>
        <v>55160</v>
      </c>
      <c r="N730" s="314">
        <f t="shared" si="70"/>
        <v>0.572258533042847</v>
      </c>
      <c r="O730" s="312">
        <v>41230</v>
      </c>
      <c r="P730" s="313">
        <f t="shared" si="66"/>
        <v>0</v>
      </c>
      <c r="Q730" s="310" t="s">
        <v>147</v>
      </c>
      <c r="R730" s="310">
        <v>305</v>
      </c>
      <c r="S730" s="310"/>
      <c r="T730" s="308">
        <v>45951</v>
      </c>
      <c r="U730" s="308">
        <v>45951</v>
      </c>
      <c r="V730" s="308"/>
      <c r="W730" s="315">
        <f t="shared" si="71"/>
        <v>3</v>
      </c>
      <c r="X730" s="310" t="s">
        <v>54</v>
      </c>
      <c r="Y730" s="310" t="s">
        <v>56</v>
      </c>
      <c r="Z730" s="316"/>
      <c r="AA730" s="316" t="s">
        <v>2447</v>
      </c>
      <c r="AB730" s="316" t="s">
        <v>2447</v>
      </c>
    </row>
    <row r="731" spans="1:28" x14ac:dyDescent="0.25">
      <c r="A731" s="307">
        <f t="shared" si="67"/>
        <v>725</v>
      </c>
      <c r="B731" s="308">
        <v>45948</v>
      </c>
      <c r="C731" s="309">
        <f t="shared" si="68"/>
        <v>45931</v>
      </c>
      <c r="D731" s="310" t="s">
        <v>56</v>
      </c>
      <c r="E731" s="310" t="s">
        <v>1644</v>
      </c>
      <c r="F731" s="311">
        <v>9902798068</v>
      </c>
      <c r="G731" s="316" t="s">
        <v>6</v>
      </c>
      <c r="H731" s="316" t="s">
        <v>2470</v>
      </c>
      <c r="I731" s="316" t="s">
        <v>2471</v>
      </c>
      <c r="J731" s="310" t="s">
        <v>172</v>
      </c>
      <c r="K731" s="312">
        <v>33770</v>
      </c>
      <c r="L731" s="312">
        <v>46620</v>
      </c>
      <c r="M731" s="313">
        <f t="shared" si="69"/>
        <v>12850</v>
      </c>
      <c r="N731" s="314">
        <f t="shared" si="70"/>
        <v>0.275632775632776</v>
      </c>
      <c r="O731" s="312">
        <v>33770</v>
      </c>
      <c r="P731" s="313">
        <f t="shared" si="66"/>
        <v>0</v>
      </c>
      <c r="Q731" s="310" t="s">
        <v>147</v>
      </c>
      <c r="R731" s="310">
        <v>306</v>
      </c>
      <c r="S731" s="310"/>
      <c r="T731" s="308">
        <v>45951</v>
      </c>
      <c r="U731" s="308">
        <v>45951</v>
      </c>
      <c r="V731" s="308"/>
      <c r="W731" s="315">
        <f t="shared" si="71"/>
        <v>3</v>
      </c>
      <c r="X731" s="310" t="s">
        <v>54</v>
      </c>
      <c r="Y731" s="310" t="s">
        <v>56</v>
      </c>
      <c r="Z731" s="316"/>
      <c r="AA731" s="316" t="s">
        <v>2447</v>
      </c>
      <c r="AB731" s="316" t="s">
        <v>2447</v>
      </c>
    </row>
    <row r="732" spans="1:28" x14ac:dyDescent="0.25">
      <c r="A732" s="307">
        <f t="shared" si="67"/>
        <v>726</v>
      </c>
      <c r="B732" s="308">
        <v>45948</v>
      </c>
      <c r="C732" s="309">
        <f t="shared" si="68"/>
        <v>45931</v>
      </c>
      <c r="D732" s="310" t="s">
        <v>51</v>
      </c>
      <c r="E732" s="310" t="s">
        <v>2442</v>
      </c>
      <c r="F732" s="311">
        <v>9431270294</v>
      </c>
      <c r="G732" s="316" t="s">
        <v>6</v>
      </c>
      <c r="H732" s="316" t="s">
        <v>2472</v>
      </c>
      <c r="I732" s="316" t="s">
        <v>2473</v>
      </c>
      <c r="J732" s="310" t="s">
        <v>172</v>
      </c>
      <c r="K732" s="312">
        <v>33770</v>
      </c>
      <c r="L732" s="312">
        <v>46620</v>
      </c>
      <c r="M732" s="313">
        <f t="shared" si="69"/>
        <v>12850</v>
      </c>
      <c r="N732" s="314">
        <f t="shared" si="70"/>
        <v>0.275632775632776</v>
      </c>
      <c r="O732" s="312">
        <v>33770</v>
      </c>
      <c r="P732" s="313">
        <f t="shared" si="66"/>
        <v>0</v>
      </c>
      <c r="Q732" s="310" t="s">
        <v>147</v>
      </c>
      <c r="R732" s="310">
        <v>307</v>
      </c>
      <c r="S732" s="310"/>
      <c r="T732" s="308">
        <v>45952</v>
      </c>
      <c r="U732" s="308">
        <v>45954</v>
      </c>
      <c r="V732" s="308"/>
      <c r="W732" s="315">
        <f t="shared" si="71"/>
        <v>6</v>
      </c>
      <c r="X732" s="310" t="s">
        <v>54</v>
      </c>
      <c r="Y732" s="310" t="s">
        <v>3742</v>
      </c>
      <c r="Z732" s="316"/>
      <c r="AA732" s="316" t="s">
        <v>2448</v>
      </c>
      <c r="AB732" s="316" t="s">
        <v>2449</v>
      </c>
    </row>
    <row r="733" spans="1:28" x14ac:dyDescent="0.25">
      <c r="A733" s="307">
        <f t="shared" si="67"/>
        <v>727</v>
      </c>
      <c r="B733" s="308">
        <v>45953</v>
      </c>
      <c r="C733" s="309">
        <f t="shared" si="68"/>
        <v>45931</v>
      </c>
      <c r="D733" s="310" t="s">
        <v>56</v>
      </c>
      <c r="E733" s="310" t="s">
        <v>38</v>
      </c>
      <c r="F733" s="311">
        <v>9515412075</v>
      </c>
      <c r="G733" s="316" t="s">
        <v>6</v>
      </c>
      <c r="H733" s="316" t="s">
        <v>2474</v>
      </c>
      <c r="I733" s="316" t="s">
        <v>2475</v>
      </c>
      <c r="J733" s="310" t="s">
        <v>59</v>
      </c>
      <c r="K733" s="312">
        <v>33530</v>
      </c>
      <c r="L733" s="312">
        <v>45040</v>
      </c>
      <c r="M733" s="313">
        <f t="shared" si="69"/>
        <v>11510</v>
      </c>
      <c r="N733" s="314">
        <f t="shared" si="70"/>
        <v>0.255550621669627</v>
      </c>
      <c r="O733" s="312">
        <v>33530</v>
      </c>
      <c r="P733" s="313">
        <f t="shared" si="66"/>
        <v>0</v>
      </c>
      <c r="Q733" s="310" t="s">
        <v>147</v>
      </c>
      <c r="R733" s="310">
        <v>308</v>
      </c>
      <c r="S733" s="310"/>
      <c r="T733" s="308">
        <v>45957</v>
      </c>
      <c r="U733" s="308">
        <v>45960</v>
      </c>
      <c r="V733" s="308"/>
      <c r="W733" s="315">
        <f t="shared" si="71"/>
        <v>7</v>
      </c>
      <c r="X733" s="310" t="s">
        <v>54</v>
      </c>
      <c r="Y733" s="310" t="s">
        <v>56</v>
      </c>
      <c r="Z733" s="316"/>
      <c r="AA733" s="316" t="s">
        <v>2453</v>
      </c>
      <c r="AB733" s="316" t="s">
        <v>2454</v>
      </c>
    </row>
    <row r="734" spans="1:28" x14ac:dyDescent="0.25">
      <c r="A734" s="307">
        <f t="shared" si="67"/>
        <v>728</v>
      </c>
      <c r="B734" s="308">
        <v>45954</v>
      </c>
      <c r="C734" s="309">
        <f t="shared" si="68"/>
        <v>45931</v>
      </c>
      <c r="D734" s="310" t="s">
        <v>56</v>
      </c>
      <c r="E734" s="310" t="s">
        <v>1641</v>
      </c>
      <c r="F734" s="311">
        <v>9281983602</v>
      </c>
      <c r="G734" s="316" t="s">
        <v>6</v>
      </c>
      <c r="H734" s="316" t="s">
        <v>2476</v>
      </c>
      <c r="I734" s="316" t="s">
        <v>2477</v>
      </c>
      <c r="J734" s="310" t="s">
        <v>172</v>
      </c>
      <c r="K734" s="312">
        <v>33770</v>
      </c>
      <c r="L734" s="312">
        <v>46620</v>
      </c>
      <c r="M734" s="313">
        <f t="shared" si="69"/>
        <v>12850</v>
      </c>
      <c r="N734" s="314">
        <f t="shared" si="70"/>
        <v>0.275632775632776</v>
      </c>
      <c r="O734" s="312">
        <v>33770</v>
      </c>
      <c r="P734" s="313">
        <f t="shared" si="66"/>
        <v>0</v>
      </c>
      <c r="Q734" s="310" t="s">
        <v>147</v>
      </c>
      <c r="R734" s="310">
        <v>309</v>
      </c>
      <c r="S734" s="310"/>
      <c r="T734" s="308">
        <v>45957</v>
      </c>
      <c r="U734" s="308">
        <v>45960</v>
      </c>
      <c r="V734" s="308"/>
      <c r="W734" s="315">
        <f t="shared" si="71"/>
        <v>6</v>
      </c>
      <c r="X734" s="310" t="s">
        <v>54</v>
      </c>
      <c r="Y734" s="310" t="s">
        <v>56</v>
      </c>
      <c r="Z734" s="316"/>
      <c r="AA734" s="316" t="s">
        <v>2453</v>
      </c>
      <c r="AB734" s="316" t="s">
        <v>2454</v>
      </c>
    </row>
    <row r="735" spans="1:28" x14ac:dyDescent="0.25">
      <c r="A735" s="307">
        <f t="shared" si="67"/>
        <v>729</v>
      </c>
      <c r="B735" s="308">
        <v>45955</v>
      </c>
      <c r="C735" s="309">
        <f t="shared" si="68"/>
        <v>45931</v>
      </c>
      <c r="D735" s="310" t="s">
        <v>56</v>
      </c>
      <c r="E735" s="310" t="s">
        <v>60</v>
      </c>
      <c r="F735" s="311">
        <v>9793531306</v>
      </c>
      <c r="G735" s="316" t="s">
        <v>6</v>
      </c>
      <c r="H735" s="316" t="s">
        <v>2479</v>
      </c>
      <c r="I735" s="316" t="s">
        <v>2480</v>
      </c>
      <c r="J735" s="310" t="s">
        <v>172</v>
      </c>
      <c r="K735" s="312">
        <v>33770</v>
      </c>
      <c r="L735" s="312">
        <v>46620</v>
      </c>
      <c r="M735" s="313">
        <f t="shared" si="69"/>
        <v>12850</v>
      </c>
      <c r="N735" s="314">
        <f t="shared" si="70"/>
        <v>0.275632775632776</v>
      </c>
      <c r="O735" s="312">
        <v>33770</v>
      </c>
      <c r="P735" s="313">
        <f t="shared" si="66"/>
        <v>0</v>
      </c>
      <c r="Q735" s="310" t="s">
        <v>147</v>
      </c>
      <c r="R735" s="310">
        <v>310</v>
      </c>
      <c r="S735" s="310"/>
      <c r="T735" s="308">
        <v>45959</v>
      </c>
      <c r="U735" s="308">
        <v>45960</v>
      </c>
      <c r="V735" s="308"/>
      <c r="W735" s="315">
        <f t="shared" si="71"/>
        <v>5</v>
      </c>
      <c r="X735" s="310" t="s">
        <v>54</v>
      </c>
      <c r="Y735" s="310" t="s">
        <v>56</v>
      </c>
      <c r="Z735" s="316"/>
      <c r="AA735" s="316" t="s">
        <v>2452</v>
      </c>
      <c r="AB735" s="316" t="s">
        <v>2454</v>
      </c>
    </row>
    <row r="736" spans="1:28" x14ac:dyDescent="0.25">
      <c r="A736" s="307">
        <f t="shared" si="67"/>
        <v>730</v>
      </c>
      <c r="B736" s="308">
        <v>45955</v>
      </c>
      <c r="C736" s="309">
        <f t="shared" si="68"/>
        <v>45931</v>
      </c>
      <c r="D736" s="310" t="s">
        <v>51</v>
      </c>
      <c r="E736" s="310" t="s">
        <v>1643</v>
      </c>
      <c r="F736" s="311">
        <v>9915991042</v>
      </c>
      <c r="G736" s="316" t="s">
        <v>6</v>
      </c>
      <c r="H736" s="316" t="s">
        <v>1874</v>
      </c>
      <c r="I736" s="316" t="s">
        <v>2478</v>
      </c>
      <c r="J736" s="310" t="s">
        <v>168</v>
      </c>
      <c r="K736" s="312">
        <v>25690</v>
      </c>
      <c r="L736" s="312">
        <v>35600</v>
      </c>
      <c r="M736" s="313">
        <f t="shared" si="69"/>
        <v>9910</v>
      </c>
      <c r="N736" s="314">
        <f t="shared" si="70"/>
        <v>0.278370786516854</v>
      </c>
      <c r="O736" s="312">
        <v>25690</v>
      </c>
      <c r="P736" s="313">
        <f t="shared" si="66"/>
        <v>0</v>
      </c>
      <c r="Q736" s="310" t="s">
        <v>147</v>
      </c>
      <c r="R736" s="310">
        <v>311</v>
      </c>
      <c r="S736" s="310"/>
      <c r="T736" s="308">
        <v>45958</v>
      </c>
      <c r="U736" s="308">
        <v>45958</v>
      </c>
      <c r="V736" s="308"/>
      <c r="W736" s="315">
        <f t="shared" si="71"/>
        <v>3</v>
      </c>
      <c r="X736" s="310" t="s">
        <v>54</v>
      </c>
      <c r="Y736" s="310" t="s">
        <v>529</v>
      </c>
      <c r="Z736" s="316"/>
      <c r="AA736" s="316" t="s">
        <v>2450</v>
      </c>
      <c r="AB736" s="316" t="s">
        <v>2450</v>
      </c>
    </row>
    <row r="737" spans="1:28" x14ac:dyDescent="0.25">
      <c r="A737" s="307">
        <f t="shared" si="67"/>
        <v>731</v>
      </c>
      <c r="B737" s="308">
        <v>45955</v>
      </c>
      <c r="C737" s="309">
        <f t="shared" si="68"/>
        <v>45931</v>
      </c>
      <c r="D737" s="310" t="s">
        <v>56</v>
      </c>
      <c r="E737" s="310" t="s">
        <v>1635</v>
      </c>
      <c r="F737" s="311">
        <v>9220186371</v>
      </c>
      <c r="G737" s="316" t="s">
        <v>1093</v>
      </c>
      <c r="H737" s="316" t="s">
        <v>2502</v>
      </c>
      <c r="I737" s="316" t="s">
        <v>6</v>
      </c>
      <c r="J737" s="310" t="s">
        <v>172</v>
      </c>
      <c r="K737" s="312">
        <v>42180</v>
      </c>
      <c r="L737" s="312">
        <v>102690</v>
      </c>
      <c r="M737" s="313">
        <f t="shared" si="69"/>
        <v>60510</v>
      </c>
      <c r="N737" s="314">
        <f t="shared" si="70"/>
        <v>0.58924919661116</v>
      </c>
      <c r="O737" s="312">
        <v>42180</v>
      </c>
      <c r="P737" s="313">
        <f t="shared" si="66"/>
        <v>0</v>
      </c>
      <c r="Q737" s="310" t="s">
        <v>147</v>
      </c>
      <c r="R737" s="310">
        <v>312</v>
      </c>
      <c r="S737" s="310"/>
      <c r="T737" s="308">
        <v>45958</v>
      </c>
      <c r="U737" s="308">
        <v>45958</v>
      </c>
      <c r="V737" s="308"/>
      <c r="W737" s="315">
        <f t="shared" si="71"/>
        <v>3</v>
      </c>
      <c r="X737" s="310" t="s">
        <v>54</v>
      </c>
      <c r="Y737" s="310" t="s">
        <v>56</v>
      </c>
      <c r="Z737" s="316"/>
      <c r="AA737" s="316" t="s">
        <v>2450</v>
      </c>
      <c r="AB737" s="316" t="s">
        <v>2450</v>
      </c>
    </row>
    <row r="738" spans="1:28" x14ac:dyDescent="0.25">
      <c r="A738" s="307">
        <f t="shared" si="67"/>
        <v>732</v>
      </c>
      <c r="B738" s="308">
        <v>45958</v>
      </c>
      <c r="C738" s="309">
        <f t="shared" si="68"/>
        <v>45931</v>
      </c>
      <c r="D738" s="310" t="s">
        <v>56</v>
      </c>
      <c r="E738" s="310" t="s">
        <v>1637</v>
      </c>
      <c r="F738" s="311">
        <v>9842431449</v>
      </c>
      <c r="G738" s="316" t="s">
        <v>2451</v>
      </c>
      <c r="H738" s="316" t="s">
        <v>1874</v>
      </c>
      <c r="I738" s="316" t="s">
        <v>2503</v>
      </c>
      <c r="J738" s="310" t="s">
        <v>172</v>
      </c>
      <c r="K738" s="312">
        <v>3430</v>
      </c>
      <c r="L738" s="312">
        <v>5040</v>
      </c>
      <c r="M738" s="313">
        <f t="shared" si="69"/>
        <v>1610</v>
      </c>
      <c r="N738" s="314">
        <f t="shared" si="70"/>
        <v>0.319444444444444</v>
      </c>
      <c r="O738" s="312">
        <v>3430</v>
      </c>
      <c r="P738" s="313">
        <f t="shared" si="66"/>
        <v>0</v>
      </c>
      <c r="Q738" s="310" t="s">
        <v>147</v>
      </c>
      <c r="R738" s="310">
        <v>313</v>
      </c>
      <c r="S738" s="310"/>
      <c r="T738" s="308">
        <v>45958</v>
      </c>
      <c r="U738" s="308">
        <v>45959</v>
      </c>
      <c r="V738" s="308"/>
      <c r="W738" s="315">
        <f t="shared" si="71"/>
        <v>1</v>
      </c>
      <c r="X738" s="310" t="s">
        <v>54</v>
      </c>
      <c r="Y738" s="310" t="s">
        <v>56</v>
      </c>
      <c r="Z738" s="316"/>
      <c r="AA738" s="316" t="s">
        <v>2450</v>
      </c>
      <c r="AB738" s="316" t="s">
        <v>2452</v>
      </c>
    </row>
    <row r="739" spans="1:28" x14ac:dyDescent="0.25">
      <c r="A739" s="307">
        <f t="shared" si="67"/>
        <v>733</v>
      </c>
      <c r="B739" s="308">
        <v>45959</v>
      </c>
      <c r="C739" s="309">
        <f t="shared" si="68"/>
        <v>45931</v>
      </c>
      <c r="D739" s="310" t="s">
        <v>56</v>
      </c>
      <c r="E739" s="310" t="s">
        <v>1637</v>
      </c>
      <c r="F739" s="311">
        <v>9842431449</v>
      </c>
      <c r="G739" s="316" t="s">
        <v>6</v>
      </c>
      <c r="H739" s="316" t="s">
        <v>2481</v>
      </c>
      <c r="I739" s="316" t="s">
        <v>2482</v>
      </c>
      <c r="J739" s="310" t="s">
        <v>172</v>
      </c>
      <c r="K739" s="312">
        <v>33770</v>
      </c>
      <c r="L739" s="312">
        <v>46620</v>
      </c>
      <c r="M739" s="313">
        <f t="shared" si="69"/>
        <v>12850</v>
      </c>
      <c r="N739" s="314">
        <f t="shared" si="70"/>
        <v>0.275632775632776</v>
      </c>
      <c r="O739" s="312">
        <v>33770</v>
      </c>
      <c r="P739" s="313">
        <f t="shared" si="66"/>
        <v>0</v>
      </c>
      <c r="Q739" s="310" t="s">
        <v>147</v>
      </c>
      <c r="R739" s="310">
        <v>314</v>
      </c>
      <c r="S739" s="310"/>
      <c r="T739" s="308">
        <v>45963</v>
      </c>
      <c r="U739" s="308">
        <v>45964</v>
      </c>
      <c r="V739" s="308"/>
      <c r="W739" s="315">
        <f t="shared" si="71"/>
        <v>5</v>
      </c>
      <c r="X739" s="310" t="s">
        <v>54</v>
      </c>
      <c r="Y739" s="310" t="s">
        <v>56</v>
      </c>
      <c r="Z739" s="316"/>
      <c r="AA739" s="317">
        <v>45699</v>
      </c>
      <c r="AB739" s="317">
        <v>45727</v>
      </c>
    </row>
    <row r="740" spans="1:28" x14ac:dyDescent="0.25">
      <c r="A740" s="307">
        <f t="shared" si="67"/>
        <v>734</v>
      </c>
      <c r="B740" s="308">
        <v>45960</v>
      </c>
      <c r="C740" s="309">
        <f t="shared" si="68"/>
        <v>45931</v>
      </c>
      <c r="D740" s="310" t="s">
        <v>56</v>
      </c>
      <c r="E740" s="310" t="s">
        <v>1635</v>
      </c>
      <c r="F740" s="311">
        <v>9472230553</v>
      </c>
      <c r="G740" s="316" t="s">
        <v>6</v>
      </c>
      <c r="H740" s="316" t="s">
        <v>1874</v>
      </c>
      <c r="I740" s="316" t="s">
        <v>2483</v>
      </c>
      <c r="J740" s="310" t="s">
        <v>172</v>
      </c>
      <c r="K740" s="312">
        <v>32820</v>
      </c>
      <c r="L740" s="312">
        <v>40320</v>
      </c>
      <c r="M740" s="313">
        <f t="shared" si="69"/>
        <v>7500</v>
      </c>
      <c r="N740" s="314">
        <f t="shared" si="70"/>
        <v>0.186011904761905</v>
      </c>
      <c r="O740" s="312">
        <v>32820</v>
      </c>
      <c r="P740" s="313">
        <f t="shared" si="66"/>
        <v>0</v>
      </c>
      <c r="Q740" s="310" t="s">
        <v>147</v>
      </c>
      <c r="R740" s="310">
        <v>315</v>
      </c>
      <c r="S740" s="310"/>
      <c r="T740" s="308">
        <v>45963</v>
      </c>
      <c r="U740" s="308">
        <v>45963</v>
      </c>
      <c r="V740" s="308"/>
      <c r="W740" s="315">
        <f t="shared" si="71"/>
        <v>3</v>
      </c>
      <c r="X740" s="310" t="s">
        <v>54</v>
      </c>
      <c r="Y740" s="310" t="s">
        <v>56</v>
      </c>
      <c r="Z740" s="316"/>
      <c r="AA740" s="317">
        <v>45699</v>
      </c>
      <c r="AB740" s="317">
        <v>45699</v>
      </c>
    </row>
    <row r="741" spans="1:28" x14ac:dyDescent="0.25">
      <c r="A741" s="307">
        <f t="shared" si="67"/>
        <v>735</v>
      </c>
      <c r="B741" s="308">
        <v>45960</v>
      </c>
      <c r="C741" s="309">
        <f t="shared" si="68"/>
        <v>45931</v>
      </c>
      <c r="D741" s="310" t="s">
        <v>56</v>
      </c>
      <c r="E741" s="310" t="s">
        <v>1641</v>
      </c>
      <c r="F741" s="311">
        <v>9281983602</v>
      </c>
      <c r="G741" s="316" t="s">
        <v>1093</v>
      </c>
      <c r="H741" s="316" t="s">
        <v>2501</v>
      </c>
      <c r="I741" s="316" t="s">
        <v>6</v>
      </c>
      <c r="J741" s="310" t="s">
        <v>172</v>
      </c>
      <c r="K741" s="312">
        <v>42180</v>
      </c>
      <c r="L741" s="312">
        <v>102690</v>
      </c>
      <c r="M741" s="313">
        <f t="shared" si="69"/>
        <v>60510</v>
      </c>
      <c r="N741" s="314">
        <f t="shared" si="70"/>
        <v>0.58924919661116</v>
      </c>
      <c r="O741" s="312">
        <v>42180</v>
      </c>
      <c r="P741" s="313">
        <f t="shared" si="66"/>
        <v>0</v>
      </c>
      <c r="Q741" s="310" t="s">
        <v>147</v>
      </c>
      <c r="R741" s="310">
        <v>316</v>
      </c>
      <c r="S741" s="310"/>
      <c r="T741" s="308">
        <v>45963</v>
      </c>
      <c r="U741" s="308">
        <v>45963</v>
      </c>
      <c r="V741" s="308"/>
      <c r="W741" s="315">
        <f t="shared" si="71"/>
        <v>3</v>
      </c>
      <c r="X741" s="310" t="s">
        <v>54</v>
      </c>
      <c r="Y741" s="310" t="s">
        <v>56</v>
      </c>
      <c r="Z741" s="316"/>
      <c r="AA741" s="317">
        <v>45699</v>
      </c>
      <c r="AB741" s="317">
        <v>45699</v>
      </c>
    </row>
    <row r="742" spans="1:28" x14ac:dyDescent="0.25">
      <c r="A742" s="307">
        <f t="shared" si="67"/>
        <v>736</v>
      </c>
      <c r="B742" s="308">
        <v>45962</v>
      </c>
      <c r="C742" s="309">
        <f t="shared" si="68"/>
        <v>45962</v>
      </c>
      <c r="D742" s="310" t="s">
        <v>56</v>
      </c>
      <c r="E742" s="310" t="s">
        <v>1644</v>
      </c>
      <c r="F742" s="311">
        <v>9902798068</v>
      </c>
      <c r="G742" s="316" t="s">
        <v>6</v>
      </c>
      <c r="H742" s="316" t="s">
        <v>2484</v>
      </c>
      <c r="I742" s="316" t="s">
        <v>2485</v>
      </c>
      <c r="J742" s="310" t="s">
        <v>172</v>
      </c>
      <c r="K742" s="312">
        <v>33770</v>
      </c>
      <c r="L742" s="312">
        <v>46620</v>
      </c>
      <c r="M742" s="313">
        <f t="shared" si="69"/>
        <v>12850</v>
      </c>
      <c r="N742" s="314">
        <f t="shared" si="70"/>
        <v>0.275632775632776</v>
      </c>
      <c r="O742" s="312">
        <v>33770</v>
      </c>
      <c r="P742" s="313">
        <f t="shared" si="66"/>
        <v>0</v>
      </c>
      <c r="Q742" s="310" t="s">
        <v>147</v>
      </c>
      <c r="R742" s="310">
        <v>317</v>
      </c>
      <c r="S742" s="310"/>
      <c r="T742" s="308">
        <v>45965</v>
      </c>
      <c r="U742" s="308">
        <v>45966</v>
      </c>
      <c r="V742" s="308"/>
      <c r="W742" s="315">
        <f t="shared" si="71"/>
        <v>4</v>
      </c>
      <c r="X742" s="310" t="s">
        <v>54</v>
      </c>
      <c r="Y742" s="310" t="s">
        <v>56</v>
      </c>
      <c r="Z742" s="316"/>
      <c r="AA742" s="317">
        <v>45758</v>
      </c>
      <c r="AB742" s="317">
        <v>45788</v>
      </c>
    </row>
    <row r="743" spans="1:28" x14ac:dyDescent="0.25">
      <c r="A743" s="307">
        <f t="shared" si="67"/>
        <v>737</v>
      </c>
      <c r="B743" s="308">
        <v>45962</v>
      </c>
      <c r="C743" s="309">
        <f t="shared" si="68"/>
        <v>45962</v>
      </c>
      <c r="D743" s="310" t="s">
        <v>56</v>
      </c>
      <c r="E743" s="310" t="s">
        <v>60</v>
      </c>
      <c r="F743" s="311">
        <v>9793531306</v>
      </c>
      <c r="G743" s="316" t="s">
        <v>1093</v>
      </c>
      <c r="H743" s="316" t="s">
        <v>2499</v>
      </c>
      <c r="I743" s="316" t="s">
        <v>6</v>
      </c>
      <c r="J743" s="310" t="s">
        <v>172</v>
      </c>
      <c r="K743" s="312">
        <v>41230</v>
      </c>
      <c r="L743" s="312">
        <v>96390</v>
      </c>
      <c r="M743" s="313">
        <f t="shared" si="69"/>
        <v>55160</v>
      </c>
      <c r="N743" s="314">
        <f t="shared" si="70"/>
        <v>0.572258533042847</v>
      </c>
      <c r="O743" s="312">
        <v>41230</v>
      </c>
      <c r="P743" s="313">
        <f t="shared" si="66"/>
        <v>0</v>
      </c>
      <c r="Q743" s="310" t="s">
        <v>147</v>
      </c>
      <c r="R743" s="310">
        <v>318</v>
      </c>
      <c r="S743" s="310"/>
      <c r="T743" s="308">
        <v>45965</v>
      </c>
      <c r="U743" s="308">
        <v>45965</v>
      </c>
      <c r="V743" s="308"/>
      <c r="W743" s="315">
        <f t="shared" si="71"/>
        <v>3</v>
      </c>
      <c r="X743" s="310" t="s">
        <v>54</v>
      </c>
      <c r="Y743" s="310" t="s">
        <v>56</v>
      </c>
      <c r="Z743" s="316"/>
      <c r="AA743" s="317">
        <v>45758</v>
      </c>
      <c r="AB743" s="317">
        <v>45758</v>
      </c>
    </row>
    <row r="744" spans="1:28" x14ac:dyDescent="0.25">
      <c r="A744" s="307">
        <f t="shared" si="67"/>
        <v>738</v>
      </c>
      <c r="B744" s="308">
        <v>45962</v>
      </c>
      <c r="C744" s="309">
        <f t="shared" si="68"/>
        <v>45962</v>
      </c>
      <c r="D744" s="310" t="s">
        <v>56</v>
      </c>
      <c r="E744" s="310" t="s">
        <v>38</v>
      </c>
      <c r="F744" s="311">
        <v>9793531306</v>
      </c>
      <c r="G744" s="316" t="s">
        <v>105</v>
      </c>
      <c r="H744" s="316" t="s">
        <v>2505</v>
      </c>
      <c r="I744" s="316" t="s">
        <v>6</v>
      </c>
      <c r="J744" s="310" t="s">
        <v>59</v>
      </c>
      <c r="K744" s="312">
        <v>42370</v>
      </c>
      <c r="L744" s="312">
        <v>103950</v>
      </c>
      <c r="M744" s="313">
        <f t="shared" si="69"/>
        <v>61580</v>
      </c>
      <c r="N744" s="314">
        <f t="shared" si="70"/>
        <v>0.592400192400192</v>
      </c>
      <c r="O744" s="312">
        <v>42370</v>
      </c>
      <c r="P744" s="313">
        <f t="shared" si="66"/>
        <v>0</v>
      </c>
      <c r="Q744" s="310" t="s">
        <v>147</v>
      </c>
      <c r="R744" s="310">
        <v>319</v>
      </c>
      <c r="S744" s="310"/>
      <c r="T744" s="308">
        <v>45965</v>
      </c>
      <c r="U744" s="308">
        <v>45965</v>
      </c>
      <c r="V744" s="308"/>
      <c r="W744" s="315">
        <f t="shared" si="71"/>
        <v>3</v>
      </c>
      <c r="X744" s="310" t="s">
        <v>54</v>
      </c>
      <c r="Y744" s="310" t="s">
        <v>56</v>
      </c>
      <c r="Z744" s="316"/>
      <c r="AA744" s="317">
        <v>45758</v>
      </c>
      <c r="AB744" s="317">
        <v>45758</v>
      </c>
    </row>
    <row r="745" spans="1:28" x14ac:dyDescent="0.25">
      <c r="A745" s="307">
        <f t="shared" si="67"/>
        <v>739</v>
      </c>
      <c r="B745" s="308">
        <v>45962</v>
      </c>
      <c r="C745" s="309">
        <f t="shared" si="68"/>
        <v>45962</v>
      </c>
      <c r="D745" s="310" t="s">
        <v>51</v>
      </c>
      <c r="E745" s="310" t="s">
        <v>2458</v>
      </c>
      <c r="F745" s="311">
        <v>9124547485</v>
      </c>
      <c r="G745" s="316" t="s">
        <v>6</v>
      </c>
      <c r="H745" s="316" t="s">
        <v>1874</v>
      </c>
      <c r="I745" s="316" t="s">
        <v>2486</v>
      </c>
      <c r="J745" s="310" t="s">
        <v>168</v>
      </c>
      <c r="K745" s="312">
        <v>25690</v>
      </c>
      <c r="L745" s="312">
        <v>35600</v>
      </c>
      <c r="M745" s="313">
        <f t="shared" si="69"/>
        <v>9910</v>
      </c>
      <c r="N745" s="314">
        <f t="shared" si="70"/>
        <v>0.278370786516854</v>
      </c>
      <c r="O745" s="312">
        <v>25690</v>
      </c>
      <c r="P745" s="313">
        <f t="shared" si="66"/>
        <v>0</v>
      </c>
      <c r="Q745" s="310" t="s">
        <v>147</v>
      </c>
      <c r="R745" s="310">
        <v>320</v>
      </c>
      <c r="S745" s="310"/>
      <c r="T745" s="308">
        <v>45967</v>
      </c>
      <c r="U745" s="308">
        <v>45968</v>
      </c>
      <c r="V745" s="308"/>
      <c r="W745" s="315">
        <f t="shared" si="71"/>
        <v>6</v>
      </c>
      <c r="X745" s="310" t="s">
        <v>54</v>
      </c>
      <c r="Y745" s="310" t="s">
        <v>529</v>
      </c>
      <c r="Z745" s="316" t="s">
        <v>2467</v>
      </c>
      <c r="AA745" s="317">
        <v>45819</v>
      </c>
      <c r="AB745" s="317">
        <v>45849</v>
      </c>
    </row>
    <row r="746" spans="1:28" x14ac:dyDescent="0.25">
      <c r="A746" s="307">
        <f t="shared" si="67"/>
        <v>740</v>
      </c>
      <c r="B746" s="308">
        <v>45963</v>
      </c>
      <c r="C746" s="309">
        <f t="shared" si="68"/>
        <v>45962</v>
      </c>
      <c r="D746" s="310" t="s">
        <v>51</v>
      </c>
      <c r="E746" s="310" t="s">
        <v>2459</v>
      </c>
      <c r="F746" s="311">
        <v>9370036731</v>
      </c>
      <c r="G746" s="316" t="s">
        <v>6</v>
      </c>
      <c r="H746" s="316" t="s">
        <v>2487</v>
      </c>
      <c r="I746" s="316" t="s">
        <v>2488</v>
      </c>
      <c r="J746" s="310" t="s">
        <v>172</v>
      </c>
      <c r="K746" s="312">
        <v>33770</v>
      </c>
      <c r="L746" s="312">
        <v>46620</v>
      </c>
      <c r="M746" s="313">
        <f t="shared" si="69"/>
        <v>12850</v>
      </c>
      <c r="N746" s="314">
        <f t="shared" si="70"/>
        <v>0.275632775632776</v>
      </c>
      <c r="O746" s="312">
        <v>33770</v>
      </c>
      <c r="P746" s="313">
        <f t="shared" si="66"/>
        <v>0</v>
      </c>
      <c r="Q746" s="310" t="s">
        <v>147</v>
      </c>
      <c r="R746" s="310">
        <v>321</v>
      </c>
      <c r="S746" s="310"/>
      <c r="T746" s="308">
        <v>45967</v>
      </c>
      <c r="U746" s="308">
        <v>45968</v>
      </c>
      <c r="V746" s="308"/>
      <c r="W746" s="315">
        <f t="shared" si="71"/>
        <v>5</v>
      </c>
      <c r="X746" s="310" t="s">
        <v>54</v>
      </c>
      <c r="Y746" s="310" t="s">
        <v>529</v>
      </c>
      <c r="Z746" s="316"/>
      <c r="AA746" s="317">
        <v>45819</v>
      </c>
      <c r="AB746" s="317">
        <v>45849</v>
      </c>
    </row>
    <row r="747" spans="1:28" x14ac:dyDescent="0.25">
      <c r="A747" s="307">
        <f t="shared" si="67"/>
        <v>741</v>
      </c>
      <c r="B747" s="308">
        <v>45964</v>
      </c>
      <c r="C747" s="309">
        <f t="shared" si="68"/>
        <v>45962</v>
      </c>
      <c r="D747" s="310" t="s">
        <v>56</v>
      </c>
      <c r="E747" s="310" t="s">
        <v>1641</v>
      </c>
      <c r="F747" s="311">
        <v>9281983602</v>
      </c>
      <c r="G747" s="316" t="s">
        <v>6</v>
      </c>
      <c r="H747" s="316" t="s">
        <v>1874</v>
      </c>
      <c r="I747" s="316" t="s">
        <v>2489</v>
      </c>
      <c r="J747" s="310" t="s">
        <v>172</v>
      </c>
      <c r="K747" s="312">
        <v>32820</v>
      </c>
      <c r="L747" s="312">
        <v>40320</v>
      </c>
      <c r="M747" s="313">
        <f t="shared" si="69"/>
        <v>7500</v>
      </c>
      <c r="N747" s="314">
        <f t="shared" si="70"/>
        <v>0.186011904761905</v>
      </c>
      <c r="O747" s="312">
        <v>32820</v>
      </c>
      <c r="P747" s="313">
        <f t="shared" si="66"/>
        <v>0</v>
      </c>
      <c r="Q747" s="310" t="s">
        <v>147</v>
      </c>
      <c r="R747" s="310">
        <v>322</v>
      </c>
      <c r="S747" s="310"/>
      <c r="T747" s="308">
        <v>45967</v>
      </c>
      <c r="U747" s="308">
        <v>45968</v>
      </c>
      <c r="V747" s="308"/>
      <c r="W747" s="315">
        <f t="shared" si="71"/>
        <v>4</v>
      </c>
      <c r="X747" s="310" t="s">
        <v>54</v>
      </c>
      <c r="Y747" s="310" t="s">
        <v>56</v>
      </c>
      <c r="Z747" s="316"/>
      <c r="AA747" s="317">
        <v>45819</v>
      </c>
      <c r="AB747" s="317">
        <v>45849</v>
      </c>
    </row>
    <row r="748" spans="1:28" x14ac:dyDescent="0.25">
      <c r="A748" s="307">
        <f t="shared" si="67"/>
        <v>742</v>
      </c>
      <c r="B748" s="308">
        <v>45965</v>
      </c>
      <c r="C748" s="309">
        <f t="shared" si="68"/>
        <v>45962</v>
      </c>
      <c r="D748" s="310" t="s">
        <v>56</v>
      </c>
      <c r="E748" s="310" t="s">
        <v>38</v>
      </c>
      <c r="F748" s="311">
        <v>9515412075</v>
      </c>
      <c r="G748" s="316" t="s">
        <v>6</v>
      </c>
      <c r="H748" s="316" t="s">
        <v>2490</v>
      </c>
      <c r="I748" s="316" t="s">
        <v>2491</v>
      </c>
      <c r="J748" s="310" t="s">
        <v>59</v>
      </c>
      <c r="K748" s="312">
        <v>33530</v>
      </c>
      <c r="L748" s="312">
        <v>45040</v>
      </c>
      <c r="M748" s="313">
        <f t="shared" si="69"/>
        <v>11510</v>
      </c>
      <c r="N748" s="314">
        <f t="shared" si="70"/>
        <v>0.255550621669627</v>
      </c>
      <c r="O748" s="312">
        <v>33530</v>
      </c>
      <c r="P748" s="313">
        <f t="shared" si="66"/>
        <v>0</v>
      </c>
      <c r="Q748" s="310" t="s">
        <v>147</v>
      </c>
      <c r="R748" s="310">
        <v>323</v>
      </c>
      <c r="S748" s="310"/>
      <c r="T748" s="308">
        <v>45968</v>
      </c>
      <c r="U748" s="308">
        <v>45968</v>
      </c>
      <c r="V748" s="308"/>
      <c r="W748" s="315">
        <f t="shared" si="71"/>
        <v>3</v>
      </c>
      <c r="X748" s="310" t="s">
        <v>54</v>
      </c>
      <c r="Y748" s="310" t="s">
        <v>56</v>
      </c>
      <c r="Z748" s="316"/>
      <c r="AA748" s="317">
        <v>45849</v>
      </c>
      <c r="AB748" s="317">
        <v>45849</v>
      </c>
    </row>
    <row r="749" spans="1:28" x14ac:dyDescent="0.25">
      <c r="A749" s="307">
        <f t="shared" si="67"/>
        <v>743</v>
      </c>
      <c r="B749" s="308">
        <v>45966</v>
      </c>
      <c r="C749" s="309">
        <f t="shared" si="68"/>
        <v>45962</v>
      </c>
      <c r="D749" s="310" t="s">
        <v>56</v>
      </c>
      <c r="E749" s="310" t="s">
        <v>60</v>
      </c>
      <c r="F749" s="311">
        <v>9589264337</v>
      </c>
      <c r="G749" s="316" t="s">
        <v>6</v>
      </c>
      <c r="H749" s="316" t="s">
        <v>1874</v>
      </c>
      <c r="I749" s="316" t="s">
        <v>2492</v>
      </c>
      <c r="J749" s="310" t="s">
        <v>172</v>
      </c>
      <c r="K749" s="312">
        <v>32820</v>
      </c>
      <c r="L749" s="312">
        <v>40320</v>
      </c>
      <c r="M749" s="313">
        <f t="shared" si="69"/>
        <v>7500</v>
      </c>
      <c r="N749" s="314">
        <f t="shared" si="70"/>
        <v>0.186011904761905</v>
      </c>
      <c r="O749" s="312">
        <v>32820</v>
      </c>
      <c r="P749" s="313">
        <f t="shared" si="66"/>
        <v>0</v>
      </c>
      <c r="Q749" s="310" t="s">
        <v>147</v>
      </c>
      <c r="R749" s="310">
        <v>324</v>
      </c>
      <c r="S749" s="310"/>
      <c r="T749" s="308">
        <v>45968</v>
      </c>
      <c r="U749" s="308">
        <v>45969</v>
      </c>
      <c r="V749" s="308"/>
      <c r="W749" s="315">
        <f t="shared" si="71"/>
        <v>3</v>
      </c>
      <c r="X749" s="310" t="s">
        <v>54</v>
      </c>
      <c r="Y749" s="310" t="s">
        <v>56</v>
      </c>
      <c r="Z749" s="316"/>
      <c r="AA749" s="317">
        <v>45849</v>
      </c>
      <c r="AB749" s="317">
        <v>45880</v>
      </c>
    </row>
    <row r="750" spans="1:28" x14ac:dyDescent="0.25">
      <c r="A750" s="307">
        <f t="shared" si="67"/>
        <v>744</v>
      </c>
      <c r="B750" s="308">
        <v>45967</v>
      </c>
      <c r="C750" s="309">
        <f t="shared" si="68"/>
        <v>45962</v>
      </c>
      <c r="D750" s="310" t="s">
        <v>51</v>
      </c>
      <c r="E750" s="310" t="s">
        <v>2334</v>
      </c>
      <c r="F750" s="311" t="s">
        <v>1874</v>
      </c>
      <c r="G750" s="316" t="s">
        <v>6</v>
      </c>
      <c r="H750" s="316" t="s">
        <v>1874</v>
      </c>
      <c r="I750" s="316" t="s">
        <v>2495</v>
      </c>
      <c r="J750" s="310" t="s">
        <v>381</v>
      </c>
      <c r="K750" s="312">
        <v>69550</v>
      </c>
      <c r="L750" s="312">
        <v>79620</v>
      </c>
      <c r="M750" s="313">
        <f t="shared" si="69"/>
        <v>10070</v>
      </c>
      <c r="N750" s="314">
        <f t="shared" si="70"/>
        <v>0.126475759859332</v>
      </c>
      <c r="O750" s="312">
        <v>69550</v>
      </c>
      <c r="P750" s="313">
        <f t="shared" si="66"/>
        <v>0</v>
      </c>
      <c r="Q750" s="310" t="s">
        <v>147</v>
      </c>
      <c r="R750" s="310">
        <v>325</v>
      </c>
      <c r="S750" s="310"/>
      <c r="T750" s="308">
        <v>45968</v>
      </c>
      <c r="U750" s="308">
        <v>45968</v>
      </c>
      <c r="V750" s="308"/>
      <c r="W750" s="315">
        <f t="shared" si="71"/>
        <v>1</v>
      </c>
      <c r="X750" s="310" t="s">
        <v>54</v>
      </c>
      <c r="Y750" s="310" t="s">
        <v>2334</v>
      </c>
      <c r="Z750" s="316" t="s">
        <v>2494</v>
      </c>
      <c r="AA750" s="317">
        <v>45849</v>
      </c>
      <c r="AB750" s="317">
        <v>45849</v>
      </c>
    </row>
    <row r="751" spans="1:28" x14ac:dyDescent="0.25">
      <c r="A751" s="307">
        <f t="shared" si="67"/>
        <v>745</v>
      </c>
      <c r="B751" s="308">
        <v>45967</v>
      </c>
      <c r="C751" s="309">
        <f t="shared" si="68"/>
        <v>45962</v>
      </c>
      <c r="D751" s="310" t="s">
        <v>51</v>
      </c>
      <c r="E751" s="310" t="s">
        <v>2463</v>
      </c>
      <c r="F751" s="311">
        <v>9680828733</v>
      </c>
      <c r="G751" s="316" t="s">
        <v>6</v>
      </c>
      <c r="H751" s="316" t="s">
        <v>1874</v>
      </c>
      <c r="I751" s="316" t="s">
        <v>2496</v>
      </c>
      <c r="J751" s="310" t="s">
        <v>623</v>
      </c>
      <c r="K751" s="312">
        <v>25690</v>
      </c>
      <c r="L751" s="312">
        <v>35600</v>
      </c>
      <c r="M751" s="313">
        <f t="shared" si="69"/>
        <v>9910</v>
      </c>
      <c r="N751" s="314">
        <f t="shared" si="70"/>
        <v>0.278370786516854</v>
      </c>
      <c r="O751" s="312">
        <v>25690</v>
      </c>
      <c r="P751" s="313">
        <f t="shared" si="66"/>
        <v>0</v>
      </c>
      <c r="Q751" s="310" t="s">
        <v>147</v>
      </c>
      <c r="R751" s="310">
        <v>326</v>
      </c>
      <c r="S751" s="310"/>
      <c r="T751" s="308">
        <v>45971</v>
      </c>
      <c r="U751" s="308">
        <v>45971</v>
      </c>
      <c r="V751" s="308"/>
      <c r="W751" s="315">
        <f t="shared" si="71"/>
        <v>4</v>
      </c>
      <c r="X751" s="310" t="s">
        <v>54</v>
      </c>
      <c r="Y751" s="310" t="s">
        <v>439</v>
      </c>
      <c r="Z751" s="316"/>
      <c r="AA751" s="317">
        <v>45941</v>
      </c>
      <c r="AB751" s="317">
        <v>45941</v>
      </c>
    </row>
    <row r="752" spans="1:28" x14ac:dyDescent="0.25">
      <c r="A752" s="307">
        <f t="shared" si="67"/>
        <v>746</v>
      </c>
      <c r="B752" s="308">
        <v>45967</v>
      </c>
      <c r="C752" s="309">
        <f t="shared" si="68"/>
        <v>45962</v>
      </c>
      <c r="D752" s="310" t="s">
        <v>51</v>
      </c>
      <c r="E752" s="310" t="s">
        <v>2464</v>
      </c>
      <c r="F752" s="311">
        <v>9812853439</v>
      </c>
      <c r="G752" s="316" t="s">
        <v>6</v>
      </c>
      <c r="H752" s="316" t="s">
        <v>1874</v>
      </c>
      <c r="I752" s="316" t="s">
        <v>2497</v>
      </c>
      <c r="J752" s="310" t="s">
        <v>172</v>
      </c>
      <c r="K752" s="312">
        <v>31750</v>
      </c>
      <c r="L752" s="312">
        <v>40320</v>
      </c>
      <c r="M752" s="313">
        <f t="shared" si="69"/>
        <v>8570</v>
      </c>
      <c r="N752" s="314">
        <f t="shared" si="70"/>
        <v>0.212549603174603</v>
      </c>
      <c r="O752" s="312">
        <v>31750</v>
      </c>
      <c r="P752" s="313">
        <f t="shared" si="66"/>
        <v>0</v>
      </c>
      <c r="Q752" s="310" t="s">
        <v>147</v>
      </c>
      <c r="R752" s="310">
        <v>327</v>
      </c>
      <c r="S752" s="310"/>
      <c r="T752" s="308">
        <v>45971</v>
      </c>
      <c r="U752" s="308">
        <v>45971</v>
      </c>
      <c r="V752" s="308"/>
      <c r="W752" s="315">
        <f t="shared" si="71"/>
        <v>4</v>
      </c>
      <c r="X752" s="310" t="s">
        <v>54</v>
      </c>
      <c r="Y752" s="310" t="s">
        <v>439</v>
      </c>
      <c r="Z752" s="316"/>
      <c r="AA752" s="317">
        <v>45941</v>
      </c>
      <c r="AB752" s="316" t="s">
        <v>2508</v>
      </c>
    </row>
    <row r="753" spans="1:28" x14ac:dyDescent="0.25">
      <c r="A753" s="307">
        <f t="shared" si="67"/>
        <v>747</v>
      </c>
      <c r="B753" s="308">
        <v>45968</v>
      </c>
      <c r="C753" s="309">
        <f t="shared" si="68"/>
        <v>45962</v>
      </c>
      <c r="D753" s="310" t="s">
        <v>56</v>
      </c>
      <c r="E753" s="310" t="s">
        <v>1635</v>
      </c>
      <c r="F753" s="311">
        <v>9472230553</v>
      </c>
      <c r="G753" s="316" t="s">
        <v>6</v>
      </c>
      <c r="H753" s="316" t="s">
        <v>2528</v>
      </c>
      <c r="I753" s="316" t="s">
        <v>2529</v>
      </c>
      <c r="J753" s="310" t="s">
        <v>172</v>
      </c>
      <c r="K753" s="312">
        <v>33770</v>
      </c>
      <c r="L753" s="312">
        <v>46620</v>
      </c>
      <c r="M753" s="313">
        <f t="shared" si="69"/>
        <v>12850</v>
      </c>
      <c r="N753" s="314">
        <f t="shared" si="70"/>
        <v>0.275632775632776</v>
      </c>
      <c r="O753" s="312">
        <v>33770</v>
      </c>
      <c r="P753" s="313">
        <f t="shared" si="66"/>
        <v>0</v>
      </c>
      <c r="Q753" s="310" t="s">
        <v>147</v>
      </c>
      <c r="R753" s="310">
        <v>330</v>
      </c>
      <c r="S753" s="310"/>
      <c r="T753" s="308">
        <v>45971</v>
      </c>
      <c r="U753" s="308">
        <v>45971</v>
      </c>
      <c r="V753" s="308"/>
      <c r="W753" s="315">
        <f t="shared" si="71"/>
        <v>3</v>
      </c>
      <c r="X753" s="310" t="s">
        <v>54</v>
      </c>
      <c r="Y753" s="310" t="s">
        <v>56</v>
      </c>
      <c r="Z753" s="316"/>
      <c r="AA753" s="317">
        <v>45941</v>
      </c>
      <c r="AB753" s="317">
        <v>45941</v>
      </c>
    </row>
    <row r="754" spans="1:28" x14ac:dyDescent="0.25">
      <c r="A754" s="307">
        <f t="shared" si="67"/>
        <v>748</v>
      </c>
      <c r="B754" s="308">
        <v>45969</v>
      </c>
      <c r="C754" s="309">
        <f t="shared" si="68"/>
        <v>45962</v>
      </c>
      <c r="D754" s="310" t="s">
        <v>56</v>
      </c>
      <c r="E754" s="310" t="s">
        <v>1637</v>
      </c>
      <c r="F754" s="311">
        <v>9025368773</v>
      </c>
      <c r="G754" s="316" t="s">
        <v>6</v>
      </c>
      <c r="H754" s="316" t="s">
        <v>2530</v>
      </c>
      <c r="I754" s="316" t="s">
        <v>2531</v>
      </c>
      <c r="J754" s="310" t="s">
        <v>172</v>
      </c>
      <c r="K754" s="312">
        <v>35750</v>
      </c>
      <c r="L754" s="312">
        <v>59850</v>
      </c>
      <c r="M754" s="313">
        <f t="shared" si="69"/>
        <v>24100</v>
      </c>
      <c r="N754" s="314">
        <f t="shared" si="70"/>
        <v>0.402673350041771</v>
      </c>
      <c r="O754" s="312">
        <v>35750</v>
      </c>
      <c r="P754" s="313">
        <f t="shared" si="66"/>
        <v>0</v>
      </c>
      <c r="Q754" s="310" t="s">
        <v>147</v>
      </c>
      <c r="R754" s="310">
        <v>331</v>
      </c>
      <c r="S754" s="310"/>
      <c r="T754" s="308">
        <v>45972</v>
      </c>
      <c r="U754" s="308">
        <v>45972</v>
      </c>
      <c r="V754" s="308"/>
      <c r="W754" s="315">
        <f t="shared" si="71"/>
        <v>3</v>
      </c>
      <c r="X754" s="310" t="s">
        <v>54</v>
      </c>
      <c r="Y754" s="310" t="s">
        <v>56</v>
      </c>
      <c r="Z754" s="316"/>
      <c r="AA754" s="317">
        <v>45972</v>
      </c>
      <c r="AB754" s="317">
        <v>45972</v>
      </c>
    </row>
    <row r="755" spans="1:28" x14ac:dyDescent="0.25">
      <c r="A755" s="307">
        <f t="shared" si="67"/>
        <v>749</v>
      </c>
      <c r="B755" s="308">
        <v>45969</v>
      </c>
      <c r="C755" s="309">
        <f t="shared" si="68"/>
        <v>45962</v>
      </c>
      <c r="D755" s="310" t="s">
        <v>51</v>
      </c>
      <c r="E755" s="310" t="s">
        <v>2506</v>
      </c>
      <c r="F755" s="311">
        <v>9501906989</v>
      </c>
      <c r="G755" s="316" t="s">
        <v>6</v>
      </c>
      <c r="H755" s="316" t="s">
        <v>1874</v>
      </c>
      <c r="I755" s="316" t="s">
        <v>2532</v>
      </c>
      <c r="J755" s="310" t="s">
        <v>168</v>
      </c>
      <c r="K755" s="312">
        <v>25690</v>
      </c>
      <c r="L755" s="312">
        <v>35600</v>
      </c>
      <c r="M755" s="313">
        <f t="shared" si="69"/>
        <v>9910</v>
      </c>
      <c r="N755" s="314">
        <f t="shared" si="70"/>
        <v>0.278370786516854</v>
      </c>
      <c r="O755" s="312">
        <v>25690</v>
      </c>
      <c r="P755" s="313">
        <f t="shared" si="66"/>
        <v>0</v>
      </c>
      <c r="Q755" s="310" t="s">
        <v>147</v>
      </c>
      <c r="R755" s="310">
        <v>332</v>
      </c>
      <c r="S755" s="310"/>
      <c r="T755" s="308">
        <v>45974</v>
      </c>
      <c r="U755" s="308">
        <v>45974</v>
      </c>
      <c r="V755" s="308"/>
      <c r="W755" s="315">
        <f t="shared" si="71"/>
        <v>5</v>
      </c>
      <c r="X755" s="310" t="s">
        <v>54</v>
      </c>
      <c r="Y755" s="310" t="s">
        <v>439</v>
      </c>
      <c r="Z755" s="316"/>
      <c r="AA755" s="316" t="s">
        <v>2511</v>
      </c>
      <c r="AB755" s="316" t="s">
        <v>2511</v>
      </c>
    </row>
    <row r="756" spans="1:28" x14ac:dyDescent="0.25">
      <c r="A756" s="307">
        <f t="shared" si="67"/>
        <v>750</v>
      </c>
      <c r="B756" s="308">
        <v>45969</v>
      </c>
      <c r="C756" s="309">
        <f t="shared" si="68"/>
        <v>45962</v>
      </c>
      <c r="D756" s="310" t="s">
        <v>56</v>
      </c>
      <c r="E756" s="310" t="s">
        <v>38</v>
      </c>
      <c r="F756" s="311">
        <v>9793531306</v>
      </c>
      <c r="G756" s="316" t="s">
        <v>1093</v>
      </c>
      <c r="H756" s="316" t="s">
        <v>2557</v>
      </c>
      <c r="I756" s="316" t="s">
        <v>6</v>
      </c>
      <c r="J756" s="310" t="s">
        <v>59</v>
      </c>
      <c r="K756" s="312">
        <v>40480</v>
      </c>
      <c r="L756" s="312">
        <v>91350</v>
      </c>
      <c r="M756" s="313">
        <f t="shared" si="69"/>
        <v>50870</v>
      </c>
      <c r="N756" s="314">
        <f t="shared" si="70"/>
        <v>0.556869184455391</v>
      </c>
      <c r="O756" s="312">
        <v>40480</v>
      </c>
      <c r="P756" s="313">
        <f t="shared" si="66"/>
        <v>0</v>
      </c>
      <c r="Q756" s="310" t="s">
        <v>147</v>
      </c>
      <c r="R756" s="310">
        <v>333</v>
      </c>
      <c r="S756" s="310"/>
      <c r="T756" s="308">
        <v>45972</v>
      </c>
      <c r="U756" s="308">
        <v>45973</v>
      </c>
      <c r="V756" s="308"/>
      <c r="W756" s="315">
        <f t="shared" si="71"/>
        <v>4</v>
      </c>
      <c r="X756" s="310" t="s">
        <v>54</v>
      </c>
      <c r="Y756" s="310" t="s">
        <v>56</v>
      </c>
      <c r="Z756" s="316"/>
      <c r="AA756" s="317">
        <v>45972</v>
      </c>
      <c r="AB756" s="317">
        <v>46002</v>
      </c>
    </row>
    <row r="757" spans="1:28" x14ac:dyDescent="0.25">
      <c r="A757" s="307">
        <f t="shared" si="67"/>
        <v>751</v>
      </c>
      <c r="B757" s="308">
        <v>45970</v>
      </c>
      <c r="C757" s="309">
        <f t="shared" si="68"/>
        <v>45962</v>
      </c>
      <c r="D757" s="310" t="s">
        <v>56</v>
      </c>
      <c r="E757" s="310" t="s">
        <v>60</v>
      </c>
      <c r="F757" s="311">
        <v>9589264337</v>
      </c>
      <c r="G757" s="316" t="s">
        <v>1093</v>
      </c>
      <c r="H757" s="316" t="s">
        <v>2562</v>
      </c>
      <c r="I757" s="316" t="s">
        <v>6</v>
      </c>
      <c r="J757" s="310" t="s">
        <v>172</v>
      </c>
      <c r="K757" s="312">
        <v>41230</v>
      </c>
      <c r="L757" s="312">
        <v>96390</v>
      </c>
      <c r="M757" s="313">
        <f t="shared" si="69"/>
        <v>55160</v>
      </c>
      <c r="N757" s="314">
        <f t="shared" si="70"/>
        <v>0.572258533042847</v>
      </c>
      <c r="O757" s="312">
        <v>41230</v>
      </c>
      <c r="P757" s="313">
        <f t="shared" si="66"/>
        <v>0</v>
      </c>
      <c r="Q757" s="310" t="s">
        <v>147</v>
      </c>
      <c r="R757" s="310">
        <v>334</v>
      </c>
      <c r="S757" s="310"/>
      <c r="T757" s="308">
        <v>45973</v>
      </c>
      <c r="U757" s="308">
        <v>45973</v>
      </c>
      <c r="V757" s="308"/>
      <c r="W757" s="315">
        <f t="shared" si="71"/>
        <v>3</v>
      </c>
      <c r="X757" s="310" t="s">
        <v>54</v>
      </c>
      <c r="Y757" s="310" t="s">
        <v>56</v>
      </c>
      <c r="Z757" s="316"/>
      <c r="AA757" s="317">
        <v>46002</v>
      </c>
      <c r="AB757" s="317">
        <v>46002</v>
      </c>
    </row>
    <row r="758" spans="1:28" x14ac:dyDescent="0.25">
      <c r="A758" s="307">
        <f t="shared" si="67"/>
        <v>752</v>
      </c>
      <c r="B758" s="308">
        <v>45972</v>
      </c>
      <c r="C758" s="309">
        <f t="shared" si="68"/>
        <v>45962</v>
      </c>
      <c r="D758" s="310" t="s">
        <v>56</v>
      </c>
      <c r="E758" s="310" t="s">
        <v>1644</v>
      </c>
      <c r="F758" s="311">
        <v>9793531306</v>
      </c>
      <c r="G758" s="316" t="s">
        <v>6</v>
      </c>
      <c r="H758" s="316" t="s">
        <v>1874</v>
      </c>
      <c r="I758" s="316" t="s">
        <v>2533</v>
      </c>
      <c r="J758" s="310" t="s">
        <v>172</v>
      </c>
      <c r="K758" s="312">
        <v>32820</v>
      </c>
      <c r="L758" s="312">
        <v>40320</v>
      </c>
      <c r="M758" s="313">
        <f t="shared" si="69"/>
        <v>7500</v>
      </c>
      <c r="N758" s="314">
        <f t="shared" si="70"/>
        <v>0.186011904761905</v>
      </c>
      <c r="O758" s="312">
        <v>32820</v>
      </c>
      <c r="P758" s="313">
        <f t="shared" si="66"/>
        <v>0</v>
      </c>
      <c r="Q758" s="310" t="s">
        <v>147</v>
      </c>
      <c r="R758" s="310">
        <v>335</v>
      </c>
      <c r="S758" s="310"/>
      <c r="T758" s="308">
        <v>45974</v>
      </c>
      <c r="U758" s="308">
        <v>45974</v>
      </c>
      <c r="V758" s="308"/>
      <c r="W758" s="315">
        <f t="shared" si="71"/>
        <v>2</v>
      </c>
      <c r="X758" s="310" t="s">
        <v>54</v>
      </c>
      <c r="Y758" s="310" t="s">
        <v>56</v>
      </c>
      <c r="Z758" s="316"/>
      <c r="AA758" s="316" t="s">
        <v>2511</v>
      </c>
      <c r="AB758" s="316" t="s">
        <v>2511</v>
      </c>
    </row>
    <row r="759" spans="1:28" x14ac:dyDescent="0.25">
      <c r="A759" s="307">
        <f t="shared" si="67"/>
        <v>753</v>
      </c>
      <c r="B759" s="308">
        <v>45972</v>
      </c>
      <c r="C759" s="309">
        <f t="shared" si="68"/>
        <v>45962</v>
      </c>
      <c r="D759" s="310" t="s">
        <v>56</v>
      </c>
      <c r="E759" s="310" t="s">
        <v>1641</v>
      </c>
      <c r="F759" s="311">
        <v>9281983602</v>
      </c>
      <c r="G759" s="316" t="s">
        <v>6</v>
      </c>
      <c r="H759" s="316" t="s">
        <v>2534</v>
      </c>
      <c r="I759" s="316" t="s">
        <v>2535</v>
      </c>
      <c r="J759" s="310" t="s">
        <v>172</v>
      </c>
      <c r="K759" s="312">
        <v>33770</v>
      </c>
      <c r="L759" s="312">
        <v>46620</v>
      </c>
      <c r="M759" s="313">
        <f t="shared" si="69"/>
        <v>12850</v>
      </c>
      <c r="N759" s="314">
        <f t="shared" si="70"/>
        <v>0.275632775632776</v>
      </c>
      <c r="O759" s="312">
        <v>33770</v>
      </c>
      <c r="P759" s="313">
        <f t="shared" si="66"/>
        <v>0</v>
      </c>
      <c r="Q759" s="310" t="s">
        <v>147</v>
      </c>
      <c r="R759" s="310">
        <v>336</v>
      </c>
      <c r="S759" s="310"/>
      <c r="T759" s="308">
        <v>45975</v>
      </c>
      <c r="U759" s="308">
        <v>45975</v>
      </c>
      <c r="V759" s="308"/>
      <c r="W759" s="315">
        <f t="shared" si="71"/>
        <v>3</v>
      </c>
      <c r="X759" s="310" t="s">
        <v>54</v>
      </c>
      <c r="Y759" s="310" t="s">
        <v>56</v>
      </c>
      <c r="Z759" s="316"/>
      <c r="AA759" s="316" t="s">
        <v>2513</v>
      </c>
      <c r="AB759" s="316" t="s">
        <v>2513</v>
      </c>
    </row>
    <row r="760" spans="1:28" x14ac:dyDescent="0.25">
      <c r="A760" s="307">
        <f t="shared" si="67"/>
        <v>754</v>
      </c>
      <c r="B760" s="308">
        <v>45974</v>
      </c>
      <c r="C760" s="309">
        <f t="shared" si="68"/>
        <v>45962</v>
      </c>
      <c r="D760" s="310" t="s">
        <v>56</v>
      </c>
      <c r="E760" s="310" t="s">
        <v>38</v>
      </c>
      <c r="F760" s="311">
        <v>9515412075</v>
      </c>
      <c r="G760" s="316" t="s">
        <v>6</v>
      </c>
      <c r="H760" s="316" t="s">
        <v>2536</v>
      </c>
      <c r="I760" s="316" t="s">
        <v>2537</v>
      </c>
      <c r="J760" s="310" t="s">
        <v>59</v>
      </c>
      <c r="K760" s="312">
        <v>33530</v>
      </c>
      <c r="L760" s="312">
        <v>45040</v>
      </c>
      <c r="M760" s="313">
        <f t="shared" si="69"/>
        <v>11510</v>
      </c>
      <c r="N760" s="314">
        <f t="shared" si="70"/>
        <v>0.255550621669627</v>
      </c>
      <c r="O760" s="312">
        <v>33530</v>
      </c>
      <c r="P760" s="313">
        <f t="shared" si="66"/>
        <v>0</v>
      </c>
      <c r="Q760" s="310" t="s">
        <v>147</v>
      </c>
      <c r="R760" s="310">
        <v>337</v>
      </c>
      <c r="S760" s="310"/>
      <c r="T760" s="308">
        <v>45977</v>
      </c>
      <c r="U760" s="308">
        <v>45978</v>
      </c>
      <c r="V760" s="308"/>
      <c r="W760" s="315">
        <f t="shared" si="71"/>
        <v>4</v>
      </c>
      <c r="X760" s="310" t="s">
        <v>54</v>
      </c>
      <c r="Y760" s="310" t="s">
        <v>56</v>
      </c>
      <c r="Z760" s="316"/>
      <c r="AA760" s="316" t="s">
        <v>2514</v>
      </c>
      <c r="AB760" s="316" t="s">
        <v>2515</v>
      </c>
    </row>
    <row r="761" spans="1:28" x14ac:dyDescent="0.25">
      <c r="A761" s="307">
        <f t="shared" si="67"/>
        <v>755</v>
      </c>
      <c r="B761" s="308">
        <v>45974</v>
      </c>
      <c r="C761" s="309">
        <f t="shared" si="68"/>
        <v>45962</v>
      </c>
      <c r="D761" s="310" t="s">
        <v>56</v>
      </c>
      <c r="E761" s="310" t="s">
        <v>60</v>
      </c>
      <c r="F761" s="311">
        <v>9589264337</v>
      </c>
      <c r="G761" s="316" t="s">
        <v>6</v>
      </c>
      <c r="H761" s="316" t="s">
        <v>2538</v>
      </c>
      <c r="I761" s="316" t="s">
        <v>2539</v>
      </c>
      <c r="J761" s="310" t="s">
        <v>172</v>
      </c>
      <c r="K761" s="312">
        <v>33770</v>
      </c>
      <c r="L761" s="312">
        <v>46620</v>
      </c>
      <c r="M761" s="313">
        <f t="shared" si="69"/>
        <v>12850</v>
      </c>
      <c r="N761" s="314">
        <f t="shared" si="70"/>
        <v>0.275632775632776</v>
      </c>
      <c r="O761" s="312">
        <v>33770</v>
      </c>
      <c r="P761" s="313">
        <f t="shared" si="66"/>
        <v>0</v>
      </c>
      <c r="Q761" s="310" t="s">
        <v>147</v>
      </c>
      <c r="R761" s="310">
        <v>338</v>
      </c>
      <c r="S761" s="310"/>
      <c r="T761" s="308">
        <v>45977</v>
      </c>
      <c r="U761" s="308">
        <v>45978</v>
      </c>
      <c r="V761" s="308"/>
      <c r="W761" s="315">
        <f t="shared" si="71"/>
        <v>4</v>
      </c>
      <c r="X761" s="310" t="s">
        <v>54</v>
      </c>
      <c r="Y761" s="310" t="s">
        <v>56</v>
      </c>
      <c r="Z761" s="316"/>
      <c r="AA761" s="316" t="s">
        <v>2514</v>
      </c>
      <c r="AB761" s="316" t="s">
        <v>2515</v>
      </c>
    </row>
    <row r="762" spans="1:28" x14ac:dyDescent="0.25">
      <c r="A762" s="307">
        <f t="shared" si="67"/>
        <v>756</v>
      </c>
      <c r="B762" s="308">
        <v>45975</v>
      </c>
      <c r="C762" s="309">
        <f t="shared" si="68"/>
        <v>45962</v>
      </c>
      <c r="D762" s="310" t="s">
        <v>51</v>
      </c>
      <c r="E762" s="310" t="s">
        <v>2512</v>
      </c>
      <c r="F762" s="311">
        <v>9922196714</v>
      </c>
      <c r="G762" s="316" t="s">
        <v>6</v>
      </c>
      <c r="H762" s="316" t="s">
        <v>1874</v>
      </c>
      <c r="I762" s="316" t="s">
        <v>2540</v>
      </c>
      <c r="J762" s="310" t="s">
        <v>59</v>
      </c>
      <c r="K762" s="312">
        <v>29910</v>
      </c>
      <c r="L762" s="312">
        <v>38740</v>
      </c>
      <c r="M762" s="313">
        <f t="shared" si="69"/>
        <v>8830</v>
      </c>
      <c r="N762" s="314">
        <f t="shared" si="70"/>
        <v>0.227929788332473</v>
      </c>
      <c r="O762" s="312">
        <v>29910</v>
      </c>
      <c r="P762" s="313">
        <f t="shared" si="66"/>
        <v>0</v>
      </c>
      <c r="Q762" s="310" t="s">
        <v>147</v>
      </c>
      <c r="R762" s="310">
        <v>339</v>
      </c>
      <c r="S762" s="310"/>
      <c r="T762" s="308">
        <v>45979</v>
      </c>
      <c r="U762" s="308">
        <v>45979</v>
      </c>
      <c r="V762" s="308"/>
      <c r="W762" s="315">
        <f t="shared" si="71"/>
        <v>4</v>
      </c>
      <c r="X762" s="310" t="s">
        <v>54</v>
      </c>
      <c r="Y762" s="310" t="s">
        <v>529</v>
      </c>
      <c r="Z762" s="316" t="s">
        <v>2577</v>
      </c>
      <c r="AA762" s="316" t="s">
        <v>2516</v>
      </c>
      <c r="AB762" s="316" t="s">
        <v>2516</v>
      </c>
    </row>
    <row r="763" spans="1:28" x14ac:dyDescent="0.25">
      <c r="A763" s="307">
        <f t="shared" si="67"/>
        <v>757</v>
      </c>
      <c r="B763" s="308">
        <v>45976</v>
      </c>
      <c r="C763" s="309">
        <f t="shared" si="68"/>
        <v>45962</v>
      </c>
      <c r="D763" s="310" t="s">
        <v>51</v>
      </c>
      <c r="E763" s="310" t="s">
        <v>1643</v>
      </c>
      <c r="F763" s="311">
        <v>9915991042</v>
      </c>
      <c r="G763" s="316" t="s">
        <v>6</v>
      </c>
      <c r="H763" s="316" t="s">
        <v>2542</v>
      </c>
      <c r="I763" s="316" t="s">
        <v>2543</v>
      </c>
      <c r="J763" s="310" t="s">
        <v>168</v>
      </c>
      <c r="K763" s="312">
        <v>27170</v>
      </c>
      <c r="L763" s="312">
        <v>41900</v>
      </c>
      <c r="M763" s="313">
        <f t="shared" si="69"/>
        <v>14730</v>
      </c>
      <c r="N763" s="314">
        <f t="shared" si="70"/>
        <v>0.351551312649165</v>
      </c>
      <c r="O763" s="312">
        <v>27170</v>
      </c>
      <c r="P763" s="313">
        <f t="shared" si="66"/>
        <v>0</v>
      </c>
      <c r="Q763" s="310" t="s">
        <v>147</v>
      </c>
      <c r="R763" s="310">
        <v>340</v>
      </c>
      <c r="S763" s="310"/>
      <c r="T763" s="308">
        <v>45979</v>
      </c>
      <c r="U763" s="308">
        <v>45979</v>
      </c>
      <c r="V763" s="308"/>
      <c r="W763" s="315">
        <f t="shared" si="71"/>
        <v>3</v>
      </c>
      <c r="X763" s="310" t="s">
        <v>54</v>
      </c>
      <c r="Y763" s="310" t="s">
        <v>2517</v>
      </c>
      <c r="Z763" s="316"/>
      <c r="AA763" s="316" t="s">
        <v>2516</v>
      </c>
      <c r="AB763" s="316" t="s">
        <v>2516</v>
      </c>
    </row>
    <row r="764" spans="1:28" x14ac:dyDescent="0.25">
      <c r="A764" s="307">
        <f t="shared" si="67"/>
        <v>758</v>
      </c>
      <c r="B764" s="308">
        <v>45976</v>
      </c>
      <c r="C764" s="309">
        <f t="shared" si="68"/>
        <v>45962</v>
      </c>
      <c r="D764" s="310" t="s">
        <v>51</v>
      </c>
      <c r="E764" s="310" t="s">
        <v>980</v>
      </c>
      <c r="F764" s="311">
        <v>9235279810</v>
      </c>
      <c r="G764" s="316" t="s">
        <v>6</v>
      </c>
      <c r="H764" s="316" t="s">
        <v>1874</v>
      </c>
      <c r="I764" s="316" t="s">
        <v>2541</v>
      </c>
      <c r="J764" s="310" t="s">
        <v>172</v>
      </c>
      <c r="K764" s="312">
        <v>31750</v>
      </c>
      <c r="L764" s="312">
        <v>40320</v>
      </c>
      <c r="M764" s="313">
        <f t="shared" si="69"/>
        <v>8570</v>
      </c>
      <c r="N764" s="314">
        <f t="shared" si="70"/>
        <v>0.212549603174603</v>
      </c>
      <c r="O764" s="312">
        <v>31750</v>
      </c>
      <c r="P764" s="313">
        <f t="shared" si="66"/>
        <v>0</v>
      </c>
      <c r="Q764" s="310" t="s">
        <v>147</v>
      </c>
      <c r="R764" s="310">
        <v>341</v>
      </c>
      <c r="S764" s="310"/>
      <c r="T764" s="308">
        <v>45981</v>
      </c>
      <c r="U764" s="308">
        <v>45981</v>
      </c>
      <c r="V764" s="308"/>
      <c r="W764" s="315">
        <f t="shared" si="71"/>
        <v>5</v>
      </c>
      <c r="X764" s="310" t="s">
        <v>54</v>
      </c>
      <c r="Y764" s="310" t="s">
        <v>439</v>
      </c>
      <c r="Z764" s="316"/>
      <c r="AA764" s="316" t="s">
        <v>2518</v>
      </c>
      <c r="AB764" s="316" t="s">
        <v>2518</v>
      </c>
    </row>
    <row r="765" spans="1:28" x14ac:dyDescent="0.25">
      <c r="A765" s="307">
        <f t="shared" si="67"/>
        <v>759</v>
      </c>
      <c r="B765" s="308">
        <v>45977</v>
      </c>
      <c r="C765" s="309">
        <f t="shared" si="68"/>
        <v>45962</v>
      </c>
      <c r="D765" s="310" t="s">
        <v>56</v>
      </c>
      <c r="E765" s="310" t="s">
        <v>1637</v>
      </c>
      <c r="F765" s="311">
        <v>9842431449</v>
      </c>
      <c r="G765" s="316" t="s">
        <v>1093</v>
      </c>
      <c r="H765" s="316" t="s">
        <v>2559</v>
      </c>
      <c r="I765" s="316" t="s">
        <v>6</v>
      </c>
      <c r="J765" s="310" t="s">
        <v>172</v>
      </c>
      <c r="K765" s="312">
        <v>42180</v>
      </c>
      <c r="L765" s="312">
        <v>102690</v>
      </c>
      <c r="M765" s="313">
        <f t="shared" si="69"/>
        <v>60510</v>
      </c>
      <c r="N765" s="314">
        <f t="shared" si="70"/>
        <v>0.58924919661116</v>
      </c>
      <c r="O765" s="312">
        <v>42180</v>
      </c>
      <c r="P765" s="313">
        <f t="shared" si="66"/>
        <v>0</v>
      </c>
      <c r="Q765" s="310" t="s">
        <v>147</v>
      </c>
      <c r="R765" s="310">
        <v>342</v>
      </c>
      <c r="S765" s="310"/>
      <c r="T765" s="308">
        <v>45979</v>
      </c>
      <c r="U765" s="308">
        <v>45979</v>
      </c>
      <c r="V765" s="308"/>
      <c r="W765" s="315">
        <f t="shared" si="71"/>
        <v>2</v>
      </c>
      <c r="X765" s="310" t="s">
        <v>54</v>
      </c>
      <c r="Y765" s="310" t="s">
        <v>56</v>
      </c>
      <c r="Z765" s="316"/>
      <c r="AA765" s="316" t="s">
        <v>2516</v>
      </c>
      <c r="AB765" s="316" t="s">
        <v>2516</v>
      </c>
    </row>
    <row r="766" spans="1:28" x14ac:dyDescent="0.25">
      <c r="A766" s="307">
        <f t="shared" si="67"/>
        <v>760</v>
      </c>
      <c r="B766" s="308">
        <v>45979</v>
      </c>
      <c r="C766" s="309">
        <f t="shared" si="68"/>
        <v>45962</v>
      </c>
      <c r="D766" s="310" t="s">
        <v>56</v>
      </c>
      <c r="E766" s="310" t="s">
        <v>1635</v>
      </c>
      <c r="F766" s="311">
        <v>9472230553</v>
      </c>
      <c r="G766" s="316" t="s">
        <v>6</v>
      </c>
      <c r="H766" s="316" t="s">
        <v>2544</v>
      </c>
      <c r="I766" s="316" t="s">
        <v>2545</v>
      </c>
      <c r="J766" s="310" t="s">
        <v>172</v>
      </c>
      <c r="K766" s="312">
        <v>33770</v>
      </c>
      <c r="L766" s="312">
        <v>46620</v>
      </c>
      <c r="M766" s="313">
        <f t="shared" si="69"/>
        <v>12850</v>
      </c>
      <c r="N766" s="314">
        <f t="shared" si="70"/>
        <v>0.275632775632776</v>
      </c>
      <c r="O766" s="312">
        <v>33770</v>
      </c>
      <c r="P766" s="313">
        <f t="shared" si="66"/>
        <v>0</v>
      </c>
      <c r="Q766" s="310" t="s">
        <v>147</v>
      </c>
      <c r="R766" s="310">
        <v>343</v>
      </c>
      <c r="S766" s="310"/>
      <c r="T766" s="308">
        <v>45982</v>
      </c>
      <c r="U766" s="308">
        <v>45982</v>
      </c>
      <c r="V766" s="308"/>
      <c r="W766" s="315">
        <f t="shared" si="71"/>
        <v>3</v>
      </c>
      <c r="X766" s="310" t="s">
        <v>54</v>
      </c>
      <c r="Y766" s="310" t="s">
        <v>56</v>
      </c>
      <c r="Z766" s="316"/>
      <c r="AA766" s="316" t="s">
        <v>2519</v>
      </c>
      <c r="AB766" s="316" t="s">
        <v>2519</v>
      </c>
    </row>
    <row r="767" spans="1:28" x14ac:dyDescent="0.25">
      <c r="A767" s="307">
        <f t="shared" si="67"/>
        <v>761</v>
      </c>
      <c r="B767" s="308">
        <v>45980</v>
      </c>
      <c r="C767" s="309">
        <f t="shared" si="68"/>
        <v>45962</v>
      </c>
      <c r="D767" s="310" t="s">
        <v>56</v>
      </c>
      <c r="E767" s="310" t="s">
        <v>1637</v>
      </c>
      <c r="F767" s="311">
        <v>9842431449</v>
      </c>
      <c r="G767" s="316" t="s">
        <v>6</v>
      </c>
      <c r="H767" s="316" t="s">
        <v>2546</v>
      </c>
      <c r="I767" s="316" t="s">
        <v>2547</v>
      </c>
      <c r="J767" s="310" t="s">
        <v>172</v>
      </c>
      <c r="K767" s="312">
        <v>33770</v>
      </c>
      <c r="L767" s="312">
        <v>46620</v>
      </c>
      <c r="M767" s="313">
        <f t="shared" si="69"/>
        <v>12850</v>
      </c>
      <c r="N767" s="314">
        <f t="shared" si="70"/>
        <v>0.275632775632776</v>
      </c>
      <c r="O767" s="312">
        <v>33770</v>
      </c>
      <c r="P767" s="313">
        <f t="shared" si="66"/>
        <v>0</v>
      </c>
      <c r="Q767" s="310" t="s">
        <v>147</v>
      </c>
      <c r="R767" s="310">
        <v>344</v>
      </c>
      <c r="S767" s="310"/>
      <c r="T767" s="308">
        <v>45982</v>
      </c>
      <c r="U767" s="308">
        <v>45985</v>
      </c>
      <c r="V767" s="308"/>
      <c r="W767" s="315">
        <f t="shared" si="71"/>
        <v>5</v>
      </c>
      <c r="X767" s="310" t="s">
        <v>54</v>
      </c>
      <c r="Y767" s="310" t="s">
        <v>56</v>
      </c>
      <c r="Z767" s="316"/>
      <c r="AA767" s="316" t="s">
        <v>2519</v>
      </c>
      <c r="AB767" s="316" t="s">
        <v>2521</v>
      </c>
    </row>
    <row r="768" spans="1:28" x14ac:dyDescent="0.25">
      <c r="A768" s="307">
        <f t="shared" si="67"/>
        <v>762</v>
      </c>
      <c r="B768" s="308">
        <v>45982</v>
      </c>
      <c r="C768" s="309">
        <f t="shared" si="68"/>
        <v>45962</v>
      </c>
      <c r="D768" s="310" t="s">
        <v>56</v>
      </c>
      <c r="E768" s="310" t="s">
        <v>38</v>
      </c>
      <c r="F768" s="311">
        <v>9793531306</v>
      </c>
      <c r="G768" s="316" t="s">
        <v>1093</v>
      </c>
      <c r="H768" s="316" t="s">
        <v>2558</v>
      </c>
      <c r="I768" s="316" t="s">
        <v>6</v>
      </c>
      <c r="J768" s="310" t="s">
        <v>172</v>
      </c>
      <c r="K768" s="312">
        <v>40480</v>
      </c>
      <c r="L768" s="312">
        <v>91350</v>
      </c>
      <c r="M768" s="313">
        <f t="shared" si="69"/>
        <v>50870</v>
      </c>
      <c r="N768" s="314">
        <f t="shared" si="70"/>
        <v>0.556869184455391</v>
      </c>
      <c r="O768" s="312">
        <v>40480</v>
      </c>
      <c r="P768" s="313">
        <f t="shared" si="66"/>
        <v>0</v>
      </c>
      <c r="Q768" s="310" t="s">
        <v>147</v>
      </c>
      <c r="R768" s="310">
        <v>345</v>
      </c>
      <c r="S768" s="310"/>
      <c r="T768" s="308">
        <v>45984</v>
      </c>
      <c r="U768" s="308">
        <v>45984</v>
      </c>
      <c r="V768" s="308"/>
      <c r="W768" s="315">
        <f t="shared" si="71"/>
        <v>2</v>
      </c>
      <c r="X768" s="310" t="s">
        <v>54</v>
      </c>
      <c r="Y768" s="310" t="s">
        <v>56</v>
      </c>
      <c r="Z768" s="316"/>
      <c r="AA768" s="316" t="s">
        <v>2522</v>
      </c>
      <c r="AB768" s="316" t="s">
        <v>2522</v>
      </c>
    </row>
    <row r="769" spans="1:28" x14ac:dyDescent="0.25">
      <c r="A769" s="307">
        <f t="shared" si="67"/>
        <v>763</v>
      </c>
      <c r="B769" s="308">
        <v>45982</v>
      </c>
      <c r="C769" s="309">
        <f t="shared" si="68"/>
        <v>45962</v>
      </c>
      <c r="D769" s="310" t="s">
        <v>56</v>
      </c>
      <c r="E769" s="310" t="s">
        <v>1641</v>
      </c>
      <c r="F769" s="311">
        <v>9281983602</v>
      </c>
      <c r="G769" s="316" t="s">
        <v>6</v>
      </c>
      <c r="H769" s="316" t="s">
        <v>1874</v>
      </c>
      <c r="I769" s="316" t="s">
        <v>2548</v>
      </c>
      <c r="J769" s="310" t="s">
        <v>172</v>
      </c>
      <c r="K769" s="312">
        <v>32820</v>
      </c>
      <c r="L769" s="312">
        <v>40320</v>
      </c>
      <c r="M769" s="313">
        <f t="shared" si="69"/>
        <v>7500</v>
      </c>
      <c r="N769" s="314">
        <f t="shared" si="70"/>
        <v>0.186011904761905</v>
      </c>
      <c r="O769" s="312">
        <v>32820</v>
      </c>
      <c r="P769" s="313">
        <f t="shared" si="66"/>
        <v>0</v>
      </c>
      <c r="Q769" s="310" t="s">
        <v>147</v>
      </c>
      <c r="R769" s="310">
        <v>346</v>
      </c>
      <c r="S769" s="310"/>
      <c r="T769" s="308">
        <v>45985</v>
      </c>
      <c r="U769" s="308">
        <v>45985</v>
      </c>
      <c r="V769" s="308"/>
      <c r="W769" s="315">
        <f t="shared" si="71"/>
        <v>3</v>
      </c>
      <c r="X769" s="310" t="s">
        <v>54</v>
      </c>
      <c r="Y769" s="310" t="s">
        <v>56</v>
      </c>
      <c r="Z769" s="316"/>
      <c r="AA769" s="316" t="s">
        <v>2521</v>
      </c>
      <c r="AB769" s="316" t="s">
        <v>2521</v>
      </c>
    </row>
    <row r="770" spans="1:28" x14ac:dyDescent="0.25">
      <c r="A770" s="307">
        <f t="shared" si="67"/>
        <v>764</v>
      </c>
      <c r="B770" s="308">
        <v>45982</v>
      </c>
      <c r="C770" s="309">
        <f t="shared" si="68"/>
        <v>45962</v>
      </c>
      <c r="D770" s="310" t="s">
        <v>56</v>
      </c>
      <c r="E770" s="310" t="s">
        <v>60</v>
      </c>
      <c r="F770" s="311">
        <v>9589264337</v>
      </c>
      <c r="G770" s="316" t="s">
        <v>6</v>
      </c>
      <c r="H770" s="316" t="s">
        <v>2549</v>
      </c>
      <c r="I770" s="316" t="s">
        <v>2550</v>
      </c>
      <c r="J770" s="310" t="s">
        <v>172</v>
      </c>
      <c r="K770" s="312">
        <v>33770</v>
      </c>
      <c r="L770" s="312">
        <v>46620</v>
      </c>
      <c r="M770" s="313">
        <f t="shared" si="69"/>
        <v>12850</v>
      </c>
      <c r="N770" s="314">
        <f t="shared" si="70"/>
        <v>0.275632775632776</v>
      </c>
      <c r="O770" s="312">
        <v>33770</v>
      </c>
      <c r="P770" s="313">
        <f t="shared" si="66"/>
        <v>0</v>
      </c>
      <c r="Q770" s="310" t="s">
        <v>147</v>
      </c>
      <c r="R770" s="310">
        <v>347</v>
      </c>
      <c r="S770" s="310"/>
      <c r="T770" s="308">
        <v>45985</v>
      </c>
      <c r="U770" s="308">
        <v>45985</v>
      </c>
      <c r="V770" s="308"/>
      <c r="W770" s="315">
        <f t="shared" si="71"/>
        <v>3</v>
      </c>
      <c r="X770" s="310" t="s">
        <v>54</v>
      </c>
      <c r="Y770" s="310" t="s">
        <v>56</v>
      </c>
      <c r="Z770" s="316"/>
      <c r="AA770" s="316" t="s">
        <v>2521</v>
      </c>
      <c r="AB770" s="316" t="s">
        <v>2521</v>
      </c>
    </row>
    <row r="771" spans="1:28" x14ac:dyDescent="0.25">
      <c r="A771" s="307">
        <f t="shared" si="67"/>
        <v>765</v>
      </c>
      <c r="B771" s="308">
        <v>45983</v>
      </c>
      <c r="C771" s="309">
        <f t="shared" si="68"/>
        <v>45962</v>
      </c>
      <c r="D771" s="310" t="s">
        <v>56</v>
      </c>
      <c r="E771" s="310" t="s">
        <v>1644</v>
      </c>
      <c r="F771" s="311">
        <v>9793531306</v>
      </c>
      <c r="G771" s="316" t="s">
        <v>6</v>
      </c>
      <c r="H771" s="316" t="s">
        <v>2551</v>
      </c>
      <c r="I771" s="316" t="s">
        <v>2552</v>
      </c>
      <c r="J771" s="310" t="s">
        <v>172</v>
      </c>
      <c r="K771" s="312">
        <v>33770</v>
      </c>
      <c r="L771" s="312">
        <v>46620</v>
      </c>
      <c r="M771" s="313">
        <f t="shared" si="69"/>
        <v>12850</v>
      </c>
      <c r="N771" s="314">
        <f t="shared" si="70"/>
        <v>0.275632775632776</v>
      </c>
      <c r="O771" s="312">
        <v>33770</v>
      </c>
      <c r="P771" s="313">
        <f t="shared" si="66"/>
        <v>0</v>
      </c>
      <c r="Q771" s="310" t="s">
        <v>147</v>
      </c>
      <c r="R771" s="310">
        <v>348</v>
      </c>
      <c r="S771" s="310"/>
      <c r="T771" s="308">
        <v>45986</v>
      </c>
      <c r="U771" s="308">
        <v>45986</v>
      </c>
      <c r="V771" s="308"/>
      <c r="W771" s="315">
        <f t="shared" si="71"/>
        <v>3</v>
      </c>
      <c r="X771" s="310" t="s">
        <v>54</v>
      </c>
      <c r="Y771" s="310" t="s">
        <v>56</v>
      </c>
      <c r="Z771" s="316"/>
      <c r="AA771" s="316" t="s">
        <v>2524</v>
      </c>
      <c r="AB771" s="316" t="s">
        <v>2524</v>
      </c>
    </row>
    <row r="772" spans="1:28" x14ac:dyDescent="0.25">
      <c r="A772" s="307">
        <f t="shared" si="67"/>
        <v>766</v>
      </c>
      <c r="B772" s="308">
        <v>45983</v>
      </c>
      <c r="C772" s="309">
        <f t="shared" si="68"/>
        <v>45962</v>
      </c>
      <c r="D772" s="310" t="s">
        <v>56</v>
      </c>
      <c r="E772" s="310" t="s">
        <v>1635</v>
      </c>
      <c r="F772" s="311">
        <v>9220186371</v>
      </c>
      <c r="G772" s="316" t="s">
        <v>1093</v>
      </c>
      <c r="H772" s="316" t="s">
        <v>2561</v>
      </c>
      <c r="I772" s="316" t="s">
        <v>6</v>
      </c>
      <c r="J772" s="310" t="s">
        <v>172</v>
      </c>
      <c r="K772" s="312">
        <v>41230</v>
      </c>
      <c r="L772" s="312">
        <v>96390</v>
      </c>
      <c r="M772" s="313">
        <f t="shared" si="69"/>
        <v>55160</v>
      </c>
      <c r="N772" s="314">
        <f t="shared" si="70"/>
        <v>0.572258533042847</v>
      </c>
      <c r="O772" s="312">
        <v>41230</v>
      </c>
      <c r="P772" s="313">
        <f t="shared" si="66"/>
        <v>0</v>
      </c>
      <c r="Q772" s="310" t="s">
        <v>147</v>
      </c>
      <c r="R772" s="310">
        <v>349</v>
      </c>
      <c r="S772" s="310"/>
      <c r="T772" s="308">
        <v>45986</v>
      </c>
      <c r="U772" s="308">
        <v>45986</v>
      </c>
      <c r="V772" s="308"/>
      <c r="W772" s="315">
        <f t="shared" si="71"/>
        <v>3</v>
      </c>
      <c r="X772" s="310" t="s">
        <v>54</v>
      </c>
      <c r="Y772" s="310" t="s">
        <v>56</v>
      </c>
      <c r="Z772" s="316"/>
      <c r="AA772" s="316" t="s">
        <v>2524</v>
      </c>
      <c r="AB772" s="316" t="s">
        <v>2524</v>
      </c>
    </row>
    <row r="773" spans="1:28" x14ac:dyDescent="0.25">
      <c r="A773" s="307">
        <f t="shared" si="67"/>
        <v>767</v>
      </c>
      <c r="B773" s="308">
        <v>45983</v>
      </c>
      <c r="C773" s="309">
        <f t="shared" si="68"/>
        <v>45962</v>
      </c>
      <c r="D773" s="310" t="s">
        <v>51</v>
      </c>
      <c r="E773" s="310" t="s">
        <v>2520</v>
      </c>
      <c r="F773" s="311">
        <v>9277489142</v>
      </c>
      <c r="G773" s="316" t="s">
        <v>105</v>
      </c>
      <c r="H773" s="316" t="s">
        <v>2556</v>
      </c>
      <c r="I773" s="316" t="s">
        <v>6</v>
      </c>
      <c r="J773" s="310" t="s">
        <v>168</v>
      </c>
      <c r="K773" s="312">
        <v>49680</v>
      </c>
      <c r="L773" s="312">
        <v>59850</v>
      </c>
      <c r="M773" s="313">
        <f t="shared" si="69"/>
        <v>10170</v>
      </c>
      <c r="N773" s="314">
        <f t="shared" si="70"/>
        <v>0.169924812030075</v>
      </c>
      <c r="O773" s="312">
        <v>49680</v>
      </c>
      <c r="P773" s="313">
        <f t="shared" si="66"/>
        <v>0</v>
      </c>
      <c r="Q773" s="310" t="s">
        <v>147</v>
      </c>
      <c r="R773" s="310">
        <v>350</v>
      </c>
      <c r="S773" s="310"/>
      <c r="T773" s="308">
        <v>45987</v>
      </c>
      <c r="U773" s="308">
        <v>45987</v>
      </c>
      <c r="V773" s="308"/>
      <c r="W773" s="315">
        <f t="shared" si="71"/>
        <v>4</v>
      </c>
      <c r="X773" s="310" t="s">
        <v>54</v>
      </c>
      <c r="Y773" s="310" t="s">
        <v>439</v>
      </c>
      <c r="Z773" s="316"/>
      <c r="AA773" s="316" t="s">
        <v>2526</v>
      </c>
      <c r="AB773" s="316" t="s">
        <v>2526</v>
      </c>
    </row>
    <row r="774" spans="1:28" x14ac:dyDescent="0.25">
      <c r="A774" s="307">
        <f t="shared" si="67"/>
        <v>768</v>
      </c>
      <c r="B774" s="308">
        <v>45984</v>
      </c>
      <c r="C774" s="309">
        <f t="shared" si="68"/>
        <v>45962</v>
      </c>
      <c r="D774" s="310" t="s">
        <v>56</v>
      </c>
      <c r="E774" s="310" t="s">
        <v>38</v>
      </c>
      <c r="F774" s="311">
        <v>9515412075</v>
      </c>
      <c r="G774" s="316" t="s">
        <v>6</v>
      </c>
      <c r="H774" s="316" t="s">
        <v>1874</v>
      </c>
      <c r="I774" s="316" t="s">
        <v>2564</v>
      </c>
      <c r="J774" s="310" t="s">
        <v>59</v>
      </c>
      <c r="K774" s="312">
        <v>32590</v>
      </c>
      <c r="L774" s="312">
        <v>38740</v>
      </c>
      <c r="M774" s="313">
        <f t="shared" si="69"/>
        <v>6150</v>
      </c>
      <c r="N774" s="314">
        <f t="shared" si="70"/>
        <v>0.158750645327827</v>
      </c>
      <c r="O774" s="312">
        <v>32590</v>
      </c>
      <c r="P774" s="313">
        <f t="shared" si="66"/>
        <v>0</v>
      </c>
      <c r="Q774" s="310" t="s">
        <v>147</v>
      </c>
      <c r="R774" s="310">
        <v>351</v>
      </c>
      <c r="S774" s="310"/>
      <c r="T774" s="308">
        <v>45986</v>
      </c>
      <c r="U774" s="308">
        <v>45986</v>
      </c>
      <c r="V774" s="308"/>
      <c r="W774" s="315">
        <f t="shared" si="71"/>
        <v>2</v>
      </c>
      <c r="X774" s="310" t="s">
        <v>54</v>
      </c>
      <c r="Y774" s="310" t="s">
        <v>56</v>
      </c>
      <c r="Z774" s="316"/>
      <c r="AA774" s="316" t="s">
        <v>2524</v>
      </c>
      <c r="AB774" s="316" t="s">
        <v>2524</v>
      </c>
    </row>
    <row r="775" spans="1:28" x14ac:dyDescent="0.25">
      <c r="A775" s="307">
        <f t="shared" si="67"/>
        <v>769</v>
      </c>
      <c r="B775" s="308">
        <v>45985</v>
      </c>
      <c r="C775" s="309">
        <f t="shared" si="68"/>
        <v>45962</v>
      </c>
      <c r="D775" s="310" t="s">
        <v>51</v>
      </c>
      <c r="E775" s="310" t="s">
        <v>2523</v>
      </c>
      <c r="F775" s="311">
        <v>9384667498</v>
      </c>
      <c r="G775" s="316" t="s">
        <v>1093</v>
      </c>
      <c r="H775" s="316" t="s">
        <v>2565</v>
      </c>
      <c r="I775" s="316" t="s">
        <v>6</v>
      </c>
      <c r="J775" s="310" t="s">
        <v>107</v>
      </c>
      <c r="K775" s="312">
        <v>85620</v>
      </c>
      <c r="L775" s="312">
        <v>110250</v>
      </c>
      <c r="M775" s="313">
        <f t="shared" si="69"/>
        <v>24630</v>
      </c>
      <c r="N775" s="314">
        <f t="shared" si="70"/>
        <v>0.223401360544218</v>
      </c>
      <c r="O775" s="312">
        <v>78980</v>
      </c>
      <c r="P775" s="313">
        <f t="shared" ref="P775:P838" si="72">IF(OR($K775="",$O775=""),"",$K775-$O775)</f>
        <v>6640</v>
      </c>
      <c r="Q775" s="310" t="s">
        <v>147</v>
      </c>
      <c r="R775" s="310">
        <v>352</v>
      </c>
      <c r="S775" s="310"/>
      <c r="T775" s="308">
        <v>45989</v>
      </c>
      <c r="U775" s="308">
        <v>45990</v>
      </c>
      <c r="V775" s="308"/>
      <c r="W775" s="315">
        <f t="shared" si="71"/>
        <v>5</v>
      </c>
      <c r="X775" s="310" t="s">
        <v>54</v>
      </c>
      <c r="Y775" s="310" t="s">
        <v>2593</v>
      </c>
      <c r="Z775" s="316"/>
      <c r="AA775" s="316" t="s">
        <v>2566</v>
      </c>
      <c r="AB775" s="316" t="s">
        <v>2568</v>
      </c>
    </row>
    <row r="776" spans="1:28" x14ac:dyDescent="0.25">
      <c r="A776" s="307">
        <f t="shared" ref="A776:A839" si="73">IF($B776="","",ROW()-6)</f>
        <v>770</v>
      </c>
      <c r="B776" s="308">
        <v>45986</v>
      </c>
      <c r="C776" s="309">
        <f t="shared" ref="C776:C839" si="74">IF($B776="","",EOMONTH($B776,-1)+1)</f>
        <v>45962</v>
      </c>
      <c r="D776" s="310" t="s">
        <v>56</v>
      </c>
      <c r="E776" s="310" t="s">
        <v>1637</v>
      </c>
      <c r="F776" s="311">
        <v>9842431449</v>
      </c>
      <c r="G776" s="316" t="s">
        <v>1093</v>
      </c>
      <c r="H776" s="316" t="s">
        <v>2560</v>
      </c>
      <c r="I776" s="316" t="s">
        <v>6</v>
      </c>
      <c r="J776" s="310" t="s">
        <v>172</v>
      </c>
      <c r="K776" s="312">
        <v>41230</v>
      </c>
      <c r="L776" s="312">
        <v>96390</v>
      </c>
      <c r="M776" s="313">
        <f t="shared" ref="M776:M839" si="75">IF(OR($K776="",$L776=""),"",$L776-$K776)</f>
        <v>55160</v>
      </c>
      <c r="N776" s="314">
        <f t="shared" ref="N776:N839" si="76">IF(OR($L776="",$L776=0,$M776=""),"",$M776/$L776)</f>
        <v>0.572258533042847</v>
      </c>
      <c r="O776" s="312">
        <v>41230</v>
      </c>
      <c r="P776" s="313">
        <f t="shared" si="72"/>
        <v>0</v>
      </c>
      <c r="Q776" s="310" t="s">
        <v>147</v>
      </c>
      <c r="R776" s="310">
        <v>353</v>
      </c>
      <c r="S776" s="310"/>
      <c r="T776" s="308">
        <v>45988</v>
      </c>
      <c r="U776" s="308">
        <v>45988</v>
      </c>
      <c r="V776" s="308"/>
      <c r="W776" s="315">
        <f t="shared" ref="W776:W839" si="77">IF(OR($B776="",$U776=""),"",$U776-$B776)</f>
        <v>2</v>
      </c>
      <c r="X776" s="310" t="s">
        <v>54</v>
      </c>
      <c r="Y776" s="310" t="s">
        <v>56</v>
      </c>
      <c r="Z776" s="316"/>
      <c r="AA776" s="316" t="s">
        <v>2527</v>
      </c>
      <c r="AB776" s="316" t="s">
        <v>2527</v>
      </c>
    </row>
    <row r="777" spans="1:28" x14ac:dyDescent="0.25">
      <c r="A777" s="307">
        <f t="shared" si="73"/>
        <v>771</v>
      </c>
      <c r="B777" s="308">
        <v>45986</v>
      </c>
      <c r="C777" s="309">
        <f t="shared" si="74"/>
        <v>45962</v>
      </c>
      <c r="D777" s="310" t="s">
        <v>51</v>
      </c>
      <c r="E777" s="310" t="s">
        <v>2525</v>
      </c>
      <c r="F777" s="311">
        <v>9311247901</v>
      </c>
      <c r="G777" s="316" t="s">
        <v>6</v>
      </c>
      <c r="H777" s="316" t="s">
        <v>1874</v>
      </c>
      <c r="I777" s="316" t="s">
        <v>2555</v>
      </c>
      <c r="J777" s="310" t="s">
        <v>172</v>
      </c>
      <c r="K777" s="312">
        <v>31750</v>
      </c>
      <c r="L777" s="312">
        <v>40320</v>
      </c>
      <c r="M777" s="313">
        <f t="shared" si="75"/>
        <v>8570</v>
      </c>
      <c r="N777" s="314">
        <f t="shared" si="76"/>
        <v>0.212549603174603</v>
      </c>
      <c r="O777" s="312">
        <v>31750</v>
      </c>
      <c r="P777" s="313">
        <f t="shared" si="72"/>
        <v>0</v>
      </c>
      <c r="Q777" s="310" t="s">
        <v>147</v>
      </c>
      <c r="R777" s="310">
        <v>354</v>
      </c>
      <c r="S777" s="310"/>
      <c r="T777" s="308">
        <v>45989</v>
      </c>
      <c r="U777" s="308">
        <v>45989</v>
      </c>
      <c r="V777" s="308"/>
      <c r="W777" s="315">
        <f t="shared" si="77"/>
        <v>3</v>
      </c>
      <c r="X777" s="310" t="s">
        <v>54</v>
      </c>
      <c r="Y777" s="310" t="s">
        <v>439</v>
      </c>
      <c r="Z777" s="316"/>
      <c r="AA777" s="316" t="s">
        <v>2566</v>
      </c>
      <c r="AB777" s="316" t="s">
        <v>2566</v>
      </c>
    </row>
    <row r="778" spans="1:28" x14ac:dyDescent="0.25">
      <c r="A778" s="307">
        <f t="shared" si="73"/>
        <v>772</v>
      </c>
      <c r="B778" s="308">
        <v>45986</v>
      </c>
      <c r="C778" s="309">
        <f t="shared" si="74"/>
        <v>45962</v>
      </c>
      <c r="D778" s="310" t="s">
        <v>56</v>
      </c>
      <c r="E778" s="310" t="s">
        <v>1635</v>
      </c>
      <c r="F778" s="311">
        <v>9472230553</v>
      </c>
      <c r="G778" s="316" t="s">
        <v>6</v>
      </c>
      <c r="H778" s="316" t="s">
        <v>2553</v>
      </c>
      <c r="I778" s="316" t="s">
        <v>2554</v>
      </c>
      <c r="J778" s="310" t="s">
        <v>172</v>
      </c>
      <c r="K778" s="312">
        <v>33770</v>
      </c>
      <c r="L778" s="312">
        <v>46620</v>
      </c>
      <c r="M778" s="313">
        <f t="shared" si="75"/>
        <v>12850</v>
      </c>
      <c r="N778" s="314">
        <f t="shared" si="76"/>
        <v>0.275632775632776</v>
      </c>
      <c r="O778" s="312">
        <v>33770</v>
      </c>
      <c r="P778" s="313">
        <f t="shared" si="72"/>
        <v>0</v>
      </c>
      <c r="Q778" s="310" t="s">
        <v>147</v>
      </c>
      <c r="R778" s="310">
        <v>355</v>
      </c>
      <c r="S778" s="310"/>
      <c r="T778" s="308">
        <v>45989</v>
      </c>
      <c r="U778" s="308">
        <v>45989</v>
      </c>
      <c r="V778" s="308"/>
      <c r="W778" s="315">
        <f t="shared" si="77"/>
        <v>3</v>
      </c>
      <c r="X778" s="310" t="s">
        <v>54</v>
      </c>
      <c r="Y778" s="310" t="s">
        <v>56</v>
      </c>
      <c r="Z778" s="316"/>
      <c r="AA778" s="316" t="s">
        <v>2566</v>
      </c>
      <c r="AB778" s="316" t="s">
        <v>2567</v>
      </c>
    </row>
    <row r="779" spans="1:28" x14ac:dyDescent="0.25">
      <c r="A779" s="307">
        <f t="shared" si="73"/>
        <v>773</v>
      </c>
      <c r="B779" s="308">
        <v>45988</v>
      </c>
      <c r="C779" s="309">
        <f t="shared" si="74"/>
        <v>45962</v>
      </c>
      <c r="D779" s="310" t="s">
        <v>56</v>
      </c>
      <c r="E779" s="310" t="s">
        <v>60</v>
      </c>
      <c r="F779" s="311">
        <v>9589264337</v>
      </c>
      <c r="G779" s="316" t="s">
        <v>1093</v>
      </c>
      <c r="H779" s="316" t="s">
        <v>2563</v>
      </c>
      <c r="I779" s="316" t="s">
        <v>6</v>
      </c>
      <c r="J779" s="310" t="s">
        <v>172</v>
      </c>
      <c r="K779" s="312">
        <v>41230</v>
      </c>
      <c r="L779" s="312">
        <v>96390</v>
      </c>
      <c r="M779" s="313">
        <f t="shared" si="75"/>
        <v>55160</v>
      </c>
      <c r="N779" s="314">
        <f t="shared" si="76"/>
        <v>0.572258533042847</v>
      </c>
      <c r="O779" s="312">
        <v>41230</v>
      </c>
      <c r="P779" s="313">
        <f t="shared" si="72"/>
        <v>0</v>
      </c>
      <c r="Q779" s="310" t="s">
        <v>147</v>
      </c>
      <c r="R779" s="310">
        <v>356</v>
      </c>
      <c r="S779" s="310"/>
      <c r="T779" s="308">
        <v>45990</v>
      </c>
      <c r="U779" s="308">
        <v>45992</v>
      </c>
      <c r="V779" s="308"/>
      <c r="W779" s="315">
        <f t="shared" si="77"/>
        <v>4</v>
      </c>
      <c r="X779" s="310" t="s">
        <v>54</v>
      </c>
      <c r="Y779" s="310" t="s">
        <v>56</v>
      </c>
      <c r="Z779" s="316"/>
      <c r="AA779" s="316" t="s">
        <v>2568</v>
      </c>
      <c r="AB779" s="317">
        <v>45669</v>
      </c>
    </row>
    <row r="780" spans="1:28" x14ac:dyDescent="0.25">
      <c r="A780" s="307">
        <f t="shared" si="73"/>
        <v>774</v>
      </c>
      <c r="B780" s="308">
        <v>45988</v>
      </c>
      <c r="C780" s="309">
        <f t="shared" si="74"/>
        <v>45962</v>
      </c>
      <c r="D780" s="310" t="s">
        <v>56</v>
      </c>
      <c r="E780" s="310" t="s">
        <v>1637</v>
      </c>
      <c r="F780" s="311">
        <v>9842431449</v>
      </c>
      <c r="G780" s="316" t="s">
        <v>6</v>
      </c>
      <c r="H780" s="316" t="s">
        <v>2578</v>
      </c>
      <c r="I780" s="316" t="s">
        <v>2579</v>
      </c>
      <c r="J780" s="310" t="s">
        <v>172</v>
      </c>
      <c r="K780" s="312">
        <v>33770</v>
      </c>
      <c r="L780" s="312">
        <v>46620</v>
      </c>
      <c r="M780" s="313">
        <f t="shared" si="75"/>
        <v>12850</v>
      </c>
      <c r="N780" s="314">
        <f t="shared" si="76"/>
        <v>0.275632775632776</v>
      </c>
      <c r="O780" s="312">
        <v>33770</v>
      </c>
      <c r="P780" s="313">
        <f t="shared" si="72"/>
        <v>0</v>
      </c>
      <c r="Q780" s="310" t="s">
        <v>147</v>
      </c>
      <c r="R780" s="310">
        <v>357</v>
      </c>
      <c r="S780" s="310"/>
      <c r="T780" s="308">
        <v>45991</v>
      </c>
      <c r="U780" s="308">
        <v>45992</v>
      </c>
      <c r="V780" s="308"/>
      <c r="W780" s="315">
        <f t="shared" si="77"/>
        <v>4</v>
      </c>
      <c r="X780" s="310" t="s">
        <v>54</v>
      </c>
      <c r="Y780" s="310" t="s">
        <v>56</v>
      </c>
      <c r="Z780" s="316"/>
      <c r="AA780" s="316" t="s">
        <v>2570</v>
      </c>
      <c r="AB780" s="317">
        <v>45669</v>
      </c>
    </row>
    <row r="781" spans="1:28" x14ac:dyDescent="0.25">
      <c r="A781" s="307">
        <f t="shared" si="73"/>
        <v>775</v>
      </c>
      <c r="B781" s="308">
        <v>45988</v>
      </c>
      <c r="C781" s="309">
        <f t="shared" si="74"/>
        <v>45962</v>
      </c>
      <c r="D781" s="310" t="s">
        <v>51</v>
      </c>
      <c r="E781" s="310" t="s">
        <v>2520</v>
      </c>
      <c r="F781" s="311">
        <v>9277489142</v>
      </c>
      <c r="G781" s="316" t="s">
        <v>6</v>
      </c>
      <c r="H781" s="316" t="s">
        <v>1874</v>
      </c>
      <c r="I781" s="316" t="s">
        <v>2580</v>
      </c>
      <c r="J781" s="310" t="s">
        <v>168</v>
      </c>
      <c r="K781" s="312">
        <v>25690</v>
      </c>
      <c r="L781" s="312">
        <v>35600</v>
      </c>
      <c r="M781" s="313">
        <f t="shared" si="75"/>
        <v>9910</v>
      </c>
      <c r="N781" s="314">
        <f t="shared" si="76"/>
        <v>0.278370786516854</v>
      </c>
      <c r="O781" s="312">
        <v>25690</v>
      </c>
      <c r="P781" s="313">
        <f t="shared" si="72"/>
        <v>0</v>
      </c>
      <c r="Q781" s="310" t="s">
        <v>147</v>
      </c>
      <c r="R781" s="310">
        <v>358</v>
      </c>
      <c r="S781" s="310"/>
      <c r="T781" s="308">
        <v>45992</v>
      </c>
      <c r="U781" s="308">
        <v>45992</v>
      </c>
      <c r="V781" s="308"/>
      <c r="W781" s="315">
        <f t="shared" si="77"/>
        <v>4</v>
      </c>
      <c r="X781" s="310" t="s">
        <v>54</v>
      </c>
      <c r="Y781" s="310" t="s">
        <v>439</v>
      </c>
      <c r="Z781" s="316"/>
      <c r="AA781" s="317">
        <v>45669</v>
      </c>
      <c r="AB781" s="317">
        <v>45669</v>
      </c>
    </row>
    <row r="782" spans="1:28" x14ac:dyDescent="0.25">
      <c r="A782" s="307">
        <f t="shared" si="73"/>
        <v>776</v>
      </c>
      <c r="B782" s="308">
        <v>45989</v>
      </c>
      <c r="C782" s="309">
        <f t="shared" si="74"/>
        <v>45962</v>
      </c>
      <c r="D782" s="310" t="s">
        <v>56</v>
      </c>
      <c r="E782" s="310" t="s">
        <v>38</v>
      </c>
      <c r="F782" s="311">
        <v>9515412075</v>
      </c>
      <c r="G782" s="316" t="s">
        <v>1093</v>
      </c>
      <c r="H782" s="316" t="s">
        <v>2583</v>
      </c>
      <c r="I782" s="316" t="s">
        <v>6</v>
      </c>
      <c r="J782" s="310" t="s">
        <v>59</v>
      </c>
      <c r="K782" s="312">
        <v>42370</v>
      </c>
      <c r="L782" s="312">
        <v>103950</v>
      </c>
      <c r="M782" s="313">
        <f t="shared" si="75"/>
        <v>61580</v>
      </c>
      <c r="N782" s="314">
        <f t="shared" si="76"/>
        <v>0.592400192400192</v>
      </c>
      <c r="O782" s="312">
        <v>42370</v>
      </c>
      <c r="P782" s="313">
        <f t="shared" si="72"/>
        <v>0</v>
      </c>
      <c r="Q782" s="310" t="s">
        <v>147</v>
      </c>
      <c r="R782" s="310">
        <v>359</v>
      </c>
      <c r="S782" s="310"/>
      <c r="T782" s="308">
        <v>45991</v>
      </c>
      <c r="U782" s="308">
        <v>45992</v>
      </c>
      <c r="V782" s="308"/>
      <c r="W782" s="315">
        <f t="shared" si="77"/>
        <v>3</v>
      </c>
      <c r="X782" s="310" t="s">
        <v>54</v>
      </c>
      <c r="Y782" s="310" t="s">
        <v>56</v>
      </c>
      <c r="Z782" s="316"/>
      <c r="AA782" s="316" t="s">
        <v>2570</v>
      </c>
      <c r="AB782" s="317">
        <v>45669</v>
      </c>
    </row>
    <row r="783" spans="1:28" x14ac:dyDescent="0.25">
      <c r="A783" s="307">
        <f t="shared" si="73"/>
        <v>777</v>
      </c>
      <c r="B783" s="308">
        <v>45990</v>
      </c>
      <c r="C783" s="309">
        <f t="shared" si="74"/>
        <v>45962</v>
      </c>
      <c r="D783" s="310" t="s">
        <v>51</v>
      </c>
      <c r="E783" s="310" t="s">
        <v>976</v>
      </c>
      <c r="F783" s="311">
        <v>9389071211</v>
      </c>
      <c r="G783" s="316" t="s">
        <v>6</v>
      </c>
      <c r="H783" s="316" t="s">
        <v>2581</v>
      </c>
      <c r="I783" s="316" t="s">
        <v>2582</v>
      </c>
      <c r="J783" s="310" t="s">
        <v>623</v>
      </c>
      <c r="K783" s="312">
        <v>27700</v>
      </c>
      <c r="L783" s="312">
        <v>41900</v>
      </c>
      <c r="M783" s="313">
        <f t="shared" si="75"/>
        <v>14200</v>
      </c>
      <c r="N783" s="314">
        <f t="shared" si="76"/>
        <v>0.33890214797136</v>
      </c>
      <c r="O783" s="312">
        <v>27700</v>
      </c>
      <c r="P783" s="313">
        <f t="shared" si="72"/>
        <v>0</v>
      </c>
      <c r="Q783" s="310" t="s">
        <v>147</v>
      </c>
      <c r="R783" s="310">
        <v>360</v>
      </c>
      <c r="S783" s="310"/>
      <c r="T783" s="308">
        <v>45994</v>
      </c>
      <c r="U783" s="308">
        <v>45994</v>
      </c>
      <c r="V783" s="308"/>
      <c r="W783" s="315">
        <f t="shared" si="77"/>
        <v>4</v>
      </c>
      <c r="X783" s="310" t="s">
        <v>54</v>
      </c>
      <c r="Y783" s="310" t="s">
        <v>439</v>
      </c>
      <c r="Z783" s="316"/>
      <c r="AA783" s="317">
        <v>45728</v>
      </c>
      <c r="AB783" s="317">
        <v>45728</v>
      </c>
    </row>
    <row r="784" spans="1:28" x14ac:dyDescent="0.25">
      <c r="A784" s="307">
        <f t="shared" si="73"/>
        <v>778</v>
      </c>
      <c r="B784" s="308">
        <v>45992</v>
      </c>
      <c r="C784" s="309">
        <f t="shared" si="74"/>
        <v>45992</v>
      </c>
      <c r="D784" s="310" t="s">
        <v>56</v>
      </c>
      <c r="E784" s="310" t="s">
        <v>38</v>
      </c>
      <c r="F784" s="311">
        <v>9515412075</v>
      </c>
      <c r="G784" s="316" t="s">
        <v>6</v>
      </c>
      <c r="H784" s="316" t="s">
        <v>2605</v>
      </c>
      <c r="I784" s="316" t="s">
        <v>2606</v>
      </c>
      <c r="J784" s="310" t="s">
        <v>59</v>
      </c>
      <c r="K784" s="312">
        <v>33530</v>
      </c>
      <c r="L784" s="312">
        <v>45040</v>
      </c>
      <c r="M784" s="313">
        <f t="shared" si="75"/>
        <v>11510</v>
      </c>
      <c r="N784" s="314">
        <f t="shared" si="76"/>
        <v>0.255550621669627</v>
      </c>
      <c r="O784" s="312">
        <v>33530</v>
      </c>
      <c r="P784" s="313">
        <f t="shared" si="72"/>
        <v>0</v>
      </c>
      <c r="Q784" s="310" t="s">
        <v>147</v>
      </c>
      <c r="R784" s="310">
        <v>370</v>
      </c>
      <c r="S784" s="310"/>
      <c r="T784" s="308">
        <v>45995</v>
      </c>
      <c r="U784" s="308">
        <v>45995</v>
      </c>
      <c r="V784" s="308"/>
      <c r="W784" s="315">
        <f t="shared" si="77"/>
        <v>3</v>
      </c>
      <c r="X784" s="310" t="s">
        <v>54</v>
      </c>
      <c r="Y784" s="310" t="s">
        <v>56</v>
      </c>
      <c r="Z784" s="316"/>
      <c r="AA784" s="317">
        <v>45759</v>
      </c>
      <c r="AB784" s="317">
        <v>45759</v>
      </c>
    </row>
    <row r="785" spans="1:28" x14ac:dyDescent="0.25">
      <c r="A785" s="307">
        <f t="shared" si="73"/>
        <v>779</v>
      </c>
      <c r="B785" s="308">
        <v>45993</v>
      </c>
      <c r="C785" s="309">
        <f t="shared" si="74"/>
        <v>45992</v>
      </c>
      <c r="D785" s="310" t="s">
        <v>56</v>
      </c>
      <c r="E785" s="310" t="s">
        <v>60</v>
      </c>
      <c r="F785" s="311">
        <v>9589264337</v>
      </c>
      <c r="G785" s="316" t="s">
        <v>6</v>
      </c>
      <c r="H785" s="316" t="s">
        <v>2602</v>
      </c>
      <c r="I785" s="316" t="s">
        <v>2603</v>
      </c>
      <c r="J785" s="310" t="s">
        <v>172</v>
      </c>
      <c r="K785" s="312">
        <v>33770</v>
      </c>
      <c r="L785" s="312">
        <v>46620</v>
      </c>
      <c r="M785" s="313">
        <f t="shared" si="75"/>
        <v>12850</v>
      </c>
      <c r="N785" s="314">
        <f t="shared" si="76"/>
        <v>0.275632775632776</v>
      </c>
      <c r="O785" s="312">
        <v>33770</v>
      </c>
      <c r="P785" s="313">
        <f t="shared" si="72"/>
        <v>0</v>
      </c>
      <c r="Q785" s="310" t="s">
        <v>147</v>
      </c>
      <c r="R785" s="310">
        <v>371</v>
      </c>
      <c r="S785" s="310"/>
      <c r="T785" s="308">
        <v>45996</v>
      </c>
      <c r="U785" s="308">
        <v>45996</v>
      </c>
      <c r="V785" s="308"/>
      <c r="W785" s="315">
        <f t="shared" si="77"/>
        <v>3</v>
      </c>
      <c r="X785" s="310" t="s">
        <v>54</v>
      </c>
      <c r="Y785" s="310" t="s">
        <v>56</v>
      </c>
      <c r="Z785" s="316"/>
      <c r="AA785" s="317">
        <v>45789</v>
      </c>
      <c r="AB785" s="317">
        <v>45789</v>
      </c>
    </row>
    <row r="786" spans="1:28" x14ac:dyDescent="0.25">
      <c r="A786" s="307">
        <f t="shared" si="73"/>
        <v>780</v>
      </c>
      <c r="B786" s="308">
        <v>45993</v>
      </c>
      <c r="C786" s="309">
        <f t="shared" si="74"/>
        <v>45992</v>
      </c>
      <c r="D786" s="310" t="s">
        <v>51</v>
      </c>
      <c r="E786" s="310" t="s">
        <v>2464</v>
      </c>
      <c r="F786" s="311">
        <v>9812853439</v>
      </c>
      <c r="G786" s="316" t="s">
        <v>6</v>
      </c>
      <c r="H786" s="316" t="s">
        <v>1874</v>
      </c>
      <c r="I786" s="316" t="s">
        <v>2604</v>
      </c>
      <c r="J786" s="310" t="s">
        <v>172</v>
      </c>
      <c r="K786" s="312">
        <v>31750</v>
      </c>
      <c r="L786" s="312">
        <v>40320</v>
      </c>
      <c r="M786" s="313">
        <f t="shared" si="75"/>
        <v>8570</v>
      </c>
      <c r="N786" s="314">
        <f t="shared" si="76"/>
        <v>0.212549603174603</v>
      </c>
      <c r="O786" s="312">
        <v>31750</v>
      </c>
      <c r="P786" s="313">
        <f t="shared" si="72"/>
        <v>0</v>
      </c>
      <c r="Q786" s="310" t="s">
        <v>147</v>
      </c>
      <c r="R786" s="310">
        <v>372</v>
      </c>
      <c r="S786" s="310"/>
      <c r="T786" s="308">
        <v>45996</v>
      </c>
      <c r="U786" s="308">
        <v>45996</v>
      </c>
      <c r="V786" s="308"/>
      <c r="W786" s="315">
        <f t="shared" si="77"/>
        <v>3</v>
      </c>
      <c r="X786" s="310" t="s">
        <v>54</v>
      </c>
      <c r="Y786" s="310" t="s">
        <v>439</v>
      </c>
      <c r="Z786" s="316"/>
      <c r="AA786" s="317">
        <v>45789</v>
      </c>
      <c r="AB786" s="317">
        <v>45789</v>
      </c>
    </row>
    <row r="787" spans="1:28" x14ac:dyDescent="0.25">
      <c r="A787" s="307">
        <f t="shared" si="73"/>
        <v>781</v>
      </c>
      <c r="B787" s="308">
        <v>45994</v>
      </c>
      <c r="C787" s="309">
        <f t="shared" si="74"/>
        <v>45992</v>
      </c>
      <c r="D787" s="310" t="s">
        <v>56</v>
      </c>
      <c r="E787" s="310" t="s">
        <v>1637</v>
      </c>
      <c r="F787" s="311">
        <v>9842431449</v>
      </c>
      <c r="G787" s="316" t="s">
        <v>1093</v>
      </c>
      <c r="H787" s="316" t="s">
        <v>2623</v>
      </c>
      <c r="I787" s="316" t="s">
        <v>6</v>
      </c>
      <c r="J787" s="310" t="s">
        <v>172</v>
      </c>
      <c r="K787" s="312">
        <v>43120</v>
      </c>
      <c r="L787" s="312">
        <v>108990</v>
      </c>
      <c r="M787" s="313">
        <f t="shared" si="75"/>
        <v>65870</v>
      </c>
      <c r="N787" s="314">
        <f t="shared" si="76"/>
        <v>0.6043673731535</v>
      </c>
      <c r="O787" s="312">
        <v>43120</v>
      </c>
      <c r="P787" s="313">
        <f t="shared" si="72"/>
        <v>0</v>
      </c>
      <c r="Q787" s="310" t="s">
        <v>147</v>
      </c>
      <c r="R787" s="310">
        <v>385</v>
      </c>
      <c r="S787" s="310"/>
      <c r="T787" s="308">
        <v>45996</v>
      </c>
      <c r="U787" s="308">
        <v>45996</v>
      </c>
      <c r="V787" s="308"/>
      <c r="W787" s="315">
        <f t="shared" si="77"/>
        <v>2</v>
      </c>
      <c r="X787" s="310" t="s">
        <v>54</v>
      </c>
      <c r="Y787" s="310" t="s">
        <v>56</v>
      </c>
      <c r="Z787" s="316"/>
      <c r="AA787" s="317">
        <v>45789</v>
      </c>
      <c r="AB787" s="317">
        <v>45789</v>
      </c>
    </row>
    <row r="788" spans="1:28" x14ac:dyDescent="0.25">
      <c r="A788" s="307">
        <f t="shared" si="73"/>
        <v>782</v>
      </c>
      <c r="B788" s="308">
        <v>45994</v>
      </c>
      <c r="C788" s="309">
        <f t="shared" si="74"/>
        <v>45992</v>
      </c>
      <c r="D788" s="310" t="s">
        <v>56</v>
      </c>
      <c r="E788" s="310" t="s">
        <v>1644</v>
      </c>
      <c r="F788" s="311">
        <v>9793531306</v>
      </c>
      <c r="G788" s="316" t="s">
        <v>6</v>
      </c>
      <c r="H788" s="316" t="s">
        <v>2610</v>
      </c>
      <c r="I788" s="316" t="s">
        <v>2611</v>
      </c>
      <c r="J788" s="310" t="s">
        <v>172</v>
      </c>
      <c r="K788" s="312">
        <v>33770</v>
      </c>
      <c r="L788" s="312">
        <v>46620</v>
      </c>
      <c r="M788" s="313">
        <f t="shared" si="75"/>
        <v>12850</v>
      </c>
      <c r="N788" s="314">
        <f t="shared" si="76"/>
        <v>0.275632775632776</v>
      </c>
      <c r="O788" s="312">
        <v>33770</v>
      </c>
      <c r="P788" s="313">
        <f t="shared" si="72"/>
        <v>0</v>
      </c>
      <c r="Q788" s="310" t="s">
        <v>147</v>
      </c>
      <c r="R788" s="310">
        <v>373</v>
      </c>
      <c r="S788" s="310"/>
      <c r="T788" s="308">
        <v>45997</v>
      </c>
      <c r="U788" s="308">
        <v>45999</v>
      </c>
      <c r="V788" s="308"/>
      <c r="W788" s="315">
        <f t="shared" si="77"/>
        <v>5</v>
      </c>
      <c r="X788" s="310" t="s">
        <v>54</v>
      </c>
      <c r="Y788" s="310" t="s">
        <v>56</v>
      </c>
      <c r="Z788" s="316"/>
      <c r="AA788" s="317">
        <v>45820</v>
      </c>
      <c r="AB788" s="317">
        <v>45881</v>
      </c>
    </row>
    <row r="789" spans="1:28" x14ac:dyDescent="0.25">
      <c r="A789" s="307">
        <f t="shared" si="73"/>
        <v>783</v>
      </c>
      <c r="B789" s="308">
        <v>45996</v>
      </c>
      <c r="C789" s="309">
        <f t="shared" si="74"/>
        <v>45992</v>
      </c>
      <c r="D789" s="310" t="s">
        <v>56</v>
      </c>
      <c r="E789" s="310" t="s">
        <v>38</v>
      </c>
      <c r="F789" s="311">
        <v>9515412075</v>
      </c>
      <c r="G789" s="316" t="s">
        <v>105</v>
      </c>
      <c r="H789" s="316" t="s">
        <v>2629</v>
      </c>
      <c r="I789" s="316" t="s">
        <v>6</v>
      </c>
      <c r="J789" s="310" t="s">
        <v>59</v>
      </c>
      <c r="K789" s="312">
        <v>41420</v>
      </c>
      <c r="L789" s="312">
        <v>97650</v>
      </c>
      <c r="M789" s="313">
        <f t="shared" si="75"/>
        <v>56230</v>
      </c>
      <c r="N789" s="314">
        <f t="shared" si="76"/>
        <v>0.575832053251408</v>
      </c>
      <c r="O789" s="312">
        <v>41420</v>
      </c>
      <c r="P789" s="313">
        <f t="shared" si="72"/>
        <v>0</v>
      </c>
      <c r="Q789" s="310" t="s">
        <v>147</v>
      </c>
      <c r="R789" s="310">
        <v>386</v>
      </c>
      <c r="S789" s="310"/>
      <c r="T789" s="308">
        <v>45999</v>
      </c>
      <c r="U789" s="308">
        <v>45999</v>
      </c>
      <c r="V789" s="308"/>
      <c r="W789" s="315">
        <f t="shared" si="77"/>
        <v>3</v>
      </c>
      <c r="X789" s="310" t="s">
        <v>54</v>
      </c>
      <c r="Y789" s="310" t="s">
        <v>56</v>
      </c>
      <c r="Z789" s="316"/>
      <c r="AA789" s="317">
        <v>45881</v>
      </c>
      <c r="AB789" s="317">
        <v>45881</v>
      </c>
    </row>
    <row r="790" spans="1:28" x14ac:dyDescent="0.25">
      <c r="A790" s="307">
        <f t="shared" si="73"/>
        <v>784</v>
      </c>
      <c r="B790" s="308">
        <v>45996</v>
      </c>
      <c r="C790" s="309">
        <f t="shared" si="74"/>
        <v>45992</v>
      </c>
      <c r="D790" s="310" t="s">
        <v>56</v>
      </c>
      <c r="E790" s="310" t="s">
        <v>1635</v>
      </c>
      <c r="F790" s="311">
        <v>9472230553</v>
      </c>
      <c r="G790" s="316" t="s">
        <v>6</v>
      </c>
      <c r="H790" s="316" t="s">
        <v>1874</v>
      </c>
      <c r="I790" s="316" t="s">
        <v>2632</v>
      </c>
      <c r="J790" s="310" t="s">
        <v>172</v>
      </c>
      <c r="K790" s="312">
        <v>32820</v>
      </c>
      <c r="L790" s="312">
        <v>40320</v>
      </c>
      <c r="M790" s="313">
        <f t="shared" si="75"/>
        <v>7500</v>
      </c>
      <c r="N790" s="314">
        <f t="shared" si="76"/>
        <v>0.186011904761905</v>
      </c>
      <c r="O790" s="312">
        <v>32820</v>
      </c>
      <c r="P790" s="313">
        <f t="shared" si="72"/>
        <v>0</v>
      </c>
      <c r="Q790" s="310" t="s">
        <v>147</v>
      </c>
      <c r="R790" s="310">
        <v>387</v>
      </c>
      <c r="S790" s="310"/>
      <c r="T790" s="308">
        <v>45999</v>
      </c>
      <c r="U790" s="308">
        <v>45999</v>
      </c>
      <c r="V790" s="308"/>
      <c r="W790" s="315">
        <f t="shared" si="77"/>
        <v>3</v>
      </c>
      <c r="X790" s="310" t="s">
        <v>54</v>
      </c>
      <c r="Y790" s="310" t="s">
        <v>56</v>
      </c>
      <c r="Z790" s="316"/>
      <c r="AA790" s="317">
        <v>45881</v>
      </c>
      <c r="AB790" s="317">
        <v>45881</v>
      </c>
    </row>
    <row r="791" spans="1:28" x14ac:dyDescent="0.25">
      <c r="A791" s="307">
        <f t="shared" si="73"/>
        <v>785</v>
      </c>
      <c r="B791" s="308">
        <v>45996</v>
      </c>
      <c r="C791" s="309">
        <f t="shared" si="74"/>
        <v>45992</v>
      </c>
      <c r="D791" s="310" t="s">
        <v>56</v>
      </c>
      <c r="E791" s="310" t="s">
        <v>1637</v>
      </c>
      <c r="F791" s="311">
        <v>9842431449</v>
      </c>
      <c r="G791" s="316" t="s">
        <v>6</v>
      </c>
      <c r="H791" s="316" t="s">
        <v>1874</v>
      </c>
      <c r="I791" s="316" t="s">
        <v>2612</v>
      </c>
      <c r="J791" s="310" t="s">
        <v>172</v>
      </c>
      <c r="K791" s="312">
        <v>32820</v>
      </c>
      <c r="L791" s="312">
        <v>40320</v>
      </c>
      <c r="M791" s="313">
        <f t="shared" si="75"/>
        <v>7500</v>
      </c>
      <c r="N791" s="314">
        <f t="shared" si="76"/>
        <v>0.186011904761905</v>
      </c>
      <c r="O791" s="312">
        <v>32820</v>
      </c>
      <c r="P791" s="313">
        <f t="shared" si="72"/>
        <v>0</v>
      </c>
      <c r="Q791" s="310" t="s">
        <v>147</v>
      </c>
      <c r="R791" s="310">
        <v>374</v>
      </c>
      <c r="S791" s="310"/>
      <c r="T791" s="308">
        <v>45999</v>
      </c>
      <c r="U791" s="308">
        <v>45999</v>
      </c>
      <c r="V791" s="308"/>
      <c r="W791" s="315">
        <f t="shared" si="77"/>
        <v>3</v>
      </c>
      <c r="X791" s="310" t="s">
        <v>54</v>
      </c>
      <c r="Y791" s="310" t="s">
        <v>56</v>
      </c>
      <c r="Z791" s="316"/>
      <c r="AA791" s="317">
        <v>45881</v>
      </c>
      <c r="AB791" s="317">
        <v>45881</v>
      </c>
    </row>
    <row r="792" spans="1:28" x14ac:dyDescent="0.25">
      <c r="A792" s="307">
        <f t="shared" si="73"/>
        <v>786</v>
      </c>
      <c r="B792" s="308">
        <v>45998</v>
      </c>
      <c r="C792" s="309">
        <f t="shared" si="74"/>
        <v>45992</v>
      </c>
      <c r="D792" s="310" t="s">
        <v>56</v>
      </c>
      <c r="E792" s="310" t="s">
        <v>1641</v>
      </c>
      <c r="F792" s="311">
        <v>9281983602</v>
      </c>
      <c r="G792" s="316" t="s">
        <v>6</v>
      </c>
      <c r="H792" s="316" t="s">
        <v>2613</v>
      </c>
      <c r="I792" s="316" t="s">
        <v>2614</v>
      </c>
      <c r="J792" s="310" t="s">
        <v>172</v>
      </c>
      <c r="K792" s="312">
        <v>33770</v>
      </c>
      <c r="L792" s="312">
        <v>46620</v>
      </c>
      <c r="M792" s="313">
        <f t="shared" si="75"/>
        <v>12850</v>
      </c>
      <c r="N792" s="314">
        <f t="shared" si="76"/>
        <v>0.275632775632776</v>
      </c>
      <c r="O792" s="312">
        <v>33770</v>
      </c>
      <c r="P792" s="313">
        <f t="shared" si="72"/>
        <v>0</v>
      </c>
      <c r="Q792" s="310" t="s">
        <v>147</v>
      </c>
      <c r="R792" s="310">
        <v>375</v>
      </c>
      <c r="S792" s="310"/>
      <c r="T792" s="308">
        <v>46001</v>
      </c>
      <c r="U792" s="308">
        <v>46001</v>
      </c>
      <c r="V792" s="308"/>
      <c r="W792" s="315">
        <f t="shared" si="77"/>
        <v>3</v>
      </c>
      <c r="X792" s="310" t="s">
        <v>54</v>
      </c>
      <c r="Y792" s="310" t="s">
        <v>56</v>
      </c>
      <c r="Z792" s="316"/>
      <c r="AA792" s="317">
        <v>45942</v>
      </c>
      <c r="AB792" s="317">
        <v>45942</v>
      </c>
    </row>
    <row r="793" spans="1:28" x14ac:dyDescent="0.25">
      <c r="A793" s="307">
        <f t="shared" si="73"/>
        <v>787</v>
      </c>
      <c r="B793" s="308">
        <v>45998</v>
      </c>
      <c r="C793" s="309">
        <f t="shared" si="74"/>
        <v>45992</v>
      </c>
      <c r="D793" s="310" t="s">
        <v>56</v>
      </c>
      <c r="E793" s="310" t="s">
        <v>60</v>
      </c>
      <c r="F793" s="311">
        <v>9589264337</v>
      </c>
      <c r="G793" s="316" t="s">
        <v>1093</v>
      </c>
      <c r="H793" s="316" t="s">
        <v>2620</v>
      </c>
      <c r="I793" s="316" t="s">
        <v>6</v>
      </c>
      <c r="J793" s="310" t="s">
        <v>172</v>
      </c>
      <c r="K793" s="312">
        <v>41230</v>
      </c>
      <c r="L793" s="312">
        <v>96390</v>
      </c>
      <c r="M793" s="313">
        <f t="shared" si="75"/>
        <v>55160</v>
      </c>
      <c r="N793" s="314">
        <f t="shared" si="76"/>
        <v>0.572258533042847</v>
      </c>
      <c r="O793" s="312">
        <v>41230</v>
      </c>
      <c r="P793" s="313">
        <f t="shared" si="72"/>
        <v>0</v>
      </c>
      <c r="Q793" s="310" t="s">
        <v>147</v>
      </c>
      <c r="R793" s="310">
        <v>376</v>
      </c>
      <c r="S793" s="310"/>
      <c r="T793" s="308">
        <v>46001</v>
      </c>
      <c r="U793" s="308">
        <v>46001</v>
      </c>
      <c r="V793" s="308"/>
      <c r="W793" s="315">
        <f t="shared" si="77"/>
        <v>3</v>
      </c>
      <c r="X793" s="310" t="s">
        <v>54</v>
      </c>
      <c r="Y793" s="310" t="s">
        <v>56</v>
      </c>
      <c r="Z793" s="316"/>
      <c r="AA793" s="317">
        <v>45942</v>
      </c>
      <c r="AB793" s="317">
        <v>45942</v>
      </c>
    </row>
    <row r="794" spans="1:28" x14ac:dyDescent="0.25">
      <c r="A794" s="307">
        <f t="shared" si="73"/>
        <v>788</v>
      </c>
      <c r="B794" s="308">
        <v>45999</v>
      </c>
      <c r="C794" s="309">
        <f t="shared" si="74"/>
        <v>45992</v>
      </c>
      <c r="D794" s="310" t="s">
        <v>56</v>
      </c>
      <c r="E794" s="310" t="s">
        <v>38</v>
      </c>
      <c r="F794" s="311">
        <v>9515412075</v>
      </c>
      <c r="G794" s="316" t="s">
        <v>6</v>
      </c>
      <c r="H794" s="316" t="s">
        <v>2607</v>
      </c>
      <c r="I794" s="316" t="s">
        <v>2608</v>
      </c>
      <c r="J794" s="310" t="s">
        <v>59</v>
      </c>
      <c r="K794" s="312">
        <v>33530</v>
      </c>
      <c r="L794" s="312">
        <v>45040</v>
      </c>
      <c r="M794" s="313">
        <f t="shared" si="75"/>
        <v>11510</v>
      </c>
      <c r="N794" s="314">
        <f t="shared" si="76"/>
        <v>0.255550621669627</v>
      </c>
      <c r="O794" s="312">
        <v>33530</v>
      </c>
      <c r="P794" s="313">
        <f t="shared" si="72"/>
        <v>0</v>
      </c>
      <c r="Q794" s="310" t="s">
        <v>147</v>
      </c>
      <c r="R794" s="310">
        <v>377</v>
      </c>
      <c r="S794" s="310"/>
      <c r="T794" s="308">
        <v>46002</v>
      </c>
      <c r="U794" s="308">
        <v>46002</v>
      </c>
      <c r="V794" s="308"/>
      <c r="W794" s="315">
        <f t="shared" si="77"/>
        <v>3</v>
      </c>
      <c r="X794" s="310" t="s">
        <v>54</v>
      </c>
      <c r="Y794" s="310" t="s">
        <v>56</v>
      </c>
      <c r="Z794" s="316" t="s">
        <v>3776</v>
      </c>
      <c r="AA794" s="317">
        <v>45973</v>
      </c>
      <c r="AB794" s="317">
        <v>45973</v>
      </c>
    </row>
    <row r="795" spans="1:28" x14ac:dyDescent="0.25">
      <c r="A795" s="307">
        <f t="shared" si="73"/>
        <v>789</v>
      </c>
      <c r="B795" s="308">
        <v>46001</v>
      </c>
      <c r="C795" s="309">
        <f t="shared" si="74"/>
        <v>45992</v>
      </c>
      <c r="D795" s="310" t="s">
        <v>51</v>
      </c>
      <c r="E795" s="310" t="s">
        <v>2584</v>
      </c>
      <c r="F795" s="311">
        <v>9368040749</v>
      </c>
      <c r="G795" s="316" t="s">
        <v>6</v>
      </c>
      <c r="H795" s="316" t="s">
        <v>1874</v>
      </c>
      <c r="I795" s="316" t="s">
        <v>2609</v>
      </c>
      <c r="J795" s="310" t="s">
        <v>168</v>
      </c>
      <c r="K795" s="312">
        <v>25690</v>
      </c>
      <c r="L795" s="312">
        <v>35600</v>
      </c>
      <c r="M795" s="313">
        <f t="shared" si="75"/>
        <v>9910</v>
      </c>
      <c r="N795" s="314">
        <f t="shared" si="76"/>
        <v>0.278370786516854</v>
      </c>
      <c r="O795" s="312">
        <v>25690</v>
      </c>
      <c r="P795" s="313">
        <f t="shared" si="72"/>
        <v>0</v>
      </c>
      <c r="Q795" s="310" t="s">
        <v>147</v>
      </c>
      <c r="R795" s="310">
        <v>378</v>
      </c>
      <c r="S795" s="310"/>
      <c r="T795" s="308">
        <v>46004</v>
      </c>
      <c r="U795" s="308">
        <v>46004</v>
      </c>
      <c r="V795" s="308"/>
      <c r="W795" s="315">
        <f t="shared" si="77"/>
        <v>3</v>
      </c>
      <c r="X795" s="310" t="s">
        <v>54</v>
      </c>
      <c r="Y795" s="310" t="s">
        <v>439</v>
      </c>
      <c r="Z795" s="316"/>
      <c r="AA795" s="316" t="s">
        <v>2590</v>
      </c>
      <c r="AB795" s="316" t="s">
        <v>2590</v>
      </c>
    </row>
    <row r="796" spans="1:28" x14ac:dyDescent="0.25">
      <c r="A796" s="307">
        <f t="shared" si="73"/>
        <v>790</v>
      </c>
      <c r="B796" s="308">
        <v>46001</v>
      </c>
      <c r="C796" s="309">
        <f t="shared" si="74"/>
        <v>45992</v>
      </c>
      <c r="D796" s="310" t="s">
        <v>56</v>
      </c>
      <c r="E796" s="310" t="s">
        <v>1644</v>
      </c>
      <c r="F796" s="311">
        <v>9793531306</v>
      </c>
      <c r="G796" s="316" t="s">
        <v>1093</v>
      </c>
      <c r="H796" s="316" t="s">
        <v>2625</v>
      </c>
      <c r="I796" s="316" t="s">
        <v>6</v>
      </c>
      <c r="J796" s="310" t="s">
        <v>172</v>
      </c>
      <c r="K796" s="312">
        <v>43120</v>
      </c>
      <c r="L796" s="312">
        <v>108990</v>
      </c>
      <c r="M796" s="313">
        <f t="shared" si="75"/>
        <v>65870</v>
      </c>
      <c r="N796" s="314">
        <f t="shared" si="76"/>
        <v>0.6043673731535</v>
      </c>
      <c r="O796" s="312">
        <v>43120</v>
      </c>
      <c r="P796" s="313">
        <f t="shared" si="72"/>
        <v>0</v>
      </c>
      <c r="Q796" s="310" t="s">
        <v>147</v>
      </c>
      <c r="R796" s="310">
        <v>388</v>
      </c>
      <c r="S796" s="310"/>
      <c r="T796" s="308">
        <v>46004</v>
      </c>
      <c r="U796" s="308">
        <v>46004</v>
      </c>
      <c r="V796" s="308"/>
      <c r="W796" s="315">
        <f t="shared" si="77"/>
        <v>3</v>
      </c>
      <c r="X796" s="310" t="s">
        <v>54</v>
      </c>
      <c r="Y796" s="310" t="s">
        <v>56</v>
      </c>
      <c r="Z796" s="316"/>
      <c r="AA796" s="316" t="s">
        <v>2590</v>
      </c>
      <c r="AB796" s="316" t="s">
        <v>2590</v>
      </c>
    </row>
    <row r="797" spans="1:28" x14ac:dyDescent="0.25">
      <c r="A797" s="307">
        <f t="shared" si="73"/>
        <v>791</v>
      </c>
      <c r="B797" s="308">
        <v>46002</v>
      </c>
      <c r="C797" s="309">
        <f t="shared" si="74"/>
        <v>45992</v>
      </c>
      <c r="D797" s="310" t="s">
        <v>56</v>
      </c>
      <c r="E797" s="310" t="s">
        <v>60</v>
      </c>
      <c r="F797" s="311">
        <v>9589264337</v>
      </c>
      <c r="G797" s="316" t="s">
        <v>6</v>
      </c>
      <c r="H797" s="316" t="s">
        <v>2633</v>
      </c>
      <c r="I797" s="316" t="s">
        <v>2634</v>
      </c>
      <c r="J797" s="310" t="s">
        <v>172</v>
      </c>
      <c r="K797" s="312">
        <v>33770</v>
      </c>
      <c r="L797" s="312">
        <v>46620</v>
      </c>
      <c r="M797" s="313">
        <f t="shared" si="75"/>
        <v>12850</v>
      </c>
      <c r="N797" s="314">
        <f t="shared" si="76"/>
        <v>0.275632775632776</v>
      </c>
      <c r="O797" s="312">
        <v>33770</v>
      </c>
      <c r="P797" s="313">
        <f t="shared" si="72"/>
        <v>0</v>
      </c>
      <c r="Q797" s="310" t="s">
        <v>147</v>
      </c>
      <c r="R797" s="310">
        <v>389</v>
      </c>
      <c r="S797" s="310"/>
      <c r="T797" s="308">
        <v>46006</v>
      </c>
      <c r="U797" s="308">
        <v>46006</v>
      </c>
      <c r="V797" s="308"/>
      <c r="W797" s="315">
        <f t="shared" si="77"/>
        <v>4</v>
      </c>
      <c r="X797" s="310" t="s">
        <v>54</v>
      </c>
      <c r="Y797" s="310" t="s">
        <v>56</v>
      </c>
      <c r="Z797" s="316"/>
      <c r="AA797" s="316" t="s">
        <v>2591</v>
      </c>
      <c r="AB797" s="316" t="s">
        <v>2591</v>
      </c>
    </row>
    <row r="798" spans="1:28" x14ac:dyDescent="0.25">
      <c r="A798" s="307">
        <f t="shared" si="73"/>
        <v>792</v>
      </c>
      <c r="B798" s="308">
        <v>46002</v>
      </c>
      <c r="C798" s="309">
        <f t="shared" si="74"/>
        <v>45992</v>
      </c>
      <c r="D798" s="310" t="s">
        <v>51</v>
      </c>
      <c r="E798" s="310" t="s">
        <v>2588</v>
      </c>
      <c r="F798" s="311">
        <v>9126864455</v>
      </c>
      <c r="G798" s="316" t="s">
        <v>6</v>
      </c>
      <c r="H798" s="316" t="s">
        <v>1874</v>
      </c>
      <c r="I798" s="316" t="s">
        <v>2635</v>
      </c>
      <c r="J798" s="310" t="s">
        <v>172</v>
      </c>
      <c r="K798" s="312">
        <v>31750</v>
      </c>
      <c r="L798" s="312">
        <v>40320</v>
      </c>
      <c r="M798" s="313">
        <f t="shared" si="75"/>
        <v>8570</v>
      </c>
      <c r="N798" s="314">
        <f t="shared" si="76"/>
        <v>0.212549603174603</v>
      </c>
      <c r="O798" s="312">
        <v>31750</v>
      </c>
      <c r="P798" s="313">
        <f t="shared" si="72"/>
        <v>0</v>
      </c>
      <c r="Q798" s="310" t="s">
        <v>147</v>
      </c>
      <c r="R798" s="310">
        <v>390</v>
      </c>
      <c r="S798" s="310"/>
      <c r="T798" s="308">
        <v>46006</v>
      </c>
      <c r="U798" s="308">
        <v>46006</v>
      </c>
      <c r="V798" s="308"/>
      <c r="W798" s="315">
        <f t="shared" si="77"/>
        <v>4</v>
      </c>
      <c r="X798" s="310" t="s">
        <v>54</v>
      </c>
      <c r="Y798" s="310" t="s">
        <v>439</v>
      </c>
      <c r="Z798" s="316"/>
      <c r="AA798" s="316" t="s">
        <v>2591</v>
      </c>
      <c r="AB798" s="316" t="s">
        <v>2591</v>
      </c>
    </row>
    <row r="799" spans="1:28" x14ac:dyDescent="0.25">
      <c r="A799" s="307">
        <f t="shared" si="73"/>
        <v>793</v>
      </c>
      <c r="B799" s="308">
        <v>46003</v>
      </c>
      <c r="C799" s="309">
        <f t="shared" si="74"/>
        <v>45992</v>
      </c>
      <c r="D799" s="310" t="s">
        <v>56</v>
      </c>
      <c r="E799" s="310" t="s">
        <v>38</v>
      </c>
      <c r="F799" s="311">
        <v>9793531306</v>
      </c>
      <c r="G799" s="316" t="s">
        <v>1093</v>
      </c>
      <c r="H799" s="316" t="s">
        <v>2630</v>
      </c>
      <c r="I799" s="316" t="s">
        <v>6</v>
      </c>
      <c r="J799" s="310" t="s">
        <v>59</v>
      </c>
      <c r="K799" s="312">
        <v>40480</v>
      </c>
      <c r="L799" s="312">
        <v>91350</v>
      </c>
      <c r="M799" s="313">
        <f t="shared" si="75"/>
        <v>50870</v>
      </c>
      <c r="N799" s="314">
        <f t="shared" si="76"/>
        <v>0.556869184455391</v>
      </c>
      <c r="O799" s="312">
        <v>40480</v>
      </c>
      <c r="P799" s="313">
        <f t="shared" si="72"/>
        <v>0</v>
      </c>
      <c r="Q799" s="310" t="s">
        <v>147</v>
      </c>
      <c r="R799" s="310">
        <v>391</v>
      </c>
      <c r="S799" s="310"/>
      <c r="T799" s="308">
        <v>46005</v>
      </c>
      <c r="U799" s="308">
        <v>46006</v>
      </c>
      <c r="V799" s="308"/>
      <c r="W799" s="315">
        <f t="shared" si="77"/>
        <v>3</v>
      </c>
      <c r="X799" s="310" t="s">
        <v>54</v>
      </c>
      <c r="Y799" s="310" t="s">
        <v>56</v>
      </c>
      <c r="Z799" s="316"/>
      <c r="AA799" s="316" t="s">
        <v>2592</v>
      </c>
      <c r="AB799" s="316" t="s">
        <v>2591</v>
      </c>
    </row>
    <row r="800" spans="1:28" x14ac:dyDescent="0.25">
      <c r="A800" s="307">
        <f t="shared" si="73"/>
        <v>794</v>
      </c>
      <c r="B800" s="308">
        <v>46004</v>
      </c>
      <c r="C800" s="309">
        <f t="shared" si="74"/>
        <v>45992</v>
      </c>
      <c r="D800" s="310" t="s">
        <v>51</v>
      </c>
      <c r="E800" s="310" t="s">
        <v>2589</v>
      </c>
      <c r="F800" s="311">
        <v>9348294554</v>
      </c>
      <c r="G800" s="316" t="s">
        <v>1093</v>
      </c>
      <c r="H800" s="316" t="s">
        <v>2657</v>
      </c>
      <c r="I800" s="316" t="s">
        <v>6</v>
      </c>
      <c r="J800" s="310" t="s">
        <v>172</v>
      </c>
      <c r="K800" s="312">
        <v>66670</v>
      </c>
      <c r="L800" s="312">
        <v>96390</v>
      </c>
      <c r="M800" s="313">
        <f t="shared" si="75"/>
        <v>29720</v>
      </c>
      <c r="N800" s="314">
        <f t="shared" si="76"/>
        <v>0.308330739703289</v>
      </c>
      <c r="O800" s="312">
        <v>66670</v>
      </c>
      <c r="P800" s="313">
        <f t="shared" si="72"/>
        <v>0</v>
      </c>
      <c r="Q800" s="310" t="s">
        <v>147</v>
      </c>
      <c r="R800" s="310">
        <v>392</v>
      </c>
      <c r="S800" s="310"/>
      <c r="T800" s="308">
        <v>46007</v>
      </c>
      <c r="U800" s="308">
        <v>46007</v>
      </c>
      <c r="V800" s="308"/>
      <c r="W800" s="315">
        <f t="shared" si="77"/>
        <v>3</v>
      </c>
      <c r="X800" s="310" t="s">
        <v>54</v>
      </c>
      <c r="Y800" s="310" t="s">
        <v>439</v>
      </c>
      <c r="Z800" s="316"/>
      <c r="AA800" s="316" t="s">
        <v>2595</v>
      </c>
      <c r="AB800" s="316" t="s">
        <v>2595</v>
      </c>
    </row>
    <row r="801" spans="1:28" x14ac:dyDescent="0.25">
      <c r="A801" s="307">
        <f t="shared" si="73"/>
        <v>795</v>
      </c>
      <c r="B801" s="308">
        <v>46004</v>
      </c>
      <c r="C801" s="309">
        <f t="shared" si="74"/>
        <v>45992</v>
      </c>
      <c r="D801" s="310" t="s">
        <v>56</v>
      </c>
      <c r="E801" s="310" t="s">
        <v>1644</v>
      </c>
      <c r="F801" s="311">
        <v>9902798068</v>
      </c>
      <c r="G801" s="316" t="s">
        <v>6</v>
      </c>
      <c r="H801" s="316" t="s">
        <v>2636</v>
      </c>
      <c r="I801" s="316" t="s">
        <v>2637</v>
      </c>
      <c r="J801" s="310" t="s">
        <v>172</v>
      </c>
      <c r="K801" s="312">
        <v>33770</v>
      </c>
      <c r="L801" s="312">
        <v>46620</v>
      </c>
      <c r="M801" s="313">
        <f t="shared" si="75"/>
        <v>12850</v>
      </c>
      <c r="N801" s="314">
        <f t="shared" si="76"/>
        <v>0.275632775632776</v>
      </c>
      <c r="O801" s="312">
        <v>33770</v>
      </c>
      <c r="P801" s="313">
        <f t="shared" si="72"/>
        <v>0</v>
      </c>
      <c r="Q801" s="310" t="s">
        <v>147</v>
      </c>
      <c r="R801" s="310">
        <v>393</v>
      </c>
      <c r="S801" s="310"/>
      <c r="T801" s="308">
        <v>46006</v>
      </c>
      <c r="U801" s="308">
        <v>46006</v>
      </c>
      <c r="V801" s="308"/>
      <c r="W801" s="315">
        <f t="shared" si="77"/>
        <v>2</v>
      </c>
      <c r="X801" s="310" t="s">
        <v>54</v>
      </c>
      <c r="Y801" s="310" t="s">
        <v>56</v>
      </c>
      <c r="Z801" s="316"/>
      <c r="AA801" s="316" t="s">
        <v>2591</v>
      </c>
      <c r="AB801" s="316" t="s">
        <v>2591</v>
      </c>
    </row>
    <row r="802" spans="1:28" x14ac:dyDescent="0.25">
      <c r="A802" s="307">
        <f t="shared" si="73"/>
        <v>796</v>
      </c>
      <c r="B802" s="308">
        <v>46004</v>
      </c>
      <c r="C802" s="309">
        <f t="shared" si="74"/>
        <v>45992</v>
      </c>
      <c r="D802" s="310" t="s">
        <v>56</v>
      </c>
      <c r="E802" s="310" t="s">
        <v>1635</v>
      </c>
      <c r="F802" s="311">
        <v>9472230553</v>
      </c>
      <c r="G802" s="316" t="s">
        <v>6</v>
      </c>
      <c r="H802" s="316" t="s">
        <v>1874</v>
      </c>
      <c r="I802" s="316" t="s">
        <v>2638</v>
      </c>
      <c r="J802" s="310" t="s">
        <v>172</v>
      </c>
      <c r="K802" s="312">
        <v>32820</v>
      </c>
      <c r="L802" s="312">
        <v>40320</v>
      </c>
      <c r="M802" s="313">
        <f t="shared" si="75"/>
        <v>7500</v>
      </c>
      <c r="N802" s="314">
        <f t="shared" si="76"/>
        <v>0.186011904761905</v>
      </c>
      <c r="O802" s="312">
        <v>32820</v>
      </c>
      <c r="P802" s="313">
        <f t="shared" si="72"/>
        <v>0</v>
      </c>
      <c r="Q802" s="310" t="s">
        <v>147</v>
      </c>
      <c r="R802" s="310">
        <v>394</v>
      </c>
      <c r="S802" s="310"/>
      <c r="T802" s="308">
        <v>46006</v>
      </c>
      <c r="U802" s="308">
        <v>46006</v>
      </c>
      <c r="V802" s="308"/>
      <c r="W802" s="315">
        <f t="shared" si="77"/>
        <v>2</v>
      </c>
      <c r="X802" s="310" t="s">
        <v>54</v>
      </c>
      <c r="Y802" s="310" t="s">
        <v>56</v>
      </c>
      <c r="Z802" s="316"/>
      <c r="AA802" s="316" t="s">
        <v>2591</v>
      </c>
      <c r="AB802" s="316" t="s">
        <v>2591</v>
      </c>
    </row>
    <row r="803" spans="1:28" x14ac:dyDescent="0.25">
      <c r="A803" s="307">
        <f t="shared" si="73"/>
        <v>797</v>
      </c>
      <c r="B803" s="308">
        <v>46006</v>
      </c>
      <c r="C803" s="309">
        <f t="shared" si="74"/>
        <v>45992</v>
      </c>
      <c r="D803" s="310" t="s">
        <v>56</v>
      </c>
      <c r="E803" s="310" t="s">
        <v>1637</v>
      </c>
      <c r="F803" s="311">
        <v>9025368773</v>
      </c>
      <c r="G803" s="316" t="s">
        <v>6</v>
      </c>
      <c r="H803" s="316" t="s">
        <v>1874</v>
      </c>
      <c r="I803" s="316" t="s">
        <v>2639</v>
      </c>
      <c r="J803" s="310" t="s">
        <v>172</v>
      </c>
      <c r="K803" s="312">
        <v>32820</v>
      </c>
      <c r="L803" s="312">
        <v>40320</v>
      </c>
      <c r="M803" s="313">
        <f t="shared" si="75"/>
        <v>7500</v>
      </c>
      <c r="N803" s="314">
        <f t="shared" si="76"/>
        <v>0.186011904761905</v>
      </c>
      <c r="O803" s="312">
        <v>32820</v>
      </c>
      <c r="P803" s="313">
        <f t="shared" si="72"/>
        <v>0</v>
      </c>
      <c r="Q803" s="310" t="s">
        <v>147</v>
      </c>
      <c r="R803" s="310">
        <v>395</v>
      </c>
      <c r="S803" s="310"/>
      <c r="T803" s="308">
        <v>46009</v>
      </c>
      <c r="U803" s="308">
        <v>46009</v>
      </c>
      <c r="V803" s="308"/>
      <c r="W803" s="315">
        <f t="shared" si="77"/>
        <v>3</v>
      </c>
      <c r="X803" s="310" t="s">
        <v>54</v>
      </c>
      <c r="Y803" s="310" t="s">
        <v>56</v>
      </c>
      <c r="Z803" s="316"/>
      <c r="AA803" s="316" t="s">
        <v>2596</v>
      </c>
      <c r="AB803" s="316" t="s">
        <v>2596</v>
      </c>
    </row>
    <row r="804" spans="1:28" x14ac:dyDescent="0.25">
      <c r="A804" s="307">
        <f t="shared" si="73"/>
        <v>798</v>
      </c>
      <c r="B804" s="308">
        <v>46007</v>
      </c>
      <c r="C804" s="309">
        <f t="shared" si="74"/>
        <v>45992</v>
      </c>
      <c r="D804" s="310" t="s">
        <v>56</v>
      </c>
      <c r="E804" s="310" t="s">
        <v>1641</v>
      </c>
      <c r="F804" s="311">
        <v>9793531306</v>
      </c>
      <c r="G804" s="316" t="s">
        <v>6</v>
      </c>
      <c r="H804" s="316" t="s">
        <v>2640</v>
      </c>
      <c r="I804" s="316" t="s">
        <v>2641</v>
      </c>
      <c r="J804" s="310" t="s">
        <v>172</v>
      </c>
      <c r="K804" s="312">
        <v>33770</v>
      </c>
      <c r="L804" s="312">
        <v>46620</v>
      </c>
      <c r="M804" s="313">
        <f t="shared" si="75"/>
        <v>12850</v>
      </c>
      <c r="N804" s="314">
        <f t="shared" si="76"/>
        <v>0.275632775632776</v>
      </c>
      <c r="O804" s="312">
        <v>33770</v>
      </c>
      <c r="P804" s="313">
        <f t="shared" si="72"/>
        <v>0</v>
      </c>
      <c r="Q804" s="310" t="s">
        <v>147</v>
      </c>
      <c r="R804" s="310">
        <v>396</v>
      </c>
      <c r="S804" s="310"/>
      <c r="T804" s="308">
        <v>46010</v>
      </c>
      <c r="U804" s="308">
        <v>46010</v>
      </c>
      <c r="V804" s="308"/>
      <c r="W804" s="315">
        <f t="shared" si="77"/>
        <v>3</v>
      </c>
      <c r="X804" s="310" t="s">
        <v>54</v>
      </c>
      <c r="Y804" s="310" t="s">
        <v>56</v>
      </c>
      <c r="Z804" s="316"/>
      <c r="AA804" s="316" t="s">
        <v>2597</v>
      </c>
      <c r="AB804" s="316" t="s">
        <v>2597</v>
      </c>
    </row>
    <row r="805" spans="1:28" x14ac:dyDescent="0.25">
      <c r="A805" s="307">
        <f t="shared" si="73"/>
        <v>799</v>
      </c>
      <c r="B805" s="308">
        <v>46007</v>
      </c>
      <c r="C805" s="309">
        <f t="shared" si="74"/>
        <v>45992</v>
      </c>
      <c r="D805" s="310" t="s">
        <v>56</v>
      </c>
      <c r="E805" s="310" t="s">
        <v>38</v>
      </c>
      <c r="F805" s="311">
        <v>9515412075</v>
      </c>
      <c r="G805" s="316" t="s">
        <v>6</v>
      </c>
      <c r="H805" s="316" t="s">
        <v>1874</v>
      </c>
      <c r="I805" s="316" t="s">
        <v>2642</v>
      </c>
      <c r="J805" s="310" t="s">
        <v>172</v>
      </c>
      <c r="K805" s="312">
        <v>32540</v>
      </c>
      <c r="L805" s="312">
        <v>38430</v>
      </c>
      <c r="M805" s="313">
        <f t="shared" si="75"/>
        <v>5890</v>
      </c>
      <c r="N805" s="314">
        <f t="shared" si="76"/>
        <v>0.153265677855842</v>
      </c>
      <c r="O805" s="312">
        <v>32540</v>
      </c>
      <c r="P805" s="313">
        <f t="shared" si="72"/>
        <v>0</v>
      </c>
      <c r="Q805" s="310" t="s">
        <v>147</v>
      </c>
      <c r="R805" s="310">
        <v>397</v>
      </c>
      <c r="S805" s="310"/>
      <c r="T805" s="308">
        <v>46010</v>
      </c>
      <c r="U805" s="308">
        <v>46010</v>
      </c>
      <c r="V805" s="308"/>
      <c r="W805" s="315">
        <f t="shared" si="77"/>
        <v>3</v>
      </c>
      <c r="X805" s="310" t="s">
        <v>54</v>
      </c>
      <c r="Y805" s="310" t="s">
        <v>56</v>
      </c>
      <c r="Z805" s="316"/>
      <c r="AA805" s="316" t="s">
        <v>2597</v>
      </c>
      <c r="AB805" s="316" t="s">
        <v>2597</v>
      </c>
    </row>
    <row r="806" spans="1:28" x14ac:dyDescent="0.25">
      <c r="A806" s="307">
        <f t="shared" si="73"/>
        <v>800</v>
      </c>
      <c r="B806" s="308">
        <v>46007</v>
      </c>
      <c r="C806" s="309">
        <f t="shared" si="74"/>
        <v>45992</v>
      </c>
      <c r="D806" s="310" t="s">
        <v>56</v>
      </c>
      <c r="E806" s="310" t="s">
        <v>60</v>
      </c>
      <c r="F806" s="311">
        <v>9589264337</v>
      </c>
      <c r="G806" s="316" t="s">
        <v>1093</v>
      </c>
      <c r="H806" s="316" t="s">
        <v>2621</v>
      </c>
      <c r="I806" s="316" t="s">
        <v>6</v>
      </c>
      <c r="J806" s="310" t="s">
        <v>172</v>
      </c>
      <c r="K806" s="312">
        <v>43120</v>
      </c>
      <c r="L806" s="312">
        <v>108990</v>
      </c>
      <c r="M806" s="313">
        <f t="shared" si="75"/>
        <v>65870</v>
      </c>
      <c r="N806" s="314">
        <f t="shared" si="76"/>
        <v>0.6043673731535</v>
      </c>
      <c r="O806" s="312">
        <v>43120</v>
      </c>
      <c r="P806" s="313">
        <f t="shared" si="72"/>
        <v>0</v>
      </c>
      <c r="Q806" s="310" t="s">
        <v>147</v>
      </c>
      <c r="R806" s="310">
        <v>398</v>
      </c>
      <c r="S806" s="310"/>
      <c r="T806" s="308">
        <v>46010</v>
      </c>
      <c r="U806" s="308">
        <v>46010</v>
      </c>
      <c r="V806" s="308"/>
      <c r="W806" s="315">
        <f t="shared" si="77"/>
        <v>3</v>
      </c>
      <c r="X806" s="310" t="s">
        <v>54</v>
      </c>
      <c r="Y806" s="310" t="s">
        <v>56</v>
      </c>
      <c r="Z806" s="316"/>
      <c r="AA806" s="316" t="s">
        <v>2597</v>
      </c>
      <c r="AB806" s="316" t="s">
        <v>2597</v>
      </c>
    </row>
    <row r="807" spans="1:28" x14ac:dyDescent="0.25">
      <c r="A807" s="307">
        <f t="shared" si="73"/>
        <v>801</v>
      </c>
      <c r="B807" s="308">
        <v>46009</v>
      </c>
      <c r="C807" s="309">
        <f t="shared" si="74"/>
        <v>45992</v>
      </c>
      <c r="D807" s="310" t="s">
        <v>56</v>
      </c>
      <c r="E807" s="310" t="s">
        <v>1635</v>
      </c>
      <c r="F807" s="311">
        <v>9220186371</v>
      </c>
      <c r="G807" s="316" t="s">
        <v>1093</v>
      </c>
      <c r="H807" s="316" t="s">
        <v>2627</v>
      </c>
      <c r="I807" s="316" t="s">
        <v>6</v>
      </c>
      <c r="J807" s="310" t="s">
        <v>172</v>
      </c>
      <c r="K807" s="312">
        <v>42180</v>
      </c>
      <c r="L807" s="312">
        <v>102690</v>
      </c>
      <c r="M807" s="313">
        <f t="shared" si="75"/>
        <v>60510</v>
      </c>
      <c r="N807" s="314">
        <f t="shared" si="76"/>
        <v>0.58924919661116</v>
      </c>
      <c r="O807" s="312">
        <v>42180</v>
      </c>
      <c r="P807" s="313">
        <f t="shared" si="72"/>
        <v>0</v>
      </c>
      <c r="Q807" s="310" t="s">
        <v>147</v>
      </c>
      <c r="R807" s="310">
        <v>399</v>
      </c>
      <c r="S807" s="310"/>
      <c r="T807" s="308">
        <v>46011</v>
      </c>
      <c r="U807" s="308">
        <v>46011</v>
      </c>
      <c r="V807" s="308"/>
      <c r="W807" s="315">
        <f t="shared" si="77"/>
        <v>2</v>
      </c>
      <c r="X807" s="310" t="s">
        <v>54</v>
      </c>
      <c r="Y807" s="310" t="s">
        <v>56</v>
      </c>
      <c r="Z807" s="316"/>
      <c r="AA807" s="316" t="s">
        <v>2598</v>
      </c>
      <c r="AB807" s="316" t="s">
        <v>2598</v>
      </c>
    </row>
    <row r="808" spans="1:28" x14ac:dyDescent="0.25">
      <c r="A808" s="307">
        <f t="shared" si="73"/>
        <v>802</v>
      </c>
      <c r="B808" s="308">
        <v>46009</v>
      </c>
      <c r="C808" s="309">
        <f t="shared" si="74"/>
        <v>45992</v>
      </c>
      <c r="D808" s="310" t="s">
        <v>51</v>
      </c>
      <c r="E808" s="310" t="s">
        <v>2589</v>
      </c>
      <c r="F808" s="311">
        <v>9348294554</v>
      </c>
      <c r="G808" s="316" t="s">
        <v>6</v>
      </c>
      <c r="H808" s="316" t="s">
        <v>2643</v>
      </c>
      <c r="I808" s="316" t="s">
        <v>2644</v>
      </c>
      <c r="J808" s="310" t="s">
        <v>172</v>
      </c>
      <c r="K808" s="312">
        <v>33230</v>
      </c>
      <c r="L808" s="312">
        <v>46620</v>
      </c>
      <c r="M808" s="313">
        <f t="shared" si="75"/>
        <v>13390</v>
      </c>
      <c r="N808" s="314">
        <f t="shared" si="76"/>
        <v>0.287215787215787</v>
      </c>
      <c r="O808" s="312">
        <v>33230</v>
      </c>
      <c r="P808" s="313">
        <f t="shared" si="72"/>
        <v>0</v>
      </c>
      <c r="Q808" s="310" t="s">
        <v>147</v>
      </c>
      <c r="R808" s="310">
        <v>400</v>
      </c>
      <c r="S808" s="310"/>
      <c r="T808" s="308">
        <v>46013</v>
      </c>
      <c r="U808" s="308">
        <v>46013</v>
      </c>
      <c r="V808" s="308"/>
      <c r="W808" s="315">
        <f t="shared" si="77"/>
        <v>4</v>
      </c>
      <c r="X808" s="310" t="s">
        <v>54</v>
      </c>
      <c r="Y808" s="310" t="s">
        <v>439</v>
      </c>
      <c r="Z808" s="316"/>
      <c r="AA808" s="316" t="s">
        <v>2599</v>
      </c>
      <c r="AB808" s="316" t="s">
        <v>2599</v>
      </c>
    </row>
    <row r="809" spans="1:28" x14ac:dyDescent="0.25">
      <c r="A809" s="307">
        <f t="shared" si="73"/>
        <v>803</v>
      </c>
      <c r="B809" s="308">
        <v>46010</v>
      </c>
      <c r="C809" s="309">
        <f t="shared" si="74"/>
        <v>45992</v>
      </c>
      <c r="D809" s="310" t="s">
        <v>56</v>
      </c>
      <c r="E809" s="310" t="s">
        <v>1637</v>
      </c>
      <c r="F809" s="311">
        <v>9842431449</v>
      </c>
      <c r="G809" s="316" t="s">
        <v>1093</v>
      </c>
      <c r="H809" s="316" t="s">
        <v>2624</v>
      </c>
      <c r="I809" s="316" t="s">
        <v>6</v>
      </c>
      <c r="J809" s="310" t="s">
        <v>172</v>
      </c>
      <c r="K809" s="312">
        <v>41230</v>
      </c>
      <c r="L809" s="312">
        <v>96390</v>
      </c>
      <c r="M809" s="313">
        <f t="shared" si="75"/>
        <v>55160</v>
      </c>
      <c r="N809" s="314">
        <f t="shared" si="76"/>
        <v>0.572258533042847</v>
      </c>
      <c r="O809" s="312">
        <v>41230</v>
      </c>
      <c r="P809" s="313">
        <f t="shared" si="72"/>
        <v>0</v>
      </c>
      <c r="Q809" s="310" t="s">
        <v>147</v>
      </c>
      <c r="R809" s="310">
        <v>401</v>
      </c>
      <c r="S809" s="310"/>
      <c r="T809" s="308">
        <v>46013</v>
      </c>
      <c r="U809" s="308">
        <v>46013</v>
      </c>
      <c r="V809" s="308"/>
      <c r="W809" s="315">
        <f t="shared" si="77"/>
        <v>3</v>
      </c>
      <c r="X809" s="310" t="s">
        <v>54</v>
      </c>
      <c r="Y809" s="310" t="s">
        <v>56</v>
      </c>
      <c r="Z809" s="316"/>
      <c r="AA809" s="316" t="s">
        <v>2599</v>
      </c>
      <c r="AB809" s="316" t="s">
        <v>2599</v>
      </c>
    </row>
    <row r="810" spans="1:28" x14ac:dyDescent="0.25">
      <c r="A810" s="307">
        <f t="shared" si="73"/>
        <v>804</v>
      </c>
      <c r="B810" s="308">
        <v>46011</v>
      </c>
      <c r="C810" s="309">
        <f t="shared" si="74"/>
        <v>45992</v>
      </c>
      <c r="D810" s="310" t="s">
        <v>56</v>
      </c>
      <c r="E810" s="310" t="s">
        <v>38</v>
      </c>
      <c r="F810" s="311">
        <v>9793531306</v>
      </c>
      <c r="G810" s="316" t="s">
        <v>1093</v>
      </c>
      <c r="H810" s="316" t="s">
        <v>2631</v>
      </c>
      <c r="I810" s="316" t="s">
        <v>6</v>
      </c>
      <c r="J810" s="310" t="s">
        <v>59</v>
      </c>
      <c r="K810" s="312">
        <v>40480</v>
      </c>
      <c r="L810" s="312">
        <v>91350</v>
      </c>
      <c r="M810" s="313">
        <f t="shared" si="75"/>
        <v>50870</v>
      </c>
      <c r="N810" s="314">
        <f t="shared" si="76"/>
        <v>0.556869184455391</v>
      </c>
      <c r="O810" s="312">
        <v>40480</v>
      </c>
      <c r="P810" s="313">
        <f t="shared" si="72"/>
        <v>0</v>
      </c>
      <c r="Q810" s="310" t="s">
        <v>147</v>
      </c>
      <c r="R810" s="310">
        <v>402</v>
      </c>
      <c r="S810" s="310"/>
      <c r="T810" s="308">
        <v>46014</v>
      </c>
      <c r="U810" s="308">
        <v>46014</v>
      </c>
      <c r="V810" s="308"/>
      <c r="W810" s="315">
        <f t="shared" si="77"/>
        <v>3</v>
      </c>
      <c r="X810" s="310" t="s">
        <v>54</v>
      </c>
      <c r="Y810" s="310" t="s">
        <v>56</v>
      </c>
      <c r="Z810" s="316"/>
      <c r="AA810" s="316" t="s">
        <v>2600</v>
      </c>
      <c r="AB810" s="316" t="s">
        <v>2600</v>
      </c>
    </row>
    <row r="811" spans="1:28" x14ac:dyDescent="0.25">
      <c r="A811" s="307">
        <f t="shared" si="73"/>
        <v>805</v>
      </c>
      <c r="B811" s="308">
        <v>46011</v>
      </c>
      <c r="C811" s="309">
        <f t="shared" si="74"/>
        <v>45992</v>
      </c>
      <c r="D811" s="310" t="s">
        <v>56</v>
      </c>
      <c r="E811" s="310" t="s">
        <v>1644</v>
      </c>
      <c r="F811" s="311">
        <v>9902798068</v>
      </c>
      <c r="G811" s="316" t="s">
        <v>6</v>
      </c>
      <c r="H811" s="316" t="s">
        <v>2645</v>
      </c>
      <c r="I811" s="316" t="s">
        <v>2646</v>
      </c>
      <c r="J811" s="310" t="s">
        <v>172</v>
      </c>
      <c r="K811" s="312">
        <v>33770</v>
      </c>
      <c r="L811" s="312">
        <v>46620</v>
      </c>
      <c r="M811" s="313">
        <f t="shared" si="75"/>
        <v>12850</v>
      </c>
      <c r="N811" s="314">
        <f t="shared" si="76"/>
        <v>0.275632775632776</v>
      </c>
      <c r="O811" s="312">
        <v>33770</v>
      </c>
      <c r="P811" s="313">
        <f t="shared" si="72"/>
        <v>0</v>
      </c>
      <c r="Q811" s="310" t="s">
        <v>147</v>
      </c>
      <c r="R811" s="310">
        <v>403</v>
      </c>
      <c r="S811" s="310"/>
      <c r="T811" s="308">
        <v>46014</v>
      </c>
      <c r="U811" s="308">
        <v>46014</v>
      </c>
      <c r="V811" s="308"/>
      <c r="W811" s="315">
        <f t="shared" si="77"/>
        <v>3</v>
      </c>
      <c r="X811" s="310" t="s">
        <v>54</v>
      </c>
      <c r="Y811" s="310" t="s">
        <v>56</v>
      </c>
      <c r="Z811" s="316"/>
      <c r="AA811" s="316" t="s">
        <v>2600</v>
      </c>
      <c r="AB811" s="316" t="s">
        <v>2600</v>
      </c>
    </row>
    <row r="812" spans="1:28" x14ac:dyDescent="0.25">
      <c r="A812" s="307">
        <f t="shared" si="73"/>
        <v>806</v>
      </c>
      <c r="B812" s="308">
        <v>46012</v>
      </c>
      <c r="C812" s="309">
        <f t="shared" si="74"/>
        <v>45992</v>
      </c>
      <c r="D812" s="310" t="s">
        <v>51</v>
      </c>
      <c r="E812" s="310" t="s">
        <v>2594</v>
      </c>
      <c r="F812" s="311">
        <v>9741103980</v>
      </c>
      <c r="G812" s="316" t="s">
        <v>6</v>
      </c>
      <c r="H812" s="316" t="s">
        <v>1874</v>
      </c>
      <c r="I812" s="316" t="s">
        <v>2647</v>
      </c>
      <c r="J812" s="310" t="s">
        <v>623</v>
      </c>
      <c r="K812" s="312">
        <v>25690</v>
      </c>
      <c r="L812" s="312">
        <v>35600</v>
      </c>
      <c r="M812" s="313">
        <f t="shared" si="75"/>
        <v>9910</v>
      </c>
      <c r="N812" s="314">
        <f t="shared" si="76"/>
        <v>0.278370786516854</v>
      </c>
      <c r="O812" s="312">
        <v>25690</v>
      </c>
      <c r="P812" s="313">
        <f t="shared" si="72"/>
        <v>0</v>
      </c>
      <c r="Q812" s="310" t="s">
        <v>147</v>
      </c>
      <c r="R812" s="310">
        <v>404</v>
      </c>
      <c r="S812" s="310"/>
      <c r="T812" s="308">
        <v>46016</v>
      </c>
      <c r="U812" s="308">
        <v>46016</v>
      </c>
      <c r="V812" s="308"/>
      <c r="W812" s="315">
        <f t="shared" si="77"/>
        <v>4</v>
      </c>
      <c r="X812" s="310" t="s">
        <v>54</v>
      </c>
      <c r="Y812" s="310" t="s">
        <v>439</v>
      </c>
      <c r="Z812" s="316"/>
      <c r="AA812" s="316" t="s">
        <v>2601</v>
      </c>
      <c r="AB812" s="316" t="s">
        <v>2601</v>
      </c>
    </row>
    <row r="813" spans="1:28" x14ac:dyDescent="0.25">
      <c r="A813" s="307">
        <f t="shared" si="73"/>
        <v>807</v>
      </c>
      <c r="B813" s="308">
        <v>46014</v>
      </c>
      <c r="C813" s="309">
        <f t="shared" si="74"/>
        <v>45992</v>
      </c>
      <c r="D813" s="310" t="s">
        <v>56</v>
      </c>
      <c r="E813" s="310" t="s">
        <v>60</v>
      </c>
      <c r="F813" s="311">
        <v>9589264337</v>
      </c>
      <c r="G813" s="316" t="s">
        <v>6</v>
      </c>
      <c r="H813" s="316" t="s">
        <v>1874</v>
      </c>
      <c r="I813" s="316" t="s">
        <v>2648</v>
      </c>
      <c r="J813" s="310" t="s">
        <v>541</v>
      </c>
      <c r="K813" s="312">
        <v>32820</v>
      </c>
      <c r="L813" s="312">
        <v>40320</v>
      </c>
      <c r="M813" s="313">
        <f t="shared" si="75"/>
        <v>7500</v>
      </c>
      <c r="N813" s="314">
        <f t="shared" si="76"/>
        <v>0.186011904761905</v>
      </c>
      <c r="O813" s="312">
        <v>32820</v>
      </c>
      <c r="P813" s="313">
        <f t="shared" si="72"/>
        <v>0</v>
      </c>
      <c r="Q813" s="310" t="s">
        <v>147</v>
      </c>
      <c r="R813" s="310">
        <v>405</v>
      </c>
      <c r="S813" s="310"/>
      <c r="T813" s="308">
        <v>46017</v>
      </c>
      <c r="U813" s="308">
        <v>46017</v>
      </c>
      <c r="V813" s="308"/>
      <c r="W813" s="315">
        <f t="shared" si="77"/>
        <v>3</v>
      </c>
      <c r="X813" s="310" t="s">
        <v>54</v>
      </c>
      <c r="Y813" s="310" t="s">
        <v>56</v>
      </c>
      <c r="Z813" s="316"/>
      <c r="AA813" s="316" t="s">
        <v>2617</v>
      </c>
      <c r="AB813" s="316" t="s">
        <v>2617</v>
      </c>
    </row>
    <row r="814" spans="1:28" x14ac:dyDescent="0.25">
      <c r="A814" s="307">
        <f t="shared" si="73"/>
        <v>808</v>
      </c>
      <c r="B814" s="308">
        <v>46015</v>
      </c>
      <c r="C814" s="309">
        <f t="shared" si="74"/>
        <v>45992</v>
      </c>
      <c r="D814" s="310" t="s">
        <v>56</v>
      </c>
      <c r="E814" s="310" t="s">
        <v>1635</v>
      </c>
      <c r="F814" s="311">
        <v>9472230553</v>
      </c>
      <c r="G814" s="316" t="s">
        <v>6</v>
      </c>
      <c r="H814" s="316" t="s">
        <v>1874</v>
      </c>
      <c r="I814" s="316" t="s">
        <v>2649</v>
      </c>
      <c r="J814" s="310" t="s">
        <v>172</v>
      </c>
      <c r="K814" s="312">
        <v>32820</v>
      </c>
      <c r="L814" s="312">
        <v>40320</v>
      </c>
      <c r="M814" s="313">
        <f t="shared" si="75"/>
        <v>7500</v>
      </c>
      <c r="N814" s="314">
        <f t="shared" si="76"/>
        <v>0.186011904761905</v>
      </c>
      <c r="O814" s="312">
        <v>32820</v>
      </c>
      <c r="P814" s="313">
        <f t="shared" si="72"/>
        <v>0</v>
      </c>
      <c r="Q814" s="310" t="s">
        <v>147</v>
      </c>
      <c r="R814" s="310">
        <v>406</v>
      </c>
      <c r="S814" s="310"/>
      <c r="T814" s="308">
        <v>46018</v>
      </c>
      <c r="U814" s="308">
        <v>46018</v>
      </c>
      <c r="V814" s="308"/>
      <c r="W814" s="315">
        <f t="shared" si="77"/>
        <v>3</v>
      </c>
      <c r="X814" s="310" t="s">
        <v>54</v>
      </c>
      <c r="Y814" s="310" t="s">
        <v>56</v>
      </c>
      <c r="Z814" s="316"/>
      <c r="AA814" s="316" t="s">
        <v>2618</v>
      </c>
      <c r="AB814" s="316" t="s">
        <v>2618</v>
      </c>
    </row>
    <row r="815" spans="1:28" x14ac:dyDescent="0.25">
      <c r="A815" s="307">
        <f t="shared" si="73"/>
        <v>809</v>
      </c>
      <c r="B815" s="308">
        <v>46016</v>
      </c>
      <c r="C815" s="309">
        <f t="shared" si="74"/>
        <v>45992</v>
      </c>
      <c r="D815" s="310" t="s">
        <v>56</v>
      </c>
      <c r="E815" s="310" t="s">
        <v>1644</v>
      </c>
      <c r="F815" s="311">
        <v>9793531306</v>
      </c>
      <c r="G815" s="316" t="s">
        <v>1093</v>
      </c>
      <c r="H815" s="316" t="s">
        <v>2626</v>
      </c>
      <c r="I815" s="316" t="s">
        <v>6</v>
      </c>
      <c r="J815" s="310" t="s">
        <v>172</v>
      </c>
      <c r="K815" s="312">
        <v>42180</v>
      </c>
      <c r="L815" s="312">
        <v>102690</v>
      </c>
      <c r="M815" s="313">
        <f t="shared" si="75"/>
        <v>60510</v>
      </c>
      <c r="N815" s="314">
        <f t="shared" si="76"/>
        <v>0.58924919661116</v>
      </c>
      <c r="O815" s="312">
        <v>42180</v>
      </c>
      <c r="P815" s="313">
        <f t="shared" si="72"/>
        <v>0</v>
      </c>
      <c r="Q815" s="310" t="s">
        <v>147</v>
      </c>
      <c r="R815" s="310">
        <v>407</v>
      </c>
      <c r="S815" s="310"/>
      <c r="T815" s="308">
        <v>46019</v>
      </c>
      <c r="U815" s="308">
        <v>46019</v>
      </c>
      <c r="V815" s="308"/>
      <c r="W815" s="315">
        <f t="shared" si="77"/>
        <v>3</v>
      </c>
      <c r="X815" s="310" t="s">
        <v>54</v>
      </c>
      <c r="Y815" s="310" t="s">
        <v>56</v>
      </c>
      <c r="Z815" s="316"/>
      <c r="AA815" s="316" t="s">
        <v>2619</v>
      </c>
      <c r="AB815" s="316" t="s">
        <v>2619</v>
      </c>
    </row>
    <row r="816" spans="1:28" x14ac:dyDescent="0.25">
      <c r="A816" s="307">
        <f t="shared" si="73"/>
        <v>810</v>
      </c>
      <c r="B816" s="308">
        <v>46016</v>
      </c>
      <c r="C816" s="309">
        <f t="shared" si="74"/>
        <v>45992</v>
      </c>
      <c r="D816" s="310" t="s">
        <v>56</v>
      </c>
      <c r="E816" s="310" t="s">
        <v>38</v>
      </c>
      <c r="F816" s="311">
        <v>9515412075</v>
      </c>
      <c r="G816" s="316" t="s">
        <v>6</v>
      </c>
      <c r="H816" s="316" t="s">
        <v>2650</v>
      </c>
      <c r="I816" s="316" t="s">
        <v>2651</v>
      </c>
      <c r="J816" s="310" t="s">
        <v>59</v>
      </c>
      <c r="K816" s="312">
        <v>33480</v>
      </c>
      <c r="L816" s="312">
        <v>44730</v>
      </c>
      <c r="M816" s="313">
        <f t="shared" si="75"/>
        <v>11250</v>
      </c>
      <c r="N816" s="314">
        <f t="shared" si="76"/>
        <v>0.251509054325956</v>
      </c>
      <c r="O816" s="312">
        <v>33480</v>
      </c>
      <c r="P816" s="313">
        <f t="shared" si="72"/>
        <v>0</v>
      </c>
      <c r="Q816" s="310" t="s">
        <v>147</v>
      </c>
      <c r="R816" s="310">
        <v>408</v>
      </c>
      <c r="S816" s="310"/>
      <c r="T816" s="308">
        <v>46019</v>
      </c>
      <c r="U816" s="308">
        <v>46019</v>
      </c>
      <c r="V816" s="308"/>
      <c r="W816" s="315">
        <f t="shared" si="77"/>
        <v>3</v>
      </c>
      <c r="X816" s="310" t="s">
        <v>54</v>
      </c>
      <c r="Y816" s="310" t="s">
        <v>56</v>
      </c>
      <c r="Z816" s="316"/>
      <c r="AA816" s="316" t="s">
        <v>2619</v>
      </c>
      <c r="AB816" s="316" t="s">
        <v>2619</v>
      </c>
    </row>
    <row r="817" spans="1:28" x14ac:dyDescent="0.25">
      <c r="A817" s="307">
        <f t="shared" si="73"/>
        <v>811</v>
      </c>
      <c r="B817" s="308">
        <v>46017</v>
      </c>
      <c r="C817" s="309">
        <f t="shared" si="74"/>
        <v>45992</v>
      </c>
      <c r="D817" s="310" t="s">
        <v>56</v>
      </c>
      <c r="E817" s="310" t="s">
        <v>1637</v>
      </c>
      <c r="F817" s="311">
        <v>9025368773</v>
      </c>
      <c r="G817" s="316" t="s">
        <v>6</v>
      </c>
      <c r="H817" s="316" t="s">
        <v>2652</v>
      </c>
      <c r="I817" s="316" t="s">
        <v>2653</v>
      </c>
      <c r="J817" s="310" t="s">
        <v>172</v>
      </c>
      <c r="K817" s="312">
        <v>33770</v>
      </c>
      <c r="L817" s="312">
        <v>46620</v>
      </c>
      <c r="M817" s="313">
        <f t="shared" si="75"/>
        <v>12850</v>
      </c>
      <c r="N817" s="314">
        <f t="shared" si="76"/>
        <v>0.275632775632776</v>
      </c>
      <c r="O817" s="312">
        <v>33770</v>
      </c>
      <c r="P817" s="313">
        <f t="shared" si="72"/>
        <v>0</v>
      </c>
      <c r="Q817" s="310" t="s">
        <v>147</v>
      </c>
      <c r="R817" s="310">
        <v>409</v>
      </c>
      <c r="S817" s="310"/>
      <c r="T817" s="308">
        <v>46021</v>
      </c>
      <c r="U817" s="308">
        <v>46021</v>
      </c>
      <c r="V817" s="308"/>
      <c r="W817" s="315">
        <f t="shared" si="77"/>
        <v>4</v>
      </c>
      <c r="X817" s="310" t="s">
        <v>54</v>
      </c>
      <c r="Y817" s="310" t="s">
        <v>56</v>
      </c>
      <c r="Z817" s="316"/>
      <c r="AA817" s="316" t="s">
        <v>2659</v>
      </c>
      <c r="AB817" s="316" t="s">
        <v>2659</v>
      </c>
    </row>
    <row r="818" spans="1:28" x14ac:dyDescent="0.25">
      <c r="A818" s="307">
        <f t="shared" si="73"/>
        <v>812</v>
      </c>
      <c r="B818" s="308">
        <v>46018</v>
      </c>
      <c r="C818" s="309">
        <f t="shared" si="74"/>
        <v>45992</v>
      </c>
      <c r="D818" s="310" t="s">
        <v>56</v>
      </c>
      <c r="E818" s="310" t="s">
        <v>1641</v>
      </c>
      <c r="F818" s="311">
        <v>9793531306</v>
      </c>
      <c r="G818" s="316" t="s">
        <v>6</v>
      </c>
      <c r="H818" s="316" t="s">
        <v>2654</v>
      </c>
      <c r="I818" s="316" t="s">
        <v>2655</v>
      </c>
      <c r="J818" s="310" t="s">
        <v>172</v>
      </c>
      <c r="K818" s="312">
        <v>33770</v>
      </c>
      <c r="L818" s="312">
        <v>46620</v>
      </c>
      <c r="M818" s="313">
        <f t="shared" si="75"/>
        <v>12850</v>
      </c>
      <c r="N818" s="314">
        <f t="shared" si="76"/>
        <v>0.275632775632776</v>
      </c>
      <c r="O818" s="312">
        <v>33770</v>
      </c>
      <c r="P818" s="313">
        <f t="shared" si="72"/>
        <v>0</v>
      </c>
      <c r="Q818" s="310" t="s">
        <v>147</v>
      </c>
      <c r="R818" s="310">
        <v>410</v>
      </c>
      <c r="S818" s="310"/>
      <c r="T818" s="308">
        <v>46021</v>
      </c>
      <c r="U818" s="308">
        <v>46021</v>
      </c>
      <c r="V818" s="308"/>
      <c r="W818" s="315">
        <f t="shared" si="77"/>
        <v>3</v>
      </c>
      <c r="X818" s="310" t="s">
        <v>54</v>
      </c>
      <c r="Y818" s="310" t="s">
        <v>56</v>
      </c>
      <c r="Z818" s="316"/>
      <c r="AA818" s="316" t="s">
        <v>2659</v>
      </c>
      <c r="AB818" s="316" t="s">
        <v>2659</v>
      </c>
    </row>
    <row r="819" spans="1:28" x14ac:dyDescent="0.25">
      <c r="A819" s="307">
        <f t="shared" si="73"/>
        <v>813</v>
      </c>
      <c r="B819" s="308">
        <v>46018</v>
      </c>
      <c r="C819" s="309">
        <f t="shared" si="74"/>
        <v>45992</v>
      </c>
      <c r="D819" s="310" t="s">
        <v>56</v>
      </c>
      <c r="E819" s="310" t="s">
        <v>60</v>
      </c>
      <c r="F819" s="311">
        <v>9589264337</v>
      </c>
      <c r="G819" s="316" t="s">
        <v>105</v>
      </c>
      <c r="H819" s="316" t="s">
        <v>2622</v>
      </c>
      <c r="I819" s="316" t="s">
        <v>6</v>
      </c>
      <c r="J819" s="310" t="s">
        <v>172</v>
      </c>
      <c r="K819" s="312">
        <v>42180</v>
      </c>
      <c r="L819" s="312">
        <v>102690</v>
      </c>
      <c r="M819" s="313">
        <f t="shared" si="75"/>
        <v>60510</v>
      </c>
      <c r="N819" s="314">
        <f t="shared" si="76"/>
        <v>0.58924919661116</v>
      </c>
      <c r="O819" s="312">
        <v>42180</v>
      </c>
      <c r="P819" s="313">
        <f t="shared" si="72"/>
        <v>0</v>
      </c>
      <c r="Q819" s="310" t="s">
        <v>147</v>
      </c>
      <c r="R819" s="310">
        <v>411</v>
      </c>
      <c r="S819" s="310"/>
      <c r="T819" s="308">
        <v>46021</v>
      </c>
      <c r="U819" s="308">
        <v>46021</v>
      </c>
      <c r="V819" s="308"/>
      <c r="W819" s="315">
        <f t="shared" si="77"/>
        <v>3</v>
      </c>
      <c r="X819" s="310" t="s">
        <v>54</v>
      </c>
      <c r="Y819" s="310" t="s">
        <v>56</v>
      </c>
      <c r="Z819" s="316"/>
      <c r="AA819" s="316" t="s">
        <v>2659</v>
      </c>
      <c r="AB819" s="316" t="s">
        <v>2659</v>
      </c>
    </row>
    <row r="820" spans="1:28" x14ac:dyDescent="0.25">
      <c r="A820" s="307">
        <f t="shared" si="73"/>
        <v>814</v>
      </c>
      <c r="B820" s="308">
        <v>46018</v>
      </c>
      <c r="C820" s="309">
        <f t="shared" si="74"/>
        <v>45992</v>
      </c>
      <c r="D820" s="310" t="s">
        <v>56</v>
      </c>
      <c r="E820" s="310" t="s">
        <v>1635</v>
      </c>
      <c r="F820" s="311">
        <v>9220186371</v>
      </c>
      <c r="G820" s="316" t="s">
        <v>1093</v>
      </c>
      <c r="H820" s="316" t="s">
        <v>2628</v>
      </c>
      <c r="I820" s="316" t="s">
        <v>6</v>
      </c>
      <c r="J820" s="310" t="s">
        <v>172</v>
      </c>
      <c r="K820" s="312">
        <v>41230</v>
      </c>
      <c r="L820" s="312">
        <v>96390</v>
      </c>
      <c r="M820" s="313">
        <f t="shared" si="75"/>
        <v>55160</v>
      </c>
      <c r="N820" s="314">
        <f t="shared" si="76"/>
        <v>0.572258533042847</v>
      </c>
      <c r="O820" s="312">
        <v>41230</v>
      </c>
      <c r="P820" s="313">
        <f t="shared" si="72"/>
        <v>0</v>
      </c>
      <c r="Q820" s="310" t="s">
        <v>147</v>
      </c>
      <c r="R820" s="310">
        <v>412</v>
      </c>
      <c r="S820" s="310"/>
      <c r="T820" s="308">
        <v>46021</v>
      </c>
      <c r="U820" s="308">
        <v>46021</v>
      </c>
      <c r="V820" s="308"/>
      <c r="W820" s="315">
        <f t="shared" si="77"/>
        <v>3</v>
      </c>
      <c r="X820" s="310" t="s">
        <v>54</v>
      </c>
      <c r="Y820" s="310" t="s">
        <v>56</v>
      </c>
      <c r="Z820" s="316"/>
      <c r="AA820" s="316" t="s">
        <v>2659</v>
      </c>
      <c r="AB820" s="316" t="s">
        <v>2659</v>
      </c>
    </row>
    <row r="821" spans="1:28" x14ac:dyDescent="0.25">
      <c r="A821" s="307">
        <f t="shared" si="73"/>
        <v>815</v>
      </c>
      <c r="B821" s="308">
        <v>46019</v>
      </c>
      <c r="C821" s="309">
        <f t="shared" si="74"/>
        <v>45992</v>
      </c>
      <c r="D821" s="310" t="s">
        <v>51</v>
      </c>
      <c r="E821" s="310" t="s">
        <v>2589</v>
      </c>
      <c r="F821" s="311">
        <v>9348294554</v>
      </c>
      <c r="G821" s="316" t="s">
        <v>6</v>
      </c>
      <c r="H821" s="316" t="s">
        <v>1874</v>
      </c>
      <c r="I821" s="316" t="s">
        <v>2656</v>
      </c>
      <c r="J821" s="310" t="s">
        <v>172</v>
      </c>
      <c r="K821" s="312">
        <v>29070</v>
      </c>
      <c r="L821" s="312">
        <v>40320</v>
      </c>
      <c r="M821" s="313">
        <f t="shared" si="75"/>
        <v>11250</v>
      </c>
      <c r="N821" s="314">
        <f t="shared" si="76"/>
        <v>0.279017857142857</v>
      </c>
      <c r="O821" s="312">
        <v>29070</v>
      </c>
      <c r="P821" s="313">
        <f t="shared" si="72"/>
        <v>0</v>
      </c>
      <c r="Q821" s="310" t="s">
        <v>147</v>
      </c>
      <c r="R821" s="310">
        <v>413</v>
      </c>
      <c r="S821" s="310"/>
      <c r="T821" s="308">
        <v>46022</v>
      </c>
      <c r="U821" s="308">
        <v>46022</v>
      </c>
      <c r="V821" s="308"/>
      <c r="W821" s="315">
        <f t="shared" si="77"/>
        <v>3</v>
      </c>
      <c r="X821" s="310" t="s">
        <v>54</v>
      </c>
      <c r="Y821" s="310" t="s">
        <v>2616</v>
      </c>
      <c r="Z821" s="316"/>
      <c r="AA821" s="316" t="s">
        <v>1120</v>
      </c>
      <c r="AB821" s="316" t="s">
        <v>1120</v>
      </c>
    </row>
    <row r="822" spans="1:28" x14ac:dyDescent="0.25">
      <c r="A822" s="307">
        <f t="shared" si="73"/>
        <v>816</v>
      </c>
      <c r="B822" s="308">
        <v>46021</v>
      </c>
      <c r="C822" s="309">
        <f t="shared" si="74"/>
        <v>45992</v>
      </c>
      <c r="D822" s="310" t="s">
        <v>56</v>
      </c>
      <c r="E822" s="310" t="s">
        <v>1644</v>
      </c>
      <c r="F822" s="311">
        <v>9793531306</v>
      </c>
      <c r="G822" s="316" t="s">
        <v>6</v>
      </c>
      <c r="H822" s="316" t="s">
        <v>1874</v>
      </c>
      <c r="I822" s="316" t="s">
        <v>2669</v>
      </c>
      <c r="J822" s="310" t="s">
        <v>172</v>
      </c>
      <c r="K822" s="312">
        <v>32820</v>
      </c>
      <c r="L822" s="312">
        <v>40320</v>
      </c>
      <c r="M822" s="313">
        <f t="shared" si="75"/>
        <v>7500</v>
      </c>
      <c r="N822" s="314">
        <f t="shared" si="76"/>
        <v>0.186011904761905</v>
      </c>
      <c r="O822" s="312">
        <v>32820</v>
      </c>
      <c r="P822" s="313">
        <f t="shared" si="72"/>
        <v>0</v>
      </c>
      <c r="Q822" s="310" t="s">
        <v>147</v>
      </c>
      <c r="R822" s="310">
        <v>416</v>
      </c>
      <c r="S822" s="310"/>
      <c r="T822" s="308">
        <v>46024</v>
      </c>
      <c r="U822" s="308">
        <v>46025</v>
      </c>
      <c r="V822" s="308"/>
      <c r="W822" s="315">
        <f t="shared" si="77"/>
        <v>4</v>
      </c>
      <c r="X822" s="310" t="s">
        <v>54</v>
      </c>
      <c r="Y822" s="310" t="s">
        <v>56</v>
      </c>
      <c r="Z822" s="316"/>
      <c r="AA822" s="317">
        <v>46054</v>
      </c>
      <c r="AB822" s="317">
        <v>46082</v>
      </c>
    </row>
    <row r="823" spans="1:28" x14ac:dyDescent="0.25">
      <c r="A823" s="307">
        <f t="shared" si="73"/>
        <v>817</v>
      </c>
      <c r="B823" s="308">
        <v>46022</v>
      </c>
      <c r="C823" s="309">
        <f t="shared" si="74"/>
        <v>45992</v>
      </c>
      <c r="D823" s="310" t="s">
        <v>56</v>
      </c>
      <c r="E823" s="310" t="s">
        <v>38</v>
      </c>
      <c r="F823" s="311">
        <v>9793531306</v>
      </c>
      <c r="G823" s="316" t="s">
        <v>1093</v>
      </c>
      <c r="H823" s="316" t="s">
        <v>2682</v>
      </c>
      <c r="I823" s="316" t="s">
        <v>6</v>
      </c>
      <c r="J823" s="310" t="s">
        <v>59</v>
      </c>
      <c r="K823" s="312">
        <v>41420</v>
      </c>
      <c r="L823" s="312">
        <v>97650</v>
      </c>
      <c r="M823" s="313">
        <f t="shared" si="75"/>
        <v>56230</v>
      </c>
      <c r="N823" s="314">
        <f t="shared" si="76"/>
        <v>0.575832053251408</v>
      </c>
      <c r="O823" s="312">
        <v>41420</v>
      </c>
      <c r="P823" s="313">
        <f t="shared" si="72"/>
        <v>0</v>
      </c>
      <c r="Q823" s="310" t="s">
        <v>147</v>
      </c>
      <c r="R823" s="310">
        <v>417</v>
      </c>
      <c r="S823" s="310"/>
      <c r="T823" s="308">
        <v>46025</v>
      </c>
      <c r="U823" s="308">
        <v>46025</v>
      </c>
      <c r="V823" s="308"/>
      <c r="W823" s="315">
        <f t="shared" si="77"/>
        <v>3</v>
      </c>
      <c r="X823" s="310" t="s">
        <v>54</v>
      </c>
      <c r="Y823" s="310" t="s">
        <v>56</v>
      </c>
      <c r="Z823" s="316"/>
      <c r="AA823" s="317">
        <v>46082</v>
      </c>
      <c r="AB823" s="317">
        <v>46082</v>
      </c>
    </row>
    <row r="824" spans="1:28" x14ac:dyDescent="0.25">
      <c r="A824" s="307">
        <f t="shared" si="73"/>
        <v>818</v>
      </c>
      <c r="B824" s="308">
        <v>46022</v>
      </c>
      <c r="C824" s="309">
        <f t="shared" si="74"/>
        <v>45992</v>
      </c>
      <c r="D824" s="310" t="s">
        <v>56</v>
      </c>
      <c r="E824" s="310" t="s">
        <v>1635</v>
      </c>
      <c r="F824" s="311">
        <v>9472230553</v>
      </c>
      <c r="G824" s="316" t="s">
        <v>6</v>
      </c>
      <c r="H824" s="316" t="s">
        <v>2670</v>
      </c>
      <c r="I824" s="316" t="s">
        <v>2671</v>
      </c>
      <c r="J824" s="310" t="s">
        <v>172</v>
      </c>
      <c r="K824" s="312">
        <v>35750</v>
      </c>
      <c r="L824" s="312">
        <v>59850</v>
      </c>
      <c r="M824" s="313">
        <f t="shared" si="75"/>
        <v>24100</v>
      </c>
      <c r="N824" s="314">
        <f t="shared" si="76"/>
        <v>0.402673350041771</v>
      </c>
      <c r="O824" s="312">
        <v>35750</v>
      </c>
      <c r="P824" s="313">
        <f t="shared" si="72"/>
        <v>0</v>
      </c>
      <c r="Q824" s="310" t="s">
        <v>147</v>
      </c>
      <c r="R824" s="310">
        <v>418</v>
      </c>
      <c r="S824" s="310"/>
      <c r="T824" s="308">
        <v>46025</v>
      </c>
      <c r="U824" s="308">
        <v>46028</v>
      </c>
      <c r="V824" s="308"/>
      <c r="W824" s="315">
        <f t="shared" si="77"/>
        <v>6</v>
      </c>
      <c r="X824" s="310" t="s">
        <v>54</v>
      </c>
      <c r="Y824" s="310" t="s">
        <v>56</v>
      </c>
      <c r="Z824" s="316"/>
      <c r="AA824" s="317">
        <v>46082</v>
      </c>
      <c r="AB824" s="317">
        <v>46174</v>
      </c>
    </row>
    <row r="825" spans="1:28" x14ac:dyDescent="0.25">
      <c r="A825" s="307">
        <f t="shared" si="73"/>
        <v>819</v>
      </c>
      <c r="B825" s="308">
        <v>46022</v>
      </c>
      <c r="C825" s="309">
        <f t="shared" si="74"/>
        <v>45992</v>
      </c>
      <c r="D825" s="310" t="s">
        <v>56</v>
      </c>
      <c r="E825" s="310" t="s">
        <v>60</v>
      </c>
      <c r="F825" s="311">
        <v>9589264337</v>
      </c>
      <c r="G825" s="316" t="s">
        <v>6</v>
      </c>
      <c r="H825" s="316" t="s">
        <v>1874</v>
      </c>
      <c r="I825" s="316" t="s">
        <v>2672</v>
      </c>
      <c r="J825" s="310" t="s">
        <v>172</v>
      </c>
      <c r="K825" s="312">
        <v>32820</v>
      </c>
      <c r="L825" s="312">
        <v>40320</v>
      </c>
      <c r="M825" s="313">
        <f t="shared" si="75"/>
        <v>7500</v>
      </c>
      <c r="N825" s="314">
        <f t="shared" si="76"/>
        <v>0.186011904761905</v>
      </c>
      <c r="O825" s="312">
        <v>32820</v>
      </c>
      <c r="P825" s="313">
        <f t="shared" si="72"/>
        <v>0</v>
      </c>
      <c r="Q825" s="310" t="s">
        <v>147</v>
      </c>
      <c r="R825" s="310">
        <v>419</v>
      </c>
      <c r="S825" s="310"/>
      <c r="T825" s="308">
        <v>46025</v>
      </c>
      <c r="U825" s="308">
        <v>46025</v>
      </c>
      <c r="V825" s="308"/>
      <c r="W825" s="315">
        <f t="shared" si="77"/>
        <v>3</v>
      </c>
      <c r="X825" s="310" t="s">
        <v>54</v>
      </c>
      <c r="Y825" s="310" t="s">
        <v>56</v>
      </c>
      <c r="Z825" s="316"/>
      <c r="AA825" s="317">
        <v>46082</v>
      </c>
      <c r="AB825" s="317">
        <v>46082</v>
      </c>
    </row>
    <row r="826" spans="1:28" x14ac:dyDescent="0.25">
      <c r="A826" s="307">
        <f t="shared" si="73"/>
        <v>820</v>
      </c>
      <c r="B826" s="308">
        <v>46025</v>
      </c>
      <c r="C826" s="309">
        <f t="shared" si="74"/>
        <v>46023</v>
      </c>
      <c r="D826" s="310" t="s">
        <v>56</v>
      </c>
      <c r="E826" s="310" t="s">
        <v>38</v>
      </c>
      <c r="F826" s="311">
        <v>9515412075</v>
      </c>
      <c r="G826" s="316" t="s">
        <v>6</v>
      </c>
      <c r="H826" s="316" t="s">
        <v>1874</v>
      </c>
      <c r="I826" s="316" t="s">
        <v>2673</v>
      </c>
      <c r="J826" s="310" t="s">
        <v>59</v>
      </c>
      <c r="K826" s="312">
        <v>32590</v>
      </c>
      <c r="L826" s="312">
        <v>38740</v>
      </c>
      <c r="M826" s="313">
        <f t="shared" si="75"/>
        <v>6150</v>
      </c>
      <c r="N826" s="314">
        <f t="shared" si="76"/>
        <v>0.158750645327827</v>
      </c>
      <c r="O826" s="312">
        <v>32590</v>
      </c>
      <c r="P826" s="313">
        <f t="shared" si="72"/>
        <v>0</v>
      </c>
      <c r="Q826" s="310" t="s">
        <v>147</v>
      </c>
      <c r="R826" s="310">
        <v>420</v>
      </c>
      <c r="S826" s="310"/>
      <c r="T826" s="308">
        <v>46029</v>
      </c>
      <c r="U826" s="308">
        <v>46029</v>
      </c>
      <c r="V826" s="308"/>
      <c r="W826" s="315">
        <f t="shared" si="77"/>
        <v>4</v>
      </c>
      <c r="X826" s="310" t="s">
        <v>54</v>
      </c>
      <c r="Y826" s="310" t="s">
        <v>56</v>
      </c>
      <c r="Z826" s="316"/>
      <c r="AA826" s="317">
        <v>46204</v>
      </c>
      <c r="AB826" s="317">
        <v>46204</v>
      </c>
    </row>
    <row r="827" spans="1:28" x14ac:dyDescent="0.25">
      <c r="A827" s="307">
        <f t="shared" si="73"/>
        <v>821</v>
      </c>
      <c r="B827" s="308">
        <v>46026</v>
      </c>
      <c r="C827" s="309">
        <f t="shared" si="74"/>
        <v>46023</v>
      </c>
      <c r="D827" s="310" t="s">
        <v>56</v>
      </c>
      <c r="E827" s="310" t="s">
        <v>1641</v>
      </c>
      <c r="F827" s="311">
        <v>9281983602</v>
      </c>
      <c r="G827" s="316" t="s">
        <v>1093</v>
      </c>
      <c r="H827" s="316" t="s">
        <v>2687</v>
      </c>
      <c r="I827" s="316" t="s">
        <v>6</v>
      </c>
      <c r="J827" s="310" t="s">
        <v>172</v>
      </c>
      <c r="K827" s="312">
        <v>42180</v>
      </c>
      <c r="L827" s="312">
        <v>102690</v>
      </c>
      <c r="M827" s="313">
        <f t="shared" si="75"/>
        <v>60510</v>
      </c>
      <c r="N827" s="314">
        <f t="shared" si="76"/>
        <v>0.58924919661116</v>
      </c>
      <c r="O827" s="312">
        <v>42180</v>
      </c>
      <c r="P827" s="313">
        <f t="shared" si="72"/>
        <v>0</v>
      </c>
      <c r="Q827" s="310" t="s">
        <v>147</v>
      </c>
      <c r="R827" s="310">
        <v>421</v>
      </c>
      <c r="S827" s="310"/>
      <c r="T827" s="308">
        <v>46028</v>
      </c>
      <c r="U827" s="308">
        <v>46028</v>
      </c>
      <c r="V827" s="308"/>
      <c r="W827" s="315">
        <f t="shared" si="77"/>
        <v>2</v>
      </c>
      <c r="X827" s="310" t="s">
        <v>54</v>
      </c>
      <c r="Y827" s="310" t="s">
        <v>56</v>
      </c>
      <c r="Z827" s="316"/>
      <c r="AA827" s="317">
        <v>46174</v>
      </c>
      <c r="AB827" s="317">
        <v>46174</v>
      </c>
    </row>
    <row r="828" spans="1:28" x14ac:dyDescent="0.25">
      <c r="A828" s="307">
        <f t="shared" si="73"/>
        <v>822</v>
      </c>
      <c r="B828" s="308">
        <v>46028</v>
      </c>
      <c r="C828" s="309">
        <f t="shared" si="74"/>
        <v>46023</v>
      </c>
      <c r="D828" s="310" t="s">
        <v>56</v>
      </c>
      <c r="E828" s="310" t="s">
        <v>1641</v>
      </c>
      <c r="F828" s="311">
        <v>9281983602</v>
      </c>
      <c r="G828" s="316" t="s">
        <v>6</v>
      </c>
      <c r="H828" s="316" t="s">
        <v>2674</v>
      </c>
      <c r="I828" s="316" t="s">
        <v>2675</v>
      </c>
      <c r="J828" s="310" t="s">
        <v>172</v>
      </c>
      <c r="K828" s="312">
        <v>33770</v>
      </c>
      <c r="L828" s="312">
        <v>46620</v>
      </c>
      <c r="M828" s="313">
        <f t="shared" si="75"/>
        <v>12850</v>
      </c>
      <c r="N828" s="314">
        <f t="shared" si="76"/>
        <v>0.275632775632776</v>
      </c>
      <c r="O828" s="312">
        <v>33770</v>
      </c>
      <c r="P828" s="313">
        <f t="shared" si="72"/>
        <v>0</v>
      </c>
      <c r="Q828" s="310" t="s">
        <v>147</v>
      </c>
      <c r="R828" s="310">
        <v>422</v>
      </c>
      <c r="S828" s="310"/>
      <c r="T828" s="308">
        <v>46031</v>
      </c>
      <c r="U828" s="308">
        <v>46031</v>
      </c>
      <c r="V828" s="308"/>
      <c r="W828" s="315">
        <f t="shared" si="77"/>
        <v>3</v>
      </c>
      <c r="X828" s="310" t="s">
        <v>54</v>
      </c>
      <c r="Y828" s="310" t="s">
        <v>56</v>
      </c>
      <c r="Z828" s="316"/>
      <c r="AA828" s="317">
        <v>46266</v>
      </c>
      <c r="AB828" s="317">
        <v>46266</v>
      </c>
    </row>
    <row r="829" spans="1:28" x14ac:dyDescent="0.25">
      <c r="A829" s="307">
        <f t="shared" si="73"/>
        <v>823</v>
      </c>
      <c r="B829" s="308">
        <v>46028</v>
      </c>
      <c r="C829" s="309">
        <f t="shared" si="74"/>
        <v>46023</v>
      </c>
      <c r="D829" s="310" t="s">
        <v>56</v>
      </c>
      <c r="E829" s="310" t="s">
        <v>60</v>
      </c>
      <c r="F829" s="311">
        <v>9589264337</v>
      </c>
      <c r="G829" s="316" t="s">
        <v>1093</v>
      </c>
      <c r="H829" s="316" t="s">
        <v>2684</v>
      </c>
      <c r="I829" s="316" t="s">
        <v>6</v>
      </c>
      <c r="J829" s="310" t="s">
        <v>172</v>
      </c>
      <c r="K829" s="312">
        <v>41230</v>
      </c>
      <c r="L829" s="312">
        <v>96390</v>
      </c>
      <c r="M829" s="313">
        <f t="shared" si="75"/>
        <v>55160</v>
      </c>
      <c r="N829" s="314">
        <f t="shared" si="76"/>
        <v>0.572258533042847</v>
      </c>
      <c r="O829" s="312">
        <v>41230</v>
      </c>
      <c r="P829" s="313">
        <f t="shared" si="72"/>
        <v>0</v>
      </c>
      <c r="Q829" s="310" t="s">
        <v>147</v>
      </c>
      <c r="R829" s="310">
        <v>423</v>
      </c>
      <c r="S829" s="310"/>
      <c r="T829" s="308">
        <v>46031</v>
      </c>
      <c r="U829" s="308">
        <v>46031</v>
      </c>
      <c r="V829" s="308"/>
      <c r="W829" s="315">
        <f t="shared" si="77"/>
        <v>3</v>
      </c>
      <c r="X829" s="310" t="s">
        <v>54</v>
      </c>
      <c r="Y829" s="310" t="s">
        <v>56</v>
      </c>
      <c r="Z829" s="316"/>
      <c r="AA829" s="317">
        <v>46266</v>
      </c>
      <c r="AB829" s="317">
        <v>46266</v>
      </c>
    </row>
    <row r="830" spans="1:28" x14ac:dyDescent="0.25">
      <c r="A830" s="307">
        <f t="shared" si="73"/>
        <v>824</v>
      </c>
      <c r="B830" s="308">
        <v>46029</v>
      </c>
      <c r="C830" s="309">
        <f t="shared" si="74"/>
        <v>46023</v>
      </c>
      <c r="D830" s="310" t="s">
        <v>56</v>
      </c>
      <c r="E830" s="310" t="s">
        <v>1637</v>
      </c>
      <c r="F830" s="311">
        <v>9793531306</v>
      </c>
      <c r="G830" s="316" t="s">
        <v>6</v>
      </c>
      <c r="H830" s="316" t="s">
        <v>1874</v>
      </c>
      <c r="I830" s="316" t="s">
        <v>2676</v>
      </c>
      <c r="J830" s="310" t="s">
        <v>172</v>
      </c>
      <c r="K830" s="312">
        <v>32820</v>
      </c>
      <c r="L830" s="312">
        <v>40320</v>
      </c>
      <c r="M830" s="313">
        <f t="shared" si="75"/>
        <v>7500</v>
      </c>
      <c r="N830" s="314">
        <f t="shared" si="76"/>
        <v>0.186011904761905</v>
      </c>
      <c r="O830" s="312">
        <v>32820</v>
      </c>
      <c r="P830" s="313">
        <f t="shared" si="72"/>
        <v>0</v>
      </c>
      <c r="Q830" s="310" t="s">
        <v>147</v>
      </c>
      <c r="R830" s="310">
        <v>424</v>
      </c>
      <c r="S830" s="310"/>
      <c r="T830" s="308">
        <v>46032</v>
      </c>
      <c r="U830" s="308">
        <v>46032</v>
      </c>
      <c r="V830" s="308"/>
      <c r="W830" s="315">
        <f t="shared" si="77"/>
        <v>3</v>
      </c>
      <c r="X830" s="310" t="s">
        <v>54</v>
      </c>
      <c r="Y830" s="310" t="s">
        <v>56</v>
      </c>
      <c r="Z830" s="316"/>
      <c r="AA830" s="317">
        <v>46296</v>
      </c>
      <c r="AB830" s="317">
        <v>46296</v>
      </c>
    </row>
    <row r="831" spans="1:28" x14ac:dyDescent="0.25">
      <c r="A831" s="307">
        <f t="shared" si="73"/>
        <v>825</v>
      </c>
      <c r="B831" s="308">
        <v>46030</v>
      </c>
      <c r="C831" s="309">
        <f t="shared" si="74"/>
        <v>46023</v>
      </c>
      <c r="D831" s="310" t="s">
        <v>56</v>
      </c>
      <c r="E831" s="310" t="s">
        <v>1644</v>
      </c>
      <c r="F831" s="311">
        <v>9793531306</v>
      </c>
      <c r="G831" s="316" t="s">
        <v>1093</v>
      </c>
      <c r="H831" s="316" t="s">
        <v>2685</v>
      </c>
      <c r="I831" s="316" t="s">
        <v>6</v>
      </c>
      <c r="J831" s="310" t="s">
        <v>172</v>
      </c>
      <c r="K831" s="312">
        <v>43120</v>
      </c>
      <c r="L831" s="312">
        <v>108990</v>
      </c>
      <c r="M831" s="313">
        <f t="shared" si="75"/>
        <v>65870</v>
      </c>
      <c r="N831" s="314">
        <f t="shared" si="76"/>
        <v>0.6043673731535</v>
      </c>
      <c r="O831" s="312">
        <v>43120</v>
      </c>
      <c r="P831" s="313">
        <f t="shared" si="72"/>
        <v>0</v>
      </c>
      <c r="Q831" s="310" t="s">
        <v>147</v>
      </c>
      <c r="R831" s="310">
        <v>425</v>
      </c>
      <c r="S831" s="310"/>
      <c r="T831" s="308">
        <v>46032</v>
      </c>
      <c r="U831" s="308">
        <v>46032</v>
      </c>
      <c r="V831" s="308"/>
      <c r="W831" s="315">
        <f t="shared" si="77"/>
        <v>2</v>
      </c>
      <c r="X831" s="310" t="s">
        <v>54</v>
      </c>
      <c r="Y831" s="310" t="s">
        <v>56</v>
      </c>
      <c r="Z831" s="316"/>
      <c r="AA831" s="317">
        <v>46296</v>
      </c>
      <c r="AB831" s="317">
        <v>46296</v>
      </c>
    </row>
    <row r="832" spans="1:28" x14ac:dyDescent="0.25">
      <c r="A832" s="307">
        <f t="shared" si="73"/>
        <v>826</v>
      </c>
      <c r="B832" s="308">
        <v>46030</v>
      </c>
      <c r="C832" s="309">
        <f t="shared" si="74"/>
        <v>46023</v>
      </c>
      <c r="D832" s="310" t="s">
        <v>51</v>
      </c>
      <c r="E832" s="310" t="s">
        <v>2664</v>
      </c>
      <c r="F832" s="311">
        <v>9065263863</v>
      </c>
      <c r="G832" s="316" t="s">
        <v>6</v>
      </c>
      <c r="H832" s="316" t="s">
        <v>1874</v>
      </c>
      <c r="I832" s="316" t="s">
        <v>2677</v>
      </c>
      <c r="J832" s="310" t="s">
        <v>168</v>
      </c>
      <c r="K832" s="312">
        <v>25690</v>
      </c>
      <c r="L832" s="312">
        <v>35600</v>
      </c>
      <c r="M832" s="313">
        <f t="shared" si="75"/>
        <v>9910</v>
      </c>
      <c r="N832" s="314">
        <f t="shared" si="76"/>
        <v>0.278370786516854</v>
      </c>
      <c r="O832" s="312">
        <v>25690</v>
      </c>
      <c r="P832" s="313">
        <f t="shared" si="72"/>
        <v>0</v>
      </c>
      <c r="Q832" s="310" t="s">
        <v>147</v>
      </c>
      <c r="R832" s="310">
        <v>426</v>
      </c>
      <c r="S832" s="310"/>
      <c r="T832" s="308">
        <v>46032</v>
      </c>
      <c r="U832" s="308">
        <v>46032</v>
      </c>
      <c r="V832" s="308"/>
      <c r="W832" s="315">
        <f t="shared" si="77"/>
        <v>2</v>
      </c>
      <c r="X832" s="310" t="s">
        <v>54</v>
      </c>
      <c r="Y832" s="310" t="s">
        <v>439</v>
      </c>
      <c r="Z832" s="316"/>
      <c r="AA832" s="317">
        <v>46296</v>
      </c>
      <c r="AB832" s="317">
        <v>46296</v>
      </c>
    </row>
    <row r="833" spans="1:28" x14ac:dyDescent="0.25">
      <c r="A833" s="307">
        <f t="shared" si="73"/>
        <v>827</v>
      </c>
      <c r="B833" s="308">
        <v>46030</v>
      </c>
      <c r="C833" s="309">
        <f t="shared" si="74"/>
        <v>46023</v>
      </c>
      <c r="D833" s="310" t="s">
        <v>51</v>
      </c>
      <c r="E833" s="310" t="s">
        <v>2665</v>
      </c>
      <c r="F833" s="311">
        <v>9061911374</v>
      </c>
      <c r="G833" s="316" t="s">
        <v>6</v>
      </c>
      <c r="H833" s="316" t="s">
        <v>2678</v>
      </c>
      <c r="I833" s="316" t="s">
        <v>2679</v>
      </c>
      <c r="J833" s="310" t="s">
        <v>172</v>
      </c>
      <c r="K833" s="312">
        <v>33230</v>
      </c>
      <c r="L833" s="312">
        <v>46620</v>
      </c>
      <c r="M833" s="313">
        <f t="shared" si="75"/>
        <v>13390</v>
      </c>
      <c r="N833" s="314">
        <f t="shared" si="76"/>
        <v>0.287215787215787</v>
      </c>
      <c r="O833" s="312">
        <v>33230</v>
      </c>
      <c r="P833" s="313">
        <f t="shared" si="72"/>
        <v>0</v>
      </c>
      <c r="Q833" s="310" t="s">
        <v>147</v>
      </c>
      <c r="R833" s="310">
        <v>427</v>
      </c>
      <c r="S833" s="310"/>
      <c r="T833" s="308">
        <v>46034</v>
      </c>
      <c r="U833" s="308">
        <v>46034</v>
      </c>
      <c r="V833" s="308"/>
      <c r="W833" s="315">
        <f t="shared" si="77"/>
        <v>4</v>
      </c>
      <c r="X833" s="310" t="s">
        <v>54</v>
      </c>
      <c r="Y833" s="310" t="s">
        <v>439</v>
      </c>
      <c r="Z833" s="316"/>
      <c r="AA833" s="317">
        <v>46357</v>
      </c>
      <c r="AB833" s="317">
        <v>46357</v>
      </c>
    </row>
    <row r="834" spans="1:28" x14ac:dyDescent="0.25">
      <c r="A834" s="307">
        <f t="shared" si="73"/>
        <v>828</v>
      </c>
      <c r="B834" s="308">
        <v>46031</v>
      </c>
      <c r="C834" s="309">
        <f t="shared" si="74"/>
        <v>46023</v>
      </c>
      <c r="D834" s="310" t="s">
        <v>56</v>
      </c>
      <c r="E834" s="310" t="s">
        <v>38</v>
      </c>
      <c r="F834" s="311">
        <v>9793531306</v>
      </c>
      <c r="G834" s="316" t="s">
        <v>1093</v>
      </c>
      <c r="H834" s="316" t="s">
        <v>2683</v>
      </c>
      <c r="I834" s="316" t="s">
        <v>6</v>
      </c>
      <c r="J834" s="310" t="s">
        <v>59</v>
      </c>
      <c r="K834" s="312">
        <v>40480</v>
      </c>
      <c r="L834" s="312">
        <v>91350</v>
      </c>
      <c r="M834" s="313">
        <f t="shared" si="75"/>
        <v>50870</v>
      </c>
      <c r="N834" s="314">
        <f t="shared" si="76"/>
        <v>0.556869184455391</v>
      </c>
      <c r="O834" s="312">
        <v>40480</v>
      </c>
      <c r="P834" s="313">
        <f t="shared" si="72"/>
        <v>0</v>
      </c>
      <c r="Q834" s="310" t="s">
        <v>147</v>
      </c>
      <c r="R834" s="310">
        <v>428</v>
      </c>
      <c r="S834" s="310"/>
      <c r="T834" s="308">
        <v>46034</v>
      </c>
      <c r="U834" s="308">
        <v>46034</v>
      </c>
      <c r="V834" s="308"/>
      <c r="W834" s="315">
        <f t="shared" si="77"/>
        <v>3</v>
      </c>
      <c r="X834" s="310" t="s">
        <v>54</v>
      </c>
      <c r="Y834" s="310" t="s">
        <v>56</v>
      </c>
      <c r="Z834" s="316"/>
      <c r="AA834" s="317">
        <v>46357</v>
      </c>
      <c r="AB834" s="317">
        <v>46357</v>
      </c>
    </row>
    <row r="835" spans="1:28" x14ac:dyDescent="0.25">
      <c r="A835" s="307">
        <f t="shared" si="73"/>
        <v>829</v>
      </c>
      <c r="B835" s="308">
        <v>46031</v>
      </c>
      <c r="C835" s="309">
        <f t="shared" si="74"/>
        <v>46023</v>
      </c>
      <c r="D835" s="310" t="s">
        <v>56</v>
      </c>
      <c r="E835" s="310" t="s">
        <v>1635</v>
      </c>
      <c r="F835" s="311">
        <v>9220186371</v>
      </c>
      <c r="G835" s="316" t="s">
        <v>1093</v>
      </c>
      <c r="H835" s="316" t="s">
        <v>2686</v>
      </c>
      <c r="I835" s="316" t="s">
        <v>6</v>
      </c>
      <c r="J835" s="310" t="s">
        <v>172</v>
      </c>
      <c r="K835" s="312">
        <v>41230</v>
      </c>
      <c r="L835" s="312">
        <v>96390</v>
      </c>
      <c r="M835" s="313">
        <f t="shared" si="75"/>
        <v>55160</v>
      </c>
      <c r="N835" s="314">
        <f t="shared" si="76"/>
        <v>0.572258533042847</v>
      </c>
      <c r="O835" s="312">
        <v>41230</v>
      </c>
      <c r="P835" s="313">
        <f t="shared" si="72"/>
        <v>0</v>
      </c>
      <c r="Q835" s="310" t="s">
        <v>147</v>
      </c>
      <c r="R835" s="310">
        <v>429</v>
      </c>
      <c r="S835" s="310"/>
      <c r="T835" s="308">
        <v>46034</v>
      </c>
      <c r="U835" s="308">
        <v>46034</v>
      </c>
      <c r="V835" s="308"/>
      <c r="W835" s="315">
        <f t="shared" si="77"/>
        <v>3</v>
      </c>
      <c r="X835" s="310" t="s">
        <v>54</v>
      </c>
      <c r="Y835" s="310" t="s">
        <v>56</v>
      </c>
      <c r="Z835" s="316"/>
      <c r="AA835" s="317">
        <v>46357</v>
      </c>
      <c r="AB835" s="317">
        <v>46357</v>
      </c>
    </row>
    <row r="836" spans="1:28" x14ac:dyDescent="0.25">
      <c r="A836" s="307">
        <f t="shared" si="73"/>
        <v>830</v>
      </c>
      <c r="B836" s="308">
        <v>46032</v>
      </c>
      <c r="C836" s="309">
        <f t="shared" si="74"/>
        <v>46023</v>
      </c>
      <c r="D836" s="310" t="s">
        <v>56</v>
      </c>
      <c r="E836" s="310" t="s">
        <v>60</v>
      </c>
      <c r="F836" s="311">
        <v>9220186371</v>
      </c>
      <c r="G836" s="316" t="s">
        <v>6</v>
      </c>
      <c r="H836" s="316" t="s">
        <v>2680</v>
      </c>
      <c r="I836" s="316" t="s">
        <v>2681</v>
      </c>
      <c r="J836" s="310" t="s">
        <v>172</v>
      </c>
      <c r="K836" s="312">
        <v>33770</v>
      </c>
      <c r="L836" s="312">
        <v>46620</v>
      </c>
      <c r="M836" s="313">
        <f t="shared" si="75"/>
        <v>12850</v>
      </c>
      <c r="N836" s="314">
        <f t="shared" si="76"/>
        <v>0.275632775632776</v>
      </c>
      <c r="O836" s="312">
        <v>33770</v>
      </c>
      <c r="P836" s="313">
        <f t="shared" si="72"/>
        <v>0</v>
      </c>
      <c r="Q836" s="310" t="s">
        <v>147</v>
      </c>
      <c r="R836" s="310">
        <v>430</v>
      </c>
      <c r="S836" s="310"/>
      <c r="T836" s="308">
        <v>46035</v>
      </c>
      <c r="U836" s="308">
        <v>46036</v>
      </c>
      <c r="V836" s="308"/>
      <c r="W836" s="315">
        <f t="shared" si="77"/>
        <v>4</v>
      </c>
      <c r="X836" s="310" t="s">
        <v>54</v>
      </c>
      <c r="Y836" s="310" t="s">
        <v>56</v>
      </c>
      <c r="Z836" s="316"/>
      <c r="AA836" s="316" t="s">
        <v>2689</v>
      </c>
      <c r="AB836" s="316" t="s">
        <v>2690</v>
      </c>
    </row>
    <row r="837" spans="1:28" x14ac:dyDescent="0.25">
      <c r="A837" s="307">
        <f t="shared" si="73"/>
        <v>831</v>
      </c>
      <c r="B837" s="308">
        <v>46034</v>
      </c>
      <c r="C837" s="309">
        <f t="shared" si="74"/>
        <v>46023</v>
      </c>
      <c r="D837" s="310" t="s">
        <v>56</v>
      </c>
      <c r="E837" s="310" t="s">
        <v>1641</v>
      </c>
      <c r="F837" s="311">
        <v>9281983602</v>
      </c>
      <c r="G837" s="316" t="s">
        <v>1093</v>
      </c>
      <c r="H837" s="316" t="s">
        <v>2718</v>
      </c>
      <c r="I837" s="316" t="s">
        <v>6</v>
      </c>
      <c r="J837" s="310" t="s">
        <v>172</v>
      </c>
      <c r="K837" s="312">
        <v>42180</v>
      </c>
      <c r="L837" s="312">
        <v>102690</v>
      </c>
      <c r="M837" s="313">
        <f t="shared" si="75"/>
        <v>60510</v>
      </c>
      <c r="N837" s="314">
        <f t="shared" si="76"/>
        <v>0.58924919661116</v>
      </c>
      <c r="O837" s="312">
        <v>42180</v>
      </c>
      <c r="P837" s="313">
        <f t="shared" si="72"/>
        <v>0</v>
      </c>
      <c r="Q837" s="310" t="s">
        <v>147</v>
      </c>
      <c r="R837" s="310">
        <v>431</v>
      </c>
      <c r="S837" s="310"/>
      <c r="T837" s="308">
        <v>46037</v>
      </c>
      <c r="U837" s="308">
        <v>46037</v>
      </c>
      <c r="V837" s="308"/>
      <c r="W837" s="315">
        <f t="shared" si="77"/>
        <v>3</v>
      </c>
      <c r="X837" s="310" t="s">
        <v>54</v>
      </c>
      <c r="Y837" s="310" t="s">
        <v>56</v>
      </c>
      <c r="Z837" s="316"/>
      <c r="AA837" s="316" t="s">
        <v>2691</v>
      </c>
      <c r="AB837" s="316" t="s">
        <v>2691</v>
      </c>
    </row>
    <row r="838" spans="1:28" x14ac:dyDescent="0.25">
      <c r="A838" s="307">
        <f t="shared" si="73"/>
        <v>832</v>
      </c>
      <c r="B838" s="308">
        <v>46035</v>
      </c>
      <c r="C838" s="309">
        <f t="shared" si="74"/>
        <v>46023</v>
      </c>
      <c r="D838" s="310" t="s">
        <v>56</v>
      </c>
      <c r="E838" s="310" t="s">
        <v>1644</v>
      </c>
      <c r="F838" s="311">
        <v>9793531306</v>
      </c>
      <c r="G838" s="316" t="s">
        <v>6</v>
      </c>
      <c r="H838" s="316" t="s">
        <v>2694</v>
      </c>
      <c r="I838" s="316" t="s">
        <v>2695</v>
      </c>
      <c r="J838" s="310" t="s">
        <v>172</v>
      </c>
      <c r="K838" s="312">
        <v>33770</v>
      </c>
      <c r="L838" s="312">
        <v>46620</v>
      </c>
      <c r="M838" s="313">
        <f t="shared" si="75"/>
        <v>12850</v>
      </c>
      <c r="N838" s="314">
        <f t="shared" si="76"/>
        <v>0.275632775632776</v>
      </c>
      <c r="O838" s="312">
        <v>33770</v>
      </c>
      <c r="P838" s="313">
        <f t="shared" si="72"/>
        <v>0</v>
      </c>
      <c r="Q838" s="310" t="s">
        <v>147</v>
      </c>
      <c r="R838" s="310">
        <v>432</v>
      </c>
      <c r="S838" s="310"/>
      <c r="T838" s="308">
        <v>46038</v>
      </c>
      <c r="U838" s="308">
        <v>46038</v>
      </c>
      <c r="V838" s="308"/>
      <c r="W838" s="315">
        <f t="shared" si="77"/>
        <v>3</v>
      </c>
      <c r="X838" s="310" t="s">
        <v>54</v>
      </c>
      <c r="Y838" s="310" t="s">
        <v>56</v>
      </c>
      <c r="Z838" s="316"/>
      <c r="AA838" s="316" t="s">
        <v>2692</v>
      </c>
      <c r="AB838" s="316" t="s">
        <v>2692</v>
      </c>
    </row>
    <row r="839" spans="1:28" x14ac:dyDescent="0.25">
      <c r="A839" s="307">
        <f t="shared" si="73"/>
        <v>833</v>
      </c>
      <c r="B839" s="308">
        <v>46036</v>
      </c>
      <c r="C839" s="309">
        <f t="shared" si="74"/>
        <v>46023</v>
      </c>
      <c r="D839" s="310" t="s">
        <v>56</v>
      </c>
      <c r="E839" s="310" t="s">
        <v>1637</v>
      </c>
      <c r="F839" s="311">
        <v>9793531306</v>
      </c>
      <c r="G839" s="316" t="s">
        <v>1093</v>
      </c>
      <c r="H839" s="316" t="s">
        <v>2719</v>
      </c>
      <c r="I839" s="316" t="s">
        <v>6</v>
      </c>
      <c r="J839" s="310" t="s">
        <v>172</v>
      </c>
      <c r="K839" s="312">
        <v>42180</v>
      </c>
      <c r="L839" s="312">
        <v>102690</v>
      </c>
      <c r="M839" s="313">
        <f t="shared" si="75"/>
        <v>60510</v>
      </c>
      <c r="N839" s="314">
        <f t="shared" si="76"/>
        <v>0.58924919661116</v>
      </c>
      <c r="O839" s="312">
        <v>42180</v>
      </c>
      <c r="P839" s="313">
        <f t="shared" ref="P839:P902" si="78">IF(OR($K839="",$O839=""),"",$K839-$O839)</f>
        <v>0</v>
      </c>
      <c r="Q839" s="310" t="s">
        <v>147</v>
      </c>
      <c r="R839" s="310">
        <v>433</v>
      </c>
      <c r="S839" s="310"/>
      <c r="T839" s="308">
        <v>46039</v>
      </c>
      <c r="U839" s="308">
        <v>46039</v>
      </c>
      <c r="V839" s="308"/>
      <c r="W839" s="315">
        <f t="shared" si="77"/>
        <v>3</v>
      </c>
      <c r="X839" s="310" t="s">
        <v>54</v>
      </c>
      <c r="Y839" s="310" t="s">
        <v>56</v>
      </c>
      <c r="Z839" s="316"/>
      <c r="AA839" s="316" t="s">
        <v>2693</v>
      </c>
      <c r="AB839" s="316" t="s">
        <v>2693</v>
      </c>
    </row>
    <row r="840" spans="1:28" x14ac:dyDescent="0.25">
      <c r="A840" s="307">
        <f t="shared" ref="A840:A903" si="79">IF($B840="","",ROW()-6)</f>
        <v>834</v>
      </c>
      <c r="B840" s="308">
        <v>46036</v>
      </c>
      <c r="C840" s="309">
        <f t="shared" ref="C840:C903" si="80">IF($B840="","",EOMONTH($B840,-1)+1)</f>
        <v>46023</v>
      </c>
      <c r="D840" s="310" t="s">
        <v>56</v>
      </c>
      <c r="E840" s="310" t="s">
        <v>1635</v>
      </c>
      <c r="F840" s="311">
        <v>9472230553</v>
      </c>
      <c r="G840" s="316" t="s">
        <v>6</v>
      </c>
      <c r="H840" s="316" t="s">
        <v>1874</v>
      </c>
      <c r="I840" s="316" t="s">
        <v>2696</v>
      </c>
      <c r="J840" s="310" t="s">
        <v>172</v>
      </c>
      <c r="K840" s="312">
        <v>32820</v>
      </c>
      <c r="L840" s="312">
        <v>40320</v>
      </c>
      <c r="M840" s="313">
        <f t="shared" ref="M840:M903" si="81">IF(OR($K840="",$L840=""),"",$L840-$K840)</f>
        <v>7500</v>
      </c>
      <c r="N840" s="314">
        <f t="shared" ref="N840:N903" si="82">IF(OR($L840="",$L840=0,$M840=""),"",$M840/$L840)</f>
        <v>0.186011904761905</v>
      </c>
      <c r="O840" s="312">
        <v>32820</v>
      </c>
      <c r="P840" s="313">
        <f t="shared" si="78"/>
        <v>0</v>
      </c>
      <c r="Q840" s="310" t="s">
        <v>147</v>
      </c>
      <c r="R840" s="310">
        <v>434</v>
      </c>
      <c r="S840" s="310"/>
      <c r="T840" s="308">
        <v>46038</v>
      </c>
      <c r="U840" s="308">
        <v>46038</v>
      </c>
      <c r="V840" s="308"/>
      <c r="W840" s="315">
        <f t="shared" ref="W840:W903" si="83">IF(OR($B840="",$U840=""),"",$U840-$B840)</f>
        <v>2</v>
      </c>
      <c r="X840" s="310" t="s">
        <v>54</v>
      </c>
      <c r="Y840" s="310" t="s">
        <v>56</v>
      </c>
      <c r="Z840" s="316"/>
      <c r="AA840" s="316" t="s">
        <v>2692</v>
      </c>
      <c r="AB840" s="316" t="s">
        <v>2692</v>
      </c>
    </row>
    <row r="841" spans="1:28" x14ac:dyDescent="0.25">
      <c r="A841" s="307">
        <f t="shared" si="79"/>
        <v>835</v>
      </c>
      <c r="B841" s="308">
        <v>46037</v>
      </c>
      <c r="C841" s="309">
        <f t="shared" si="80"/>
        <v>46023</v>
      </c>
      <c r="D841" s="310" t="s">
        <v>56</v>
      </c>
      <c r="E841" s="310" t="s">
        <v>38</v>
      </c>
      <c r="F841" s="311">
        <v>9515412075</v>
      </c>
      <c r="G841" s="316" t="s">
        <v>6</v>
      </c>
      <c r="H841" s="316" t="s">
        <v>2697</v>
      </c>
      <c r="I841" s="316" t="s">
        <v>2698</v>
      </c>
      <c r="J841" s="310" t="s">
        <v>59</v>
      </c>
      <c r="K841" s="312">
        <v>33530</v>
      </c>
      <c r="L841" s="312">
        <v>45040</v>
      </c>
      <c r="M841" s="313">
        <f t="shared" si="81"/>
        <v>11510</v>
      </c>
      <c r="N841" s="314">
        <f t="shared" si="82"/>
        <v>0.255550621669627</v>
      </c>
      <c r="O841" s="312">
        <v>33530</v>
      </c>
      <c r="P841" s="313">
        <f t="shared" si="78"/>
        <v>0</v>
      </c>
      <c r="Q841" s="310" t="s">
        <v>147</v>
      </c>
      <c r="R841" s="310">
        <v>435</v>
      </c>
      <c r="S841" s="310"/>
      <c r="T841" s="308">
        <v>46039</v>
      </c>
      <c r="U841" s="308">
        <v>46039</v>
      </c>
      <c r="V841" s="308"/>
      <c r="W841" s="315">
        <f t="shared" si="83"/>
        <v>2</v>
      </c>
      <c r="X841" s="310" t="s">
        <v>54</v>
      </c>
      <c r="Y841" s="310" t="s">
        <v>56</v>
      </c>
      <c r="Z841" s="316"/>
      <c r="AA841" s="316" t="s">
        <v>2693</v>
      </c>
      <c r="AB841" s="316" t="s">
        <v>2693</v>
      </c>
    </row>
    <row r="842" spans="1:28" x14ac:dyDescent="0.25">
      <c r="A842" s="307">
        <f t="shared" si="79"/>
        <v>836</v>
      </c>
      <c r="B842" s="308">
        <v>46038</v>
      </c>
      <c r="C842" s="309">
        <f t="shared" si="80"/>
        <v>46023</v>
      </c>
      <c r="D842" s="310" t="s">
        <v>56</v>
      </c>
      <c r="E842" s="310" t="s">
        <v>1641</v>
      </c>
      <c r="F842" s="311">
        <v>9281983602</v>
      </c>
      <c r="G842" s="316" t="s">
        <v>6</v>
      </c>
      <c r="H842" s="316" t="s">
        <v>2699</v>
      </c>
      <c r="I842" s="316" t="s">
        <v>2700</v>
      </c>
      <c r="J842" s="310" t="s">
        <v>172</v>
      </c>
      <c r="K842" s="312">
        <v>33770</v>
      </c>
      <c r="L842" s="312">
        <v>46620</v>
      </c>
      <c r="M842" s="313">
        <f t="shared" si="81"/>
        <v>12850</v>
      </c>
      <c r="N842" s="314">
        <f t="shared" si="82"/>
        <v>0.275632775632776</v>
      </c>
      <c r="O842" s="312">
        <v>33770</v>
      </c>
      <c r="P842" s="313">
        <f t="shared" si="78"/>
        <v>0</v>
      </c>
      <c r="Q842" s="310" t="s">
        <v>147</v>
      </c>
      <c r="R842" s="310">
        <v>436</v>
      </c>
      <c r="S842" s="310"/>
      <c r="T842" s="308">
        <v>46041</v>
      </c>
      <c r="U842" s="308">
        <v>46041</v>
      </c>
      <c r="V842" s="308"/>
      <c r="W842" s="315">
        <f t="shared" si="83"/>
        <v>3</v>
      </c>
      <c r="X842" s="310" t="s">
        <v>54</v>
      </c>
      <c r="Y842" s="310" t="s">
        <v>56</v>
      </c>
      <c r="Z842" s="316"/>
      <c r="AA842" s="316" t="s">
        <v>2703</v>
      </c>
      <c r="AB842" s="316" t="s">
        <v>2703</v>
      </c>
    </row>
    <row r="843" spans="1:28" x14ac:dyDescent="0.25">
      <c r="A843" s="307">
        <f t="shared" si="79"/>
        <v>837</v>
      </c>
      <c r="B843" s="308">
        <v>46039</v>
      </c>
      <c r="C843" s="309">
        <f t="shared" si="80"/>
        <v>46023</v>
      </c>
      <c r="D843" s="310" t="s">
        <v>56</v>
      </c>
      <c r="E843" s="310" t="s">
        <v>1637</v>
      </c>
      <c r="F843" s="311">
        <v>9025368773</v>
      </c>
      <c r="G843" s="316" t="s">
        <v>6</v>
      </c>
      <c r="H843" s="316" t="s">
        <v>2701</v>
      </c>
      <c r="I843" s="316" t="s">
        <v>2702</v>
      </c>
      <c r="J843" s="310" t="s">
        <v>172</v>
      </c>
      <c r="K843" s="312">
        <v>33770</v>
      </c>
      <c r="L843" s="312">
        <v>46620</v>
      </c>
      <c r="M843" s="313">
        <f t="shared" si="81"/>
        <v>12850</v>
      </c>
      <c r="N843" s="314">
        <f t="shared" si="82"/>
        <v>0.275632775632776</v>
      </c>
      <c r="O843" s="312">
        <v>33770</v>
      </c>
      <c r="P843" s="313">
        <f t="shared" si="78"/>
        <v>0</v>
      </c>
      <c r="Q843" s="310" t="s">
        <v>147</v>
      </c>
      <c r="R843" s="310">
        <v>437</v>
      </c>
      <c r="S843" s="310"/>
      <c r="T843" s="308">
        <v>46042</v>
      </c>
      <c r="U843" s="308">
        <v>46042</v>
      </c>
      <c r="V843" s="308"/>
      <c r="W843" s="315">
        <f t="shared" si="83"/>
        <v>3</v>
      </c>
      <c r="X843" s="310" t="s">
        <v>54</v>
      </c>
      <c r="Y843" s="310" t="s">
        <v>56</v>
      </c>
      <c r="Z843" s="316"/>
      <c r="AA843" s="316" t="s">
        <v>2704</v>
      </c>
      <c r="AB843" s="316" t="s">
        <v>2704</v>
      </c>
    </row>
    <row r="844" spans="1:28" x14ac:dyDescent="0.25">
      <c r="A844" s="307">
        <f t="shared" si="79"/>
        <v>838</v>
      </c>
      <c r="B844" s="308">
        <v>46042</v>
      </c>
      <c r="C844" s="309">
        <f t="shared" si="80"/>
        <v>46023</v>
      </c>
      <c r="D844" s="310" t="s">
        <v>56</v>
      </c>
      <c r="E844" s="310" t="s">
        <v>38</v>
      </c>
      <c r="F844" s="311">
        <v>943074382</v>
      </c>
      <c r="G844" s="316" t="s">
        <v>45</v>
      </c>
      <c r="H844" s="316" t="s">
        <v>2721</v>
      </c>
      <c r="I844" s="316" t="s">
        <v>2722</v>
      </c>
      <c r="J844" s="310" t="s">
        <v>59</v>
      </c>
      <c r="K844" s="312">
        <v>37830</v>
      </c>
      <c r="L844" s="312">
        <v>73710</v>
      </c>
      <c r="M844" s="313">
        <f t="shared" si="81"/>
        <v>35880</v>
      </c>
      <c r="N844" s="314">
        <f t="shared" si="82"/>
        <v>0.486772486772487</v>
      </c>
      <c r="O844" s="312">
        <v>37830</v>
      </c>
      <c r="P844" s="313">
        <f t="shared" si="78"/>
        <v>0</v>
      </c>
      <c r="Q844" s="310" t="s">
        <v>147</v>
      </c>
      <c r="R844" s="310">
        <v>438</v>
      </c>
      <c r="S844" s="310"/>
      <c r="T844" s="308">
        <v>46045</v>
      </c>
      <c r="U844" s="308">
        <v>46045</v>
      </c>
      <c r="V844" s="308"/>
      <c r="W844" s="315">
        <f t="shared" si="83"/>
        <v>3</v>
      </c>
      <c r="X844" s="310" t="s">
        <v>54</v>
      </c>
      <c r="Y844" s="310" t="s">
        <v>56</v>
      </c>
      <c r="Z844" s="316"/>
      <c r="AA844" s="316" t="s">
        <v>2711</v>
      </c>
      <c r="AB844" s="316" t="s">
        <v>2711</v>
      </c>
    </row>
    <row r="845" spans="1:28" x14ac:dyDescent="0.25">
      <c r="A845" s="307">
        <f t="shared" si="79"/>
        <v>839</v>
      </c>
      <c r="B845" s="308">
        <v>46042</v>
      </c>
      <c r="C845" s="309">
        <f t="shared" si="80"/>
        <v>46023</v>
      </c>
      <c r="D845" s="310" t="s">
        <v>51</v>
      </c>
      <c r="E845" s="310" t="s">
        <v>2705</v>
      </c>
      <c r="F845" s="311">
        <v>9293605851</v>
      </c>
      <c r="G845" s="316" t="s">
        <v>6</v>
      </c>
      <c r="H845" s="316" t="s">
        <v>1874</v>
      </c>
      <c r="I845" s="316" t="s">
        <v>2710</v>
      </c>
      <c r="J845" s="310" t="s">
        <v>172</v>
      </c>
      <c r="K845" s="312">
        <v>31750</v>
      </c>
      <c r="L845" s="312">
        <v>40320</v>
      </c>
      <c r="M845" s="313">
        <f t="shared" si="81"/>
        <v>8570</v>
      </c>
      <c r="N845" s="314">
        <f t="shared" si="82"/>
        <v>0.212549603174603</v>
      </c>
      <c r="O845" s="312">
        <v>31750</v>
      </c>
      <c r="P845" s="313">
        <f t="shared" si="78"/>
        <v>0</v>
      </c>
      <c r="Q845" s="310" t="s">
        <v>147</v>
      </c>
      <c r="R845" s="310">
        <v>439</v>
      </c>
      <c r="S845" s="310"/>
      <c r="T845" s="308">
        <v>46045</v>
      </c>
      <c r="U845" s="308">
        <v>46045</v>
      </c>
      <c r="V845" s="308"/>
      <c r="W845" s="315">
        <f t="shared" si="83"/>
        <v>3</v>
      </c>
      <c r="X845" s="310" t="s">
        <v>54</v>
      </c>
      <c r="Y845" s="310" t="s">
        <v>439</v>
      </c>
      <c r="Z845" s="316"/>
      <c r="AA845" s="316" t="s">
        <v>2711</v>
      </c>
      <c r="AB845" s="316" t="s">
        <v>2711</v>
      </c>
    </row>
    <row r="846" spans="1:28" x14ac:dyDescent="0.25">
      <c r="A846" s="307">
        <f t="shared" si="79"/>
        <v>840</v>
      </c>
      <c r="B846" s="308">
        <v>46043</v>
      </c>
      <c r="C846" s="309">
        <f t="shared" si="80"/>
        <v>46023</v>
      </c>
      <c r="D846" s="310" t="s">
        <v>51</v>
      </c>
      <c r="E846" s="310" t="s">
        <v>2706</v>
      </c>
      <c r="F846" s="311">
        <v>9271530210</v>
      </c>
      <c r="G846" s="316" t="s">
        <v>6</v>
      </c>
      <c r="H846" s="316" t="s">
        <v>2708</v>
      </c>
      <c r="I846" s="316" t="s">
        <v>2709</v>
      </c>
      <c r="J846" s="310" t="s">
        <v>172</v>
      </c>
      <c r="K846" s="312">
        <v>32700</v>
      </c>
      <c r="L846" s="312">
        <v>46620</v>
      </c>
      <c r="M846" s="313">
        <f t="shared" si="81"/>
        <v>13920</v>
      </c>
      <c r="N846" s="314">
        <f t="shared" si="82"/>
        <v>0.298584298584299</v>
      </c>
      <c r="O846" s="312">
        <v>29980</v>
      </c>
      <c r="P846" s="313">
        <f t="shared" si="78"/>
        <v>2720</v>
      </c>
      <c r="Q846" s="310" t="s">
        <v>147</v>
      </c>
      <c r="R846" s="310">
        <v>440</v>
      </c>
      <c r="S846" s="310"/>
      <c r="T846" s="308">
        <v>46046</v>
      </c>
      <c r="U846" s="308">
        <v>46046</v>
      </c>
      <c r="V846" s="308"/>
      <c r="W846" s="315">
        <f t="shared" si="83"/>
        <v>3</v>
      </c>
      <c r="X846" s="310" t="s">
        <v>54</v>
      </c>
      <c r="Y846" s="310" t="s">
        <v>3777</v>
      </c>
      <c r="Z846" s="316"/>
      <c r="AA846" s="316" t="s">
        <v>2712</v>
      </c>
      <c r="AB846" s="316" t="s">
        <v>2712</v>
      </c>
    </row>
    <row r="847" spans="1:28" x14ac:dyDescent="0.25">
      <c r="A847" s="307">
        <f t="shared" si="79"/>
        <v>841</v>
      </c>
      <c r="B847" s="308">
        <v>46045</v>
      </c>
      <c r="C847" s="309">
        <f t="shared" si="80"/>
        <v>46023</v>
      </c>
      <c r="D847" s="310" t="s">
        <v>56</v>
      </c>
      <c r="E847" s="310" t="s">
        <v>1637</v>
      </c>
      <c r="F847" s="311">
        <v>9793531306</v>
      </c>
      <c r="G847" s="316" t="s">
        <v>1093</v>
      </c>
      <c r="H847" s="316" t="s">
        <v>2720</v>
      </c>
      <c r="I847" s="316" t="s">
        <v>6</v>
      </c>
      <c r="J847" s="310" t="s">
        <v>172</v>
      </c>
      <c r="K847" s="312">
        <v>42180</v>
      </c>
      <c r="L847" s="312">
        <v>102690</v>
      </c>
      <c r="M847" s="313">
        <f t="shared" si="81"/>
        <v>60510</v>
      </c>
      <c r="N847" s="314">
        <f t="shared" si="82"/>
        <v>0.58924919661116</v>
      </c>
      <c r="O847" s="312">
        <v>42180</v>
      </c>
      <c r="P847" s="313">
        <f t="shared" si="78"/>
        <v>0</v>
      </c>
      <c r="Q847" s="310" t="s">
        <v>147</v>
      </c>
      <c r="R847" s="310">
        <v>441</v>
      </c>
      <c r="S847" s="310"/>
      <c r="T847" s="308">
        <v>46048</v>
      </c>
      <c r="U847" s="308">
        <v>46049</v>
      </c>
      <c r="V847" s="308"/>
      <c r="W847" s="315">
        <f t="shared" si="83"/>
        <v>4</v>
      </c>
      <c r="X847" s="310" t="s">
        <v>54</v>
      </c>
      <c r="Y847" s="310" t="s">
        <v>56</v>
      </c>
      <c r="Z847" s="316"/>
      <c r="AA847" s="316" t="s">
        <v>2713</v>
      </c>
      <c r="AB847" s="316" t="s">
        <v>2714</v>
      </c>
    </row>
    <row r="848" spans="1:28" x14ac:dyDescent="0.25">
      <c r="A848" s="307">
        <f t="shared" si="79"/>
        <v>842</v>
      </c>
      <c r="B848" s="308">
        <v>46045</v>
      </c>
      <c r="C848" s="309">
        <f t="shared" si="80"/>
        <v>46023</v>
      </c>
      <c r="D848" s="310" t="s">
        <v>56</v>
      </c>
      <c r="E848" s="310" t="s">
        <v>38</v>
      </c>
      <c r="F848" s="311">
        <v>9515412075</v>
      </c>
      <c r="G848" s="316" t="s">
        <v>6</v>
      </c>
      <c r="H848" s="316" t="s">
        <v>1874</v>
      </c>
      <c r="I848" s="316" t="s">
        <v>2716</v>
      </c>
      <c r="J848" s="310" t="s">
        <v>59</v>
      </c>
      <c r="K848" s="312">
        <v>32590</v>
      </c>
      <c r="L848" s="312">
        <v>38740</v>
      </c>
      <c r="M848" s="313">
        <f t="shared" si="81"/>
        <v>6150</v>
      </c>
      <c r="N848" s="314">
        <f t="shared" si="82"/>
        <v>0.158750645327827</v>
      </c>
      <c r="O848" s="312">
        <v>32590</v>
      </c>
      <c r="P848" s="313">
        <f t="shared" si="78"/>
        <v>0</v>
      </c>
      <c r="Q848" s="310" t="s">
        <v>147</v>
      </c>
      <c r="R848" s="310">
        <v>442</v>
      </c>
      <c r="S848" s="310"/>
      <c r="T848" s="308">
        <v>46049</v>
      </c>
      <c r="U848" s="308">
        <v>46049</v>
      </c>
      <c r="V848" s="308"/>
      <c r="W848" s="315">
        <f t="shared" si="83"/>
        <v>4</v>
      </c>
      <c r="X848" s="310" t="s">
        <v>54</v>
      </c>
      <c r="Y848" s="310" t="s">
        <v>56</v>
      </c>
      <c r="Z848" s="316"/>
      <c r="AA848" s="316" t="s">
        <v>2714</v>
      </c>
      <c r="AB848" s="316" t="s">
        <v>2714</v>
      </c>
    </row>
    <row r="849" spans="1:28" x14ac:dyDescent="0.25">
      <c r="A849" s="307">
        <f t="shared" si="79"/>
        <v>843</v>
      </c>
      <c r="B849" s="308">
        <v>46046</v>
      </c>
      <c r="C849" s="309">
        <f t="shared" si="80"/>
        <v>46023</v>
      </c>
      <c r="D849" s="310" t="s">
        <v>51</v>
      </c>
      <c r="E849" s="310" t="s">
        <v>2589</v>
      </c>
      <c r="F849" s="311">
        <v>9348294554</v>
      </c>
      <c r="G849" s="316" t="s">
        <v>1093</v>
      </c>
      <c r="H849" s="316" t="s">
        <v>1874</v>
      </c>
      <c r="I849" s="316" t="s">
        <v>2717</v>
      </c>
      <c r="J849" s="310" t="s">
        <v>172</v>
      </c>
      <c r="K849" s="312">
        <v>65330</v>
      </c>
      <c r="L849" s="312">
        <v>96390</v>
      </c>
      <c r="M849" s="313">
        <f t="shared" si="81"/>
        <v>31060</v>
      </c>
      <c r="N849" s="314">
        <f t="shared" si="82"/>
        <v>0.322232596742401</v>
      </c>
      <c r="O849" s="312">
        <v>65330</v>
      </c>
      <c r="P849" s="313">
        <f t="shared" si="78"/>
        <v>0</v>
      </c>
      <c r="Q849" s="310" t="s">
        <v>147</v>
      </c>
      <c r="R849" s="310">
        <v>443</v>
      </c>
      <c r="S849" s="310"/>
      <c r="T849" s="308">
        <v>46050</v>
      </c>
      <c r="U849" s="308">
        <v>46050</v>
      </c>
      <c r="V849" s="308"/>
      <c r="W849" s="315">
        <f t="shared" si="83"/>
        <v>4</v>
      </c>
      <c r="X849" s="310" t="s">
        <v>54</v>
      </c>
      <c r="Y849" s="310" t="s">
        <v>2616</v>
      </c>
      <c r="Z849" s="316"/>
      <c r="AA849" s="316" t="s">
        <v>2723</v>
      </c>
      <c r="AB849" s="316" t="s">
        <v>2723</v>
      </c>
    </row>
    <row r="850" spans="1:28" x14ac:dyDescent="0.25">
      <c r="A850" s="307">
        <f t="shared" si="79"/>
        <v>844</v>
      </c>
      <c r="B850" s="308">
        <v>46046</v>
      </c>
      <c r="C850" s="309">
        <f t="shared" si="80"/>
        <v>46023</v>
      </c>
      <c r="D850" s="310" t="s">
        <v>56</v>
      </c>
      <c r="E850" s="310" t="s">
        <v>1644</v>
      </c>
      <c r="F850" s="311">
        <v>9902798068</v>
      </c>
      <c r="G850" s="316" t="s">
        <v>6</v>
      </c>
      <c r="H850" s="316" t="s">
        <v>1874</v>
      </c>
      <c r="I850" s="316" t="s">
        <v>2715</v>
      </c>
      <c r="J850" s="310" t="s">
        <v>172</v>
      </c>
      <c r="K850" s="312">
        <v>32820</v>
      </c>
      <c r="L850" s="312">
        <v>40320</v>
      </c>
      <c r="M850" s="313">
        <f t="shared" si="81"/>
        <v>7500</v>
      </c>
      <c r="N850" s="314">
        <f t="shared" si="82"/>
        <v>0.186011904761905</v>
      </c>
      <c r="O850" s="312">
        <v>32820</v>
      </c>
      <c r="P850" s="313">
        <f t="shared" si="78"/>
        <v>0</v>
      </c>
      <c r="Q850" s="310" t="s">
        <v>147</v>
      </c>
      <c r="R850" s="310">
        <v>444</v>
      </c>
      <c r="S850" s="310"/>
      <c r="T850" s="308">
        <v>46049</v>
      </c>
      <c r="U850" s="308">
        <v>46049</v>
      </c>
      <c r="V850" s="308"/>
      <c r="W850" s="315">
        <f t="shared" si="83"/>
        <v>3</v>
      </c>
      <c r="X850" s="310" t="s">
        <v>54</v>
      </c>
      <c r="Y850" s="310" t="s">
        <v>56</v>
      </c>
      <c r="Z850" s="316"/>
      <c r="AA850" s="316" t="s">
        <v>2714</v>
      </c>
      <c r="AB850" s="316" t="s">
        <v>2714</v>
      </c>
    </row>
    <row r="851" spans="1:28" x14ac:dyDescent="0.25">
      <c r="A851" s="307">
        <f t="shared" si="79"/>
        <v>845</v>
      </c>
      <c r="B851" s="308">
        <v>46050</v>
      </c>
      <c r="C851" s="309">
        <f t="shared" si="80"/>
        <v>46023</v>
      </c>
      <c r="D851" s="310" t="s">
        <v>56</v>
      </c>
      <c r="E851" s="310" t="s">
        <v>38</v>
      </c>
      <c r="F851" s="311">
        <v>9486716172</v>
      </c>
      <c r="G851" s="316" t="s">
        <v>1093</v>
      </c>
      <c r="H851" s="316" t="s">
        <v>2727</v>
      </c>
      <c r="I851" s="316" t="s">
        <v>6</v>
      </c>
      <c r="J851" s="310" t="s">
        <v>59</v>
      </c>
      <c r="K851" s="312">
        <v>40480</v>
      </c>
      <c r="L851" s="312">
        <v>91350</v>
      </c>
      <c r="M851" s="313">
        <f t="shared" si="81"/>
        <v>50870</v>
      </c>
      <c r="N851" s="314">
        <f t="shared" si="82"/>
        <v>0.556869184455391</v>
      </c>
      <c r="O851" s="312">
        <v>40480</v>
      </c>
      <c r="P851" s="313">
        <f t="shared" si="78"/>
        <v>0</v>
      </c>
      <c r="Q851" s="310" t="s">
        <v>147</v>
      </c>
      <c r="R851" s="310">
        <v>445</v>
      </c>
      <c r="S851" s="310"/>
      <c r="T851" s="308">
        <v>46053</v>
      </c>
      <c r="U851" s="308">
        <v>46054</v>
      </c>
      <c r="V851" s="308"/>
      <c r="W851" s="315">
        <f t="shared" si="83"/>
        <v>4</v>
      </c>
      <c r="X851" s="310" t="s">
        <v>54</v>
      </c>
      <c r="Y851" s="310" t="s">
        <v>56</v>
      </c>
      <c r="Z851" s="316"/>
      <c r="AA851" s="316" t="s">
        <v>2729</v>
      </c>
      <c r="AB851" s="317">
        <v>46024</v>
      </c>
    </row>
    <row r="852" spans="1:28" x14ac:dyDescent="0.25">
      <c r="A852" s="307">
        <f t="shared" si="79"/>
        <v>846</v>
      </c>
      <c r="B852" s="308">
        <v>46050</v>
      </c>
      <c r="C852" s="309">
        <f t="shared" si="80"/>
        <v>46023</v>
      </c>
      <c r="D852" s="310" t="s">
        <v>56</v>
      </c>
      <c r="E852" s="310" t="s">
        <v>1641</v>
      </c>
      <c r="F852" s="311">
        <v>9281983602</v>
      </c>
      <c r="G852" s="316" t="s">
        <v>6</v>
      </c>
      <c r="H852" s="316" t="s">
        <v>1874</v>
      </c>
      <c r="I852" s="316" t="s">
        <v>2725</v>
      </c>
      <c r="J852" s="310" t="s">
        <v>172</v>
      </c>
      <c r="K852" s="312">
        <v>32820</v>
      </c>
      <c r="L852" s="312">
        <v>40320</v>
      </c>
      <c r="M852" s="313">
        <f t="shared" si="81"/>
        <v>7500</v>
      </c>
      <c r="N852" s="314">
        <f t="shared" si="82"/>
        <v>0.186011904761905</v>
      </c>
      <c r="O852" s="312">
        <v>32820</v>
      </c>
      <c r="P852" s="313">
        <f t="shared" si="78"/>
        <v>0</v>
      </c>
      <c r="Q852" s="310" t="s">
        <v>147</v>
      </c>
      <c r="R852" s="310">
        <v>446</v>
      </c>
      <c r="S852" s="310"/>
      <c r="T852" s="308">
        <v>46052</v>
      </c>
      <c r="U852" s="308">
        <v>46052</v>
      </c>
      <c r="V852" s="308"/>
      <c r="W852" s="315">
        <f t="shared" si="83"/>
        <v>2</v>
      </c>
      <c r="X852" s="310" t="s">
        <v>54</v>
      </c>
      <c r="Y852" s="310" t="s">
        <v>56</v>
      </c>
      <c r="Z852" s="316"/>
      <c r="AA852" s="316" t="s">
        <v>2730</v>
      </c>
      <c r="AB852" s="316" t="s">
        <v>2730</v>
      </c>
    </row>
    <row r="853" spans="1:28" x14ac:dyDescent="0.25">
      <c r="A853" s="307">
        <f t="shared" si="79"/>
        <v>847</v>
      </c>
      <c r="B853" s="308">
        <v>46050</v>
      </c>
      <c r="C853" s="309">
        <f t="shared" si="80"/>
        <v>46023</v>
      </c>
      <c r="D853" s="310" t="s">
        <v>56</v>
      </c>
      <c r="E853" s="310" t="s">
        <v>60</v>
      </c>
      <c r="F853" s="311">
        <v>9220186371</v>
      </c>
      <c r="G853" s="316" t="s">
        <v>6</v>
      </c>
      <c r="H853" s="316" t="s">
        <v>1874</v>
      </c>
      <c r="I853" s="316" t="s">
        <v>2724</v>
      </c>
      <c r="J853" s="310" t="s">
        <v>172</v>
      </c>
      <c r="K853" s="312">
        <v>32820</v>
      </c>
      <c r="L853" s="312">
        <v>40320</v>
      </c>
      <c r="M853" s="313">
        <f t="shared" si="81"/>
        <v>7500</v>
      </c>
      <c r="N853" s="314">
        <f t="shared" si="82"/>
        <v>0.186011904761905</v>
      </c>
      <c r="O853" s="312">
        <v>32820</v>
      </c>
      <c r="P853" s="313">
        <f t="shared" si="78"/>
        <v>0</v>
      </c>
      <c r="Q853" s="310" t="s">
        <v>147</v>
      </c>
      <c r="R853" s="310">
        <v>447</v>
      </c>
      <c r="S853" s="310"/>
      <c r="T853" s="308">
        <v>46053</v>
      </c>
      <c r="U853" s="308">
        <v>46053</v>
      </c>
      <c r="V853" s="308"/>
      <c r="W853" s="315">
        <f t="shared" si="83"/>
        <v>3</v>
      </c>
      <c r="X853" s="310" t="s">
        <v>54</v>
      </c>
      <c r="Y853" s="310" t="s">
        <v>56</v>
      </c>
      <c r="Z853" s="316"/>
      <c r="AA853" s="316" t="s">
        <v>2729</v>
      </c>
      <c r="AB853" s="316" t="s">
        <v>2729</v>
      </c>
    </row>
    <row r="854" spans="1:28" x14ac:dyDescent="0.25">
      <c r="A854" s="307">
        <f t="shared" si="79"/>
        <v>848</v>
      </c>
      <c r="B854" s="308">
        <v>46051</v>
      </c>
      <c r="C854" s="309">
        <f t="shared" si="80"/>
        <v>46023</v>
      </c>
      <c r="D854" s="310" t="s">
        <v>56</v>
      </c>
      <c r="E854" s="310" t="s">
        <v>1635</v>
      </c>
      <c r="F854" s="311">
        <v>9472230553</v>
      </c>
      <c r="G854" s="316" t="s">
        <v>6</v>
      </c>
      <c r="H854" s="316" t="s">
        <v>1874</v>
      </c>
      <c r="I854" s="316" t="s">
        <v>2726</v>
      </c>
      <c r="J854" s="310" t="s">
        <v>172</v>
      </c>
      <c r="K854" s="312">
        <v>32820</v>
      </c>
      <c r="L854" s="312">
        <v>40320</v>
      </c>
      <c r="M854" s="313">
        <f t="shared" si="81"/>
        <v>7500</v>
      </c>
      <c r="N854" s="314">
        <f t="shared" si="82"/>
        <v>0.186011904761905</v>
      </c>
      <c r="O854" s="312">
        <v>32820</v>
      </c>
      <c r="P854" s="313">
        <f t="shared" si="78"/>
        <v>0</v>
      </c>
      <c r="Q854" s="310" t="s">
        <v>147</v>
      </c>
      <c r="R854" s="310">
        <v>448</v>
      </c>
      <c r="S854" s="310"/>
      <c r="T854" s="308">
        <v>46053</v>
      </c>
      <c r="U854" s="308">
        <v>46053</v>
      </c>
      <c r="V854" s="308"/>
      <c r="W854" s="315">
        <f t="shared" si="83"/>
        <v>2</v>
      </c>
      <c r="X854" s="310" t="s">
        <v>54</v>
      </c>
      <c r="Y854" s="310" t="s">
        <v>56</v>
      </c>
      <c r="Z854" s="316"/>
      <c r="AA854" s="316" t="s">
        <v>2729</v>
      </c>
      <c r="AB854" s="316" t="s">
        <v>2729</v>
      </c>
    </row>
    <row r="855" spans="1:28" x14ac:dyDescent="0.25">
      <c r="A855" s="307">
        <f t="shared" si="79"/>
        <v>849</v>
      </c>
      <c r="B855" s="308">
        <v>46051</v>
      </c>
      <c r="C855" s="309">
        <f t="shared" si="80"/>
        <v>46023</v>
      </c>
      <c r="D855" s="310" t="s">
        <v>56</v>
      </c>
      <c r="E855" s="310" t="s">
        <v>1644</v>
      </c>
      <c r="F855" s="311">
        <v>9902798068</v>
      </c>
      <c r="G855" s="316" t="s">
        <v>1093</v>
      </c>
      <c r="H855" s="316" t="s">
        <v>3778</v>
      </c>
      <c r="I855" s="316" t="s">
        <v>6</v>
      </c>
      <c r="J855" s="310" t="s">
        <v>172</v>
      </c>
      <c r="K855" s="312">
        <v>42180</v>
      </c>
      <c r="L855" s="312">
        <v>102690</v>
      </c>
      <c r="M855" s="313">
        <f t="shared" si="81"/>
        <v>60510</v>
      </c>
      <c r="N855" s="314">
        <f t="shared" si="82"/>
        <v>0.58924919661116</v>
      </c>
      <c r="O855" s="312">
        <v>42180</v>
      </c>
      <c r="P855" s="313">
        <f t="shared" si="78"/>
        <v>0</v>
      </c>
      <c r="Q855" s="310" t="s">
        <v>147</v>
      </c>
      <c r="R855" s="310">
        <v>450</v>
      </c>
      <c r="S855" s="310"/>
      <c r="T855" s="308">
        <v>46054</v>
      </c>
      <c r="U855" s="308">
        <v>46054</v>
      </c>
      <c r="V855" s="308"/>
      <c r="W855" s="315">
        <f t="shared" si="83"/>
        <v>3</v>
      </c>
      <c r="X855" s="310" t="s">
        <v>54</v>
      </c>
      <c r="Y855" s="310" t="s">
        <v>56</v>
      </c>
      <c r="Z855" s="316"/>
      <c r="AA855" s="317">
        <v>46024</v>
      </c>
      <c r="AB855" s="317">
        <v>46024</v>
      </c>
    </row>
    <row r="856" spans="1:28" x14ac:dyDescent="0.25">
      <c r="A856" s="307">
        <f t="shared" si="79"/>
        <v>850</v>
      </c>
      <c r="B856" s="308">
        <v>46051</v>
      </c>
      <c r="C856" s="309">
        <f t="shared" si="80"/>
        <v>46023</v>
      </c>
      <c r="D856" s="310" t="s">
        <v>51</v>
      </c>
      <c r="E856" s="310" t="s">
        <v>2589</v>
      </c>
      <c r="F856" s="311">
        <v>9907656818</v>
      </c>
      <c r="G856" s="316" t="s">
        <v>6</v>
      </c>
      <c r="H856" s="316" t="s">
        <v>1874</v>
      </c>
      <c r="I856" s="316" t="s">
        <v>2733</v>
      </c>
      <c r="J856" s="310" t="s">
        <v>172</v>
      </c>
      <c r="K856" s="312">
        <v>30150</v>
      </c>
      <c r="L856" s="312">
        <v>40320</v>
      </c>
      <c r="M856" s="313">
        <f t="shared" si="81"/>
        <v>10170</v>
      </c>
      <c r="N856" s="314">
        <f t="shared" si="82"/>
        <v>0.252232142857143</v>
      </c>
      <c r="O856" s="312">
        <v>30150</v>
      </c>
      <c r="P856" s="313">
        <f t="shared" si="78"/>
        <v>0</v>
      </c>
      <c r="Q856" s="310" t="s">
        <v>147</v>
      </c>
      <c r="R856" s="310">
        <v>451</v>
      </c>
      <c r="S856" s="310"/>
      <c r="T856" s="308">
        <v>46055</v>
      </c>
      <c r="U856" s="308">
        <v>46055</v>
      </c>
      <c r="V856" s="308"/>
      <c r="W856" s="315">
        <f t="shared" si="83"/>
        <v>4</v>
      </c>
      <c r="X856" s="310" t="s">
        <v>54</v>
      </c>
      <c r="Y856" s="310" t="s">
        <v>2616</v>
      </c>
      <c r="Z856" s="316"/>
      <c r="AA856" s="317">
        <v>46055</v>
      </c>
      <c r="AB856" s="317">
        <v>46055</v>
      </c>
    </row>
    <row r="857" spans="1:28" x14ac:dyDescent="0.25">
      <c r="A857" s="307">
        <f t="shared" si="79"/>
        <v>851</v>
      </c>
      <c r="B857" s="308">
        <v>46054</v>
      </c>
      <c r="C857" s="309">
        <f t="shared" si="80"/>
        <v>46054</v>
      </c>
      <c r="D857" s="310" t="s">
        <v>56</v>
      </c>
      <c r="E857" s="310" t="s">
        <v>1641</v>
      </c>
      <c r="F857" s="311">
        <v>9281983602</v>
      </c>
      <c r="G857" s="316" t="s">
        <v>1093</v>
      </c>
      <c r="H857" s="316" t="s">
        <v>2735</v>
      </c>
      <c r="I857" s="316" t="s">
        <v>6</v>
      </c>
      <c r="J857" s="310" t="s">
        <v>172</v>
      </c>
      <c r="K857" s="312">
        <v>41230</v>
      </c>
      <c r="L857" s="312">
        <v>96390</v>
      </c>
      <c r="M857" s="313">
        <f t="shared" si="81"/>
        <v>55160</v>
      </c>
      <c r="N857" s="314">
        <f t="shared" si="82"/>
        <v>0.572258533042847</v>
      </c>
      <c r="O857" s="312">
        <v>41230</v>
      </c>
      <c r="P857" s="313">
        <f t="shared" si="78"/>
        <v>0</v>
      </c>
      <c r="Q857" s="310" t="s">
        <v>147</v>
      </c>
      <c r="R857" s="310">
        <v>452</v>
      </c>
      <c r="S857" s="310"/>
      <c r="T857" s="308">
        <v>46056</v>
      </c>
      <c r="U857" s="308">
        <v>46056</v>
      </c>
      <c r="V857" s="308"/>
      <c r="W857" s="315">
        <f t="shared" si="83"/>
        <v>2</v>
      </c>
      <c r="X857" s="310" t="s">
        <v>54</v>
      </c>
      <c r="Y857" s="310" t="s">
        <v>56</v>
      </c>
      <c r="Z857" s="316"/>
      <c r="AA857" s="317">
        <v>46083</v>
      </c>
      <c r="AB857" s="317">
        <v>46083</v>
      </c>
    </row>
    <row r="858" spans="1:28" x14ac:dyDescent="0.25">
      <c r="A858" s="307">
        <f t="shared" si="79"/>
        <v>852</v>
      </c>
      <c r="B858" s="308">
        <v>46056</v>
      </c>
      <c r="C858" s="309">
        <f t="shared" si="80"/>
        <v>46054</v>
      </c>
      <c r="D858" s="310" t="s">
        <v>56</v>
      </c>
      <c r="E858" s="310" t="s">
        <v>38</v>
      </c>
      <c r="F858" s="311">
        <v>9515412075</v>
      </c>
      <c r="G858" s="316" t="s">
        <v>6</v>
      </c>
      <c r="H858" s="316" t="s">
        <v>1874</v>
      </c>
      <c r="I858" s="316" t="s">
        <v>2740</v>
      </c>
      <c r="J858" s="310" t="s">
        <v>59</v>
      </c>
      <c r="K858" s="312">
        <v>32590</v>
      </c>
      <c r="L858" s="312">
        <v>38740</v>
      </c>
      <c r="M858" s="313">
        <f t="shared" si="81"/>
        <v>6150</v>
      </c>
      <c r="N858" s="314">
        <f t="shared" si="82"/>
        <v>0.158750645327827</v>
      </c>
      <c r="O858" s="312">
        <v>32590</v>
      </c>
      <c r="P858" s="313">
        <f t="shared" si="78"/>
        <v>0</v>
      </c>
      <c r="Q858" s="310" t="s">
        <v>147</v>
      </c>
      <c r="R858" s="310">
        <v>453</v>
      </c>
      <c r="S858" s="310"/>
      <c r="T858" s="308">
        <v>46059</v>
      </c>
      <c r="U858" s="308">
        <v>46059</v>
      </c>
      <c r="V858" s="308"/>
      <c r="W858" s="315">
        <f t="shared" si="83"/>
        <v>3</v>
      </c>
      <c r="X858" s="310" t="s">
        <v>54</v>
      </c>
      <c r="Y858" s="310" t="s">
        <v>56</v>
      </c>
      <c r="Z858" s="316"/>
      <c r="AA858" s="317">
        <v>46175</v>
      </c>
      <c r="AB858" s="317">
        <v>46175</v>
      </c>
    </row>
    <row r="859" spans="1:28" x14ac:dyDescent="0.25">
      <c r="A859" s="307">
        <f t="shared" si="79"/>
        <v>853</v>
      </c>
      <c r="B859" s="308">
        <v>46056</v>
      </c>
      <c r="C859" s="309">
        <f t="shared" si="80"/>
        <v>46054</v>
      </c>
      <c r="D859" s="310" t="s">
        <v>56</v>
      </c>
      <c r="E859" s="310" t="s">
        <v>60</v>
      </c>
      <c r="F859" s="311">
        <v>9220186371</v>
      </c>
      <c r="G859" s="316" t="s">
        <v>105</v>
      </c>
      <c r="H859" s="316" t="s">
        <v>2748</v>
      </c>
      <c r="I859" s="316" t="s">
        <v>6</v>
      </c>
      <c r="J859" s="310" t="s">
        <v>172</v>
      </c>
      <c r="K859" s="312">
        <v>42180</v>
      </c>
      <c r="L859" s="312">
        <v>102690</v>
      </c>
      <c r="M859" s="313">
        <f t="shared" si="81"/>
        <v>60510</v>
      </c>
      <c r="N859" s="314">
        <f t="shared" si="82"/>
        <v>0.58924919661116</v>
      </c>
      <c r="O859" s="312">
        <v>42180</v>
      </c>
      <c r="P859" s="313">
        <f t="shared" si="78"/>
        <v>0</v>
      </c>
      <c r="Q859" s="310" t="s">
        <v>147</v>
      </c>
      <c r="R859" s="310">
        <v>454</v>
      </c>
      <c r="S859" s="310"/>
      <c r="T859" s="308">
        <v>46059</v>
      </c>
      <c r="U859" s="308">
        <v>46059</v>
      </c>
      <c r="V859" s="308"/>
      <c r="W859" s="315">
        <f t="shared" si="83"/>
        <v>3</v>
      </c>
      <c r="X859" s="310" t="s">
        <v>54</v>
      </c>
      <c r="Y859" s="310" t="s">
        <v>56</v>
      </c>
      <c r="Z859" s="316"/>
      <c r="AA859" s="317">
        <v>46175</v>
      </c>
      <c r="AB859" s="317">
        <v>46175</v>
      </c>
    </row>
    <row r="860" spans="1:28" x14ac:dyDescent="0.25">
      <c r="A860" s="307">
        <f t="shared" si="79"/>
        <v>854</v>
      </c>
      <c r="B860" s="308">
        <v>46056</v>
      </c>
      <c r="C860" s="309">
        <f t="shared" si="80"/>
        <v>46054</v>
      </c>
      <c r="D860" s="310" t="s">
        <v>56</v>
      </c>
      <c r="E860" s="310" t="s">
        <v>1635</v>
      </c>
      <c r="F860" s="311">
        <v>9220186371</v>
      </c>
      <c r="G860" s="316" t="s">
        <v>1093</v>
      </c>
      <c r="H860" s="316" t="s">
        <v>2751</v>
      </c>
      <c r="I860" s="316" t="s">
        <v>6</v>
      </c>
      <c r="J860" s="310" t="s">
        <v>172</v>
      </c>
      <c r="K860" s="312">
        <v>41230</v>
      </c>
      <c r="L860" s="312">
        <v>96390</v>
      </c>
      <c r="M860" s="313">
        <f t="shared" si="81"/>
        <v>55160</v>
      </c>
      <c r="N860" s="314">
        <f t="shared" si="82"/>
        <v>0.572258533042847</v>
      </c>
      <c r="O860" s="312">
        <v>41230</v>
      </c>
      <c r="P860" s="313">
        <f t="shared" si="78"/>
        <v>0</v>
      </c>
      <c r="Q860" s="310" t="s">
        <v>147</v>
      </c>
      <c r="R860" s="310">
        <v>455</v>
      </c>
      <c r="S860" s="310"/>
      <c r="T860" s="308">
        <v>46059</v>
      </c>
      <c r="U860" s="308">
        <v>46059</v>
      </c>
      <c r="V860" s="308"/>
      <c r="W860" s="315">
        <f t="shared" si="83"/>
        <v>3</v>
      </c>
      <c r="X860" s="310" t="s">
        <v>54</v>
      </c>
      <c r="Y860" s="310" t="s">
        <v>56</v>
      </c>
      <c r="Z860" s="316"/>
      <c r="AA860" s="317">
        <v>46175</v>
      </c>
      <c r="AB860" s="317">
        <v>46175</v>
      </c>
    </row>
    <row r="861" spans="1:28" x14ac:dyDescent="0.25">
      <c r="A861" s="307">
        <f t="shared" si="79"/>
        <v>855</v>
      </c>
      <c r="B861" s="308">
        <v>46057</v>
      </c>
      <c r="C861" s="309">
        <f t="shared" si="80"/>
        <v>46054</v>
      </c>
      <c r="D861" s="310" t="s">
        <v>56</v>
      </c>
      <c r="E861" s="310" t="s">
        <v>1644</v>
      </c>
      <c r="F861" s="311">
        <v>9902798068</v>
      </c>
      <c r="G861" s="316" t="s">
        <v>6</v>
      </c>
      <c r="H861" s="316" t="s">
        <v>1874</v>
      </c>
      <c r="I861" s="316" t="s">
        <v>2741</v>
      </c>
      <c r="J861" s="310" t="s">
        <v>172</v>
      </c>
      <c r="K861" s="312">
        <v>32820</v>
      </c>
      <c r="L861" s="312">
        <v>40320</v>
      </c>
      <c r="M861" s="313">
        <f t="shared" si="81"/>
        <v>7500</v>
      </c>
      <c r="N861" s="314">
        <f t="shared" si="82"/>
        <v>0.186011904761905</v>
      </c>
      <c r="O861" s="312">
        <v>32820</v>
      </c>
      <c r="P861" s="313">
        <f t="shared" si="78"/>
        <v>0</v>
      </c>
      <c r="Q861" s="310" t="s">
        <v>147</v>
      </c>
      <c r="R861" s="310">
        <v>456</v>
      </c>
      <c r="S861" s="310"/>
      <c r="T861" s="308">
        <v>46060</v>
      </c>
      <c r="U861" s="308">
        <v>46060</v>
      </c>
      <c r="V861" s="308"/>
      <c r="W861" s="315">
        <f t="shared" si="83"/>
        <v>3</v>
      </c>
      <c r="X861" s="310" t="s">
        <v>54</v>
      </c>
      <c r="Y861" s="310" t="s">
        <v>56</v>
      </c>
      <c r="Z861" s="316"/>
      <c r="AA861" s="317">
        <v>46205</v>
      </c>
      <c r="AB861" s="317">
        <v>46205</v>
      </c>
    </row>
    <row r="862" spans="1:28" x14ac:dyDescent="0.25">
      <c r="A862" s="307">
        <f t="shared" si="79"/>
        <v>856</v>
      </c>
      <c r="B862" s="308">
        <v>46057</v>
      </c>
      <c r="C862" s="309">
        <f t="shared" si="80"/>
        <v>46054</v>
      </c>
      <c r="D862" s="310" t="s">
        <v>56</v>
      </c>
      <c r="E862" s="310" t="s">
        <v>1637</v>
      </c>
      <c r="F862" s="311">
        <v>9793531306</v>
      </c>
      <c r="G862" s="316" t="s">
        <v>1093</v>
      </c>
      <c r="H862" s="316" t="s">
        <v>2749</v>
      </c>
      <c r="I862" s="316" t="s">
        <v>6</v>
      </c>
      <c r="J862" s="310" t="s">
        <v>172</v>
      </c>
      <c r="K862" s="312">
        <v>41230</v>
      </c>
      <c r="L862" s="312">
        <v>96390</v>
      </c>
      <c r="M862" s="313">
        <f t="shared" si="81"/>
        <v>55160</v>
      </c>
      <c r="N862" s="314">
        <f t="shared" si="82"/>
        <v>0.572258533042847</v>
      </c>
      <c r="O862" s="312">
        <v>41230</v>
      </c>
      <c r="P862" s="313">
        <f t="shared" si="78"/>
        <v>0</v>
      </c>
      <c r="Q862" s="310" t="s">
        <v>147</v>
      </c>
      <c r="R862" s="310">
        <v>457</v>
      </c>
      <c r="S862" s="310"/>
      <c r="T862" s="308">
        <v>46060</v>
      </c>
      <c r="U862" s="308">
        <v>46060</v>
      </c>
      <c r="V862" s="308"/>
      <c r="W862" s="315">
        <f t="shared" si="83"/>
        <v>3</v>
      </c>
      <c r="X862" s="310" t="s">
        <v>54</v>
      </c>
      <c r="Y862" s="310" t="s">
        <v>56</v>
      </c>
      <c r="Z862" s="316"/>
      <c r="AA862" s="317">
        <v>46205</v>
      </c>
      <c r="AB862" s="317">
        <v>46205</v>
      </c>
    </row>
    <row r="863" spans="1:28" x14ac:dyDescent="0.25">
      <c r="A863" s="307">
        <f t="shared" si="79"/>
        <v>857</v>
      </c>
      <c r="B863" s="308">
        <v>46059</v>
      </c>
      <c r="C863" s="309">
        <f t="shared" si="80"/>
        <v>46054</v>
      </c>
      <c r="D863" s="310" t="s">
        <v>56</v>
      </c>
      <c r="E863" s="310" t="s">
        <v>1641</v>
      </c>
      <c r="F863" s="311">
        <v>9486716172</v>
      </c>
      <c r="G863" s="316" t="s">
        <v>6</v>
      </c>
      <c r="H863" s="316" t="s">
        <v>2742</v>
      </c>
      <c r="I863" s="316" t="s">
        <v>2743</v>
      </c>
      <c r="J863" s="310" t="s">
        <v>172</v>
      </c>
      <c r="K863" s="312">
        <v>33770</v>
      </c>
      <c r="L863" s="312">
        <v>46620</v>
      </c>
      <c r="M863" s="313">
        <f t="shared" si="81"/>
        <v>12850</v>
      </c>
      <c r="N863" s="314">
        <f t="shared" si="82"/>
        <v>0.275632775632776</v>
      </c>
      <c r="O863" s="312">
        <v>33770</v>
      </c>
      <c r="P863" s="313">
        <f t="shared" si="78"/>
        <v>0</v>
      </c>
      <c r="Q863" s="310" t="s">
        <v>147</v>
      </c>
      <c r="R863" s="310">
        <v>458</v>
      </c>
      <c r="S863" s="310"/>
      <c r="T863" s="308">
        <v>46062</v>
      </c>
      <c r="U863" s="308">
        <v>46062</v>
      </c>
      <c r="V863" s="308"/>
      <c r="W863" s="315">
        <f t="shared" si="83"/>
        <v>3</v>
      </c>
      <c r="X863" s="310" t="s">
        <v>54</v>
      </c>
      <c r="Y863" s="310" t="s">
        <v>56</v>
      </c>
      <c r="Z863" s="316"/>
      <c r="AA863" s="317">
        <v>46267</v>
      </c>
      <c r="AB863" s="317">
        <v>46267</v>
      </c>
    </row>
    <row r="864" spans="1:28" x14ac:dyDescent="0.25">
      <c r="A864" s="307">
        <f t="shared" si="79"/>
        <v>858</v>
      </c>
      <c r="B864" s="308">
        <v>46060</v>
      </c>
      <c r="C864" s="309">
        <f t="shared" si="80"/>
        <v>46054</v>
      </c>
      <c r="D864" s="310" t="s">
        <v>56</v>
      </c>
      <c r="E864" s="310" t="s">
        <v>38</v>
      </c>
      <c r="F864" s="311">
        <v>9486716172</v>
      </c>
      <c r="G864" s="316" t="s">
        <v>1093</v>
      </c>
      <c r="H864" s="316" t="s">
        <v>2750</v>
      </c>
      <c r="I864" s="316" t="s">
        <v>6</v>
      </c>
      <c r="J864" s="310" t="s">
        <v>59</v>
      </c>
      <c r="K864" s="312">
        <v>40480</v>
      </c>
      <c r="L864" s="312">
        <v>91350</v>
      </c>
      <c r="M864" s="313">
        <f t="shared" si="81"/>
        <v>50870</v>
      </c>
      <c r="N864" s="314">
        <f t="shared" si="82"/>
        <v>0.556869184455391</v>
      </c>
      <c r="O864" s="312">
        <v>40480</v>
      </c>
      <c r="P864" s="313">
        <f t="shared" si="78"/>
        <v>0</v>
      </c>
      <c r="Q864" s="310" t="s">
        <v>147</v>
      </c>
      <c r="R864" s="310">
        <v>459</v>
      </c>
      <c r="S864" s="310"/>
      <c r="T864" s="308">
        <v>46062</v>
      </c>
      <c r="U864" s="308">
        <v>46062</v>
      </c>
      <c r="V864" s="308"/>
      <c r="W864" s="315">
        <f t="shared" si="83"/>
        <v>2</v>
      </c>
      <c r="X864" s="310" t="s">
        <v>54</v>
      </c>
      <c r="Y864" s="310" t="s">
        <v>56</v>
      </c>
      <c r="Z864" s="316"/>
      <c r="AA864" s="317">
        <v>46267</v>
      </c>
      <c r="AB864" s="317">
        <v>46267</v>
      </c>
    </row>
    <row r="865" spans="1:28" x14ac:dyDescent="0.25">
      <c r="A865" s="307">
        <f t="shared" si="79"/>
        <v>859</v>
      </c>
      <c r="B865" s="308">
        <v>46060</v>
      </c>
      <c r="C865" s="309">
        <f t="shared" si="80"/>
        <v>46054</v>
      </c>
      <c r="D865" s="310" t="s">
        <v>56</v>
      </c>
      <c r="E865" s="310" t="s">
        <v>60</v>
      </c>
      <c r="F865" s="311">
        <v>9589264337</v>
      </c>
      <c r="G865" s="316" t="s">
        <v>6</v>
      </c>
      <c r="H865" s="316" t="s">
        <v>2744</v>
      </c>
      <c r="I865" s="316" t="s">
        <v>2745</v>
      </c>
      <c r="J865" s="310" t="s">
        <v>172</v>
      </c>
      <c r="K865" s="312">
        <v>33770</v>
      </c>
      <c r="L865" s="312">
        <v>46620</v>
      </c>
      <c r="M865" s="313">
        <f t="shared" si="81"/>
        <v>12850</v>
      </c>
      <c r="N865" s="314">
        <f t="shared" si="82"/>
        <v>0.275632775632776</v>
      </c>
      <c r="O865" s="312">
        <v>33770</v>
      </c>
      <c r="P865" s="313">
        <f t="shared" si="78"/>
        <v>0</v>
      </c>
      <c r="Q865" s="310" t="s">
        <v>147</v>
      </c>
      <c r="R865" s="310">
        <v>460</v>
      </c>
      <c r="S865" s="310"/>
      <c r="T865" s="308">
        <v>46063</v>
      </c>
      <c r="U865" s="308">
        <v>46063</v>
      </c>
      <c r="V865" s="308"/>
      <c r="W865" s="315">
        <f t="shared" si="83"/>
        <v>3</v>
      </c>
      <c r="X865" s="310" t="s">
        <v>54</v>
      </c>
      <c r="Y865" s="310" t="s">
        <v>56</v>
      </c>
      <c r="Z865" s="316"/>
      <c r="AA865" s="317">
        <v>46297</v>
      </c>
      <c r="AB865" s="317">
        <v>46297</v>
      </c>
    </row>
    <row r="866" spans="1:28" x14ac:dyDescent="0.25">
      <c r="A866" s="307">
        <f t="shared" si="79"/>
        <v>860</v>
      </c>
      <c r="B866" s="308">
        <v>46062</v>
      </c>
      <c r="C866" s="309">
        <f t="shared" si="80"/>
        <v>46054</v>
      </c>
      <c r="D866" s="310" t="s">
        <v>56</v>
      </c>
      <c r="E866" s="310" t="s">
        <v>1635</v>
      </c>
      <c r="F866" s="311">
        <v>9472230553</v>
      </c>
      <c r="G866" s="316" t="s">
        <v>6</v>
      </c>
      <c r="H866" s="316" t="s">
        <v>2746</v>
      </c>
      <c r="I866" s="316" t="s">
        <v>2747</v>
      </c>
      <c r="J866" s="310" t="s">
        <v>172</v>
      </c>
      <c r="K866" s="312">
        <v>33770</v>
      </c>
      <c r="L866" s="312">
        <v>46620</v>
      </c>
      <c r="M866" s="313">
        <f t="shared" si="81"/>
        <v>12850</v>
      </c>
      <c r="N866" s="314">
        <f t="shared" si="82"/>
        <v>0.275632775632776</v>
      </c>
      <c r="O866" s="312">
        <v>33770</v>
      </c>
      <c r="P866" s="313">
        <f t="shared" si="78"/>
        <v>0</v>
      </c>
      <c r="Q866" s="310" t="s">
        <v>147</v>
      </c>
      <c r="R866" s="310">
        <v>461</v>
      </c>
      <c r="S866" s="310"/>
      <c r="T866" s="308">
        <v>46066</v>
      </c>
      <c r="U866" s="308">
        <v>46066</v>
      </c>
      <c r="V866" s="308"/>
      <c r="W866" s="315">
        <f t="shared" si="83"/>
        <v>4</v>
      </c>
      <c r="X866" s="310" t="s">
        <v>54</v>
      </c>
      <c r="Y866" s="310" t="s">
        <v>56</v>
      </c>
      <c r="Z866" s="316"/>
      <c r="AA866" s="316" t="s">
        <v>2755</v>
      </c>
      <c r="AB866" s="316" t="s">
        <v>2755</v>
      </c>
    </row>
    <row r="867" spans="1:28" x14ac:dyDescent="0.25">
      <c r="A867" s="307">
        <f t="shared" si="79"/>
        <v>861</v>
      </c>
      <c r="B867" s="308">
        <v>46062</v>
      </c>
      <c r="C867" s="309">
        <f t="shared" si="80"/>
        <v>46054</v>
      </c>
      <c r="D867" s="310" t="s">
        <v>56</v>
      </c>
      <c r="E867" s="310" t="s">
        <v>1644</v>
      </c>
      <c r="F867" s="311">
        <v>9793531306</v>
      </c>
      <c r="G867" s="316" t="s">
        <v>1093</v>
      </c>
      <c r="H867" s="316" t="s">
        <v>2764</v>
      </c>
      <c r="I867" s="316" t="s">
        <v>6</v>
      </c>
      <c r="J867" s="310" t="s">
        <v>172</v>
      </c>
      <c r="K867" s="312">
        <v>43120</v>
      </c>
      <c r="L867" s="312">
        <v>108990</v>
      </c>
      <c r="M867" s="313">
        <f t="shared" si="81"/>
        <v>65870</v>
      </c>
      <c r="N867" s="314">
        <f t="shared" si="82"/>
        <v>0.6043673731535</v>
      </c>
      <c r="O867" s="312">
        <v>43120</v>
      </c>
      <c r="P867" s="313">
        <f t="shared" si="78"/>
        <v>0</v>
      </c>
      <c r="Q867" s="310" t="s">
        <v>147</v>
      </c>
      <c r="R867" s="310">
        <v>463</v>
      </c>
      <c r="S867" s="310"/>
      <c r="T867" s="308">
        <v>46065</v>
      </c>
      <c r="U867" s="308">
        <v>46065</v>
      </c>
      <c r="V867" s="308"/>
      <c r="W867" s="315">
        <f t="shared" si="83"/>
        <v>3</v>
      </c>
      <c r="X867" s="310" t="s">
        <v>54</v>
      </c>
      <c r="Y867" s="310" t="s">
        <v>56</v>
      </c>
      <c r="Z867" s="316"/>
      <c r="AA867" s="317">
        <v>46358</v>
      </c>
      <c r="AB867" s="317">
        <v>46358</v>
      </c>
    </row>
    <row r="868" spans="1:28" x14ac:dyDescent="0.25">
      <c r="A868" s="307">
        <f t="shared" si="79"/>
        <v>862</v>
      </c>
      <c r="B868" s="308">
        <v>46064</v>
      </c>
      <c r="C868" s="309">
        <f t="shared" si="80"/>
        <v>46054</v>
      </c>
      <c r="D868" s="310" t="s">
        <v>56</v>
      </c>
      <c r="E868" s="310" t="s">
        <v>1641</v>
      </c>
      <c r="F868" s="311">
        <v>9220186371</v>
      </c>
      <c r="G868" s="316" t="s">
        <v>1093</v>
      </c>
      <c r="H868" s="316" t="s">
        <v>2766</v>
      </c>
      <c r="I868" s="316" t="s">
        <v>6</v>
      </c>
      <c r="J868" s="310" t="s">
        <v>172</v>
      </c>
      <c r="K868" s="312">
        <v>41230</v>
      </c>
      <c r="L868" s="312">
        <v>96390</v>
      </c>
      <c r="M868" s="313">
        <f t="shared" si="81"/>
        <v>55160</v>
      </c>
      <c r="N868" s="314">
        <f t="shared" si="82"/>
        <v>0.572258533042847</v>
      </c>
      <c r="O868" s="312">
        <v>41230</v>
      </c>
      <c r="P868" s="313">
        <f t="shared" si="78"/>
        <v>0</v>
      </c>
      <c r="Q868" s="310" t="s">
        <v>147</v>
      </c>
      <c r="R868" s="310">
        <v>464</v>
      </c>
      <c r="S868" s="310"/>
      <c r="T868" s="308">
        <v>46067</v>
      </c>
      <c r="U868" s="308">
        <v>46067</v>
      </c>
      <c r="V868" s="308"/>
      <c r="W868" s="315">
        <f t="shared" si="83"/>
        <v>3</v>
      </c>
      <c r="X868" s="310" t="s">
        <v>54</v>
      </c>
      <c r="Y868" s="310" t="s">
        <v>56</v>
      </c>
      <c r="Z868" s="316"/>
      <c r="AA868" s="316" t="s">
        <v>2760</v>
      </c>
      <c r="AB868" s="316" t="s">
        <v>2760</v>
      </c>
    </row>
    <row r="869" spans="1:28" x14ac:dyDescent="0.25">
      <c r="A869" s="307">
        <f t="shared" si="79"/>
        <v>863</v>
      </c>
      <c r="B869" s="308">
        <v>46064</v>
      </c>
      <c r="C869" s="309">
        <f t="shared" si="80"/>
        <v>46054</v>
      </c>
      <c r="D869" s="310" t="s">
        <v>56</v>
      </c>
      <c r="E869" s="310" t="s">
        <v>38</v>
      </c>
      <c r="F869" s="311">
        <v>9515412075</v>
      </c>
      <c r="G869" s="316" t="s">
        <v>6</v>
      </c>
      <c r="H869" s="316" t="s">
        <v>2758</v>
      </c>
      <c r="I869" s="316" t="s">
        <v>2759</v>
      </c>
      <c r="J869" s="310" t="s">
        <v>59</v>
      </c>
      <c r="K869" s="312">
        <v>33530</v>
      </c>
      <c r="L869" s="312">
        <v>45040</v>
      </c>
      <c r="M869" s="313">
        <f t="shared" si="81"/>
        <v>11510</v>
      </c>
      <c r="N869" s="314">
        <f t="shared" si="82"/>
        <v>0.255550621669627</v>
      </c>
      <c r="O869" s="312">
        <v>33530</v>
      </c>
      <c r="P869" s="313">
        <f t="shared" si="78"/>
        <v>0</v>
      </c>
      <c r="Q869" s="310" t="s">
        <v>147</v>
      </c>
      <c r="R869" s="310">
        <v>465</v>
      </c>
      <c r="S869" s="310"/>
      <c r="T869" s="308">
        <v>46067</v>
      </c>
      <c r="U869" s="308">
        <v>46067</v>
      </c>
      <c r="V869" s="308"/>
      <c r="W869" s="315">
        <f t="shared" si="83"/>
        <v>3</v>
      </c>
      <c r="X869" s="310" t="s">
        <v>54</v>
      </c>
      <c r="Y869" s="310" t="s">
        <v>56</v>
      </c>
      <c r="Z869" s="316"/>
      <c r="AA869" s="316" t="s">
        <v>2760</v>
      </c>
      <c r="AB869" s="316" t="s">
        <v>2760</v>
      </c>
    </row>
    <row r="870" spans="1:28" x14ac:dyDescent="0.25">
      <c r="A870" s="307">
        <f t="shared" si="79"/>
        <v>864</v>
      </c>
      <c r="B870" s="308">
        <v>46065</v>
      </c>
      <c r="C870" s="309">
        <f t="shared" si="80"/>
        <v>46054</v>
      </c>
      <c r="D870" s="310" t="s">
        <v>56</v>
      </c>
      <c r="E870" s="310" t="s">
        <v>1637</v>
      </c>
      <c r="F870" s="311">
        <v>9793531306</v>
      </c>
      <c r="G870" s="316" t="s">
        <v>6</v>
      </c>
      <c r="H870" s="316" t="s">
        <v>2767</v>
      </c>
      <c r="I870" s="316" t="s">
        <v>2768</v>
      </c>
      <c r="J870" s="310" t="s">
        <v>172</v>
      </c>
      <c r="K870" s="312">
        <v>33770</v>
      </c>
      <c r="L870" s="312">
        <v>46620</v>
      </c>
      <c r="M870" s="313">
        <f t="shared" si="81"/>
        <v>12850</v>
      </c>
      <c r="N870" s="314">
        <f t="shared" si="82"/>
        <v>0.275632775632776</v>
      </c>
      <c r="O870" s="312">
        <v>33770</v>
      </c>
      <c r="P870" s="313">
        <f t="shared" si="78"/>
        <v>0</v>
      </c>
      <c r="Q870" s="310" t="s">
        <v>147</v>
      </c>
      <c r="R870" s="310">
        <v>466</v>
      </c>
      <c r="S870" s="310"/>
      <c r="T870" s="308">
        <v>46067</v>
      </c>
      <c r="U870" s="308">
        <v>46067</v>
      </c>
      <c r="V870" s="308"/>
      <c r="W870" s="315">
        <f t="shared" si="83"/>
        <v>2</v>
      </c>
      <c r="X870" s="310" t="s">
        <v>54</v>
      </c>
      <c r="Y870" s="310" t="s">
        <v>56</v>
      </c>
      <c r="Z870" s="316"/>
      <c r="AA870" s="316" t="s">
        <v>2760</v>
      </c>
      <c r="AB870" s="316" t="s">
        <v>2760</v>
      </c>
    </row>
    <row r="871" spans="1:28" x14ac:dyDescent="0.25">
      <c r="A871" s="307">
        <f t="shared" si="79"/>
        <v>865</v>
      </c>
      <c r="B871" s="308">
        <v>46066</v>
      </c>
      <c r="C871" s="309">
        <f t="shared" si="80"/>
        <v>46054</v>
      </c>
      <c r="D871" s="310" t="s">
        <v>56</v>
      </c>
      <c r="E871" s="310" t="s">
        <v>1644</v>
      </c>
      <c r="F871" s="311">
        <v>9902798068</v>
      </c>
      <c r="G871" s="316" t="s">
        <v>6</v>
      </c>
      <c r="H871" s="316" t="s">
        <v>2756</v>
      </c>
      <c r="I871" s="316" t="s">
        <v>2757</v>
      </c>
      <c r="J871" s="310" t="s">
        <v>172</v>
      </c>
      <c r="K871" s="312">
        <v>33770</v>
      </c>
      <c r="L871" s="312">
        <v>46620</v>
      </c>
      <c r="M871" s="313">
        <f t="shared" si="81"/>
        <v>12850</v>
      </c>
      <c r="N871" s="314">
        <f t="shared" si="82"/>
        <v>0.275632775632776</v>
      </c>
      <c r="O871" s="312">
        <v>33770</v>
      </c>
      <c r="P871" s="313">
        <f t="shared" si="78"/>
        <v>0</v>
      </c>
      <c r="Q871" s="310" t="s">
        <v>147</v>
      </c>
      <c r="R871" s="310">
        <v>467</v>
      </c>
      <c r="S871" s="310"/>
      <c r="T871" s="308">
        <v>46069</v>
      </c>
      <c r="U871" s="308">
        <v>46069</v>
      </c>
      <c r="V871" s="308"/>
      <c r="W871" s="315">
        <f t="shared" si="83"/>
        <v>3</v>
      </c>
      <c r="X871" s="310" t="s">
        <v>54</v>
      </c>
      <c r="Y871" s="310" t="s">
        <v>56</v>
      </c>
      <c r="Z871" s="316"/>
      <c r="AA871" s="316" t="s">
        <v>2761</v>
      </c>
      <c r="AB871" s="316" t="s">
        <v>2761</v>
      </c>
    </row>
    <row r="872" spans="1:28" x14ac:dyDescent="0.25">
      <c r="A872" s="307">
        <f t="shared" si="79"/>
        <v>866</v>
      </c>
      <c r="B872" s="308">
        <v>46067</v>
      </c>
      <c r="C872" s="309">
        <f t="shared" si="80"/>
        <v>46054</v>
      </c>
      <c r="D872" s="310" t="s">
        <v>56</v>
      </c>
      <c r="E872" s="310" t="s">
        <v>60</v>
      </c>
      <c r="F872" s="311">
        <v>9589264337</v>
      </c>
      <c r="G872" s="316" t="s">
        <v>1093</v>
      </c>
      <c r="H872" s="316" t="s">
        <v>2773</v>
      </c>
      <c r="I872" s="316" t="s">
        <v>6</v>
      </c>
      <c r="J872" s="310" t="s">
        <v>172</v>
      </c>
      <c r="K872" s="312">
        <v>43120</v>
      </c>
      <c r="L872" s="312">
        <v>108990</v>
      </c>
      <c r="M872" s="313">
        <f t="shared" si="81"/>
        <v>65870</v>
      </c>
      <c r="N872" s="314">
        <f t="shared" si="82"/>
        <v>0.6043673731535</v>
      </c>
      <c r="O872" s="312">
        <v>43120</v>
      </c>
      <c r="P872" s="313">
        <f t="shared" si="78"/>
        <v>0</v>
      </c>
      <c r="Q872" s="310" t="s">
        <v>147</v>
      </c>
      <c r="R872" s="310">
        <v>468</v>
      </c>
      <c r="S872" s="310"/>
      <c r="T872" s="308">
        <v>46070</v>
      </c>
      <c r="U872" s="308">
        <v>46070</v>
      </c>
      <c r="V872" s="308"/>
      <c r="W872" s="315">
        <f t="shared" si="83"/>
        <v>3</v>
      </c>
      <c r="X872" s="310" t="s">
        <v>54</v>
      </c>
      <c r="Y872" s="310" t="s">
        <v>56</v>
      </c>
      <c r="Z872" s="316"/>
      <c r="AA872" s="316" t="s">
        <v>2762</v>
      </c>
      <c r="AB872" s="316" t="s">
        <v>2762</v>
      </c>
    </row>
    <row r="873" spans="1:28" x14ac:dyDescent="0.25">
      <c r="A873" s="307">
        <f t="shared" si="79"/>
        <v>867</v>
      </c>
      <c r="B873" s="308">
        <v>46069</v>
      </c>
      <c r="C873" s="309">
        <f t="shared" si="80"/>
        <v>46054</v>
      </c>
      <c r="D873" s="310" t="s">
        <v>56</v>
      </c>
      <c r="E873" s="310" t="s">
        <v>1635</v>
      </c>
      <c r="F873" s="311">
        <v>9472230553</v>
      </c>
      <c r="G873" s="316" t="s">
        <v>105</v>
      </c>
      <c r="H873" s="316" t="s">
        <v>2765</v>
      </c>
      <c r="I873" s="316" t="s">
        <v>6</v>
      </c>
      <c r="J873" s="310" t="s">
        <v>172</v>
      </c>
      <c r="K873" s="312">
        <v>43120</v>
      </c>
      <c r="L873" s="312">
        <v>108990</v>
      </c>
      <c r="M873" s="313">
        <f t="shared" si="81"/>
        <v>65870</v>
      </c>
      <c r="N873" s="314">
        <f t="shared" si="82"/>
        <v>0.6043673731535</v>
      </c>
      <c r="O873" s="312">
        <v>43120</v>
      </c>
      <c r="P873" s="313">
        <f t="shared" si="78"/>
        <v>0</v>
      </c>
      <c r="Q873" s="310" t="s">
        <v>147</v>
      </c>
      <c r="R873" s="310">
        <v>469</v>
      </c>
      <c r="S873" s="310"/>
      <c r="T873" s="308">
        <v>46072</v>
      </c>
      <c r="U873" s="308">
        <v>46072</v>
      </c>
      <c r="V873" s="308"/>
      <c r="W873" s="315">
        <f t="shared" si="83"/>
        <v>3</v>
      </c>
      <c r="X873" s="310" t="s">
        <v>54</v>
      </c>
      <c r="Y873" s="310" t="s">
        <v>56</v>
      </c>
      <c r="Z873" s="316"/>
      <c r="AA873" s="316" t="s">
        <v>2763</v>
      </c>
      <c r="AB873" s="316" t="s">
        <v>2763</v>
      </c>
    </row>
    <row r="874" spans="1:28" x14ac:dyDescent="0.25">
      <c r="A874" s="307">
        <f t="shared" si="79"/>
        <v>868</v>
      </c>
      <c r="B874" s="308">
        <v>46071</v>
      </c>
      <c r="C874" s="309">
        <f t="shared" si="80"/>
        <v>46054</v>
      </c>
      <c r="D874" s="310" t="s">
        <v>56</v>
      </c>
      <c r="E874" s="310" t="s">
        <v>1641</v>
      </c>
      <c r="F874" s="311">
        <v>9486716172</v>
      </c>
      <c r="G874" s="316" t="s">
        <v>6</v>
      </c>
      <c r="H874" s="316" t="s">
        <v>2769</v>
      </c>
      <c r="I874" s="316" t="s">
        <v>2770</v>
      </c>
      <c r="J874" s="310" t="s">
        <v>172</v>
      </c>
      <c r="K874" s="312">
        <v>33770</v>
      </c>
      <c r="L874" s="312">
        <v>46620</v>
      </c>
      <c r="M874" s="313">
        <f t="shared" si="81"/>
        <v>12850</v>
      </c>
      <c r="N874" s="314">
        <f t="shared" si="82"/>
        <v>0.275632775632776</v>
      </c>
      <c r="O874" s="312">
        <v>33770</v>
      </c>
      <c r="P874" s="313">
        <f t="shared" si="78"/>
        <v>0</v>
      </c>
      <c r="Q874" s="310" t="s">
        <v>147</v>
      </c>
      <c r="R874" s="310">
        <v>470</v>
      </c>
      <c r="S874" s="310"/>
      <c r="T874" s="308">
        <v>46074</v>
      </c>
      <c r="U874" s="308">
        <v>46074</v>
      </c>
      <c r="V874" s="308"/>
      <c r="W874" s="315">
        <f t="shared" si="83"/>
        <v>3</v>
      </c>
      <c r="X874" s="310" t="s">
        <v>54</v>
      </c>
      <c r="Y874" s="310" t="s">
        <v>56</v>
      </c>
      <c r="Z874" s="316"/>
      <c r="AA874" s="316" t="s">
        <v>2771</v>
      </c>
      <c r="AB874" s="316" t="s">
        <v>2771</v>
      </c>
    </row>
    <row r="875" spans="1:28" x14ac:dyDescent="0.25">
      <c r="A875" s="307">
        <f t="shared" si="79"/>
        <v>869</v>
      </c>
      <c r="B875" s="308">
        <v>46071</v>
      </c>
      <c r="C875" s="309">
        <f t="shared" si="80"/>
        <v>46054</v>
      </c>
      <c r="D875" s="310" t="s">
        <v>56</v>
      </c>
      <c r="E875" s="310" t="s">
        <v>38</v>
      </c>
      <c r="F875" s="311">
        <v>9515412075</v>
      </c>
      <c r="G875" s="316" t="s">
        <v>1093</v>
      </c>
      <c r="H875" s="316" t="s">
        <v>2772</v>
      </c>
      <c r="I875" s="316" t="s">
        <v>6</v>
      </c>
      <c r="J875" s="310" t="s">
        <v>59</v>
      </c>
      <c r="K875" s="312">
        <v>40480</v>
      </c>
      <c r="L875" s="312">
        <v>91350</v>
      </c>
      <c r="M875" s="313">
        <f t="shared" si="81"/>
        <v>50870</v>
      </c>
      <c r="N875" s="314">
        <f t="shared" si="82"/>
        <v>0.556869184455391</v>
      </c>
      <c r="O875" s="312">
        <v>40480</v>
      </c>
      <c r="P875" s="313">
        <f t="shared" si="78"/>
        <v>0</v>
      </c>
      <c r="Q875" s="310" t="s">
        <v>147</v>
      </c>
      <c r="R875" s="310">
        <v>471</v>
      </c>
      <c r="S875" s="310"/>
      <c r="T875" s="308">
        <v>46074</v>
      </c>
      <c r="U875" s="308">
        <v>46074</v>
      </c>
      <c r="V875" s="308"/>
      <c r="W875" s="315">
        <f t="shared" si="83"/>
        <v>3</v>
      </c>
      <c r="X875" s="310" t="s">
        <v>54</v>
      </c>
      <c r="Y875" s="310" t="s">
        <v>56</v>
      </c>
      <c r="Z875" s="316"/>
      <c r="AA875" s="316" t="s">
        <v>2771</v>
      </c>
      <c r="AB875" s="316" t="s">
        <v>2771</v>
      </c>
    </row>
    <row r="876" spans="1:28" x14ac:dyDescent="0.25">
      <c r="A876" s="307">
        <f t="shared" si="79"/>
        <v>870</v>
      </c>
      <c r="B876" s="308">
        <v>46074</v>
      </c>
      <c r="C876" s="309">
        <f t="shared" si="80"/>
        <v>46054</v>
      </c>
      <c r="D876" s="310" t="s">
        <v>51</v>
      </c>
      <c r="E876" s="310" t="s">
        <v>2589</v>
      </c>
      <c r="F876" s="311">
        <v>9656908336</v>
      </c>
      <c r="G876" s="316" t="s">
        <v>1093</v>
      </c>
      <c r="H876" s="316" t="s">
        <v>2774</v>
      </c>
      <c r="I876" s="316" t="s">
        <v>6</v>
      </c>
      <c r="J876" s="310" t="s">
        <v>172</v>
      </c>
      <c r="K876" s="312">
        <v>65330</v>
      </c>
      <c r="L876" s="312">
        <v>96390</v>
      </c>
      <c r="M876" s="313">
        <f t="shared" si="81"/>
        <v>31060</v>
      </c>
      <c r="N876" s="314">
        <f t="shared" si="82"/>
        <v>0.322232596742401</v>
      </c>
      <c r="O876" s="312">
        <v>65330</v>
      </c>
      <c r="P876" s="313">
        <f t="shared" si="78"/>
        <v>0</v>
      </c>
      <c r="Q876" s="310" t="s">
        <v>147</v>
      </c>
      <c r="R876" s="310">
        <v>472</v>
      </c>
      <c r="S876" s="310"/>
      <c r="T876" s="308">
        <v>46077</v>
      </c>
      <c r="U876" s="308">
        <v>46077</v>
      </c>
      <c r="V876" s="308"/>
      <c r="W876" s="315">
        <f t="shared" si="83"/>
        <v>3</v>
      </c>
      <c r="X876" s="310" t="s">
        <v>54</v>
      </c>
      <c r="Y876" s="310" t="s">
        <v>2616</v>
      </c>
      <c r="Z876" s="316"/>
      <c r="AA876" s="316" t="s">
        <v>2780</v>
      </c>
      <c r="AB876" s="316" t="s">
        <v>2780</v>
      </c>
    </row>
    <row r="877" spans="1:28" x14ac:dyDescent="0.25">
      <c r="A877" s="307">
        <f t="shared" si="79"/>
        <v>871</v>
      </c>
      <c r="B877" s="308">
        <v>46074</v>
      </c>
      <c r="C877" s="309">
        <f t="shared" si="80"/>
        <v>46054</v>
      </c>
      <c r="D877" s="310" t="s">
        <v>56</v>
      </c>
      <c r="E877" s="310" t="s">
        <v>60</v>
      </c>
      <c r="F877" s="311">
        <v>9589264337</v>
      </c>
      <c r="G877" s="316" t="s">
        <v>6</v>
      </c>
      <c r="H877" s="316" t="s">
        <v>2775</v>
      </c>
      <c r="I877" s="316" t="s">
        <v>2776</v>
      </c>
      <c r="J877" s="310" t="s">
        <v>172</v>
      </c>
      <c r="K877" s="312">
        <v>33770</v>
      </c>
      <c r="L877" s="312">
        <v>46620</v>
      </c>
      <c r="M877" s="313">
        <f t="shared" si="81"/>
        <v>12850</v>
      </c>
      <c r="N877" s="314">
        <f t="shared" si="82"/>
        <v>0.275632775632776</v>
      </c>
      <c r="O877" s="312">
        <v>33770</v>
      </c>
      <c r="P877" s="313">
        <f t="shared" si="78"/>
        <v>0</v>
      </c>
      <c r="Q877" s="310" t="s">
        <v>147</v>
      </c>
      <c r="R877" s="310" t="s">
        <v>2779</v>
      </c>
      <c r="S877" s="310"/>
      <c r="T877" s="308">
        <v>46077</v>
      </c>
      <c r="U877" s="308">
        <v>46077</v>
      </c>
      <c r="V877" s="308"/>
      <c r="W877" s="315">
        <f t="shared" si="83"/>
        <v>3</v>
      </c>
      <c r="X877" s="310" t="s">
        <v>54</v>
      </c>
      <c r="Y877" s="310" t="s">
        <v>56</v>
      </c>
      <c r="Z877" s="316"/>
      <c r="AA877" s="316" t="s">
        <v>2780</v>
      </c>
      <c r="AB877" s="316" t="s">
        <v>2780</v>
      </c>
    </row>
    <row r="878" spans="1:28" x14ac:dyDescent="0.25">
      <c r="A878" s="307">
        <f t="shared" si="79"/>
        <v>872</v>
      </c>
      <c r="B878" s="308">
        <v>46075</v>
      </c>
      <c r="C878" s="309">
        <f t="shared" si="80"/>
        <v>46054</v>
      </c>
      <c r="D878" s="310" t="s">
        <v>56</v>
      </c>
      <c r="E878" s="310" t="s">
        <v>1635</v>
      </c>
      <c r="F878" s="311">
        <v>9472230553</v>
      </c>
      <c r="G878" s="316" t="s">
        <v>6</v>
      </c>
      <c r="H878" s="316" t="s">
        <v>2777</v>
      </c>
      <c r="I878" s="316" t="s">
        <v>2778</v>
      </c>
      <c r="J878" s="310" t="s">
        <v>172</v>
      </c>
      <c r="K878" s="312">
        <v>33770</v>
      </c>
      <c r="L878" s="312">
        <v>46620</v>
      </c>
      <c r="M878" s="313">
        <f t="shared" si="81"/>
        <v>12850</v>
      </c>
      <c r="N878" s="314">
        <f t="shared" si="82"/>
        <v>0.275632775632776</v>
      </c>
      <c r="O878" s="312">
        <v>33770</v>
      </c>
      <c r="P878" s="313">
        <f t="shared" si="78"/>
        <v>0</v>
      </c>
      <c r="Q878" s="310" t="s">
        <v>147</v>
      </c>
      <c r="R878" s="310">
        <v>475</v>
      </c>
      <c r="S878" s="310"/>
      <c r="T878" s="308">
        <v>46078</v>
      </c>
      <c r="U878" s="308">
        <v>46078</v>
      </c>
      <c r="V878" s="308"/>
      <c r="W878" s="315">
        <f t="shared" si="83"/>
        <v>3</v>
      </c>
      <c r="X878" s="310" t="s">
        <v>54</v>
      </c>
      <c r="Y878" s="310" t="s">
        <v>56</v>
      </c>
      <c r="Z878" s="316"/>
      <c r="AA878" s="316" t="s">
        <v>2781</v>
      </c>
      <c r="AB878" s="316" t="s">
        <v>2781</v>
      </c>
    </row>
    <row r="879" spans="1:28" x14ac:dyDescent="0.25">
      <c r="A879" s="307">
        <f t="shared" si="79"/>
        <v>873</v>
      </c>
      <c r="B879" s="308">
        <v>46076</v>
      </c>
      <c r="C879" s="309">
        <f t="shared" si="80"/>
        <v>46054</v>
      </c>
      <c r="D879" s="310" t="s">
        <v>56</v>
      </c>
      <c r="E879" s="310" t="s">
        <v>1637</v>
      </c>
      <c r="F879" s="311">
        <v>9025368773</v>
      </c>
      <c r="G879" s="316" t="s">
        <v>6</v>
      </c>
      <c r="H879" s="316" t="s">
        <v>1874</v>
      </c>
      <c r="I879" s="316" t="s">
        <v>2796</v>
      </c>
      <c r="J879" s="310" t="s">
        <v>172</v>
      </c>
      <c r="K879" s="312">
        <v>32820</v>
      </c>
      <c r="L879" s="312">
        <v>40320</v>
      </c>
      <c r="M879" s="313">
        <f t="shared" si="81"/>
        <v>7500</v>
      </c>
      <c r="N879" s="314">
        <f t="shared" si="82"/>
        <v>0.186011904761905</v>
      </c>
      <c r="O879" s="312">
        <v>32820</v>
      </c>
      <c r="P879" s="313">
        <f t="shared" si="78"/>
        <v>0</v>
      </c>
      <c r="Q879" s="310" t="s">
        <v>147</v>
      </c>
      <c r="R879" s="310">
        <v>476</v>
      </c>
      <c r="S879" s="310"/>
      <c r="T879" s="308">
        <v>46079</v>
      </c>
      <c r="U879" s="308">
        <v>46079</v>
      </c>
      <c r="V879" s="308"/>
      <c r="W879" s="315">
        <f t="shared" si="83"/>
        <v>3</v>
      </c>
      <c r="X879" s="310" t="s">
        <v>54</v>
      </c>
      <c r="Y879" s="310" t="s">
        <v>56</v>
      </c>
      <c r="Z879" s="316"/>
      <c r="AA879" s="316" t="s">
        <v>2782</v>
      </c>
      <c r="AB879" s="316" t="s">
        <v>2782</v>
      </c>
    </row>
    <row r="880" spans="1:28" x14ac:dyDescent="0.25">
      <c r="A880" s="307">
        <f t="shared" si="79"/>
        <v>874</v>
      </c>
      <c r="B880" s="308">
        <v>46076</v>
      </c>
      <c r="C880" s="309">
        <f t="shared" si="80"/>
        <v>46054</v>
      </c>
      <c r="D880" s="310" t="s">
        <v>56</v>
      </c>
      <c r="E880" s="310" t="s">
        <v>38</v>
      </c>
      <c r="F880" s="311">
        <v>9515412075</v>
      </c>
      <c r="G880" s="316" t="s">
        <v>6</v>
      </c>
      <c r="H880" s="316" t="s">
        <v>1874</v>
      </c>
      <c r="I880" s="316" t="s">
        <v>2797</v>
      </c>
      <c r="J880" s="310" t="s">
        <v>59</v>
      </c>
      <c r="K880" s="312">
        <v>32590</v>
      </c>
      <c r="L880" s="312">
        <v>38740</v>
      </c>
      <c r="M880" s="313">
        <f t="shared" si="81"/>
        <v>6150</v>
      </c>
      <c r="N880" s="314">
        <f t="shared" si="82"/>
        <v>0.158750645327827</v>
      </c>
      <c r="O880" s="312">
        <v>32590</v>
      </c>
      <c r="P880" s="313">
        <f t="shared" si="78"/>
        <v>0</v>
      </c>
      <c r="Q880" s="310" t="s">
        <v>147</v>
      </c>
      <c r="R880" s="310">
        <v>477</v>
      </c>
      <c r="S880" s="310"/>
      <c r="T880" s="308">
        <v>46079</v>
      </c>
      <c r="U880" s="308">
        <v>46079</v>
      </c>
      <c r="V880" s="308"/>
      <c r="W880" s="315">
        <f t="shared" si="83"/>
        <v>3</v>
      </c>
      <c r="X880" s="310" t="s">
        <v>54</v>
      </c>
      <c r="Y880" s="310" t="s">
        <v>56</v>
      </c>
      <c r="Z880" s="316"/>
      <c r="AA880" s="316" t="s">
        <v>2782</v>
      </c>
      <c r="AB880" s="316" t="s">
        <v>2782</v>
      </c>
    </row>
    <row r="881" spans="1:28" x14ac:dyDescent="0.25">
      <c r="A881" s="307">
        <f t="shared" si="79"/>
        <v>875</v>
      </c>
      <c r="B881" s="308">
        <v>46077</v>
      </c>
      <c r="C881" s="309">
        <f t="shared" si="80"/>
        <v>46054</v>
      </c>
      <c r="D881" s="310" t="s">
        <v>56</v>
      </c>
      <c r="E881" s="310" t="s">
        <v>1644</v>
      </c>
      <c r="F881" s="311">
        <v>9902798068</v>
      </c>
      <c r="G881" s="316" t="s">
        <v>6</v>
      </c>
      <c r="H881" s="316" t="s">
        <v>1874</v>
      </c>
      <c r="I881" s="316" t="s">
        <v>2799</v>
      </c>
      <c r="J881" s="310" t="s">
        <v>172</v>
      </c>
      <c r="K881" s="312">
        <v>32820</v>
      </c>
      <c r="L881" s="312">
        <v>40320</v>
      </c>
      <c r="M881" s="313">
        <f t="shared" si="81"/>
        <v>7500</v>
      </c>
      <c r="N881" s="314">
        <f t="shared" si="82"/>
        <v>0.186011904761905</v>
      </c>
      <c r="O881" s="312">
        <v>32820</v>
      </c>
      <c r="P881" s="313">
        <f t="shared" si="78"/>
        <v>0</v>
      </c>
      <c r="Q881" s="310" t="s">
        <v>147</v>
      </c>
      <c r="R881" s="310">
        <v>478</v>
      </c>
      <c r="S881" s="310"/>
      <c r="T881" s="308">
        <v>46080</v>
      </c>
      <c r="U881" s="308">
        <v>46080</v>
      </c>
      <c r="V881" s="308"/>
      <c r="W881" s="315">
        <f t="shared" si="83"/>
        <v>3</v>
      </c>
      <c r="X881" s="310" t="s">
        <v>54</v>
      </c>
      <c r="Y881" s="310" t="s">
        <v>56</v>
      </c>
      <c r="Z881" s="316"/>
      <c r="AA881" s="316" t="s">
        <v>2783</v>
      </c>
      <c r="AB881" s="316" t="s">
        <v>2783</v>
      </c>
    </row>
    <row r="882" spans="1:28" x14ac:dyDescent="0.25">
      <c r="A882" s="307">
        <f t="shared" si="79"/>
        <v>876</v>
      </c>
      <c r="B882" s="308">
        <v>46077</v>
      </c>
      <c r="C882" s="309">
        <f t="shared" si="80"/>
        <v>46054</v>
      </c>
      <c r="D882" s="310" t="s">
        <v>56</v>
      </c>
      <c r="E882" s="310" t="s">
        <v>1641</v>
      </c>
      <c r="F882" s="311">
        <v>9486716172</v>
      </c>
      <c r="G882" s="316" t="s">
        <v>1093</v>
      </c>
      <c r="H882" s="316" t="s">
        <v>2812</v>
      </c>
      <c r="I882" s="316" t="s">
        <v>6</v>
      </c>
      <c r="J882" s="310" t="s">
        <v>172</v>
      </c>
      <c r="K882" s="312">
        <v>42180</v>
      </c>
      <c r="L882" s="312">
        <v>102690</v>
      </c>
      <c r="M882" s="313">
        <f t="shared" si="81"/>
        <v>60510</v>
      </c>
      <c r="N882" s="314">
        <f t="shared" si="82"/>
        <v>0.58924919661116</v>
      </c>
      <c r="O882" s="312">
        <v>42180</v>
      </c>
      <c r="P882" s="313">
        <f t="shared" si="78"/>
        <v>0</v>
      </c>
      <c r="Q882" s="310" t="s">
        <v>147</v>
      </c>
      <c r="R882" s="310">
        <v>479</v>
      </c>
      <c r="S882" s="310"/>
      <c r="T882" s="308">
        <v>46079</v>
      </c>
      <c r="U882" s="308">
        <v>46080</v>
      </c>
      <c r="V882" s="308"/>
      <c r="W882" s="315">
        <f t="shared" si="83"/>
        <v>3</v>
      </c>
      <c r="X882" s="310" t="s">
        <v>54</v>
      </c>
      <c r="Y882" s="310" t="s">
        <v>56</v>
      </c>
      <c r="Z882" s="316"/>
      <c r="AA882" s="316" t="s">
        <v>2782</v>
      </c>
      <c r="AB882" s="316" t="s">
        <v>2783</v>
      </c>
    </row>
    <row r="883" spans="1:28" x14ac:dyDescent="0.25">
      <c r="A883" s="307">
        <f t="shared" si="79"/>
        <v>877</v>
      </c>
      <c r="B883" s="308">
        <v>46078</v>
      </c>
      <c r="C883" s="309">
        <f t="shared" si="80"/>
        <v>46054</v>
      </c>
      <c r="D883" s="310" t="s">
        <v>51</v>
      </c>
      <c r="E883" s="310" t="s">
        <v>2589</v>
      </c>
      <c r="F883" s="311">
        <v>9656908336</v>
      </c>
      <c r="G883" s="316" t="s">
        <v>6</v>
      </c>
      <c r="H883" s="316" t="s">
        <v>1874</v>
      </c>
      <c r="I883" s="316" t="s">
        <v>2798</v>
      </c>
      <c r="J883" s="310" t="s">
        <v>172</v>
      </c>
      <c r="K883" s="312">
        <v>30150</v>
      </c>
      <c r="L883" s="312">
        <v>40320</v>
      </c>
      <c r="M883" s="313">
        <f t="shared" si="81"/>
        <v>10170</v>
      </c>
      <c r="N883" s="314">
        <f t="shared" si="82"/>
        <v>0.252232142857143</v>
      </c>
      <c r="O883" s="312">
        <v>30150</v>
      </c>
      <c r="P883" s="313">
        <f t="shared" si="78"/>
        <v>0</v>
      </c>
      <c r="Q883" s="310" t="s">
        <v>147</v>
      </c>
      <c r="R883" s="310">
        <v>480</v>
      </c>
      <c r="S883" s="310"/>
      <c r="T883" s="308">
        <v>46081</v>
      </c>
      <c r="U883" s="308">
        <v>46081</v>
      </c>
      <c r="V883" s="308"/>
      <c r="W883" s="315">
        <f t="shared" si="83"/>
        <v>3</v>
      </c>
      <c r="X883" s="310" t="s">
        <v>54</v>
      </c>
      <c r="Y883" s="310" t="s">
        <v>2616</v>
      </c>
      <c r="Z883" s="316"/>
      <c r="AA883" s="316" t="s">
        <v>2788</v>
      </c>
      <c r="AB883" s="316" t="s">
        <v>2788</v>
      </c>
    </row>
    <row r="884" spans="1:28" x14ac:dyDescent="0.25">
      <c r="A884" s="307">
        <f t="shared" si="79"/>
        <v>878</v>
      </c>
      <c r="B884" s="308">
        <v>46078</v>
      </c>
      <c r="C884" s="309">
        <f t="shared" si="80"/>
        <v>46054</v>
      </c>
      <c r="D884" s="310" t="s">
        <v>56</v>
      </c>
      <c r="E884" s="310" t="s">
        <v>60</v>
      </c>
      <c r="F884" s="311">
        <v>9589264337</v>
      </c>
      <c r="G884" s="316" t="s">
        <v>1093</v>
      </c>
      <c r="H884" s="316" t="s">
        <v>2816</v>
      </c>
      <c r="I884" s="316" t="s">
        <v>6</v>
      </c>
      <c r="J884" s="310" t="s">
        <v>172</v>
      </c>
      <c r="K884" s="312">
        <v>41230</v>
      </c>
      <c r="L884" s="312">
        <v>96390</v>
      </c>
      <c r="M884" s="313">
        <f t="shared" si="81"/>
        <v>55160</v>
      </c>
      <c r="N884" s="314">
        <f t="shared" si="82"/>
        <v>0.572258533042847</v>
      </c>
      <c r="O884" s="312">
        <v>41230</v>
      </c>
      <c r="P884" s="313">
        <f t="shared" si="78"/>
        <v>0</v>
      </c>
      <c r="Q884" s="310" t="s">
        <v>147</v>
      </c>
      <c r="R884" s="310">
        <v>481</v>
      </c>
      <c r="S884" s="310"/>
      <c r="T884" s="308">
        <v>46081</v>
      </c>
      <c r="U884" s="308">
        <v>46081</v>
      </c>
      <c r="V884" s="308"/>
      <c r="W884" s="315">
        <f t="shared" si="83"/>
        <v>3</v>
      </c>
      <c r="X884" s="310" t="s">
        <v>54</v>
      </c>
      <c r="Y884" s="310" t="s">
        <v>56</v>
      </c>
      <c r="Z884" s="316"/>
      <c r="AA884" s="316" t="s">
        <v>2788</v>
      </c>
      <c r="AB884" s="316" t="s">
        <v>2788</v>
      </c>
    </row>
    <row r="885" spans="1:28" x14ac:dyDescent="0.25">
      <c r="A885" s="307">
        <f t="shared" si="79"/>
        <v>879</v>
      </c>
      <c r="B885" s="308">
        <v>46079</v>
      </c>
      <c r="C885" s="309">
        <f t="shared" si="80"/>
        <v>46054</v>
      </c>
      <c r="D885" s="310" t="s">
        <v>51</v>
      </c>
      <c r="E885" s="310" t="s">
        <v>2784</v>
      </c>
      <c r="F885" s="311">
        <v>9267658136</v>
      </c>
      <c r="G885" s="316" t="s">
        <v>6</v>
      </c>
      <c r="H885" s="316" t="s">
        <v>2800</v>
      </c>
      <c r="I885" s="316" t="s">
        <v>2801</v>
      </c>
      <c r="J885" s="310" t="s">
        <v>172</v>
      </c>
      <c r="K885" s="312">
        <v>33770</v>
      </c>
      <c r="L885" s="312">
        <v>46620</v>
      </c>
      <c r="M885" s="313">
        <f t="shared" si="81"/>
        <v>12850</v>
      </c>
      <c r="N885" s="314">
        <f t="shared" si="82"/>
        <v>0.275632775632776</v>
      </c>
      <c r="O885" s="312">
        <v>33090</v>
      </c>
      <c r="P885" s="313">
        <f t="shared" si="78"/>
        <v>680</v>
      </c>
      <c r="Q885" s="310" t="s">
        <v>147</v>
      </c>
      <c r="R885" s="310">
        <v>482</v>
      </c>
      <c r="S885" s="310"/>
      <c r="T885" s="308">
        <v>46083</v>
      </c>
      <c r="U885" s="308">
        <v>46083</v>
      </c>
      <c r="V885" s="308"/>
      <c r="W885" s="315">
        <f t="shared" si="83"/>
        <v>4</v>
      </c>
      <c r="X885" s="310" t="s">
        <v>54</v>
      </c>
      <c r="Y885" s="310" t="s">
        <v>3742</v>
      </c>
      <c r="Z885" s="316"/>
      <c r="AA885" s="317">
        <v>46056</v>
      </c>
      <c r="AB885" s="317">
        <v>46056</v>
      </c>
    </row>
    <row r="886" spans="1:28" x14ac:dyDescent="0.25">
      <c r="A886" s="307">
        <f t="shared" si="79"/>
        <v>880</v>
      </c>
      <c r="B886" s="308">
        <v>46080</v>
      </c>
      <c r="C886" s="309">
        <f t="shared" si="80"/>
        <v>46054</v>
      </c>
      <c r="D886" s="310" t="s">
        <v>56</v>
      </c>
      <c r="E886" s="310" t="s">
        <v>1641</v>
      </c>
      <c r="F886" s="311">
        <v>9486716172</v>
      </c>
      <c r="G886" s="316" t="s">
        <v>6</v>
      </c>
      <c r="H886" s="316" t="s">
        <v>2802</v>
      </c>
      <c r="I886" s="316" t="s">
        <v>2803</v>
      </c>
      <c r="J886" s="310" t="s">
        <v>172</v>
      </c>
      <c r="K886" s="312">
        <v>35750</v>
      </c>
      <c r="L886" s="312">
        <v>59850</v>
      </c>
      <c r="M886" s="313">
        <f t="shared" si="81"/>
        <v>24100</v>
      </c>
      <c r="N886" s="314">
        <f t="shared" si="82"/>
        <v>0.402673350041771</v>
      </c>
      <c r="O886" s="312">
        <v>35750</v>
      </c>
      <c r="P886" s="313">
        <f t="shared" si="78"/>
        <v>0</v>
      </c>
      <c r="Q886" s="310" t="s">
        <v>147</v>
      </c>
      <c r="R886" s="310">
        <v>483</v>
      </c>
      <c r="S886" s="310"/>
      <c r="T886" s="308">
        <v>46083</v>
      </c>
      <c r="U886" s="308">
        <v>46083</v>
      </c>
      <c r="V886" s="308"/>
      <c r="W886" s="315">
        <f t="shared" si="83"/>
        <v>3</v>
      </c>
      <c r="X886" s="310" t="s">
        <v>54</v>
      </c>
      <c r="Y886" s="310" t="s">
        <v>56</v>
      </c>
      <c r="Z886" s="316"/>
      <c r="AA886" s="317">
        <v>46056</v>
      </c>
      <c r="AB886" s="317">
        <v>46056</v>
      </c>
    </row>
    <row r="887" spans="1:28" x14ac:dyDescent="0.25">
      <c r="A887" s="307">
        <f t="shared" si="79"/>
        <v>881</v>
      </c>
      <c r="B887" s="308">
        <v>46081</v>
      </c>
      <c r="C887" s="309">
        <f t="shared" si="80"/>
        <v>46054</v>
      </c>
      <c r="D887" s="310" t="s">
        <v>56</v>
      </c>
      <c r="E887" s="310" t="s">
        <v>1635</v>
      </c>
      <c r="F887" s="311">
        <v>9220186371</v>
      </c>
      <c r="G887" s="316" t="s">
        <v>1093</v>
      </c>
      <c r="H887" s="316" t="s">
        <v>2815</v>
      </c>
      <c r="I887" s="316" t="s">
        <v>6</v>
      </c>
      <c r="J887" s="310" t="s">
        <v>172</v>
      </c>
      <c r="K887" s="312">
        <v>41230</v>
      </c>
      <c r="L887" s="312">
        <v>96390</v>
      </c>
      <c r="M887" s="313">
        <f t="shared" si="81"/>
        <v>55160</v>
      </c>
      <c r="N887" s="314">
        <f t="shared" si="82"/>
        <v>0.572258533042847</v>
      </c>
      <c r="O887" s="312">
        <v>41230</v>
      </c>
      <c r="P887" s="313">
        <f t="shared" si="78"/>
        <v>0</v>
      </c>
      <c r="Q887" s="310" t="s">
        <v>147</v>
      </c>
      <c r="R887" s="310">
        <v>484</v>
      </c>
      <c r="S887" s="310"/>
      <c r="T887" s="308">
        <v>46083</v>
      </c>
      <c r="U887" s="308">
        <v>46083</v>
      </c>
      <c r="V887" s="308"/>
      <c r="W887" s="315">
        <f t="shared" si="83"/>
        <v>2</v>
      </c>
      <c r="X887" s="310" t="s">
        <v>54</v>
      </c>
      <c r="Y887" s="310" t="s">
        <v>56</v>
      </c>
      <c r="Z887" s="316"/>
      <c r="AA887" s="317">
        <v>46056</v>
      </c>
      <c r="AB887" s="317">
        <v>46056</v>
      </c>
    </row>
    <row r="888" spans="1:28" x14ac:dyDescent="0.25">
      <c r="A888" s="307">
        <f t="shared" si="79"/>
        <v>882</v>
      </c>
      <c r="B888" s="308">
        <v>46081</v>
      </c>
      <c r="C888" s="309">
        <f t="shared" si="80"/>
        <v>46054</v>
      </c>
      <c r="D888" s="310" t="s">
        <v>56</v>
      </c>
      <c r="E888" s="310" t="s">
        <v>1644</v>
      </c>
      <c r="F888" s="311">
        <v>9793531306</v>
      </c>
      <c r="G888" s="316" t="s">
        <v>1093</v>
      </c>
      <c r="H888" s="316" t="s">
        <v>2814</v>
      </c>
      <c r="I888" s="316" t="s">
        <v>6</v>
      </c>
      <c r="J888" s="310" t="s">
        <v>172</v>
      </c>
      <c r="K888" s="312">
        <v>42180</v>
      </c>
      <c r="L888" s="312">
        <v>102690</v>
      </c>
      <c r="M888" s="313">
        <f t="shared" si="81"/>
        <v>60510</v>
      </c>
      <c r="N888" s="314">
        <f t="shared" si="82"/>
        <v>0.58924919661116</v>
      </c>
      <c r="O888" s="312">
        <v>42180</v>
      </c>
      <c r="P888" s="313">
        <f t="shared" si="78"/>
        <v>0</v>
      </c>
      <c r="Q888" s="310" t="s">
        <v>147</v>
      </c>
      <c r="R888" s="310">
        <v>485</v>
      </c>
      <c r="S888" s="310"/>
      <c r="T888" s="308">
        <v>46084</v>
      </c>
      <c r="U888" s="308">
        <v>46084</v>
      </c>
      <c r="V888" s="308"/>
      <c r="W888" s="315">
        <f t="shared" si="83"/>
        <v>3</v>
      </c>
      <c r="X888" s="310" t="s">
        <v>54</v>
      </c>
      <c r="Y888" s="310" t="s">
        <v>56</v>
      </c>
      <c r="Z888" s="316"/>
      <c r="AA888" s="317">
        <v>46084</v>
      </c>
      <c r="AB888" s="317">
        <v>46084</v>
      </c>
    </row>
    <row r="889" spans="1:28" x14ac:dyDescent="0.25">
      <c r="A889" s="307">
        <f t="shared" si="79"/>
        <v>883</v>
      </c>
      <c r="B889" s="308">
        <v>46082</v>
      </c>
      <c r="C889" s="309">
        <f t="shared" si="80"/>
        <v>46082</v>
      </c>
      <c r="D889" s="310" t="s">
        <v>56</v>
      </c>
      <c r="E889" s="310" t="s">
        <v>60</v>
      </c>
      <c r="F889" s="311">
        <v>9589264337</v>
      </c>
      <c r="G889" s="316" t="s">
        <v>6</v>
      </c>
      <c r="H889" s="316" t="s">
        <v>2804</v>
      </c>
      <c r="I889" s="316" t="s">
        <v>2805</v>
      </c>
      <c r="J889" s="310" t="s">
        <v>172</v>
      </c>
      <c r="K889" s="312">
        <v>33770</v>
      </c>
      <c r="L889" s="312">
        <v>46620</v>
      </c>
      <c r="M889" s="313">
        <f t="shared" si="81"/>
        <v>12850</v>
      </c>
      <c r="N889" s="314">
        <f t="shared" si="82"/>
        <v>0.275632775632776</v>
      </c>
      <c r="O889" s="312">
        <v>33770</v>
      </c>
      <c r="P889" s="313">
        <f t="shared" si="78"/>
        <v>0</v>
      </c>
      <c r="Q889" s="310" t="s">
        <v>147</v>
      </c>
      <c r="R889" s="310">
        <v>487</v>
      </c>
      <c r="S889" s="310"/>
      <c r="T889" s="308">
        <v>46085</v>
      </c>
      <c r="U889" s="308">
        <v>46085</v>
      </c>
      <c r="V889" s="308"/>
      <c r="W889" s="315">
        <f t="shared" si="83"/>
        <v>3</v>
      </c>
      <c r="X889" s="310" t="s">
        <v>54</v>
      </c>
      <c r="Y889" s="310" t="s">
        <v>56</v>
      </c>
      <c r="Z889" s="316"/>
      <c r="AA889" s="317">
        <v>46115</v>
      </c>
      <c r="AB889" s="317">
        <v>46115</v>
      </c>
    </row>
    <row r="890" spans="1:28" x14ac:dyDescent="0.25">
      <c r="A890" s="307">
        <f t="shared" si="79"/>
        <v>884</v>
      </c>
      <c r="B890" s="308">
        <v>46082</v>
      </c>
      <c r="C890" s="309">
        <f t="shared" si="80"/>
        <v>46082</v>
      </c>
      <c r="D890" s="310" t="s">
        <v>56</v>
      </c>
      <c r="E890" s="310" t="s">
        <v>38</v>
      </c>
      <c r="F890" s="311">
        <v>9486716172</v>
      </c>
      <c r="G890" s="316" t="s">
        <v>1093</v>
      </c>
      <c r="H890" s="316" t="s">
        <v>2819</v>
      </c>
      <c r="I890" s="316" t="s">
        <v>6</v>
      </c>
      <c r="J890" s="310" t="s">
        <v>59</v>
      </c>
      <c r="K890" s="312">
        <v>40480</v>
      </c>
      <c r="L890" s="312">
        <v>91350</v>
      </c>
      <c r="M890" s="313">
        <f t="shared" si="81"/>
        <v>50870</v>
      </c>
      <c r="N890" s="314">
        <f t="shared" si="82"/>
        <v>0.556869184455391</v>
      </c>
      <c r="O890" s="312">
        <v>40480</v>
      </c>
      <c r="P890" s="313">
        <f t="shared" si="78"/>
        <v>0</v>
      </c>
      <c r="Q890" s="310" t="s">
        <v>147</v>
      </c>
      <c r="R890" s="310">
        <v>488</v>
      </c>
      <c r="S890" s="310"/>
      <c r="T890" s="308">
        <v>46084</v>
      </c>
      <c r="U890" s="308">
        <v>46084</v>
      </c>
      <c r="V890" s="308"/>
      <c r="W890" s="315">
        <f t="shared" si="83"/>
        <v>2</v>
      </c>
      <c r="X890" s="310" t="s">
        <v>54</v>
      </c>
      <c r="Y890" s="310" t="s">
        <v>56</v>
      </c>
      <c r="Z890" s="316"/>
      <c r="AA890" s="317">
        <v>46084</v>
      </c>
      <c r="AB890" s="317">
        <v>46084</v>
      </c>
    </row>
    <row r="891" spans="1:28" x14ac:dyDescent="0.25">
      <c r="A891" s="307">
        <f t="shared" si="79"/>
        <v>885</v>
      </c>
      <c r="B891" s="308">
        <v>46083</v>
      </c>
      <c r="C891" s="309">
        <f t="shared" si="80"/>
        <v>46082</v>
      </c>
      <c r="D891" s="310" t="s">
        <v>56</v>
      </c>
      <c r="E891" s="310" t="s">
        <v>1635</v>
      </c>
      <c r="F891" s="311">
        <v>9281983602</v>
      </c>
      <c r="G891" s="316" t="s">
        <v>6</v>
      </c>
      <c r="H891" s="316" t="s">
        <v>2806</v>
      </c>
      <c r="I891" s="316" t="s">
        <v>2807</v>
      </c>
      <c r="J891" s="310" t="s">
        <v>172</v>
      </c>
      <c r="K891" s="312">
        <v>33770</v>
      </c>
      <c r="L891" s="312">
        <v>46620</v>
      </c>
      <c r="M891" s="313">
        <f t="shared" si="81"/>
        <v>12850</v>
      </c>
      <c r="N891" s="314">
        <f t="shared" si="82"/>
        <v>0.275632775632776</v>
      </c>
      <c r="O891" s="312">
        <v>33770</v>
      </c>
      <c r="P891" s="313">
        <f t="shared" si="78"/>
        <v>0</v>
      </c>
      <c r="Q891" s="310" t="s">
        <v>147</v>
      </c>
      <c r="R891" s="310">
        <v>489</v>
      </c>
      <c r="S891" s="310"/>
      <c r="T891" s="308">
        <v>46087</v>
      </c>
      <c r="U891" s="308">
        <v>46087</v>
      </c>
      <c r="V891" s="308"/>
      <c r="W891" s="315">
        <f t="shared" si="83"/>
        <v>4</v>
      </c>
      <c r="X891" s="310" t="s">
        <v>54</v>
      </c>
      <c r="Y891" s="310" t="s">
        <v>56</v>
      </c>
      <c r="Z891" s="316"/>
      <c r="AA891" s="317">
        <v>46176</v>
      </c>
      <c r="AB891" s="317">
        <v>46176</v>
      </c>
    </row>
    <row r="892" spans="1:28" x14ac:dyDescent="0.25">
      <c r="A892" s="307">
        <f t="shared" si="79"/>
        <v>886</v>
      </c>
      <c r="B892" s="308">
        <v>46083</v>
      </c>
      <c r="C892" s="309">
        <f t="shared" si="80"/>
        <v>46082</v>
      </c>
      <c r="D892" s="310" t="s">
        <v>51</v>
      </c>
      <c r="E892" s="310" t="s">
        <v>2786</v>
      </c>
      <c r="F892" s="311">
        <v>9831839088</v>
      </c>
      <c r="G892" s="316" t="s">
        <v>1093</v>
      </c>
      <c r="H892" s="316" t="s">
        <v>2820</v>
      </c>
      <c r="I892" s="316" t="s">
        <v>6</v>
      </c>
      <c r="J892" s="310" t="s">
        <v>172</v>
      </c>
      <c r="K892" s="312">
        <v>65330</v>
      </c>
      <c r="L892" s="312">
        <v>96390</v>
      </c>
      <c r="M892" s="313">
        <f t="shared" si="81"/>
        <v>31060</v>
      </c>
      <c r="N892" s="314">
        <f t="shared" si="82"/>
        <v>0.322232596742401</v>
      </c>
      <c r="O892" s="312">
        <v>65330</v>
      </c>
      <c r="P892" s="313">
        <f t="shared" si="78"/>
        <v>0</v>
      </c>
      <c r="Q892" s="310" t="s">
        <v>147</v>
      </c>
      <c r="R892" s="310">
        <v>490</v>
      </c>
      <c r="S892" s="310"/>
      <c r="T892" s="308">
        <v>46086</v>
      </c>
      <c r="U892" s="308">
        <v>46087</v>
      </c>
      <c r="V892" s="308"/>
      <c r="W892" s="315">
        <f t="shared" si="83"/>
        <v>4</v>
      </c>
      <c r="X892" s="310" t="s">
        <v>54</v>
      </c>
      <c r="Y892" s="310" t="s">
        <v>2616</v>
      </c>
      <c r="Z892" s="316"/>
      <c r="AA892" s="317">
        <v>46145</v>
      </c>
      <c r="AB892" s="317">
        <v>46176</v>
      </c>
    </row>
    <row r="893" spans="1:28" x14ac:dyDescent="0.25">
      <c r="A893" s="307">
        <f t="shared" si="79"/>
        <v>887</v>
      </c>
      <c r="B893" s="308">
        <v>46085</v>
      </c>
      <c r="C893" s="309">
        <f t="shared" si="80"/>
        <v>46082</v>
      </c>
      <c r="D893" s="310" t="s">
        <v>56</v>
      </c>
      <c r="E893" s="310" t="s">
        <v>1641</v>
      </c>
      <c r="F893" s="311">
        <v>9486716172</v>
      </c>
      <c r="G893" s="316" t="s">
        <v>1093</v>
      </c>
      <c r="H893" s="316" t="s">
        <v>2813</v>
      </c>
      <c r="I893" s="316" t="s">
        <v>6</v>
      </c>
      <c r="J893" s="310" t="s">
        <v>172</v>
      </c>
      <c r="K893" s="312">
        <v>41230</v>
      </c>
      <c r="L893" s="312">
        <v>96390</v>
      </c>
      <c r="M893" s="313">
        <f t="shared" si="81"/>
        <v>55160</v>
      </c>
      <c r="N893" s="314">
        <f t="shared" si="82"/>
        <v>0.572258533042847</v>
      </c>
      <c r="O893" s="312">
        <v>41230</v>
      </c>
      <c r="P893" s="313">
        <f t="shared" si="78"/>
        <v>0</v>
      </c>
      <c r="Q893" s="310" t="s">
        <v>147</v>
      </c>
      <c r="R893" s="310">
        <v>491</v>
      </c>
      <c r="S893" s="310"/>
      <c r="T893" s="308">
        <v>46088</v>
      </c>
      <c r="U893" s="308">
        <v>46088</v>
      </c>
      <c r="V893" s="308"/>
      <c r="W893" s="315">
        <f t="shared" si="83"/>
        <v>3</v>
      </c>
      <c r="X893" s="310" t="s">
        <v>54</v>
      </c>
      <c r="Y893" s="310" t="s">
        <v>56</v>
      </c>
      <c r="Z893" s="316"/>
      <c r="AA893" s="317">
        <v>46206</v>
      </c>
      <c r="AB893" s="317">
        <v>46206</v>
      </c>
    </row>
    <row r="894" spans="1:28" x14ac:dyDescent="0.25">
      <c r="A894" s="307">
        <f t="shared" si="79"/>
        <v>888</v>
      </c>
      <c r="B894" s="308">
        <v>46087</v>
      </c>
      <c r="C894" s="309">
        <f t="shared" si="80"/>
        <v>46082</v>
      </c>
      <c r="D894" s="310" t="s">
        <v>56</v>
      </c>
      <c r="E894" s="310" t="s">
        <v>60</v>
      </c>
      <c r="F894" s="311">
        <v>9589264337</v>
      </c>
      <c r="G894" s="316" t="s">
        <v>1093</v>
      </c>
      <c r="H894" s="316" t="s">
        <v>3779</v>
      </c>
      <c r="I894" s="316" t="s">
        <v>6</v>
      </c>
      <c r="J894" s="310" t="s">
        <v>172</v>
      </c>
      <c r="K894" s="312">
        <v>42180</v>
      </c>
      <c r="L894" s="312">
        <v>102690</v>
      </c>
      <c r="M894" s="313">
        <f t="shared" si="81"/>
        <v>60510</v>
      </c>
      <c r="N894" s="314">
        <f t="shared" si="82"/>
        <v>0.58924919661116</v>
      </c>
      <c r="O894" s="312">
        <v>42180</v>
      </c>
      <c r="P894" s="313">
        <f t="shared" si="78"/>
        <v>0</v>
      </c>
      <c r="Q894" s="310" t="s">
        <v>147</v>
      </c>
      <c r="R894" s="310">
        <v>492</v>
      </c>
      <c r="S894" s="310"/>
      <c r="T894" s="308">
        <v>46091</v>
      </c>
      <c r="U894" s="308">
        <v>46091</v>
      </c>
      <c r="V894" s="308"/>
      <c r="W894" s="315">
        <f t="shared" si="83"/>
        <v>4</v>
      </c>
      <c r="X894" s="310" t="s">
        <v>54</v>
      </c>
      <c r="Y894" s="310" t="s">
        <v>56</v>
      </c>
      <c r="Z894" s="316"/>
      <c r="AA894" s="317">
        <v>46298</v>
      </c>
      <c r="AB894" s="317">
        <v>46298</v>
      </c>
    </row>
    <row r="895" spans="1:28" x14ac:dyDescent="0.25">
      <c r="A895" s="307">
        <f t="shared" si="79"/>
        <v>889</v>
      </c>
      <c r="B895" s="308">
        <v>46088</v>
      </c>
      <c r="C895" s="309">
        <f t="shared" si="80"/>
        <v>46082</v>
      </c>
      <c r="D895" s="310" t="s">
        <v>56</v>
      </c>
      <c r="E895" s="310" t="s">
        <v>1644</v>
      </c>
      <c r="F895" s="311">
        <v>9902798068</v>
      </c>
      <c r="G895" s="316" t="s">
        <v>6</v>
      </c>
      <c r="H895" s="316" t="s">
        <v>2808</v>
      </c>
      <c r="I895" s="316" t="s">
        <v>2809</v>
      </c>
      <c r="J895" s="310" t="s">
        <v>172</v>
      </c>
      <c r="K895" s="312">
        <v>33770</v>
      </c>
      <c r="L895" s="312">
        <v>46620</v>
      </c>
      <c r="M895" s="313">
        <f t="shared" si="81"/>
        <v>12850</v>
      </c>
      <c r="N895" s="314">
        <f t="shared" si="82"/>
        <v>0.275632775632776</v>
      </c>
      <c r="O895" s="312">
        <v>33770</v>
      </c>
      <c r="P895" s="313">
        <f t="shared" si="78"/>
        <v>0</v>
      </c>
      <c r="Q895" s="310" t="s">
        <v>147</v>
      </c>
      <c r="R895" s="310">
        <v>493</v>
      </c>
      <c r="S895" s="310"/>
      <c r="T895" s="308">
        <v>46091</v>
      </c>
      <c r="U895" s="308">
        <v>46091</v>
      </c>
      <c r="V895" s="308"/>
      <c r="W895" s="315">
        <f t="shared" si="83"/>
        <v>3</v>
      </c>
      <c r="X895" s="310" t="s">
        <v>54</v>
      </c>
      <c r="Y895" s="310" t="s">
        <v>56</v>
      </c>
      <c r="Z895" s="316"/>
      <c r="AA895" s="317">
        <v>46298</v>
      </c>
      <c r="AB895" s="317">
        <v>46298</v>
      </c>
    </row>
    <row r="896" spans="1:28" x14ac:dyDescent="0.25">
      <c r="A896" s="307">
        <f t="shared" si="79"/>
        <v>890</v>
      </c>
      <c r="B896" s="308">
        <v>46089</v>
      </c>
      <c r="C896" s="309">
        <f t="shared" si="80"/>
        <v>46082</v>
      </c>
      <c r="D896" s="310" t="s">
        <v>56</v>
      </c>
      <c r="E896" s="310" t="s">
        <v>1637</v>
      </c>
      <c r="F896" s="311">
        <v>9025368773</v>
      </c>
      <c r="G896" s="316" t="s">
        <v>6</v>
      </c>
      <c r="H896" s="316" t="s">
        <v>2810</v>
      </c>
      <c r="I896" s="316" t="s">
        <v>2811</v>
      </c>
      <c r="J896" s="310" t="s">
        <v>172</v>
      </c>
      <c r="K896" s="312">
        <v>33770</v>
      </c>
      <c r="L896" s="312">
        <v>46620</v>
      </c>
      <c r="M896" s="313">
        <f t="shared" si="81"/>
        <v>12850</v>
      </c>
      <c r="N896" s="314">
        <f t="shared" si="82"/>
        <v>0.275632775632776</v>
      </c>
      <c r="O896" s="312">
        <v>33770</v>
      </c>
      <c r="P896" s="313">
        <f t="shared" si="78"/>
        <v>0</v>
      </c>
      <c r="Q896" s="310" t="s">
        <v>147</v>
      </c>
      <c r="R896" s="310">
        <v>494</v>
      </c>
      <c r="S896" s="310"/>
      <c r="T896" s="308">
        <v>46092</v>
      </c>
      <c r="U896" s="308">
        <v>46092</v>
      </c>
      <c r="V896" s="308"/>
      <c r="W896" s="315">
        <f t="shared" si="83"/>
        <v>3</v>
      </c>
      <c r="X896" s="310" t="s">
        <v>54</v>
      </c>
      <c r="Y896" s="310" t="s">
        <v>56</v>
      </c>
      <c r="Z896" s="316"/>
      <c r="AA896" s="317">
        <v>46329</v>
      </c>
      <c r="AB896" s="317">
        <v>46329</v>
      </c>
    </row>
    <row r="897" spans="1:28" x14ac:dyDescent="0.25">
      <c r="A897" s="307">
        <f t="shared" si="79"/>
        <v>891</v>
      </c>
      <c r="B897" s="308">
        <v>46091</v>
      </c>
      <c r="C897" s="309">
        <f t="shared" si="80"/>
        <v>46082</v>
      </c>
      <c r="D897" s="310" t="s">
        <v>56</v>
      </c>
      <c r="E897" s="310" t="s">
        <v>38</v>
      </c>
      <c r="F897" s="311">
        <v>9515412075</v>
      </c>
      <c r="G897" s="316" t="s">
        <v>6</v>
      </c>
      <c r="H897" s="316" t="s">
        <v>2716</v>
      </c>
      <c r="I897" s="316" t="s">
        <v>2824</v>
      </c>
      <c r="J897" s="310" t="s">
        <v>59</v>
      </c>
      <c r="K897" s="312">
        <v>33530</v>
      </c>
      <c r="L897" s="312">
        <v>45040</v>
      </c>
      <c r="M897" s="313">
        <f t="shared" si="81"/>
        <v>11510</v>
      </c>
      <c r="N897" s="314">
        <f t="shared" si="82"/>
        <v>0.255550621669627</v>
      </c>
      <c r="O897" s="312">
        <v>33530</v>
      </c>
      <c r="P897" s="313">
        <f t="shared" si="78"/>
        <v>0</v>
      </c>
      <c r="Q897" s="310" t="s">
        <v>147</v>
      </c>
      <c r="R897" s="310">
        <v>495</v>
      </c>
      <c r="S897" s="310"/>
      <c r="T897" s="308">
        <v>46094</v>
      </c>
      <c r="U897" s="308">
        <v>46094</v>
      </c>
      <c r="V897" s="308"/>
      <c r="W897" s="315">
        <f t="shared" si="83"/>
        <v>3</v>
      </c>
      <c r="X897" s="310" t="s">
        <v>54</v>
      </c>
      <c r="Y897" s="310" t="s">
        <v>56</v>
      </c>
      <c r="Z897" s="316"/>
      <c r="AA897" s="316" t="s">
        <v>2821</v>
      </c>
      <c r="AB897" s="316" t="s">
        <v>2821</v>
      </c>
    </row>
    <row r="898" spans="1:28" x14ac:dyDescent="0.25">
      <c r="A898" s="307">
        <f t="shared" si="79"/>
        <v>892</v>
      </c>
      <c r="B898" s="308">
        <v>46092</v>
      </c>
      <c r="C898" s="309">
        <f t="shared" si="80"/>
        <v>46082</v>
      </c>
      <c r="D898" s="310" t="s">
        <v>56</v>
      </c>
      <c r="E898" s="310" t="s">
        <v>1635</v>
      </c>
      <c r="F898" s="311">
        <v>9281983602</v>
      </c>
      <c r="G898" s="316" t="s">
        <v>1093</v>
      </c>
      <c r="H898" s="316" t="s">
        <v>2822</v>
      </c>
      <c r="I898" s="316" t="s">
        <v>6</v>
      </c>
      <c r="J898" s="310" t="s">
        <v>172</v>
      </c>
      <c r="K898" s="312">
        <v>41230</v>
      </c>
      <c r="L898" s="312">
        <v>96390</v>
      </c>
      <c r="M898" s="313">
        <f t="shared" si="81"/>
        <v>55160</v>
      </c>
      <c r="N898" s="314">
        <f t="shared" si="82"/>
        <v>0.572258533042847</v>
      </c>
      <c r="O898" s="312">
        <v>41230</v>
      </c>
      <c r="P898" s="313">
        <f t="shared" si="78"/>
        <v>0</v>
      </c>
      <c r="Q898" s="310" t="s">
        <v>147</v>
      </c>
      <c r="R898" s="310">
        <v>496</v>
      </c>
      <c r="S898" s="310"/>
      <c r="T898" s="308">
        <v>46094</v>
      </c>
      <c r="U898" s="308">
        <v>46094</v>
      </c>
      <c r="V898" s="308"/>
      <c r="W898" s="315">
        <f t="shared" si="83"/>
        <v>2</v>
      </c>
      <c r="X898" s="310" t="s">
        <v>54</v>
      </c>
      <c r="Y898" s="310" t="s">
        <v>56</v>
      </c>
      <c r="Z898" s="316"/>
      <c r="AA898" s="316" t="s">
        <v>2821</v>
      </c>
      <c r="AB898" s="316" t="s">
        <v>2821</v>
      </c>
    </row>
    <row r="899" spans="1:28" x14ac:dyDescent="0.25">
      <c r="A899" s="307">
        <f t="shared" si="79"/>
        <v>893</v>
      </c>
      <c r="B899" s="308">
        <v>46093</v>
      </c>
      <c r="C899" s="309">
        <f t="shared" si="80"/>
        <v>46082</v>
      </c>
      <c r="D899" s="310" t="s">
        <v>56</v>
      </c>
      <c r="E899" s="310" t="s">
        <v>1641</v>
      </c>
      <c r="F899" s="311">
        <v>9486716172</v>
      </c>
      <c r="G899" s="316" t="s">
        <v>6</v>
      </c>
      <c r="H899" s="316" t="s">
        <v>2826</v>
      </c>
      <c r="I899" s="316" t="s">
        <v>2823</v>
      </c>
      <c r="J899" s="310" t="s">
        <v>172</v>
      </c>
      <c r="K899" s="312">
        <v>33770</v>
      </c>
      <c r="L899" s="312">
        <v>46620</v>
      </c>
      <c r="M899" s="313">
        <f t="shared" si="81"/>
        <v>12850</v>
      </c>
      <c r="N899" s="314">
        <f t="shared" si="82"/>
        <v>0.275632775632776</v>
      </c>
      <c r="O899" s="312">
        <v>33770</v>
      </c>
      <c r="P899" s="313">
        <f t="shared" si="78"/>
        <v>0</v>
      </c>
      <c r="Q899" s="310" t="s">
        <v>147</v>
      </c>
      <c r="R899" s="310">
        <v>497</v>
      </c>
      <c r="S899" s="310"/>
      <c r="T899" s="308">
        <v>46095</v>
      </c>
      <c r="U899" s="308">
        <v>46095</v>
      </c>
      <c r="V899" s="308"/>
      <c r="W899" s="315">
        <f t="shared" si="83"/>
        <v>2</v>
      </c>
      <c r="X899" s="310" t="s">
        <v>54</v>
      </c>
      <c r="Y899" s="310" t="s">
        <v>56</v>
      </c>
      <c r="Z899" s="316"/>
      <c r="AA899" s="316" t="s">
        <v>2827</v>
      </c>
      <c r="AB899" s="316" t="s">
        <v>2827</v>
      </c>
    </row>
    <row r="900" spans="1:28" x14ac:dyDescent="0.25">
      <c r="A900" s="307">
        <f t="shared" si="79"/>
        <v>894</v>
      </c>
      <c r="B900" s="308">
        <v>46093</v>
      </c>
      <c r="C900" s="309">
        <f t="shared" si="80"/>
        <v>46082</v>
      </c>
      <c r="D900" s="310" t="s">
        <v>56</v>
      </c>
      <c r="E900" s="310" t="s">
        <v>1644</v>
      </c>
      <c r="F900" s="311">
        <v>9902798068</v>
      </c>
      <c r="G900" s="316" t="s">
        <v>1093</v>
      </c>
      <c r="H900" s="316" t="s">
        <v>2825</v>
      </c>
      <c r="I900" s="316" t="s">
        <v>6</v>
      </c>
      <c r="J900" s="310" t="s">
        <v>172</v>
      </c>
      <c r="K900" s="312">
        <v>42180</v>
      </c>
      <c r="L900" s="312">
        <v>102690</v>
      </c>
      <c r="M900" s="313">
        <f t="shared" si="81"/>
        <v>60510</v>
      </c>
      <c r="N900" s="314">
        <f t="shared" si="82"/>
        <v>0.58924919661116</v>
      </c>
      <c r="O900" s="312">
        <v>42180</v>
      </c>
      <c r="P900" s="313">
        <f t="shared" si="78"/>
        <v>0</v>
      </c>
      <c r="Q900" s="310" t="s">
        <v>147</v>
      </c>
      <c r="R900" s="310">
        <v>498</v>
      </c>
      <c r="S900" s="310"/>
      <c r="T900" s="308">
        <v>46096</v>
      </c>
      <c r="U900" s="308">
        <v>46097</v>
      </c>
      <c r="V900" s="308"/>
      <c r="W900" s="315">
        <f t="shared" si="83"/>
        <v>4</v>
      </c>
      <c r="X900" s="310" t="s">
        <v>54</v>
      </c>
      <c r="Y900" s="310" t="s">
        <v>56</v>
      </c>
      <c r="Z900" s="316"/>
      <c r="AA900" s="316" t="s">
        <v>2828</v>
      </c>
      <c r="AB900" s="316" t="s">
        <v>2829</v>
      </c>
    </row>
    <row r="901" spans="1:28" x14ac:dyDescent="0.25">
      <c r="A901" s="307">
        <f t="shared" si="79"/>
        <v>895</v>
      </c>
      <c r="B901" s="308">
        <v>46095</v>
      </c>
      <c r="C901" s="309">
        <f t="shared" si="80"/>
        <v>46082</v>
      </c>
      <c r="D901" s="310" t="s">
        <v>56</v>
      </c>
      <c r="E901" s="310" t="s">
        <v>60</v>
      </c>
      <c r="F901" s="311">
        <v>92466897558</v>
      </c>
      <c r="G901" s="316" t="s">
        <v>6</v>
      </c>
      <c r="H901" s="316" t="s">
        <v>2832</v>
      </c>
      <c r="I901" s="316" t="s">
        <v>2833</v>
      </c>
      <c r="J901" s="310" t="s">
        <v>172</v>
      </c>
      <c r="K901" s="312">
        <v>33770</v>
      </c>
      <c r="L901" s="312">
        <v>46620</v>
      </c>
      <c r="M901" s="313">
        <f t="shared" si="81"/>
        <v>12850</v>
      </c>
      <c r="N901" s="314">
        <f t="shared" si="82"/>
        <v>0.275632775632776</v>
      </c>
      <c r="O901" s="312">
        <v>33770</v>
      </c>
      <c r="P901" s="313">
        <f t="shared" si="78"/>
        <v>0</v>
      </c>
      <c r="Q901" s="310" t="s">
        <v>147</v>
      </c>
      <c r="R901" s="310">
        <v>499</v>
      </c>
      <c r="S901" s="310"/>
      <c r="T901" s="308">
        <v>46098</v>
      </c>
      <c r="U901" s="308">
        <v>46098</v>
      </c>
      <c r="V901" s="308"/>
      <c r="W901" s="315">
        <f t="shared" si="83"/>
        <v>3</v>
      </c>
      <c r="X901" s="310" t="s">
        <v>54</v>
      </c>
      <c r="Y901" s="310" t="s">
        <v>56</v>
      </c>
      <c r="Z901" s="316"/>
      <c r="AA901" s="316" t="s">
        <v>2830</v>
      </c>
      <c r="AB901" s="316" t="s">
        <v>2830</v>
      </c>
    </row>
    <row r="902" spans="1:28" x14ac:dyDescent="0.25">
      <c r="A902" s="307">
        <f t="shared" si="79"/>
        <v>896</v>
      </c>
      <c r="B902" s="308">
        <v>46096</v>
      </c>
      <c r="C902" s="309">
        <f t="shared" si="80"/>
        <v>46082</v>
      </c>
      <c r="D902" s="310" t="s">
        <v>56</v>
      </c>
      <c r="E902" s="310" t="s">
        <v>1635</v>
      </c>
      <c r="F902" s="311">
        <v>9281983602</v>
      </c>
      <c r="G902" s="316" t="s">
        <v>6</v>
      </c>
      <c r="H902" s="316" t="s">
        <v>1874</v>
      </c>
      <c r="I902" s="316" t="s">
        <v>2834</v>
      </c>
      <c r="J902" s="310" t="s">
        <v>172</v>
      </c>
      <c r="K902" s="312">
        <v>32820</v>
      </c>
      <c r="L902" s="312">
        <v>40320</v>
      </c>
      <c r="M902" s="313">
        <f t="shared" si="81"/>
        <v>7500</v>
      </c>
      <c r="N902" s="314">
        <f t="shared" si="82"/>
        <v>0.186011904761905</v>
      </c>
      <c r="O902" s="312">
        <v>32820</v>
      </c>
      <c r="P902" s="313">
        <f t="shared" si="78"/>
        <v>0</v>
      </c>
      <c r="Q902" s="310" t="s">
        <v>147</v>
      </c>
      <c r="R902" s="310">
        <v>500</v>
      </c>
      <c r="S902" s="310"/>
      <c r="T902" s="308">
        <v>46101</v>
      </c>
      <c r="U902" s="308">
        <v>46101</v>
      </c>
      <c r="V902" s="308"/>
      <c r="W902" s="315">
        <f t="shared" si="83"/>
        <v>5</v>
      </c>
      <c r="X902" s="310" t="s">
        <v>54</v>
      </c>
      <c r="Y902" s="310" t="s">
        <v>56</v>
      </c>
      <c r="Z902" s="316"/>
      <c r="AA902" s="316" t="s">
        <v>2847</v>
      </c>
      <c r="AB902" s="316" t="s">
        <v>2847</v>
      </c>
    </row>
    <row r="903" spans="1:28" x14ac:dyDescent="0.25">
      <c r="A903" s="307">
        <f t="shared" si="79"/>
        <v>897</v>
      </c>
      <c r="B903" s="308">
        <v>46096</v>
      </c>
      <c r="C903" s="309">
        <f t="shared" si="80"/>
        <v>46082</v>
      </c>
      <c r="D903" s="310" t="s">
        <v>56</v>
      </c>
      <c r="E903" s="310" t="s">
        <v>38</v>
      </c>
      <c r="F903" s="311">
        <v>9486716172</v>
      </c>
      <c r="G903" s="316" t="s">
        <v>1093</v>
      </c>
      <c r="H903" s="316" t="s">
        <v>2839</v>
      </c>
      <c r="I903" s="316" t="s">
        <v>6</v>
      </c>
      <c r="J903" s="310" t="s">
        <v>59</v>
      </c>
      <c r="K903" s="312">
        <v>40480</v>
      </c>
      <c r="L903" s="312">
        <v>91350</v>
      </c>
      <c r="M903" s="313">
        <f t="shared" si="81"/>
        <v>50870</v>
      </c>
      <c r="N903" s="314">
        <f t="shared" si="82"/>
        <v>0.556869184455391</v>
      </c>
      <c r="O903" s="312">
        <v>40480</v>
      </c>
      <c r="P903" s="313">
        <f t="shared" ref="P903:P966" si="84">IF(OR($K903="",$O903=""),"",$K903-$O903)</f>
        <v>0</v>
      </c>
      <c r="Q903" s="310" t="s">
        <v>147</v>
      </c>
      <c r="R903" s="310">
        <v>501</v>
      </c>
      <c r="S903" s="310"/>
      <c r="T903" s="308">
        <v>46099</v>
      </c>
      <c r="U903" s="308">
        <v>46099</v>
      </c>
      <c r="V903" s="308"/>
      <c r="W903" s="315">
        <f t="shared" si="83"/>
        <v>3</v>
      </c>
      <c r="X903" s="310" t="s">
        <v>54</v>
      </c>
      <c r="Y903" s="310" t="s">
        <v>56</v>
      </c>
      <c r="Z903" s="316"/>
      <c r="AA903" s="316" t="s">
        <v>2831</v>
      </c>
      <c r="AB903" s="316" t="s">
        <v>2831</v>
      </c>
    </row>
    <row r="904" spans="1:28" x14ac:dyDescent="0.25">
      <c r="A904" s="307">
        <f t="shared" ref="A904:A967" si="85">IF($B904="","",ROW()-6)</f>
        <v>898</v>
      </c>
      <c r="B904" s="308">
        <v>46097</v>
      </c>
      <c r="C904" s="309">
        <f t="shared" ref="C904:C967" si="86">IF($B904="","",EOMONTH($B904,-1)+1)</f>
        <v>46082</v>
      </c>
      <c r="D904" s="310" t="s">
        <v>56</v>
      </c>
      <c r="E904" s="310" t="s">
        <v>1644</v>
      </c>
      <c r="F904" s="311">
        <v>9793531306</v>
      </c>
      <c r="G904" s="316" t="s">
        <v>6</v>
      </c>
      <c r="H904" s="316" t="s">
        <v>2835</v>
      </c>
      <c r="I904" s="316" t="s">
        <v>2836</v>
      </c>
      <c r="J904" s="310" t="s">
        <v>172</v>
      </c>
      <c r="K904" s="312">
        <v>33770</v>
      </c>
      <c r="L904" s="312">
        <v>46620</v>
      </c>
      <c r="M904" s="313">
        <f t="shared" ref="M904:M967" si="87">IF(OR($K904="",$L904=""),"",$L904-$K904)</f>
        <v>12850</v>
      </c>
      <c r="N904" s="314">
        <f t="shared" ref="N904:N967" si="88">IF(OR($L904="",$L904=0,$M904=""),"",$M904/$L904)</f>
        <v>0.275632775632776</v>
      </c>
      <c r="O904" s="312">
        <v>33770</v>
      </c>
      <c r="P904" s="313">
        <f t="shared" si="84"/>
        <v>0</v>
      </c>
      <c r="Q904" s="310" t="s">
        <v>147</v>
      </c>
      <c r="R904" s="310">
        <v>502</v>
      </c>
      <c r="S904" s="310"/>
      <c r="T904" s="308">
        <v>46100</v>
      </c>
      <c r="U904" s="308">
        <v>46100</v>
      </c>
      <c r="V904" s="308"/>
      <c r="W904" s="315">
        <f t="shared" ref="W904:W967" si="89">IF(OR($B904="",$U904=""),"",$U904-$B904)</f>
        <v>3</v>
      </c>
      <c r="X904" s="310" t="s">
        <v>54</v>
      </c>
      <c r="Y904" s="310" t="s">
        <v>56</v>
      </c>
      <c r="Z904" s="316"/>
      <c r="AA904" s="316" t="s">
        <v>2848</v>
      </c>
      <c r="AB904" s="316" t="s">
        <v>2848</v>
      </c>
    </row>
    <row r="905" spans="1:28" x14ac:dyDescent="0.25">
      <c r="A905" s="307">
        <f t="shared" si="85"/>
        <v>899</v>
      </c>
      <c r="B905" s="308">
        <v>46098</v>
      </c>
      <c r="C905" s="309">
        <f t="shared" si="86"/>
        <v>46082</v>
      </c>
      <c r="D905" s="310" t="s">
        <v>56</v>
      </c>
      <c r="E905" s="310" t="s">
        <v>1637</v>
      </c>
      <c r="F905" s="311">
        <v>9025368773</v>
      </c>
      <c r="G905" s="316" t="s">
        <v>6</v>
      </c>
      <c r="H905" s="316" t="s">
        <v>2837</v>
      </c>
      <c r="I905" s="316" t="s">
        <v>2838</v>
      </c>
      <c r="J905" s="310" t="s">
        <v>172</v>
      </c>
      <c r="K905" s="312">
        <v>33770</v>
      </c>
      <c r="L905" s="312">
        <v>46620</v>
      </c>
      <c r="M905" s="313">
        <f t="shared" si="87"/>
        <v>12850</v>
      </c>
      <c r="N905" s="314">
        <f t="shared" si="88"/>
        <v>0.275632775632776</v>
      </c>
      <c r="O905" s="312">
        <v>33770</v>
      </c>
      <c r="P905" s="313">
        <f t="shared" si="84"/>
        <v>0</v>
      </c>
      <c r="Q905" s="310" t="s">
        <v>147</v>
      </c>
      <c r="R905" s="310">
        <v>503</v>
      </c>
      <c r="S905" s="310"/>
      <c r="T905" s="308">
        <v>46101</v>
      </c>
      <c r="U905" s="308">
        <v>46101</v>
      </c>
      <c r="V905" s="308"/>
      <c r="W905" s="315">
        <f t="shared" si="89"/>
        <v>3</v>
      </c>
      <c r="X905" s="310" t="s">
        <v>54</v>
      </c>
      <c r="Y905" s="310" t="s">
        <v>56</v>
      </c>
      <c r="Z905" s="316"/>
      <c r="AA905" s="316" t="s">
        <v>2847</v>
      </c>
      <c r="AB905" s="316" t="s">
        <v>2847</v>
      </c>
    </row>
    <row r="906" spans="1:28" x14ac:dyDescent="0.25">
      <c r="A906" s="307">
        <f t="shared" si="85"/>
        <v>900</v>
      </c>
      <c r="B906" s="308">
        <v>46100</v>
      </c>
      <c r="C906" s="309">
        <f t="shared" si="86"/>
        <v>46082</v>
      </c>
      <c r="D906" s="310" t="s">
        <v>56</v>
      </c>
      <c r="E906" s="310" t="s">
        <v>60</v>
      </c>
      <c r="F906" s="311">
        <v>9589264337</v>
      </c>
      <c r="G906" s="316" t="s">
        <v>1093</v>
      </c>
      <c r="H906" s="316" t="s">
        <v>2840</v>
      </c>
      <c r="I906" s="316" t="s">
        <v>6</v>
      </c>
      <c r="J906" s="310" t="s">
        <v>172</v>
      </c>
      <c r="K906" s="312">
        <v>43120</v>
      </c>
      <c r="L906" s="312">
        <v>108990</v>
      </c>
      <c r="M906" s="313">
        <f t="shared" si="87"/>
        <v>65870</v>
      </c>
      <c r="N906" s="314">
        <f t="shared" si="88"/>
        <v>0.6043673731535</v>
      </c>
      <c r="O906" s="312">
        <v>43120</v>
      </c>
      <c r="P906" s="313">
        <f t="shared" si="84"/>
        <v>0</v>
      </c>
      <c r="Q906" s="310" t="s">
        <v>147</v>
      </c>
      <c r="R906" s="310">
        <v>504</v>
      </c>
      <c r="S906" s="310"/>
      <c r="T906" s="308">
        <v>46103</v>
      </c>
      <c r="U906" s="308">
        <v>46103</v>
      </c>
      <c r="V906" s="308"/>
      <c r="W906" s="315">
        <f t="shared" si="89"/>
        <v>3</v>
      </c>
      <c r="X906" s="310" t="s">
        <v>54</v>
      </c>
      <c r="Y906" s="310" t="s">
        <v>56</v>
      </c>
      <c r="Z906" s="316"/>
      <c r="AA906" s="316" t="s">
        <v>2849</v>
      </c>
      <c r="AB906" s="316" t="s">
        <v>2849</v>
      </c>
    </row>
    <row r="907" spans="1:28" x14ac:dyDescent="0.25">
      <c r="A907" s="307">
        <f t="shared" si="85"/>
        <v>901</v>
      </c>
      <c r="B907" s="308">
        <v>46101</v>
      </c>
      <c r="C907" s="309">
        <f t="shared" si="86"/>
        <v>46082</v>
      </c>
      <c r="D907" s="310" t="s">
        <v>56</v>
      </c>
      <c r="E907" s="310" t="s">
        <v>1641</v>
      </c>
      <c r="F907" s="311">
        <v>9486716172</v>
      </c>
      <c r="G907" s="316" t="s">
        <v>6</v>
      </c>
      <c r="H907" s="316" t="s">
        <v>2863</v>
      </c>
      <c r="I907" s="316" t="s">
        <v>2862</v>
      </c>
      <c r="J907" s="310" t="s">
        <v>172</v>
      </c>
      <c r="K907" s="312">
        <v>35750</v>
      </c>
      <c r="L907" s="312">
        <v>59850</v>
      </c>
      <c r="M907" s="313">
        <f t="shared" si="87"/>
        <v>24100</v>
      </c>
      <c r="N907" s="314">
        <f t="shared" si="88"/>
        <v>0.402673350041771</v>
      </c>
      <c r="O907" s="312">
        <v>35750</v>
      </c>
      <c r="P907" s="313">
        <f t="shared" si="84"/>
        <v>0</v>
      </c>
      <c r="Q907" s="310" t="s">
        <v>147</v>
      </c>
      <c r="R907" s="310">
        <v>505</v>
      </c>
      <c r="S907" s="310"/>
      <c r="T907" s="308">
        <v>46105</v>
      </c>
      <c r="U907" s="308">
        <v>46105</v>
      </c>
      <c r="V907" s="308"/>
      <c r="W907" s="315">
        <f t="shared" si="89"/>
        <v>4</v>
      </c>
      <c r="X907" s="310" t="s">
        <v>54</v>
      </c>
      <c r="Y907" s="310" t="s">
        <v>56</v>
      </c>
      <c r="Z907" s="316"/>
      <c r="AA907" s="316" t="s">
        <v>2851</v>
      </c>
      <c r="AB907" s="316" t="s">
        <v>2851</v>
      </c>
    </row>
    <row r="908" spans="1:28" x14ac:dyDescent="0.25">
      <c r="A908" s="307">
        <f t="shared" si="85"/>
        <v>902</v>
      </c>
      <c r="B908" s="308">
        <v>46101</v>
      </c>
      <c r="C908" s="309">
        <f t="shared" si="86"/>
        <v>46082</v>
      </c>
      <c r="D908" s="310" t="s">
        <v>51</v>
      </c>
      <c r="E908" s="310" t="s">
        <v>1218</v>
      </c>
      <c r="F908" s="311">
        <v>9542438212</v>
      </c>
      <c r="G908" s="316" t="s">
        <v>6</v>
      </c>
      <c r="H908" s="316" t="s">
        <v>1874</v>
      </c>
      <c r="I908" s="316" t="s">
        <v>2880</v>
      </c>
      <c r="J908" s="310" t="s">
        <v>172</v>
      </c>
      <c r="K908" s="312">
        <v>32820</v>
      </c>
      <c r="L908" s="312">
        <v>40320</v>
      </c>
      <c r="M908" s="313">
        <f t="shared" si="87"/>
        <v>7500</v>
      </c>
      <c r="N908" s="314">
        <f t="shared" si="88"/>
        <v>0.186011904761905</v>
      </c>
      <c r="O908" s="312">
        <v>32820</v>
      </c>
      <c r="P908" s="313">
        <f t="shared" si="84"/>
        <v>0</v>
      </c>
      <c r="Q908" s="310" t="s">
        <v>147</v>
      </c>
      <c r="R908" s="310">
        <v>506</v>
      </c>
      <c r="S908" s="310"/>
      <c r="T908" s="308">
        <v>46105</v>
      </c>
      <c r="U908" s="308">
        <v>46105</v>
      </c>
      <c r="V908" s="308"/>
      <c r="W908" s="315">
        <f t="shared" si="89"/>
        <v>4</v>
      </c>
      <c r="X908" s="310" t="s">
        <v>54</v>
      </c>
      <c r="Y908" s="310" t="s">
        <v>3742</v>
      </c>
      <c r="Z908" s="316"/>
      <c r="AA908" s="316" t="s">
        <v>2851</v>
      </c>
      <c r="AB908" s="316" t="s">
        <v>2851</v>
      </c>
    </row>
    <row r="909" spans="1:28" x14ac:dyDescent="0.25">
      <c r="A909" s="307">
        <f t="shared" si="85"/>
        <v>903</v>
      </c>
      <c r="B909" s="308">
        <v>46101</v>
      </c>
      <c r="C909" s="309">
        <f t="shared" si="86"/>
        <v>46082</v>
      </c>
      <c r="D909" s="310" t="s">
        <v>51</v>
      </c>
      <c r="E909" s="310" t="s">
        <v>2850</v>
      </c>
      <c r="F909" s="311">
        <v>9482516734</v>
      </c>
      <c r="G909" s="316" t="s">
        <v>6</v>
      </c>
      <c r="H909" s="316" t="s">
        <v>2864</v>
      </c>
      <c r="I909" s="316" t="s">
        <v>2865</v>
      </c>
      <c r="J909" s="310" t="s">
        <v>172</v>
      </c>
      <c r="K909" s="312">
        <v>33770</v>
      </c>
      <c r="L909" s="312">
        <v>46620</v>
      </c>
      <c r="M909" s="313">
        <f t="shared" si="87"/>
        <v>12850</v>
      </c>
      <c r="N909" s="314">
        <f t="shared" si="88"/>
        <v>0.275632775632776</v>
      </c>
      <c r="O909" s="312">
        <v>33770</v>
      </c>
      <c r="P909" s="313">
        <f t="shared" si="84"/>
        <v>0</v>
      </c>
      <c r="Q909" s="310" t="s">
        <v>147</v>
      </c>
      <c r="R909" s="310">
        <v>507</v>
      </c>
      <c r="S909" s="310"/>
      <c r="T909" s="308">
        <v>46105</v>
      </c>
      <c r="U909" s="308">
        <v>46105</v>
      </c>
      <c r="V909" s="308"/>
      <c r="W909" s="315">
        <f t="shared" si="89"/>
        <v>4</v>
      </c>
      <c r="X909" s="310" t="s">
        <v>54</v>
      </c>
      <c r="Y909" s="310" t="s">
        <v>3742</v>
      </c>
      <c r="Z909" s="316"/>
      <c r="AA909" s="316" t="s">
        <v>2851</v>
      </c>
      <c r="AB909" s="316" t="s">
        <v>2851</v>
      </c>
    </row>
    <row r="910" spans="1:28" x14ac:dyDescent="0.25">
      <c r="A910" s="307">
        <f t="shared" si="85"/>
        <v>904</v>
      </c>
      <c r="B910" s="308">
        <v>46104</v>
      </c>
      <c r="C910" s="309">
        <f t="shared" si="86"/>
        <v>46082</v>
      </c>
      <c r="D910" s="310" t="s">
        <v>56</v>
      </c>
      <c r="E910" s="310" t="s">
        <v>60</v>
      </c>
      <c r="F910" s="311">
        <v>9589264337</v>
      </c>
      <c r="G910" s="316" t="s">
        <v>6</v>
      </c>
      <c r="H910" s="316" t="s">
        <v>2866</v>
      </c>
      <c r="I910" s="316" t="s">
        <v>2867</v>
      </c>
      <c r="J910" s="310" t="s">
        <v>172</v>
      </c>
      <c r="K910" s="312">
        <v>33770</v>
      </c>
      <c r="L910" s="312">
        <v>46620</v>
      </c>
      <c r="M910" s="313">
        <f t="shared" si="87"/>
        <v>12850</v>
      </c>
      <c r="N910" s="314">
        <f t="shared" si="88"/>
        <v>0.275632775632776</v>
      </c>
      <c r="O910" s="312">
        <v>33770</v>
      </c>
      <c r="P910" s="313">
        <f t="shared" si="84"/>
        <v>0</v>
      </c>
      <c r="Q910" s="310" t="s">
        <v>147</v>
      </c>
      <c r="R910" s="310">
        <v>508</v>
      </c>
      <c r="S910" s="310"/>
      <c r="T910" s="308">
        <v>46107</v>
      </c>
      <c r="U910" s="308">
        <v>46107</v>
      </c>
      <c r="V910" s="308"/>
      <c r="W910" s="315">
        <f t="shared" si="89"/>
        <v>3</v>
      </c>
      <c r="X910" s="310" t="s">
        <v>54</v>
      </c>
      <c r="Y910" s="310" t="s">
        <v>56</v>
      </c>
      <c r="Z910" s="316"/>
      <c r="AA910" s="316" t="s">
        <v>2853</v>
      </c>
      <c r="AB910" s="316" t="s">
        <v>2853</v>
      </c>
    </row>
    <row r="911" spans="1:28" x14ac:dyDescent="0.25">
      <c r="A911" s="307">
        <f t="shared" si="85"/>
        <v>905</v>
      </c>
      <c r="B911" s="308">
        <v>46106</v>
      </c>
      <c r="C911" s="309">
        <f t="shared" si="86"/>
        <v>46082</v>
      </c>
      <c r="D911" s="310" t="s">
        <v>56</v>
      </c>
      <c r="E911" s="310" t="s">
        <v>2852</v>
      </c>
      <c r="F911" s="311">
        <v>9549554553</v>
      </c>
      <c r="G911" s="316" t="s">
        <v>6</v>
      </c>
      <c r="H911" s="316" t="s">
        <v>2868</v>
      </c>
      <c r="I911" s="316" t="s">
        <v>2869</v>
      </c>
      <c r="J911" s="310" t="s">
        <v>172</v>
      </c>
      <c r="K911" s="312">
        <v>33770</v>
      </c>
      <c r="L911" s="312">
        <v>46620</v>
      </c>
      <c r="M911" s="313">
        <f t="shared" si="87"/>
        <v>12850</v>
      </c>
      <c r="N911" s="314">
        <f t="shared" si="88"/>
        <v>0.275632775632776</v>
      </c>
      <c r="O911" s="312">
        <v>33770</v>
      </c>
      <c r="P911" s="313">
        <f t="shared" si="84"/>
        <v>0</v>
      </c>
      <c r="Q911" s="310" t="s">
        <v>147</v>
      </c>
      <c r="R911" s="310">
        <v>509</v>
      </c>
      <c r="S911" s="310"/>
      <c r="T911" s="308">
        <v>46111</v>
      </c>
      <c r="U911" s="308">
        <v>46114</v>
      </c>
      <c r="V911" s="308"/>
      <c r="W911" s="315">
        <f t="shared" si="89"/>
        <v>8</v>
      </c>
      <c r="X911" s="310" t="s">
        <v>54</v>
      </c>
      <c r="Y911" s="310" t="s">
        <v>3742</v>
      </c>
      <c r="Z911" s="316"/>
      <c r="AA911" s="316" t="s">
        <v>2855</v>
      </c>
      <c r="AB911" s="317">
        <v>46057</v>
      </c>
    </row>
    <row r="912" spans="1:28" x14ac:dyDescent="0.25">
      <c r="A912" s="307">
        <f t="shared" si="85"/>
        <v>906</v>
      </c>
      <c r="B912" s="308">
        <v>46107</v>
      </c>
      <c r="C912" s="309">
        <f t="shared" si="86"/>
        <v>46082</v>
      </c>
      <c r="D912" s="310" t="s">
        <v>56</v>
      </c>
      <c r="E912" s="310" t="s">
        <v>1641</v>
      </c>
      <c r="F912" s="311">
        <v>9486716172</v>
      </c>
      <c r="G912" s="316" t="s">
        <v>1093</v>
      </c>
      <c r="H912" s="316" t="s">
        <v>3780</v>
      </c>
      <c r="I912" s="316" t="s">
        <v>6</v>
      </c>
      <c r="J912" s="310" t="s">
        <v>172</v>
      </c>
      <c r="K912" s="312">
        <v>42180</v>
      </c>
      <c r="L912" s="312">
        <v>102690</v>
      </c>
      <c r="M912" s="313">
        <f t="shared" si="87"/>
        <v>60510</v>
      </c>
      <c r="N912" s="314">
        <f t="shared" si="88"/>
        <v>0.58924919661116</v>
      </c>
      <c r="O912" s="312">
        <v>42180</v>
      </c>
      <c r="P912" s="313">
        <f t="shared" si="84"/>
        <v>0</v>
      </c>
      <c r="Q912" s="310" t="s">
        <v>147</v>
      </c>
      <c r="R912" s="310">
        <v>510</v>
      </c>
      <c r="S912" s="310"/>
      <c r="T912" s="308">
        <v>46109</v>
      </c>
      <c r="U912" s="308">
        <v>46109</v>
      </c>
      <c r="V912" s="308"/>
      <c r="W912" s="315">
        <f t="shared" si="89"/>
        <v>2</v>
      </c>
      <c r="X912" s="310" t="s">
        <v>54</v>
      </c>
      <c r="Y912" s="310" t="s">
        <v>56</v>
      </c>
      <c r="Z912" s="316"/>
      <c r="AA912" s="316" t="s">
        <v>2854</v>
      </c>
      <c r="AB912" s="316" t="s">
        <v>2854</v>
      </c>
    </row>
    <row r="913" spans="1:28" x14ac:dyDescent="0.25">
      <c r="A913" s="307">
        <f t="shared" si="85"/>
        <v>907</v>
      </c>
      <c r="B913" s="308">
        <v>46108</v>
      </c>
      <c r="C913" s="309">
        <f t="shared" si="86"/>
        <v>46082</v>
      </c>
      <c r="D913" s="310" t="s">
        <v>56</v>
      </c>
      <c r="E913" s="310" t="s">
        <v>1635</v>
      </c>
      <c r="F913" s="311">
        <v>9793531306</v>
      </c>
      <c r="G913" s="316" t="s">
        <v>6</v>
      </c>
      <c r="H913" s="316" t="s">
        <v>2870</v>
      </c>
      <c r="I913" s="316" t="s">
        <v>2871</v>
      </c>
      <c r="J913" s="310" t="s">
        <v>172</v>
      </c>
      <c r="K913" s="312">
        <v>33770</v>
      </c>
      <c r="L913" s="312">
        <v>46620</v>
      </c>
      <c r="M913" s="313">
        <f t="shared" si="87"/>
        <v>12850</v>
      </c>
      <c r="N913" s="314">
        <f t="shared" si="88"/>
        <v>0.275632775632776</v>
      </c>
      <c r="O913" s="312">
        <v>33770</v>
      </c>
      <c r="P913" s="313">
        <f t="shared" si="84"/>
        <v>0</v>
      </c>
      <c r="Q913" s="310" t="s">
        <v>147</v>
      </c>
      <c r="R913" s="310">
        <v>511</v>
      </c>
      <c r="S913" s="310"/>
      <c r="T913" s="308">
        <v>46111</v>
      </c>
      <c r="U913" s="308">
        <v>46111</v>
      </c>
      <c r="V913" s="308"/>
      <c r="W913" s="315">
        <f t="shared" si="89"/>
        <v>3</v>
      </c>
      <c r="X913" s="310" t="s">
        <v>54</v>
      </c>
      <c r="Y913" s="310" t="s">
        <v>56</v>
      </c>
      <c r="Z913" s="316"/>
      <c r="AA913" s="316" t="s">
        <v>2855</v>
      </c>
      <c r="AB913" s="316" t="s">
        <v>2855</v>
      </c>
    </row>
    <row r="914" spans="1:28" x14ac:dyDescent="0.25">
      <c r="A914" s="307">
        <f t="shared" si="85"/>
        <v>908</v>
      </c>
      <c r="B914" s="308">
        <v>46109</v>
      </c>
      <c r="C914" s="309">
        <f t="shared" si="86"/>
        <v>46082</v>
      </c>
      <c r="D914" s="310" t="s">
        <v>56</v>
      </c>
      <c r="E914" s="310" t="s">
        <v>1637</v>
      </c>
      <c r="F914" s="311">
        <v>9025368773</v>
      </c>
      <c r="G914" s="316" t="s">
        <v>6</v>
      </c>
      <c r="H914" s="316" t="s">
        <v>1874</v>
      </c>
      <c r="I914" s="316" t="s">
        <v>2872</v>
      </c>
      <c r="J914" s="310" t="s">
        <v>172</v>
      </c>
      <c r="K914" s="312">
        <v>32820</v>
      </c>
      <c r="L914" s="312">
        <v>40320</v>
      </c>
      <c r="M914" s="313">
        <f t="shared" si="87"/>
        <v>7500</v>
      </c>
      <c r="N914" s="314">
        <f t="shared" si="88"/>
        <v>0.186011904761905</v>
      </c>
      <c r="O914" s="312">
        <v>32820</v>
      </c>
      <c r="P914" s="313">
        <f t="shared" si="84"/>
        <v>0</v>
      </c>
      <c r="Q914" s="310" t="s">
        <v>147</v>
      </c>
      <c r="R914" s="310">
        <v>512</v>
      </c>
      <c r="S914" s="310"/>
      <c r="T914" s="308">
        <v>46111</v>
      </c>
      <c r="U914" s="308">
        <v>46111</v>
      </c>
      <c r="V914" s="308"/>
      <c r="W914" s="315">
        <f t="shared" si="89"/>
        <v>2</v>
      </c>
      <c r="X914" s="310" t="s">
        <v>54</v>
      </c>
      <c r="Y914" s="310" t="s">
        <v>56</v>
      </c>
      <c r="Z914" s="316"/>
      <c r="AA914" s="316" t="s">
        <v>2855</v>
      </c>
      <c r="AB914" s="316" t="s">
        <v>2855</v>
      </c>
    </row>
    <row r="915" spans="1:28" x14ac:dyDescent="0.25">
      <c r="A915" s="307">
        <f t="shared" si="85"/>
        <v>909</v>
      </c>
      <c r="B915" s="308">
        <v>46109</v>
      </c>
      <c r="C915" s="309">
        <f t="shared" si="86"/>
        <v>46082</v>
      </c>
      <c r="D915" s="310" t="s">
        <v>51</v>
      </c>
      <c r="E915" s="310" t="s">
        <v>2589</v>
      </c>
      <c r="F915" s="311">
        <v>9899841498</v>
      </c>
      <c r="G915" s="316" t="s">
        <v>1093</v>
      </c>
      <c r="H915" s="316" t="s">
        <v>2878</v>
      </c>
      <c r="I915" s="316" t="s">
        <v>6</v>
      </c>
      <c r="J915" s="310" t="s">
        <v>172</v>
      </c>
      <c r="K915" s="312">
        <v>65330</v>
      </c>
      <c r="L915" s="312">
        <v>96390</v>
      </c>
      <c r="M915" s="313">
        <f t="shared" si="87"/>
        <v>31060</v>
      </c>
      <c r="N915" s="314">
        <f t="shared" si="88"/>
        <v>0.322232596742401</v>
      </c>
      <c r="O915" s="312">
        <v>65330</v>
      </c>
      <c r="P915" s="313">
        <f t="shared" si="84"/>
        <v>0</v>
      </c>
      <c r="Q915" s="310" t="s">
        <v>147</v>
      </c>
      <c r="R915" s="310">
        <v>513</v>
      </c>
      <c r="S915" s="310"/>
      <c r="T915" s="308">
        <v>46112</v>
      </c>
      <c r="U915" s="308">
        <v>46112</v>
      </c>
      <c r="V915" s="308"/>
      <c r="W915" s="315">
        <f t="shared" si="89"/>
        <v>3</v>
      </c>
      <c r="X915" s="310" t="s">
        <v>54</v>
      </c>
      <c r="Y915" s="310" t="s">
        <v>2616</v>
      </c>
      <c r="Z915" s="316"/>
      <c r="AA915" s="316" t="s">
        <v>2857</v>
      </c>
      <c r="AB915" s="316" t="s">
        <v>2857</v>
      </c>
    </row>
    <row r="916" spans="1:28" x14ac:dyDescent="0.25">
      <c r="A916" s="307">
        <f t="shared" si="85"/>
        <v>910</v>
      </c>
      <c r="B916" s="308">
        <v>46109</v>
      </c>
      <c r="C916" s="309">
        <f t="shared" si="86"/>
        <v>46082</v>
      </c>
      <c r="D916" s="310" t="s">
        <v>56</v>
      </c>
      <c r="E916" s="310" t="s">
        <v>1641</v>
      </c>
      <c r="F916" s="311">
        <v>9486716172</v>
      </c>
      <c r="G916" s="316" t="s">
        <v>6</v>
      </c>
      <c r="H916" s="316" t="s">
        <v>2873</v>
      </c>
      <c r="I916" s="316" t="s">
        <v>2874</v>
      </c>
      <c r="J916" s="310" t="s">
        <v>172</v>
      </c>
      <c r="K916" s="312">
        <v>33770</v>
      </c>
      <c r="L916" s="312">
        <v>46620</v>
      </c>
      <c r="M916" s="313">
        <f t="shared" si="87"/>
        <v>12850</v>
      </c>
      <c r="N916" s="314">
        <f t="shared" si="88"/>
        <v>0.275632775632776</v>
      </c>
      <c r="O916" s="312">
        <v>33770</v>
      </c>
      <c r="P916" s="313">
        <f t="shared" si="84"/>
        <v>0</v>
      </c>
      <c r="Q916" s="310" t="s">
        <v>147</v>
      </c>
      <c r="R916" s="310">
        <v>514</v>
      </c>
      <c r="S916" s="310"/>
      <c r="T916" s="308">
        <v>46115</v>
      </c>
      <c r="U916" s="308">
        <v>46115</v>
      </c>
      <c r="V916" s="308"/>
      <c r="W916" s="315">
        <f t="shared" si="89"/>
        <v>6</v>
      </c>
      <c r="X916" s="310" t="s">
        <v>54</v>
      </c>
      <c r="Y916" s="310" t="s">
        <v>56</v>
      </c>
      <c r="Z916" s="316"/>
      <c r="AA916" s="317">
        <v>46085</v>
      </c>
      <c r="AB916" s="317">
        <v>46085</v>
      </c>
    </row>
    <row r="917" spans="1:28" x14ac:dyDescent="0.25">
      <c r="A917" s="307">
        <f t="shared" si="85"/>
        <v>911</v>
      </c>
      <c r="B917" s="308">
        <v>46111</v>
      </c>
      <c r="C917" s="309">
        <f t="shared" si="86"/>
        <v>46082</v>
      </c>
      <c r="D917" s="310" t="s">
        <v>56</v>
      </c>
      <c r="E917" s="310" t="s">
        <v>1644</v>
      </c>
      <c r="F917" s="311">
        <v>9220186371</v>
      </c>
      <c r="G917" s="316" t="s">
        <v>6</v>
      </c>
      <c r="H917" s="316" t="s">
        <v>1874</v>
      </c>
      <c r="I917" s="316" t="s">
        <v>2875</v>
      </c>
      <c r="J917" s="310" t="s">
        <v>172</v>
      </c>
      <c r="K917" s="312">
        <v>32820</v>
      </c>
      <c r="L917" s="312">
        <v>40320</v>
      </c>
      <c r="M917" s="313">
        <f t="shared" si="87"/>
        <v>7500</v>
      </c>
      <c r="N917" s="314">
        <f t="shared" si="88"/>
        <v>0.186011904761905</v>
      </c>
      <c r="O917" s="312">
        <v>32820</v>
      </c>
      <c r="P917" s="313">
        <f t="shared" si="84"/>
        <v>0</v>
      </c>
      <c r="Q917" s="310" t="s">
        <v>147</v>
      </c>
      <c r="R917" s="310">
        <v>515</v>
      </c>
      <c r="S917" s="310"/>
      <c r="T917" s="308">
        <v>46114</v>
      </c>
      <c r="U917" s="308">
        <v>46114</v>
      </c>
      <c r="V917" s="308"/>
      <c r="W917" s="315">
        <f t="shared" si="89"/>
        <v>3</v>
      </c>
      <c r="X917" s="310" t="s">
        <v>54</v>
      </c>
      <c r="Y917" s="310" t="s">
        <v>56</v>
      </c>
      <c r="Z917" s="316"/>
      <c r="AA917" s="317">
        <v>46057</v>
      </c>
      <c r="AB917" s="317">
        <v>46057</v>
      </c>
    </row>
    <row r="918" spans="1:28" x14ac:dyDescent="0.25">
      <c r="A918" s="307">
        <f t="shared" si="85"/>
        <v>912</v>
      </c>
      <c r="B918" s="308">
        <v>46113</v>
      </c>
      <c r="C918" s="309">
        <f t="shared" si="86"/>
        <v>46113</v>
      </c>
      <c r="D918" s="310" t="s">
        <v>56</v>
      </c>
      <c r="E918" s="310" t="s">
        <v>1637</v>
      </c>
      <c r="F918" s="311">
        <v>9793531306</v>
      </c>
      <c r="G918" s="316" t="s">
        <v>1093</v>
      </c>
      <c r="H918" s="316" t="s">
        <v>3091</v>
      </c>
      <c r="I918" s="316" t="s">
        <v>6</v>
      </c>
      <c r="J918" s="310" t="s">
        <v>172</v>
      </c>
      <c r="K918" s="312">
        <v>48460</v>
      </c>
      <c r="L918" s="312">
        <v>144580</v>
      </c>
      <c r="M918" s="313">
        <f t="shared" si="87"/>
        <v>96120</v>
      </c>
      <c r="N918" s="314">
        <f t="shared" si="88"/>
        <v>0.66482224374049</v>
      </c>
      <c r="O918" s="312">
        <v>48460</v>
      </c>
      <c r="P918" s="313">
        <f t="shared" si="84"/>
        <v>0</v>
      </c>
      <c r="Q918" s="310" t="s">
        <v>147</v>
      </c>
      <c r="R918" s="310">
        <v>1</v>
      </c>
      <c r="S918" s="310"/>
      <c r="T918" s="308">
        <v>46116</v>
      </c>
      <c r="U918" s="308">
        <v>46116</v>
      </c>
      <c r="V918" s="308"/>
      <c r="W918" s="315">
        <f t="shared" si="89"/>
        <v>3</v>
      </c>
      <c r="X918" s="310" t="s">
        <v>54</v>
      </c>
      <c r="Y918" s="310" t="s">
        <v>56</v>
      </c>
      <c r="Z918" s="316"/>
      <c r="AA918" s="317">
        <v>46116</v>
      </c>
      <c r="AB918" s="317">
        <v>46116</v>
      </c>
    </row>
    <row r="919" spans="1:28" x14ac:dyDescent="0.25">
      <c r="A919" s="307">
        <f t="shared" si="85"/>
        <v>913</v>
      </c>
      <c r="B919" s="308">
        <v>46114</v>
      </c>
      <c r="C919" s="309">
        <f t="shared" si="86"/>
        <v>46113</v>
      </c>
      <c r="D919" s="310" t="s">
        <v>56</v>
      </c>
      <c r="E919" s="310" t="s">
        <v>2859</v>
      </c>
      <c r="F919" s="311">
        <v>9472230553</v>
      </c>
      <c r="G919" s="316" t="s">
        <v>6</v>
      </c>
      <c r="H919" s="316" t="s">
        <v>2876</v>
      </c>
      <c r="I919" s="316" t="s">
        <v>2877</v>
      </c>
      <c r="J919" s="310" t="s">
        <v>172</v>
      </c>
      <c r="K919" s="312">
        <v>38350</v>
      </c>
      <c r="L919" s="312">
        <v>77180</v>
      </c>
      <c r="M919" s="313">
        <f t="shared" si="87"/>
        <v>38830</v>
      </c>
      <c r="N919" s="314">
        <f t="shared" si="88"/>
        <v>0.503109613889609</v>
      </c>
      <c r="O919" s="312">
        <v>38350</v>
      </c>
      <c r="P919" s="313">
        <f t="shared" si="84"/>
        <v>0</v>
      </c>
      <c r="Q919" s="310" t="s">
        <v>147</v>
      </c>
      <c r="R919" s="310">
        <v>2</v>
      </c>
      <c r="S919" s="310"/>
      <c r="T919" s="308">
        <v>46117</v>
      </c>
      <c r="U919" s="308">
        <v>46118</v>
      </c>
      <c r="V919" s="308"/>
      <c r="W919" s="315">
        <f t="shared" si="89"/>
        <v>4</v>
      </c>
      <c r="X919" s="310" t="s">
        <v>54</v>
      </c>
      <c r="Y919" s="310" t="s">
        <v>56</v>
      </c>
      <c r="Z919" s="316"/>
      <c r="AA919" s="317">
        <v>46146</v>
      </c>
      <c r="AB919" s="317">
        <v>46177</v>
      </c>
    </row>
    <row r="920" spans="1:28" x14ac:dyDescent="0.25">
      <c r="A920" s="307">
        <f t="shared" si="85"/>
        <v>914</v>
      </c>
      <c r="B920" s="308">
        <v>46114</v>
      </c>
      <c r="C920" s="309">
        <f t="shared" si="86"/>
        <v>46113</v>
      </c>
      <c r="D920" s="310" t="s">
        <v>56</v>
      </c>
      <c r="E920" s="310" t="s">
        <v>1635</v>
      </c>
      <c r="F920" s="311">
        <v>9793531306</v>
      </c>
      <c r="G920" s="316" t="s">
        <v>1537</v>
      </c>
      <c r="H920" s="316" t="s">
        <v>3092</v>
      </c>
      <c r="I920" s="316" t="s">
        <v>6</v>
      </c>
      <c r="J920" s="310" t="s">
        <v>172</v>
      </c>
      <c r="K920" s="312">
        <v>49410</v>
      </c>
      <c r="L920" s="312">
        <v>150880</v>
      </c>
      <c r="M920" s="313">
        <f t="shared" si="87"/>
        <v>101470</v>
      </c>
      <c r="N920" s="314">
        <f t="shared" si="88"/>
        <v>0.672521208907741</v>
      </c>
      <c r="O920" s="312">
        <v>49410</v>
      </c>
      <c r="P920" s="313">
        <f t="shared" si="84"/>
        <v>0</v>
      </c>
      <c r="Q920" s="310" t="s">
        <v>147</v>
      </c>
      <c r="R920" s="310">
        <v>3</v>
      </c>
      <c r="S920" s="310"/>
      <c r="T920" s="308">
        <v>46117</v>
      </c>
      <c r="U920" s="308">
        <v>46117</v>
      </c>
      <c r="V920" s="308"/>
      <c r="W920" s="315">
        <f t="shared" si="89"/>
        <v>3</v>
      </c>
      <c r="X920" s="310" t="s">
        <v>54</v>
      </c>
      <c r="Y920" s="310" t="s">
        <v>56</v>
      </c>
      <c r="Z920" s="316"/>
      <c r="AA920" s="317">
        <v>46146</v>
      </c>
      <c r="AB920" s="317">
        <v>46146</v>
      </c>
    </row>
    <row r="921" spans="1:28" x14ac:dyDescent="0.25">
      <c r="A921" s="307">
        <f t="shared" si="85"/>
        <v>915</v>
      </c>
      <c r="B921" s="308">
        <v>46117</v>
      </c>
      <c r="C921" s="309">
        <f t="shared" si="86"/>
        <v>46113</v>
      </c>
      <c r="D921" s="310" t="s">
        <v>56</v>
      </c>
      <c r="E921" s="310" t="s">
        <v>1641</v>
      </c>
      <c r="F921" s="311">
        <v>9486716172</v>
      </c>
      <c r="G921" s="316" t="s">
        <v>1093</v>
      </c>
      <c r="H921" s="316" t="s">
        <v>3093</v>
      </c>
      <c r="I921" s="316" t="s">
        <v>6</v>
      </c>
      <c r="J921" s="310" t="s">
        <v>172</v>
      </c>
      <c r="K921" s="312">
        <v>48460</v>
      </c>
      <c r="L921" s="312">
        <v>144580</v>
      </c>
      <c r="M921" s="313">
        <f t="shared" si="87"/>
        <v>96120</v>
      </c>
      <c r="N921" s="314">
        <f t="shared" si="88"/>
        <v>0.66482224374049</v>
      </c>
      <c r="O921" s="312">
        <v>48460</v>
      </c>
      <c r="P921" s="313">
        <f t="shared" si="84"/>
        <v>0</v>
      </c>
      <c r="Q921" s="310" t="s">
        <v>147</v>
      </c>
      <c r="R921" s="310">
        <v>4</v>
      </c>
      <c r="S921" s="310"/>
      <c r="T921" s="308">
        <v>46120</v>
      </c>
      <c r="U921" s="308">
        <v>46120</v>
      </c>
      <c r="V921" s="308"/>
      <c r="W921" s="315">
        <f t="shared" si="89"/>
        <v>3</v>
      </c>
      <c r="X921" s="310" t="s">
        <v>54</v>
      </c>
      <c r="Y921" s="310" t="s">
        <v>56</v>
      </c>
      <c r="Z921" s="316"/>
      <c r="AA921" s="317">
        <v>46238</v>
      </c>
      <c r="AB921" s="317">
        <v>46238</v>
      </c>
    </row>
    <row r="922" spans="1:28" x14ac:dyDescent="0.25">
      <c r="A922" s="307">
        <f t="shared" si="85"/>
        <v>916</v>
      </c>
      <c r="B922" s="308">
        <v>46118</v>
      </c>
      <c r="C922" s="309">
        <f t="shared" si="86"/>
        <v>46113</v>
      </c>
      <c r="D922" s="310" t="s">
        <v>51</v>
      </c>
      <c r="E922" s="310" t="s">
        <v>3074</v>
      </c>
      <c r="F922" s="311">
        <v>9783237724</v>
      </c>
      <c r="G922" s="316" t="s">
        <v>2168</v>
      </c>
      <c r="H922" s="316" t="s">
        <v>3089</v>
      </c>
      <c r="I922" s="316" t="s">
        <v>6</v>
      </c>
      <c r="J922" s="310" t="s">
        <v>172</v>
      </c>
      <c r="K922" s="312">
        <v>66940</v>
      </c>
      <c r="L922" s="312">
        <v>128520</v>
      </c>
      <c r="M922" s="313">
        <f t="shared" si="87"/>
        <v>61580</v>
      </c>
      <c r="N922" s="314">
        <f t="shared" si="88"/>
        <v>0.479147214441332</v>
      </c>
      <c r="O922" s="312">
        <v>60250</v>
      </c>
      <c r="P922" s="313">
        <f t="shared" si="84"/>
        <v>6690</v>
      </c>
      <c r="Q922" s="310" t="s">
        <v>147</v>
      </c>
      <c r="R922" s="310">
        <v>5</v>
      </c>
      <c r="S922" s="310"/>
      <c r="T922" s="308">
        <v>46121</v>
      </c>
      <c r="U922" s="308">
        <v>46121</v>
      </c>
      <c r="V922" s="308"/>
      <c r="W922" s="315">
        <f t="shared" si="89"/>
        <v>3</v>
      </c>
      <c r="X922" s="310" t="s">
        <v>54</v>
      </c>
      <c r="Y922" s="310" t="s">
        <v>3781</v>
      </c>
      <c r="Z922" s="316"/>
      <c r="AA922" s="317">
        <v>46269</v>
      </c>
      <c r="AB922" s="317">
        <v>46269</v>
      </c>
    </row>
    <row r="923" spans="1:28" x14ac:dyDescent="0.25">
      <c r="A923" s="307">
        <f t="shared" si="85"/>
        <v>917</v>
      </c>
      <c r="B923" s="308">
        <v>46120</v>
      </c>
      <c r="C923" s="309">
        <f t="shared" si="86"/>
        <v>46113</v>
      </c>
      <c r="D923" s="310" t="s">
        <v>56</v>
      </c>
      <c r="E923" s="310" t="s">
        <v>3065</v>
      </c>
      <c r="F923" s="311">
        <v>9589264337</v>
      </c>
      <c r="G923" s="316" t="s">
        <v>6</v>
      </c>
      <c r="H923" s="316" t="s">
        <v>1874</v>
      </c>
      <c r="I923" s="316" t="s">
        <v>3090</v>
      </c>
      <c r="J923" s="310" t="s">
        <v>172</v>
      </c>
      <c r="K923" s="312">
        <v>44680</v>
      </c>
      <c r="L923" s="312">
        <v>60480</v>
      </c>
      <c r="M923" s="313">
        <f t="shared" si="87"/>
        <v>15800</v>
      </c>
      <c r="N923" s="314">
        <f t="shared" si="88"/>
        <v>0.261243386243386</v>
      </c>
      <c r="O923" s="312">
        <v>44680</v>
      </c>
      <c r="P923" s="313">
        <f t="shared" si="84"/>
        <v>0</v>
      </c>
      <c r="Q923" s="310" t="s">
        <v>147</v>
      </c>
      <c r="R923" s="310">
        <v>6</v>
      </c>
      <c r="S923" s="310"/>
      <c r="T923" s="308">
        <v>46123</v>
      </c>
      <c r="U923" s="308">
        <v>46123</v>
      </c>
      <c r="V923" s="308"/>
      <c r="W923" s="315">
        <f t="shared" si="89"/>
        <v>3</v>
      </c>
      <c r="X923" s="310" t="s">
        <v>54</v>
      </c>
      <c r="Y923" s="310" t="s">
        <v>56</v>
      </c>
      <c r="Z923" s="316"/>
      <c r="AA923" s="317">
        <v>46330</v>
      </c>
      <c r="AB923" s="317">
        <v>46330</v>
      </c>
    </row>
    <row r="924" spans="1:28" x14ac:dyDescent="0.25">
      <c r="A924" s="307">
        <f t="shared" si="85"/>
        <v>918</v>
      </c>
      <c r="B924" s="308">
        <v>46121</v>
      </c>
      <c r="C924" s="309">
        <f t="shared" si="86"/>
        <v>46113</v>
      </c>
      <c r="D924" s="310" t="s">
        <v>56</v>
      </c>
      <c r="E924" s="310" t="s">
        <v>2859</v>
      </c>
      <c r="F924" s="311">
        <v>9472230553</v>
      </c>
      <c r="G924" s="316" t="s">
        <v>1093</v>
      </c>
      <c r="H924" s="316" t="s">
        <v>3128</v>
      </c>
      <c r="I924" s="316" t="s">
        <v>6</v>
      </c>
      <c r="J924" s="310" t="s">
        <v>172</v>
      </c>
      <c r="K924" s="312">
        <v>58240</v>
      </c>
      <c r="L924" s="312">
        <v>150880</v>
      </c>
      <c r="M924" s="313">
        <f t="shared" si="87"/>
        <v>92640</v>
      </c>
      <c r="N924" s="314">
        <f t="shared" si="88"/>
        <v>0.613997879109226</v>
      </c>
      <c r="O924" s="312">
        <v>58240</v>
      </c>
      <c r="P924" s="313">
        <f t="shared" si="84"/>
        <v>0</v>
      </c>
      <c r="Q924" s="310" t="s">
        <v>147</v>
      </c>
      <c r="R924" s="310">
        <v>7</v>
      </c>
      <c r="S924" s="310"/>
      <c r="T924" s="308">
        <v>46125</v>
      </c>
      <c r="U924" s="308">
        <v>46125</v>
      </c>
      <c r="V924" s="308"/>
      <c r="W924" s="315">
        <f t="shared" si="89"/>
        <v>4</v>
      </c>
      <c r="X924" s="310" t="s">
        <v>54</v>
      </c>
      <c r="Y924" s="310" t="s">
        <v>56</v>
      </c>
      <c r="Z924" s="316"/>
      <c r="AA924" s="316" t="s">
        <v>3108</v>
      </c>
      <c r="AB924" s="316" t="s">
        <v>3108</v>
      </c>
    </row>
    <row r="925" spans="1:28" x14ac:dyDescent="0.25">
      <c r="A925" s="307">
        <f t="shared" si="85"/>
        <v>919</v>
      </c>
      <c r="B925" s="308">
        <v>46121</v>
      </c>
      <c r="C925" s="309">
        <f t="shared" si="86"/>
        <v>46113</v>
      </c>
      <c r="D925" s="310" t="s">
        <v>51</v>
      </c>
      <c r="E925" s="310" t="s">
        <v>3094</v>
      </c>
      <c r="F925" s="311">
        <v>9663991448</v>
      </c>
      <c r="G925" s="316" t="s">
        <v>2168</v>
      </c>
      <c r="H925" s="316" t="s">
        <v>3782</v>
      </c>
      <c r="I925" s="316" t="s">
        <v>6</v>
      </c>
      <c r="J925" s="310" t="s">
        <v>172</v>
      </c>
      <c r="K925" s="312">
        <v>78180</v>
      </c>
      <c r="L925" s="312">
        <v>128520</v>
      </c>
      <c r="M925" s="313">
        <f t="shared" si="87"/>
        <v>50340</v>
      </c>
      <c r="N925" s="314">
        <f t="shared" si="88"/>
        <v>0.391690009337068</v>
      </c>
      <c r="O925" s="312">
        <v>71070</v>
      </c>
      <c r="P925" s="313">
        <f t="shared" si="84"/>
        <v>7110</v>
      </c>
      <c r="Q925" s="310" t="s">
        <v>147</v>
      </c>
      <c r="R925" s="310">
        <v>8</v>
      </c>
      <c r="S925" s="310"/>
      <c r="T925" s="308">
        <v>46126</v>
      </c>
      <c r="U925" s="308">
        <v>46126</v>
      </c>
      <c r="V925" s="308"/>
      <c r="W925" s="315">
        <f t="shared" si="89"/>
        <v>5</v>
      </c>
      <c r="X925" s="310" t="s">
        <v>54</v>
      </c>
      <c r="Y925" s="310" t="s">
        <v>3783</v>
      </c>
      <c r="Z925" s="316"/>
      <c r="AA925" s="316" t="s">
        <v>3109</v>
      </c>
      <c r="AB925" s="316" t="s">
        <v>3109</v>
      </c>
    </row>
    <row r="926" spans="1:28" x14ac:dyDescent="0.25">
      <c r="A926" s="307">
        <f t="shared" si="85"/>
        <v>920</v>
      </c>
      <c r="B926" s="308">
        <v>46126</v>
      </c>
      <c r="C926" s="309">
        <f t="shared" si="86"/>
        <v>46113</v>
      </c>
      <c r="D926" s="310" t="s">
        <v>56</v>
      </c>
      <c r="E926" s="310" t="s">
        <v>3122</v>
      </c>
      <c r="F926" s="311">
        <v>9281983602</v>
      </c>
      <c r="G926" s="316" t="s">
        <v>6</v>
      </c>
      <c r="H926" s="316" t="s">
        <v>1874</v>
      </c>
      <c r="I926" s="316" t="s">
        <v>3126</v>
      </c>
      <c r="J926" s="310" t="s">
        <v>172</v>
      </c>
      <c r="K926" s="312">
        <v>44680</v>
      </c>
      <c r="L926" s="312">
        <v>60480</v>
      </c>
      <c r="M926" s="313">
        <f t="shared" si="87"/>
        <v>15800</v>
      </c>
      <c r="N926" s="314">
        <f t="shared" si="88"/>
        <v>0.261243386243386</v>
      </c>
      <c r="O926" s="312">
        <v>44680</v>
      </c>
      <c r="P926" s="313">
        <f t="shared" si="84"/>
        <v>0</v>
      </c>
      <c r="Q926" s="310" t="s">
        <v>147</v>
      </c>
      <c r="R926" s="310">
        <v>9</v>
      </c>
      <c r="S926" s="310"/>
      <c r="T926" s="308">
        <v>46129</v>
      </c>
      <c r="U926" s="308">
        <v>46129</v>
      </c>
      <c r="V926" s="308"/>
      <c r="W926" s="315">
        <f t="shared" si="89"/>
        <v>3</v>
      </c>
      <c r="X926" s="310" t="s">
        <v>54</v>
      </c>
      <c r="Y926" s="310" t="s">
        <v>56</v>
      </c>
      <c r="Z926" s="316"/>
      <c r="AA926" s="316" t="s">
        <v>3135</v>
      </c>
      <c r="AB926" s="316" t="s">
        <v>3135</v>
      </c>
    </row>
    <row r="927" spans="1:28" x14ac:dyDescent="0.25">
      <c r="A927" s="307">
        <f t="shared" si="85"/>
        <v>921</v>
      </c>
      <c r="B927" s="308">
        <v>46127</v>
      </c>
      <c r="C927" s="309">
        <f t="shared" si="86"/>
        <v>46113</v>
      </c>
      <c r="D927" s="310" t="s">
        <v>56</v>
      </c>
      <c r="E927" s="310" t="s">
        <v>3065</v>
      </c>
      <c r="F927" s="311">
        <v>9589264337</v>
      </c>
      <c r="G927" s="316" t="s">
        <v>1093</v>
      </c>
      <c r="H927" s="316" t="s">
        <v>3130</v>
      </c>
      <c r="I927" s="316" t="s">
        <v>6</v>
      </c>
      <c r="J927" s="310" t="s">
        <v>172</v>
      </c>
      <c r="K927" s="312">
        <v>58240</v>
      </c>
      <c r="L927" s="312">
        <v>150880</v>
      </c>
      <c r="M927" s="313">
        <f t="shared" si="87"/>
        <v>92640</v>
      </c>
      <c r="N927" s="314">
        <f t="shared" si="88"/>
        <v>0.613997879109226</v>
      </c>
      <c r="O927" s="312">
        <v>58240</v>
      </c>
      <c r="P927" s="313">
        <f t="shared" si="84"/>
        <v>0</v>
      </c>
      <c r="Q927" s="310" t="s">
        <v>147</v>
      </c>
      <c r="R927" s="310">
        <v>10</v>
      </c>
      <c r="S927" s="310"/>
      <c r="T927" s="308">
        <v>46129</v>
      </c>
      <c r="U927" s="308">
        <v>46130</v>
      </c>
      <c r="V927" s="308"/>
      <c r="W927" s="315">
        <f t="shared" si="89"/>
        <v>3</v>
      </c>
      <c r="X927" s="310" t="s">
        <v>54</v>
      </c>
      <c r="Y927" s="310" t="s">
        <v>56</v>
      </c>
      <c r="Z927" s="316"/>
      <c r="AA927" s="316" t="s">
        <v>3135</v>
      </c>
      <c r="AB927" s="316" t="s">
        <v>3136</v>
      </c>
    </row>
    <row r="928" spans="1:28" x14ac:dyDescent="0.25">
      <c r="A928" s="307">
        <f t="shared" si="85"/>
        <v>922</v>
      </c>
      <c r="B928" s="308">
        <v>46127</v>
      </c>
      <c r="C928" s="309">
        <f t="shared" si="86"/>
        <v>46113</v>
      </c>
      <c r="D928" s="310" t="s">
        <v>56</v>
      </c>
      <c r="E928" s="310" t="s">
        <v>38</v>
      </c>
      <c r="F928" s="311">
        <v>9472230553</v>
      </c>
      <c r="G928" s="316" t="s">
        <v>6</v>
      </c>
      <c r="H928" s="316" t="s">
        <v>1874</v>
      </c>
      <c r="I928" s="316" t="s">
        <v>3127</v>
      </c>
      <c r="J928" s="310" t="s">
        <v>59</v>
      </c>
      <c r="K928" s="312">
        <v>44330</v>
      </c>
      <c r="L928" s="312">
        <v>58120</v>
      </c>
      <c r="M928" s="313">
        <f t="shared" si="87"/>
        <v>13790</v>
      </c>
      <c r="N928" s="314">
        <f t="shared" si="88"/>
        <v>0.237267721954577</v>
      </c>
      <c r="O928" s="312">
        <v>44330</v>
      </c>
      <c r="P928" s="313">
        <f t="shared" si="84"/>
        <v>0</v>
      </c>
      <c r="Q928" s="310" t="s">
        <v>147</v>
      </c>
      <c r="R928" s="310">
        <v>11</v>
      </c>
      <c r="S928" s="310"/>
      <c r="T928" s="308">
        <v>46130</v>
      </c>
      <c r="U928" s="308">
        <v>46130</v>
      </c>
      <c r="V928" s="308"/>
      <c r="W928" s="315">
        <f t="shared" si="89"/>
        <v>3</v>
      </c>
      <c r="X928" s="310" t="s">
        <v>54</v>
      </c>
      <c r="Y928" s="310" t="s">
        <v>56</v>
      </c>
      <c r="Z928" s="316"/>
      <c r="AA928" s="316" t="s">
        <v>3136</v>
      </c>
      <c r="AB928" s="316" t="s">
        <v>3136</v>
      </c>
    </row>
    <row r="929" spans="1:28" x14ac:dyDescent="0.25">
      <c r="A929" s="307">
        <f t="shared" si="85"/>
        <v>923</v>
      </c>
      <c r="B929" s="308">
        <v>46129</v>
      </c>
      <c r="C929" s="309">
        <f t="shared" si="86"/>
        <v>46113</v>
      </c>
      <c r="D929" s="310" t="s">
        <v>56</v>
      </c>
      <c r="E929" s="310" t="s">
        <v>1635</v>
      </c>
      <c r="F929" s="311">
        <v>9793531306</v>
      </c>
      <c r="G929" s="316" t="s">
        <v>1093</v>
      </c>
      <c r="H929" s="316" t="s">
        <v>3129</v>
      </c>
      <c r="I929" s="316" t="s">
        <v>6</v>
      </c>
      <c r="J929" s="310" t="s">
        <v>172</v>
      </c>
      <c r="K929" s="312">
        <v>57300</v>
      </c>
      <c r="L929" s="312">
        <v>144580</v>
      </c>
      <c r="M929" s="313">
        <f t="shared" si="87"/>
        <v>87280</v>
      </c>
      <c r="N929" s="314">
        <f t="shared" si="88"/>
        <v>0.603679623737723</v>
      </c>
      <c r="O929" s="312">
        <v>57300</v>
      </c>
      <c r="P929" s="313">
        <f t="shared" si="84"/>
        <v>0</v>
      </c>
      <c r="Q929" s="310" t="s">
        <v>147</v>
      </c>
      <c r="R929" s="310">
        <v>12</v>
      </c>
      <c r="S929" s="310"/>
      <c r="T929" s="308">
        <v>46132</v>
      </c>
      <c r="U929" s="308">
        <v>46132</v>
      </c>
      <c r="V929" s="308"/>
      <c r="W929" s="315">
        <f t="shared" si="89"/>
        <v>3</v>
      </c>
      <c r="X929" s="310" t="s">
        <v>54</v>
      </c>
      <c r="Y929" s="310" t="s">
        <v>56</v>
      </c>
      <c r="Z929" s="316"/>
      <c r="AA929" s="316" t="s">
        <v>3139</v>
      </c>
      <c r="AB929" s="316" t="s">
        <v>3139</v>
      </c>
    </row>
    <row r="930" spans="1:28" x14ac:dyDescent="0.25">
      <c r="A930" s="307">
        <f t="shared" si="85"/>
        <v>924</v>
      </c>
      <c r="B930" s="308">
        <v>46130</v>
      </c>
      <c r="C930" s="309">
        <f t="shared" si="86"/>
        <v>46113</v>
      </c>
      <c r="D930" s="310" t="s">
        <v>56</v>
      </c>
      <c r="E930" s="310" t="s">
        <v>3065</v>
      </c>
      <c r="F930" s="311">
        <v>9589264337</v>
      </c>
      <c r="G930" s="316" t="s">
        <v>6</v>
      </c>
      <c r="H930" s="316" t="s">
        <v>1874</v>
      </c>
      <c r="I930" s="316" t="s">
        <v>3161</v>
      </c>
      <c r="J930" s="310" t="s">
        <v>172</v>
      </c>
      <c r="K930" s="312">
        <v>44680</v>
      </c>
      <c r="L930" s="312">
        <v>60480</v>
      </c>
      <c r="M930" s="313">
        <f t="shared" si="87"/>
        <v>15800</v>
      </c>
      <c r="N930" s="314">
        <f t="shared" si="88"/>
        <v>0.261243386243386</v>
      </c>
      <c r="O930" s="312">
        <v>44680</v>
      </c>
      <c r="P930" s="313">
        <f t="shared" si="84"/>
        <v>0</v>
      </c>
      <c r="Q930" s="310" t="s">
        <v>147</v>
      </c>
      <c r="R930" s="310">
        <v>14</v>
      </c>
      <c r="S930" s="310"/>
      <c r="T930" s="308">
        <v>46133</v>
      </c>
      <c r="U930" s="308">
        <v>46133</v>
      </c>
      <c r="V930" s="308"/>
      <c r="W930" s="315">
        <f t="shared" si="89"/>
        <v>3</v>
      </c>
      <c r="X930" s="310" t="s">
        <v>54</v>
      </c>
      <c r="Y930" s="310" t="s">
        <v>56</v>
      </c>
      <c r="Z930" s="316"/>
      <c r="AA930" s="316" t="s">
        <v>3155</v>
      </c>
      <c r="AB930" s="316" t="s">
        <v>3155</v>
      </c>
    </row>
    <row r="931" spans="1:28" x14ac:dyDescent="0.25">
      <c r="A931" s="307">
        <f t="shared" si="85"/>
        <v>925</v>
      </c>
      <c r="B931" s="308">
        <v>46130</v>
      </c>
      <c r="C931" s="309">
        <f t="shared" si="86"/>
        <v>46113</v>
      </c>
      <c r="D931" s="310" t="s">
        <v>51</v>
      </c>
      <c r="E931" s="310" t="s">
        <v>3137</v>
      </c>
      <c r="F931" s="311">
        <v>9339435519</v>
      </c>
      <c r="G931" s="316" t="s">
        <v>2094</v>
      </c>
      <c r="H931" s="316" t="s">
        <v>3162</v>
      </c>
      <c r="I931" s="316" t="s">
        <v>6</v>
      </c>
      <c r="J931" s="310" t="s">
        <v>168</v>
      </c>
      <c r="K931" s="312">
        <v>53120</v>
      </c>
      <c r="L931" s="312">
        <v>57830</v>
      </c>
      <c r="M931" s="313">
        <f t="shared" si="87"/>
        <v>4710</v>
      </c>
      <c r="N931" s="314">
        <f t="shared" si="88"/>
        <v>0.0814456164620439</v>
      </c>
      <c r="O931" s="312">
        <v>48000</v>
      </c>
      <c r="P931" s="313">
        <f t="shared" si="84"/>
        <v>5120</v>
      </c>
      <c r="Q931" s="310" t="s">
        <v>147</v>
      </c>
      <c r="R931" s="310">
        <v>15</v>
      </c>
      <c r="S931" s="310"/>
      <c r="T931" s="308">
        <v>46135</v>
      </c>
      <c r="U931" s="308">
        <v>46135</v>
      </c>
      <c r="V931" s="308"/>
      <c r="W931" s="315">
        <f t="shared" si="89"/>
        <v>5</v>
      </c>
      <c r="X931" s="310" t="s">
        <v>54</v>
      </c>
      <c r="Y931" s="310" t="s">
        <v>3784</v>
      </c>
      <c r="Z931" s="316"/>
      <c r="AA931" s="316" t="s">
        <v>3156</v>
      </c>
      <c r="AB931" s="316" t="s">
        <v>3156</v>
      </c>
    </row>
    <row r="932" spans="1:28" x14ac:dyDescent="0.25">
      <c r="A932" s="307">
        <f t="shared" si="85"/>
        <v>926</v>
      </c>
      <c r="B932" s="308">
        <v>46131</v>
      </c>
      <c r="C932" s="309">
        <f t="shared" si="86"/>
        <v>46113</v>
      </c>
      <c r="D932" s="310" t="s">
        <v>56</v>
      </c>
      <c r="E932" s="310" t="s">
        <v>1637</v>
      </c>
      <c r="F932" s="311">
        <v>9025368773</v>
      </c>
      <c r="G932" s="316" t="s">
        <v>1093</v>
      </c>
      <c r="H932" s="316" t="s">
        <v>3167</v>
      </c>
      <c r="I932" s="316" t="s">
        <v>6</v>
      </c>
      <c r="J932" s="310" t="s">
        <v>172</v>
      </c>
      <c r="K932" s="312">
        <v>58240</v>
      </c>
      <c r="L932" s="312">
        <v>150880</v>
      </c>
      <c r="M932" s="313">
        <f t="shared" si="87"/>
        <v>92640</v>
      </c>
      <c r="N932" s="314">
        <f t="shared" si="88"/>
        <v>0.613997879109226</v>
      </c>
      <c r="O932" s="312">
        <v>58240</v>
      </c>
      <c r="P932" s="313">
        <f t="shared" si="84"/>
        <v>0</v>
      </c>
      <c r="Q932" s="310" t="s">
        <v>147</v>
      </c>
      <c r="R932" s="310">
        <v>16</v>
      </c>
      <c r="S932" s="310"/>
      <c r="T932" s="308">
        <v>46133</v>
      </c>
      <c r="U932" s="308">
        <v>46134</v>
      </c>
      <c r="V932" s="308"/>
      <c r="W932" s="315">
        <f t="shared" si="89"/>
        <v>3</v>
      </c>
      <c r="X932" s="310" t="s">
        <v>54</v>
      </c>
      <c r="Y932" s="310" t="s">
        <v>56</v>
      </c>
      <c r="Z932" s="316"/>
      <c r="AA932" s="316" t="s">
        <v>3155</v>
      </c>
      <c r="AB932" s="316" t="s">
        <v>3157</v>
      </c>
    </row>
    <row r="933" spans="1:28" x14ac:dyDescent="0.25">
      <c r="A933" s="307">
        <f t="shared" si="85"/>
        <v>927</v>
      </c>
      <c r="B933" s="308">
        <v>46132</v>
      </c>
      <c r="C933" s="309">
        <f t="shared" si="86"/>
        <v>46113</v>
      </c>
      <c r="D933" s="310" t="s">
        <v>56</v>
      </c>
      <c r="E933" s="310" t="s">
        <v>1635</v>
      </c>
      <c r="F933" s="311">
        <v>9793531306</v>
      </c>
      <c r="G933" s="316" t="s">
        <v>6</v>
      </c>
      <c r="H933" s="316" t="s">
        <v>1874</v>
      </c>
      <c r="I933" s="316" t="s">
        <v>3163</v>
      </c>
      <c r="J933" s="310" t="s">
        <v>172</v>
      </c>
      <c r="K933" s="312">
        <v>44680</v>
      </c>
      <c r="L933" s="312">
        <v>60480</v>
      </c>
      <c r="M933" s="313">
        <f t="shared" si="87"/>
        <v>15800</v>
      </c>
      <c r="N933" s="314">
        <f t="shared" si="88"/>
        <v>0.261243386243386</v>
      </c>
      <c r="O933" s="312">
        <v>44680</v>
      </c>
      <c r="P933" s="313">
        <f t="shared" si="84"/>
        <v>0</v>
      </c>
      <c r="Q933" s="310" t="s">
        <v>147</v>
      </c>
      <c r="R933" s="310">
        <v>17</v>
      </c>
      <c r="S933" s="310"/>
      <c r="T933" s="308">
        <v>46135</v>
      </c>
      <c r="U933" s="308">
        <v>46135</v>
      </c>
      <c r="V933" s="308"/>
      <c r="W933" s="315">
        <f t="shared" si="89"/>
        <v>3</v>
      </c>
      <c r="X933" s="310" t="s">
        <v>54</v>
      </c>
      <c r="Y933" s="310" t="s">
        <v>56</v>
      </c>
      <c r="Z933" s="316"/>
      <c r="AA933" s="316" t="s">
        <v>3156</v>
      </c>
      <c r="AB933" s="316" t="s">
        <v>3156</v>
      </c>
    </row>
    <row r="934" spans="1:28" x14ac:dyDescent="0.25">
      <c r="A934" s="307">
        <f t="shared" si="85"/>
        <v>928</v>
      </c>
      <c r="B934" s="308">
        <v>46134</v>
      </c>
      <c r="C934" s="309">
        <f t="shared" si="86"/>
        <v>46113</v>
      </c>
      <c r="D934" s="310" t="s">
        <v>56</v>
      </c>
      <c r="E934" s="310" t="s">
        <v>38</v>
      </c>
      <c r="F934" s="311">
        <v>9995059254</v>
      </c>
      <c r="G934" s="316" t="s">
        <v>1093</v>
      </c>
      <c r="H934" s="316" t="s">
        <v>3168</v>
      </c>
      <c r="I934" s="316" t="s">
        <v>6</v>
      </c>
      <c r="J934" s="310" t="s">
        <v>59</v>
      </c>
      <c r="K934" s="312">
        <v>56160</v>
      </c>
      <c r="L934" s="312">
        <v>137020</v>
      </c>
      <c r="M934" s="313">
        <f t="shared" si="87"/>
        <v>80860</v>
      </c>
      <c r="N934" s="314">
        <f t="shared" si="88"/>
        <v>0.590132827324478</v>
      </c>
      <c r="O934" s="312">
        <v>56160</v>
      </c>
      <c r="P934" s="313">
        <f t="shared" si="84"/>
        <v>0</v>
      </c>
      <c r="Q934" s="310" t="s">
        <v>147</v>
      </c>
      <c r="R934" s="310">
        <v>18</v>
      </c>
      <c r="S934" s="310"/>
      <c r="T934" s="308">
        <v>46136</v>
      </c>
      <c r="U934" s="308">
        <v>46136</v>
      </c>
      <c r="V934" s="308"/>
      <c r="W934" s="315">
        <f t="shared" si="89"/>
        <v>2</v>
      </c>
      <c r="X934" s="310" t="s">
        <v>54</v>
      </c>
      <c r="Y934" s="310" t="s">
        <v>56</v>
      </c>
      <c r="Z934" s="316"/>
      <c r="AA934" s="316" t="s">
        <v>3178</v>
      </c>
      <c r="AB934" s="316" t="s">
        <v>3178</v>
      </c>
    </row>
    <row r="935" spans="1:28" x14ac:dyDescent="0.25">
      <c r="A935" s="307">
        <f t="shared" si="85"/>
        <v>929</v>
      </c>
      <c r="B935" s="308">
        <v>46134</v>
      </c>
      <c r="C935" s="309">
        <f t="shared" si="86"/>
        <v>46113</v>
      </c>
      <c r="D935" s="310" t="s">
        <v>56</v>
      </c>
      <c r="E935" s="310" t="s">
        <v>3065</v>
      </c>
      <c r="F935" s="311">
        <v>9589264337</v>
      </c>
      <c r="G935" s="316" t="s">
        <v>1093</v>
      </c>
      <c r="H935" s="316" t="s">
        <v>3174</v>
      </c>
      <c r="I935" s="316" t="s">
        <v>6</v>
      </c>
      <c r="J935" s="310" t="s">
        <v>172</v>
      </c>
      <c r="K935" s="312">
        <v>57300</v>
      </c>
      <c r="L935" s="312">
        <v>144580</v>
      </c>
      <c r="M935" s="313">
        <f t="shared" si="87"/>
        <v>87280</v>
      </c>
      <c r="N935" s="314">
        <f t="shared" si="88"/>
        <v>0.603679623737723</v>
      </c>
      <c r="O935" s="312">
        <v>57300</v>
      </c>
      <c r="P935" s="313">
        <f t="shared" si="84"/>
        <v>0</v>
      </c>
      <c r="Q935" s="310" t="s">
        <v>147</v>
      </c>
      <c r="R935" s="310">
        <v>19</v>
      </c>
      <c r="S935" s="310"/>
      <c r="T935" s="308">
        <v>46137</v>
      </c>
      <c r="U935" s="308">
        <v>46137</v>
      </c>
      <c r="V935" s="308"/>
      <c r="W935" s="315">
        <f t="shared" si="89"/>
        <v>3</v>
      </c>
      <c r="X935" s="310" t="s">
        <v>54</v>
      </c>
      <c r="Y935" s="310" t="s">
        <v>56</v>
      </c>
      <c r="Z935" s="316"/>
      <c r="AA935" s="316" t="s">
        <v>3179</v>
      </c>
      <c r="AB935" s="316" t="s">
        <v>3179</v>
      </c>
    </row>
    <row r="936" spans="1:28" x14ac:dyDescent="0.25">
      <c r="A936" s="307">
        <f t="shared" si="85"/>
        <v>930</v>
      </c>
      <c r="B936" s="308">
        <v>46134</v>
      </c>
      <c r="C936" s="309">
        <f t="shared" si="86"/>
        <v>46113</v>
      </c>
      <c r="D936" s="310" t="s">
        <v>56</v>
      </c>
      <c r="E936" s="310" t="s">
        <v>1637</v>
      </c>
      <c r="F936" s="311">
        <v>9025368773</v>
      </c>
      <c r="G936" s="316" t="s">
        <v>6</v>
      </c>
      <c r="H936" s="316" t="s">
        <v>3164</v>
      </c>
      <c r="I936" s="316" t="s">
        <v>3165</v>
      </c>
      <c r="J936" s="310" t="s">
        <v>172</v>
      </c>
      <c r="K936" s="312">
        <v>45630</v>
      </c>
      <c r="L936" s="312">
        <v>66780</v>
      </c>
      <c r="M936" s="313">
        <f t="shared" si="87"/>
        <v>21150</v>
      </c>
      <c r="N936" s="314">
        <f t="shared" si="88"/>
        <v>0.316711590296496</v>
      </c>
      <c r="O936" s="312">
        <v>45630</v>
      </c>
      <c r="P936" s="313">
        <f t="shared" si="84"/>
        <v>0</v>
      </c>
      <c r="Q936" s="310" t="s">
        <v>147</v>
      </c>
      <c r="R936" s="310">
        <v>20</v>
      </c>
      <c r="S936" s="310"/>
      <c r="T936" s="308">
        <v>46136</v>
      </c>
      <c r="U936" s="308">
        <v>46136</v>
      </c>
      <c r="V936" s="308"/>
      <c r="W936" s="315">
        <f t="shared" si="89"/>
        <v>2</v>
      </c>
      <c r="X936" s="310" t="s">
        <v>54</v>
      </c>
      <c r="Y936" s="310" t="s">
        <v>56</v>
      </c>
      <c r="Z936" s="316"/>
      <c r="AA936" s="316" t="s">
        <v>3178</v>
      </c>
      <c r="AB936" s="316" t="s">
        <v>3178</v>
      </c>
    </row>
    <row r="937" spans="1:28" x14ac:dyDescent="0.25">
      <c r="A937" s="307">
        <f t="shared" si="85"/>
        <v>931</v>
      </c>
      <c r="B937" s="308">
        <v>46135</v>
      </c>
      <c r="C937" s="309">
        <f t="shared" si="86"/>
        <v>46113</v>
      </c>
      <c r="D937" s="310" t="s">
        <v>56</v>
      </c>
      <c r="E937" s="310" t="s">
        <v>2859</v>
      </c>
      <c r="F937" s="311">
        <v>9472230553</v>
      </c>
      <c r="G937" s="316" t="s">
        <v>6</v>
      </c>
      <c r="H937" s="316" t="s">
        <v>1874</v>
      </c>
      <c r="I937" s="316" t="s">
        <v>3166</v>
      </c>
      <c r="J937" s="310" t="s">
        <v>172</v>
      </c>
      <c r="K937" s="312">
        <v>45630</v>
      </c>
      <c r="L937" s="312">
        <v>66780</v>
      </c>
      <c r="M937" s="313">
        <f t="shared" si="87"/>
        <v>21150</v>
      </c>
      <c r="N937" s="314">
        <f t="shared" si="88"/>
        <v>0.316711590296496</v>
      </c>
      <c r="O937" s="312">
        <v>45630</v>
      </c>
      <c r="P937" s="313">
        <f t="shared" si="84"/>
        <v>0</v>
      </c>
      <c r="Q937" s="310" t="s">
        <v>147</v>
      </c>
      <c r="R937" s="310">
        <v>21</v>
      </c>
      <c r="S937" s="310"/>
      <c r="T937" s="308">
        <v>46139</v>
      </c>
      <c r="U937" s="308">
        <v>46139</v>
      </c>
      <c r="V937" s="308"/>
      <c r="W937" s="315">
        <f t="shared" si="89"/>
        <v>4</v>
      </c>
      <c r="X937" s="310" t="s">
        <v>54</v>
      </c>
      <c r="Y937" s="310" t="s">
        <v>56</v>
      </c>
      <c r="Z937" s="316"/>
      <c r="AA937" s="316" t="s">
        <v>3181</v>
      </c>
      <c r="AB937" s="316" t="s">
        <v>3181</v>
      </c>
    </row>
    <row r="938" spans="1:28" x14ac:dyDescent="0.25">
      <c r="A938" s="307">
        <f t="shared" si="85"/>
        <v>932</v>
      </c>
      <c r="B938" s="308">
        <v>46136</v>
      </c>
      <c r="C938" s="309">
        <f t="shared" si="86"/>
        <v>46113</v>
      </c>
      <c r="D938" s="310" t="s">
        <v>56</v>
      </c>
      <c r="E938" s="310" t="s">
        <v>60</v>
      </c>
      <c r="F938" s="311">
        <v>9040208667</v>
      </c>
      <c r="G938" s="316" t="s">
        <v>105</v>
      </c>
      <c r="H938" s="316" t="s">
        <v>3204</v>
      </c>
      <c r="I938" s="316" t="s">
        <v>6</v>
      </c>
      <c r="J938" s="310" t="s">
        <v>172</v>
      </c>
      <c r="K938" s="312">
        <v>59190</v>
      </c>
      <c r="L938" s="312">
        <v>157180</v>
      </c>
      <c r="M938" s="313">
        <f t="shared" si="87"/>
        <v>97990</v>
      </c>
      <c r="N938" s="314">
        <f t="shared" si="88"/>
        <v>0.623425372184756</v>
      </c>
      <c r="O938" s="312">
        <v>59190</v>
      </c>
      <c r="P938" s="313">
        <f t="shared" si="84"/>
        <v>0</v>
      </c>
      <c r="Q938" s="310" t="s">
        <v>147</v>
      </c>
      <c r="R938" s="310">
        <v>22</v>
      </c>
      <c r="S938" s="310"/>
      <c r="T938" s="308">
        <v>46139</v>
      </c>
      <c r="U938" s="308">
        <v>46139</v>
      </c>
      <c r="V938" s="308"/>
      <c r="W938" s="315">
        <f t="shared" si="89"/>
        <v>3</v>
      </c>
      <c r="X938" s="310" t="s">
        <v>54</v>
      </c>
      <c r="Y938" s="310" t="s">
        <v>56</v>
      </c>
      <c r="Z938" s="316"/>
      <c r="AA938" s="316" t="s">
        <v>3181</v>
      </c>
      <c r="AB938" s="316" t="s">
        <v>3181</v>
      </c>
    </row>
    <row r="939" spans="1:28" x14ac:dyDescent="0.25">
      <c r="A939" s="307">
        <f t="shared" si="85"/>
        <v>933</v>
      </c>
      <c r="B939" s="308">
        <v>46136</v>
      </c>
      <c r="C939" s="309">
        <f t="shared" si="86"/>
        <v>46113</v>
      </c>
      <c r="D939" s="310" t="s">
        <v>56</v>
      </c>
      <c r="E939" s="310" t="s">
        <v>1644</v>
      </c>
      <c r="F939" s="311">
        <v>9220186371</v>
      </c>
      <c r="G939" s="316" t="s">
        <v>6</v>
      </c>
      <c r="H939" s="316" t="s">
        <v>1874</v>
      </c>
      <c r="I939" s="316" t="s">
        <v>3209</v>
      </c>
      <c r="J939" s="310" t="s">
        <v>172</v>
      </c>
      <c r="K939" s="312">
        <v>44680</v>
      </c>
      <c r="L939" s="312">
        <v>60480</v>
      </c>
      <c r="M939" s="313">
        <f t="shared" si="87"/>
        <v>15800</v>
      </c>
      <c r="N939" s="314">
        <f t="shared" si="88"/>
        <v>0.261243386243386</v>
      </c>
      <c r="O939" s="312">
        <v>44680</v>
      </c>
      <c r="P939" s="313">
        <f t="shared" si="84"/>
        <v>0</v>
      </c>
      <c r="Q939" s="310" t="s">
        <v>147</v>
      </c>
      <c r="R939" s="310">
        <v>23</v>
      </c>
      <c r="S939" s="310"/>
      <c r="T939" s="308">
        <v>46139</v>
      </c>
      <c r="U939" s="308">
        <v>46139</v>
      </c>
      <c r="V939" s="308"/>
      <c r="W939" s="315">
        <f t="shared" si="89"/>
        <v>3</v>
      </c>
      <c r="X939" s="310" t="s">
        <v>54</v>
      </c>
      <c r="Y939" s="310" t="s">
        <v>56</v>
      </c>
      <c r="Z939" s="316"/>
      <c r="AA939" s="316" t="s">
        <v>3181</v>
      </c>
      <c r="AB939" s="316" t="s">
        <v>3181</v>
      </c>
    </row>
    <row r="940" spans="1:28" x14ac:dyDescent="0.25">
      <c r="A940" s="307">
        <f t="shared" si="85"/>
        <v>934</v>
      </c>
      <c r="B940" s="308">
        <v>46137</v>
      </c>
      <c r="C940" s="309">
        <f t="shared" si="86"/>
        <v>46113</v>
      </c>
      <c r="D940" s="310" t="s">
        <v>56</v>
      </c>
      <c r="E940" s="310" t="s">
        <v>3122</v>
      </c>
      <c r="F940" s="311">
        <v>9281983602</v>
      </c>
      <c r="G940" s="316" t="s">
        <v>6</v>
      </c>
      <c r="H940" s="316" t="s">
        <v>3210</v>
      </c>
      <c r="I940" s="316" t="s">
        <v>3211</v>
      </c>
      <c r="J940" s="310" t="s">
        <v>172</v>
      </c>
      <c r="K940" s="312">
        <v>45630</v>
      </c>
      <c r="L940" s="312">
        <v>66780</v>
      </c>
      <c r="M940" s="313">
        <f t="shared" si="87"/>
        <v>21150</v>
      </c>
      <c r="N940" s="314">
        <f t="shared" si="88"/>
        <v>0.316711590296496</v>
      </c>
      <c r="O940" s="312">
        <v>45630</v>
      </c>
      <c r="P940" s="313">
        <f t="shared" si="84"/>
        <v>0</v>
      </c>
      <c r="Q940" s="310" t="s">
        <v>147</v>
      </c>
      <c r="R940" s="310">
        <v>24</v>
      </c>
      <c r="S940" s="310"/>
      <c r="T940" s="308">
        <v>46140</v>
      </c>
      <c r="U940" s="308">
        <v>46140</v>
      </c>
      <c r="V940" s="308"/>
      <c r="W940" s="315">
        <f t="shared" si="89"/>
        <v>3</v>
      </c>
      <c r="X940" s="310" t="s">
        <v>54</v>
      </c>
      <c r="Y940" s="310" t="s">
        <v>56</v>
      </c>
      <c r="Z940" s="316" t="s">
        <v>3785</v>
      </c>
      <c r="AA940" s="316" t="s">
        <v>3187</v>
      </c>
      <c r="AB940" s="316" t="s">
        <v>3187</v>
      </c>
    </row>
    <row r="941" spans="1:28" x14ac:dyDescent="0.25">
      <c r="A941" s="307">
        <f t="shared" si="85"/>
        <v>935</v>
      </c>
      <c r="B941" s="308">
        <v>46137</v>
      </c>
      <c r="C941" s="309">
        <f t="shared" si="86"/>
        <v>46113</v>
      </c>
      <c r="D941" s="310" t="s">
        <v>56</v>
      </c>
      <c r="E941" s="310" t="s">
        <v>38</v>
      </c>
      <c r="F941" s="311">
        <v>9995059254</v>
      </c>
      <c r="G941" s="316" t="s">
        <v>6</v>
      </c>
      <c r="H941" s="316" t="s">
        <v>3213</v>
      </c>
      <c r="I941" s="316" t="s">
        <v>3212</v>
      </c>
      <c r="J941" s="310" t="s">
        <v>172</v>
      </c>
      <c r="K941" s="312">
        <v>45630</v>
      </c>
      <c r="L941" s="312">
        <v>66780</v>
      </c>
      <c r="M941" s="313">
        <f t="shared" si="87"/>
        <v>21150</v>
      </c>
      <c r="N941" s="314">
        <f t="shared" si="88"/>
        <v>0.316711590296496</v>
      </c>
      <c r="O941" s="312">
        <v>45630</v>
      </c>
      <c r="P941" s="313">
        <f t="shared" si="84"/>
        <v>0</v>
      </c>
      <c r="Q941" s="310" t="s">
        <v>147</v>
      </c>
      <c r="R941" s="310">
        <v>25</v>
      </c>
      <c r="S941" s="310"/>
      <c r="T941" s="308">
        <v>46140</v>
      </c>
      <c r="U941" s="308">
        <v>46140</v>
      </c>
      <c r="V941" s="308"/>
      <c r="W941" s="315">
        <f t="shared" si="89"/>
        <v>3</v>
      </c>
      <c r="X941" s="310" t="s">
        <v>54</v>
      </c>
      <c r="Y941" s="310" t="s">
        <v>56</v>
      </c>
      <c r="Z941" s="316"/>
      <c r="AA941" s="316" t="s">
        <v>3187</v>
      </c>
      <c r="AB941" s="316" t="s">
        <v>3187</v>
      </c>
    </row>
    <row r="942" spans="1:28" x14ac:dyDescent="0.25">
      <c r="A942" s="307">
        <f t="shared" si="85"/>
        <v>936</v>
      </c>
      <c r="B942" s="308">
        <v>46138</v>
      </c>
      <c r="C942" s="309">
        <f t="shared" si="86"/>
        <v>46113</v>
      </c>
      <c r="D942" s="310" t="s">
        <v>56</v>
      </c>
      <c r="E942" s="310" t="s">
        <v>3114</v>
      </c>
      <c r="F942" s="311">
        <v>9902798068</v>
      </c>
      <c r="G942" s="316" t="s">
        <v>1093</v>
      </c>
      <c r="H942" s="316" t="s">
        <v>3205</v>
      </c>
      <c r="I942" s="316" t="s">
        <v>6</v>
      </c>
      <c r="J942" s="310" t="s">
        <v>172</v>
      </c>
      <c r="K942" s="312">
        <v>57300</v>
      </c>
      <c r="L942" s="312">
        <v>144580</v>
      </c>
      <c r="M942" s="313">
        <f t="shared" si="87"/>
        <v>87280</v>
      </c>
      <c r="N942" s="314">
        <f t="shared" si="88"/>
        <v>0.603679623737723</v>
      </c>
      <c r="O942" s="312">
        <v>57300</v>
      </c>
      <c r="P942" s="313">
        <f t="shared" si="84"/>
        <v>0</v>
      </c>
      <c r="Q942" s="310" t="s">
        <v>147</v>
      </c>
      <c r="R942" s="310">
        <v>26</v>
      </c>
      <c r="S942" s="310"/>
      <c r="T942" s="308">
        <v>46140</v>
      </c>
      <c r="U942" s="308">
        <v>46141</v>
      </c>
      <c r="V942" s="308"/>
      <c r="W942" s="315">
        <f t="shared" si="89"/>
        <v>3</v>
      </c>
      <c r="X942" s="310" t="s">
        <v>54</v>
      </c>
      <c r="Y942" s="310" t="s">
        <v>56</v>
      </c>
      <c r="Z942" s="316"/>
      <c r="AA942" s="316" t="s">
        <v>3187</v>
      </c>
      <c r="AB942" s="316" t="s">
        <v>3191</v>
      </c>
    </row>
    <row r="943" spans="1:28" x14ac:dyDescent="0.25">
      <c r="A943" s="307">
        <f t="shared" si="85"/>
        <v>937</v>
      </c>
      <c r="B943" s="308">
        <v>46140</v>
      </c>
      <c r="C943" s="309">
        <f t="shared" si="86"/>
        <v>46113</v>
      </c>
      <c r="D943" s="310" t="s">
        <v>56</v>
      </c>
      <c r="E943" s="310" t="s">
        <v>1641</v>
      </c>
      <c r="F943" s="311">
        <v>9950016408</v>
      </c>
      <c r="G943" s="316" t="s">
        <v>6</v>
      </c>
      <c r="H943" s="316" t="s">
        <v>3214</v>
      </c>
      <c r="I943" s="316" t="s">
        <v>3215</v>
      </c>
      <c r="J943" s="310" t="s">
        <v>172</v>
      </c>
      <c r="K943" s="312">
        <v>45630</v>
      </c>
      <c r="L943" s="312">
        <v>66780</v>
      </c>
      <c r="M943" s="313">
        <f t="shared" si="87"/>
        <v>21150</v>
      </c>
      <c r="N943" s="314">
        <f t="shared" si="88"/>
        <v>0.316711590296496</v>
      </c>
      <c r="O943" s="312">
        <v>45630</v>
      </c>
      <c r="P943" s="313">
        <f t="shared" si="84"/>
        <v>0</v>
      </c>
      <c r="Q943" s="310" t="s">
        <v>147</v>
      </c>
      <c r="R943" s="310">
        <v>27</v>
      </c>
      <c r="S943" s="310"/>
      <c r="T943" s="308">
        <v>46142</v>
      </c>
      <c r="U943" s="308">
        <v>46142</v>
      </c>
      <c r="V943" s="308"/>
      <c r="W943" s="315">
        <f t="shared" si="89"/>
        <v>2</v>
      </c>
      <c r="X943" s="310" t="s">
        <v>54</v>
      </c>
      <c r="Y943" s="310" t="s">
        <v>56</v>
      </c>
      <c r="Z943" s="316"/>
      <c r="AA943" s="316" t="s">
        <v>3197</v>
      </c>
      <c r="AB943" s="316" t="s">
        <v>3197</v>
      </c>
    </row>
    <row r="944" spans="1:28" x14ac:dyDescent="0.25">
      <c r="A944" s="307">
        <f t="shared" si="85"/>
        <v>938</v>
      </c>
      <c r="B944" s="308">
        <v>46140</v>
      </c>
      <c r="C944" s="309">
        <f t="shared" si="86"/>
        <v>46113</v>
      </c>
      <c r="D944" s="310" t="s">
        <v>56</v>
      </c>
      <c r="E944" s="310" t="s">
        <v>1644</v>
      </c>
      <c r="F944" s="311">
        <v>9793531306</v>
      </c>
      <c r="G944" s="316" t="s">
        <v>1093</v>
      </c>
      <c r="H944" s="316" t="s">
        <v>3207</v>
      </c>
      <c r="I944" s="316" t="s">
        <v>6</v>
      </c>
      <c r="J944" s="310" t="s">
        <v>172</v>
      </c>
      <c r="K944" s="312">
        <v>57300</v>
      </c>
      <c r="L944" s="312">
        <v>144580</v>
      </c>
      <c r="M944" s="313">
        <f t="shared" si="87"/>
        <v>87280</v>
      </c>
      <c r="N944" s="314">
        <f t="shared" si="88"/>
        <v>0.603679623737723</v>
      </c>
      <c r="O944" s="312">
        <v>57300</v>
      </c>
      <c r="P944" s="313">
        <f t="shared" si="84"/>
        <v>0</v>
      </c>
      <c r="Q944" s="310" t="s">
        <v>147</v>
      </c>
      <c r="R944" s="310">
        <v>28</v>
      </c>
      <c r="S944" s="310"/>
      <c r="T944" s="308">
        <v>46143</v>
      </c>
      <c r="U944" s="308">
        <v>46144</v>
      </c>
      <c r="V944" s="308"/>
      <c r="W944" s="315">
        <f t="shared" si="89"/>
        <v>4</v>
      </c>
      <c r="X944" s="310" t="s">
        <v>54</v>
      </c>
      <c r="Y944" s="310" t="s">
        <v>56</v>
      </c>
      <c r="Z944" s="316"/>
      <c r="AA944" s="317">
        <v>46027</v>
      </c>
      <c r="AB944" s="317">
        <v>46058</v>
      </c>
    </row>
    <row r="945" spans="1:28" x14ac:dyDescent="0.25">
      <c r="A945" s="307">
        <f t="shared" si="85"/>
        <v>939</v>
      </c>
      <c r="B945" s="308">
        <v>46140</v>
      </c>
      <c r="C945" s="309">
        <f t="shared" si="86"/>
        <v>46113</v>
      </c>
      <c r="D945" s="310" t="s">
        <v>56</v>
      </c>
      <c r="E945" s="310" t="s">
        <v>38</v>
      </c>
      <c r="F945" s="311">
        <v>9995059254</v>
      </c>
      <c r="G945" s="316" t="s">
        <v>105</v>
      </c>
      <c r="H945" s="316" t="s">
        <v>3206</v>
      </c>
      <c r="I945" s="316" t="s">
        <v>6</v>
      </c>
      <c r="J945" s="310" t="s">
        <v>59</v>
      </c>
      <c r="K945" s="312">
        <v>56160</v>
      </c>
      <c r="L945" s="312">
        <v>137020</v>
      </c>
      <c r="M945" s="313">
        <f t="shared" si="87"/>
        <v>80860</v>
      </c>
      <c r="N945" s="314">
        <f t="shared" si="88"/>
        <v>0.590132827324478</v>
      </c>
      <c r="O945" s="312">
        <v>56160</v>
      </c>
      <c r="P945" s="313">
        <f t="shared" si="84"/>
        <v>0</v>
      </c>
      <c r="Q945" s="310" t="s">
        <v>147</v>
      </c>
      <c r="R945" s="310">
        <v>29</v>
      </c>
      <c r="S945" s="310"/>
      <c r="T945" s="308">
        <v>46143</v>
      </c>
      <c r="U945" s="308">
        <v>46144</v>
      </c>
      <c r="V945" s="308"/>
      <c r="W945" s="315">
        <f t="shared" si="89"/>
        <v>4</v>
      </c>
      <c r="X945" s="310" t="s">
        <v>54</v>
      </c>
      <c r="Y945" s="310" t="s">
        <v>56</v>
      </c>
      <c r="Z945" s="316"/>
      <c r="AA945" s="317">
        <v>46027</v>
      </c>
      <c r="AB945" s="317">
        <v>46058</v>
      </c>
    </row>
    <row r="946" spans="1:28" x14ac:dyDescent="0.25">
      <c r="A946" s="307">
        <f t="shared" si="85"/>
        <v>940</v>
      </c>
      <c r="B946" s="308">
        <v>46142</v>
      </c>
      <c r="C946" s="309">
        <f t="shared" si="86"/>
        <v>46113</v>
      </c>
      <c r="D946" s="310" t="s">
        <v>56</v>
      </c>
      <c r="E946" s="310" t="s">
        <v>3114</v>
      </c>
      <c r="F946" s="311">
        <v>9902798068</v>
      </c>
      <c r="G946" s="316" t="s">
        <v>6</v>
      </c>
      <c r="H946" s="316" t="s">
        <v>3216</v>
      </c>
      <c r="I946" s="316" t="s">
        <v>3217</v>
      </c>
      <c r="J946" s="310" t="s">
        <v>172</v>
      </c>
      <c r="K946" s="312">
        <v>45630</v>
      </c>
      <c r="L946" s="312">
        <v>66780</v>
      </c>
      <c r="M946" s="313">
        <f t="shared" si="87"/>
        <v>21150</v>
      </c>
      <c r="N946" s="314">
        <f t="shared" si="88"/>
        <v>0.316711590296496</v>
      </c>
      <c r="O946" s="312">
        <v>45630</v>
      </c>
      <c r="P946" s="313">
        <f t="shared" si="84"/>
        <v>0</v>
      </c>
      <c r="Q946" s="310" t="s">
        <v>147</v>
      </c>
      <c r="R946" s="310">
        <v>30</v>
      </c>
      <c r="S946" s="310"/>
      <c r="T946" s="308">
        <v>46146</v>
      </c>
      <c r="U946" s="308">
        <v>46146</v>
      </c>
      <c r="V946" s="308"/>
      <c r="W946" s="315">
        <f t="shared" si="89"/>
        <v>4</v>
      </c>
      <c r="X946" s="310" t="s">
        <v>54</v>
      </c>
      <c r="Y946" s="310" t="s">
        <v>56</v>
      </c>
      <c r="Z946" s="316"/>
      <c r="AA946" s="317">
        <v>46117</v>
      </c>
      <c r="AB946" s="317">
        <v>46117</v>
      </c>
    </row>
    <row r="947" spans="1:28" x14ac:dyDescent="0.25">
      <c r="A947" s="307">
        <f t="shared" si="85"/>
        <v>941</v>
      </c>
      <c r="B947" s="308">
        <v>46142</v>
      </c>
      <c r="C947" s="309">
        <f t="shared" si="86"/>
        <v>46113</v>
      </c>
      <c r="D947" s="310" t="s">
        <v>56</v>
      </c>
      <c r="E947" s="310" t="s">
        <v>60</v>
      </c>
      <c r="F947" s="311">
        <v>9040208667</v>
      </c>
      <c r="G947" s="316" t="s">
        <v>6</v>
      </c>
      <c r="H947" s="316" t="s">
        <v>1874</v>
      </c>
      <c r="I947" s="316" t="s">
        <v>3218</v>
      </c>
      <c r="J947" s="310" t="s">
        <v>172</v>
      </c>
      <c r="K947" s="312">
        <v>44680</v>
      </c>
      <c r="L947" s="312">
        <v>60480</v>
      </c>
      <c r="M947" s="313">
        <f t="shared" si="87"/>
        <v>15800</v>
      </c>
      <c r="N947" s="314">
        <f t="shared" si="88"/>
        <v>0.261243386243386</v>
      </c>
      <c r="O947" s="312">
        <v>44680</v>
      </c>
      <c r="P947" s="313">
        <f t="shared" si="84"/>
        <v>0</v>
      </c>
      <c r="Q947" s="310" t="s">
        <v>147</v>
      </c>
      <c r="R947" s="310">
        <v>31</v>
      </c>
      <c r="S947" s="310"/>
      <c r="T947" s="308">
        <v>46146</v>
      </c>
      <c r="U947" s="308">
        <v>46146</v>
      </c>
      <c r="V947" s="308"/>
      <c r="W947" s="315">
        <f t="shared" si="89"/>
        <v>4</v>
      </c>
      <c r="X947" s="310" t="s">
        <v>54</v>
      </c>
      <c r="Y947" s="310" t="s">
        <v>56</v>
      </c>
      <c r="Z947" s="316"/>
      <c r="AA947" s="317">
        <v>46117</v>
      </c>
      <c r="AB947" s="317">
        <v>46117</v>
      </c>
    </row>
    <row r="948" spans="1:28" x14ac:dyDescent="0.25">
      <c r="A948" s="307">
        <f t="shared" si="85"/>
        <v>942</v>
      </c>
      <c r="B948" s="308">
        <v>46144</v>
      </c>
      <c r="C948" s="309">
        <f t="shared" si="86"/>
        <v>46143</v>
      </c>
      <c r="D948" s="310" t="s">
        <v>56</v>
      </c>
      <c r="E948" s="310" t="s">
        <v>1641</v>
      </c>
      <c r="F948" s="311">
        <v>9486716172</v>
      </c>
      <c r="G948" s="316" t="s">
        <v>1093</v>
      </c>
      <c r="H948" s="316" t="s">
        <v>3208</v>
      </c>
      <c r="I948" s="316" t="s">
        <v>6</v>
      </c>
      <c r="J948" s="310" t="s">
        <v>172</v>
      </c>
      <c r="K948" s="312">
        <v>57300</v>
      </c>
      <c r="L948" s="312">
        <v>144580</v>
      </c>
      <c r="M948" s="313">
        <f t="shared" si="87"/>
        <v>87280</v>
      </c>
      <c r="N948" s="314">
        <f t="shared" si="88"/>
        <v>0.603679623737723</v>
      </c>
      <c r="O948" s="312">
        <v>57300</v>
      </c>
      <c r="P948" s="313">
        <f t="shared" si="84"/>
        <v>0</v>
      </c>
      <c r="Q948" s="310" t="s">
        <v>147</v>
      </c>
      <c r="R948" s="310">
        <v>32</v>
      </c>
      <c r="S948" s="310"/>
      <c r="T948" s="308">
        <v>46146</v>
      </c>
      <c r="U948" s="308">
        <v>46147</v>
      </c>
      <c r="V948" s="308"/>
      <c r="W948" s="315">
        <f t="shared" si="89"/>
        <v>3</v>
      </c>
      <c r="X948" s="310" t="s">
        <v>54</v>
      </c>
      <c r="Y948" s="310" t="s">
        <v>56</v>
      </c>
      <c r="Z948" s="316"/>
      <c r="AA948" s="317">
        <v>46117</v>
      </c>
      <c r="AB948" s="317">
        <v>46147</v>
      </c>
    </row>
    <row r="949" spans="1:28" x14ac:dyDescent="0.25">
      <c r="A949" s="307">
        <f t="shared" si="85"/>
        <v>943</v>
      </c>
      <c r="B949" s="308">
        <v>46145</v>
      </c>
      <c r="C949" s="309">
        <f t="shared" si="86"/>
        <v>46143</v>
      </c>
      <c r="D949" s="310" t="s">
        <v>56</v>
      </c>
      <c r="E949" s="310" t="s">
        <v>1637</v>
      </c>
      <c r="F949" s="311">
        <v>9793531306</v>
      </c>
      <c r="G949" s="316" t="s">
        <v>6</v>
      </c>
      <c r="H949" s="316" t="s">
        <v>3220</v>
      </c>
      <c r="I949" s="316" t="s">
        <v>3219</v>
      </c>
      <c r="J949" s="310" t="s">
        <v>172</v>
      </c>
      <c r="K949" s="312">
        <v>45630</v>
      </c>
      <c r="L949" s="312">
        <v>66780</v>
      </c>
      <c r="M949" s="313">
        <f t="shared" si="87"/>
        <v>21150</v>
      </c>
      <c r="N949" s="314">
        <f t="shared" si="88"/>
        <v>0.316711590296496</v>
      </c>
      <c r="O949" s="312">
        <v>45630</v>
      </c>
      <c r="P949" s="313">
        <f t="shared" si="84"/>
        <v>0</v>
      </c>
      <c r="Q949" s="310" t="s">
        <v>147</v>
      </c>
      <c r="R949" s="310">
        <v>33</v>
      </c>
      <c r="S949" s="310"/>
      <c r="T949" s="308"/>
      <c r="U949" s="308"/>
      <c r="V949" s="308"/>
      <c r="W949" s="315" t="str">
        <f t="shared" si="89"/>
        <v/>
      </c>
      <c r="X949" s="310" t="s">
        <v>54</v>
      </c>
      <c r="Y949" s="310" t="s">
        <v>56</v>
      </c>
      <c r="Z949" s="316"/>
      <c r="AA949" s="316"/>
      <c r="AB949" s="316"/>
    </row>
    <row r="950" spans="1:28" x14ac:dyDescent="0.25">
      <c r="A950" s="307">
        <f t="shared" si="85"/>
        <v>944</v>
      </c>
      <c r="B950" s="308">
        <v>46147</v>
      </c>
      <c r="C950" s="309">
        <f t="shared" si="86"/>
        <v>46143</v>
      </c>
      <c r="D950" s="310" t="s">
        <v>56</v>
      </c>
      <c r="E950" s="310" t="s">
        <v>3241</v>
      </c>
      <c r="F950" s="311">
        <v>9995059254</v>
      </c>
      <c r="G950" s="316" t="s">
        <v>6</v>
      </c>
      <c r="H950" s="316" t="s">
        <v>3247</v>
      </c>
      <c r="I950" s="316" t="s">
        <v>3248</v>
      </c>
      <c r="J950" s="310" t="s">
        <v>172</v>
      </c>
      <c r="K950" s="312">
        <v>48130</v>
      </c>
      <c r="L950" s="312">
        <v>83480</v>
      </c>
      <c r="M950" s="313">
        <f t="shared" si="87"/>
        <v>35350</v>
      </c>
      <c r="N950" s="314">
        <f t="shared" si="88"/>
        <v>0.42345471969334</v>
      </c>
      <c r="O950" s="312">
        <v>48130</v>
      </c>
      <c r="P950" s="313">
        <f t="shared" si="84"/>
        <v>0</v>
      </c>
      <c r="Q950" s="310" t="s">
        <v>147</v>
      </c>
      <c r="R950" s="310">
        <v>34</v>
      </c>
      <c r="S950" s="310"/>
      <c r="T950" s="308"/>
      <c r="U950" s="308"/>
      <c r="V950" s="308"/>
      <c r="W950" s="315" t="str">
        <f t="shared" si="89"/>
        <v/>
      </c>
      <c r="X950" s="310" t="s">
        <v>54</v>
      </c>
      <c r="Y950" s="310" t="s">
        <v>56</v>
      </c>
      <c r="Z950" s="316"/>
      <c r="AA950" s="316"/>
      <c r="AB950" s="316"/>
    </row>
    <row r="951" spans="1:28" x14ac:dyDescent="0.25">
      <c r="A951" s="307">
        <f t="shared" si="85"/>
        <v>945</v>
      </c>
      <c r="B951" s="308">
        <v>46147</v>
      </c>
      <c r="C951" s="309">
        <f t="shared" si="86"/>
        <v>46143</v>
      </c>
      <c r="D951" s="310" t="s">
        <v>56</v>
      </c>
      <c r="E951" s="310" t="s">
        <v>3114</v>
      </c>
      <c r="F951" s="311">
        <v>9902798068</v>
      </c>
      <c r="G951" s="316" t="s">
        <v>1093</v>
      </c>
      <c r="H951" s="316" t="s">
        <v>3786</v>
      </c>
      <c r="I951" s="316" t="s">
        <v>6</v>
      </c>
      <c r="J951" s="310" t="s">
        <v>172</v>
      </c>
      <c r="K951" s="312">
        <v>58240</v>
      </c>
      <c r="L951" s="312">
        <v>150880</v>
      </c>
      <c r="M951" s="313">
        <f t="shared" si="87"/>
        <v>92640</v>
      </c>
      <c r="N951" s="314">
        <f t="shared" si="88"/>
        <v>0.613997879109226</v>
      </c>
      <c r="O951" s="312">
        <v>58240</v>
      </c>
      <c r="P951" s="313">
        <f t="shared" si="84"/>
        <v>0</v>
      </c>
      <c r="Q951" s="310" t="s">
        <v>147</v>
      </c>
      <c r="R951" s="310">
        <v>35</v>
      </c>
      <c r="S951" s="310"/>
      <c r="T951" s="308"/>
      <c r="U951" s="308"/>
      <c r="V951" s="308"/>
      <c r="W951" s="315" t="str">
        <f t="shared" si="89"/>
        <v/>
      </c>
      <c r="X951" s="310" t="s">
        <v>54</v>
      </c>
      <c r="Y951" s="310" t="s">
        <v>56</v>
      </c>
      <c r="Z951" s="316"/>
      <c r="AA951" s="316"/>
      <c r="AB951" s="316"/>
    </row>
    <row r="952" spans="1:28" x14ac:dyDescent="0.25">
      <c r="A952" s="307">
        <f t="shared" si="85"/>
        <v>946</v>
      </c>
      <c r="B952" s="308">
        <v>46148</v>
      </c>
      <c r="C952" s="309">
        <f t="shared" si="86"/>
        <v>46143</v>
      </c>
      <c r="D952" s="310" t="s">
        <v>56</v>
      </c>
      <c r="E952" s="310" t="s">
        <v>60</v>
      </c>
      <c r="F952" s="311">
        <v>9040208667</v>
      </c>
      <c r="G952" s="316" t="s">
        <v>1093</v>
      </c>
      <c r="H952" s="316" t="s">
        <v>3265</v>
      </c>
      <c r="I952" s="316" t="s">
        <v>6</v>
      </c>
      <c r="J952" s="310" t="s">
        <v>172</v>
      </c>
      <c r="K952" s="312">
        <v>57300</v>
      </c>
      <c r="L952" s="312">
        <v>144580</v>
      </c>
      <c r="M952" s="313">
        <f t="shared" si="87"/>
        <v>87280</v>
      </c>
      <c r="N952" s="314">
        <f t="shared" si="88"/>
        <v>0.603679623737723</v>
      </c>
      <c r="O952" s="312">
        <v>57300</v>
      </c>
      <c r="P952" s="313">
        <f t="shared" si="84"/>
        <v>0</v>
      </c>
      <c r="Q952" s="310" t="s">
        <v>147</v>
      </c>
      <c r="R952" s="310">
        <v>36</v>
      </c>
      <c r="S952" s="310"/>
      <c r="T952" s="308"/>
      <c r="U952" s="308"/>
      <c r="V952" s="308"/>
      <c r="W952" s="315" t="str">
        <f t="shared" si="89"/>
        <v/>
      </c>
      <c r="X952" s="310" t="s">
        <v>54</v>
      </c>
      <c r="Y952" s="310" t="s">
        <v>56</v>
      </c>
      <c r="Z952" s="316"/>
      <c r="AA952" s="316"/>
      <c r="AB952" s="316"/>
    </row>
    <row r="953" spans="1:28" x14ac:dyDescent="0.25">
      <c r="A953" s="307">
        <f t="shared" si="85"/>
        <v>947</v>
      </c>
      <c r="B953" s="308">
        <v>46148</v>
      </c>
      <c r="C953" s="309">
        <f t="shared" si="86"/>
        <v>46143</v>
      </c>
      <c r="D953" s="310" t="s">
        <v>56</v>
      </c>
      <c r="E953" s="310" t="s">
        <v>1641</v>
      </c>
      <c r="F953" s="311">
        <v>9486716172</v>
      </c>
      <c r="G953" s="316" t="s">
        <v>6</v>
      </c>
      <c r="H953" s="316" t="s">
        <v>1874</v>
      </c>
      <c r="I953" s="316" t="s">
        <v>3249</v>
      </c>
      <c r="J953" s="310" t="s">
        <v>172</v>
      </c>
      <c r="K953" s="312">
        <v>44680</v>
      </c>
      <c r="L953" s="312">
        <v>60480</v>
      </c>
      <c r="M953" s="313">
        <f t="shared" si="87"/>
        <v>15800</v>
      </c>
      <c r="N953" s="314">
        <f t="shared" si="88"/>
        <v>0.261243386243386</v>
      </c>
      <c r="O953" s="312">
        <v>44680</v>
      </c>
      <c r="P953" s="313">
        <f t="shared" si="84"/>
        <v>0</v>
      </c>
      <c r="Q953" s="310" t="s">
        <v>147</v>
      </c>
      <c r="R953" s="310">
        <v>37</v>
      </c>
      <c r="S953" s="310"/>
      <c r="T953" s="308"/>
      <c r="U953" s="308"/>
      <c r="V953" s="308"/>
      <c r="W953" s="315" t="str">
        <f t="shared" si="89"/>
        <v/>
      </c>
      <c r="X953" s="310" t="s">
        <v>54</v>
      </c>
      <c r="Y953" s="310" t="s">
        <v>56</v>
      </c>
      <c r="Z953" s="316"/>
      <c r="AA953" s="316"/>
      <c r="AB953" s="316"/>
    </row>
    <row r="954" spans="1:28" x14ac:dyDescent="0.25">
      <c r="A954" s="307">
        <f t="shared" si="85"/>
        <v>948</v>
      </c>
      <c r="B954" s="308">
        <v>46149</v>
      </c>
      <c r="C954" s="309">
        <f t="shared" si="86"/>
        <v>46143</v>
      </c>
      <c r="D954" s="310" t="s">
        <v>56</v>
      </c>
      <c r="E954" s="310" t="s">
        <v>1635</v>
      </c>
      <c r="F954" s="311">
        <v>9793531306</v>
      </c>
      <c r="G954" s="316" t="s">
        <v>6</v>
      </c>
      <c r="H954" s="316" t="s">
        <v>3250</v>
      </c>
      <c r="I954" s="316" t="s">
        <v>3251</v>
      </c>
      <c r="J954" s="310" t="s">
        <v>172</v>
      </c>
      <c r="K954" s="312">
        <v>45630</v>
      </c>
      <c r="L954" s="312">
        <v>66780</v>
      </c>
      <c r="M954" s="313">
        <f t="shared" si="87"/>
        <v>21150</v>
      </c>
      <c r="N954" s="314">
        <f t="shared" si="88"/>
        <v>0.316711590296496</v>
      </c>
      <c r="O954" s="312">
        <v>45630</v>
      </c>
      <c r="P954" s="313">
        <f t="shared" si="84"/>
        <v>0</v>
      </c>
      <c r="Q954" s="310" t="s">
        <v>147</v>
      </c>
      <c r="R954" s="310">
        <v>38</v>
      </c>
      <c r="S954" s="310"/>
      <c r="T954" s="308"/>
      <c r="U954" s="308"/>
      <c r="V954" s="308"/>
      <c r="W954" s="315" t="str">
        <f t="shared" si="89"/>
        <v/>
      </c>
      <c r="X954" s="310" t="s">
        <v>54</v>
      </c>
      <c r="Y954" s="310" t="s">
        <v>56</v>
      </c>
      <c r="Z954" s="316"/>
      <c r="AA954" s="316"/>
      <c r="AB954" s="316"/>
    </row>
    <row r="955" spans="1:28" x14ac:dyDescent="0.25">
      <c r="A955" s="307">
        <f t="shared" si="85"/>
        <v>949</v>
      </c>
      <c r="B955" s="308">
        <v>46150</v>
      </c>
      <c r="C955" s="309">
        <f t="shared" si="86"/>
        <v>46143</v>
      </c>
      <c r="D955" s="310" t="s">
        <v>56</v>
      </c>
      <c r="E955" s="310" t="s">
        <v>1637</v>
      </c>
      <c r="F955" s="311">
        <v>9220186371</v>
      </c>
      <c r="G955" s="316" t="s">
        <v>1093</v>
      </c>
      <c r="H955" s="316" t="s">
        <v>3266</v>
      </c>
      <c r="I955" s="316" t="s">
        <v>6</v>
      </c>
      <c r="J955" s="310" t="s">
        <v>172</v>
      </c>
      <c r="K955" s="312">
        <v>57300</v>
      </c>
      <c r="L955" s="312">
        <v>144580</v>
      </c>
      <c r="M955" s="313">
        <f t="shared" si="87"/>
        <v>87280</v>
      </c>
      <c r="N955" s="314">
        <f t="shared" si="88"/>
        <v>0.603679623737723</v>
      </c>
      <c r="O955" s="312">
        <v>57300</v>
      </c>
      <c r="P955" s="313">
        <f t="shared" si="84"/>
        <v>0</v>
      </c>
      <c r="Q955" s="310" t="s">
        <v>147</v>
      </c>
      <c r="R955" s="310">
        <v>39</v>
      </c>
      <c r="S955" s="310"/>
      <c r="T955" s="308"/>
      <c r="U955" s="308"/>
      <c r="V955" s="308"/>
      <c r="W955" s="315" t="str">
        <f t="shared" si="89"/>
        <v/>
      </c>
      <c r="X955" s="310" t="s">
        <v>54</v>
      </c>
      <c r="Y955" s="310" t="s">
        <v>56</v>
      </c>
      <c r="Z955" s="316"/>
      <c r="AA955" s="316"/>
      <c r="AB955" s="316"/>
    </row>
    <row r="956" spans="1:28" x14ac:dyDescent="0.25">
      <c r="A956" s="307">
        <f t="shared" si="85"/>
        <v>950</v>
      </c>
      <c r="B956" s="308">
        <v>46150</v>
      </c>
      <c r="C956" s="309">
        <f t="shared" si="86"/>
        <v>46143</v>
      </c>
      <c r="D956" s="310" t="s">
        <v>56</v>
      </c>
      <c r="E956" s="310" t="s">
        <v>3065</v>
      </c>
      <c r="F956" s="311">
        <v>9589264337</v>
      </c>
      <c r="G956" s="316" t="s">
        <v>1093</v>
      </c>
      <c r="H956" s="316" t="s">
        <v>3268</v>
      </c>
      <c r="I956" s="316" t="s">
        <v>6</v>
      </c>
      <c r="J956" s="310" t="s">
        <v>172</v>
      </c>
      <c r="K956" s="312">
        <v>58240</v>
      </c>
      <c r="L956" s="312">
        <v>150880</v>
      </c>
      <c r="M956" s="313">
        <f t="shared" si="87"/>
        <v>92640</v>
      </c>
      <c r="N956" s="314">
        <f t="shared" si="88"/>
        <v>0.613997879109226</v>
      </c>
      <c r="O956" s="312">
        <v>58240</v>
      </c>
      <c r="P956" s="313">
        <f t="shared" si="84"/>
        <v>0</v>
      </c>
      <c r="Q956" s="310" t="s">
        <v>147</v>
      </c>
      <c r="R956" s="310">
        <v>40</v>
      </c>
      <c r="S956" s="310"/>
      <c r="T956" s="308"/>
      <c r="U956" s="308"/>
      <c r="V956" s="308"/>
      <c r="W956" s="315" t="str">
        <f t="shared" si="89"/>
        <v/>
      </c>
      <c r="X956" s="310" t="s">
        <v>54</v>
      </c>
      <c r="Y956" s="310" t="s">
        <v>56</v>
      </c>
      <c r="Z956" s="316"/>
      <c r="AA956" s="316"/>
      <c r="AB956" s="316"/>
    </row>
    <row r="957" spans="1:28" x14ac:dyDescent="0.25">
      <c r="A957" s="307">
        <f t="shared" si="85"/>
        <v>951</v>
      </c>
      <c r="B957" s="308">
        <v>46152</v>
      </c>
      <c r="C957" s="309">
        <f t="shared" si="86"/>
        <v>46143</v>
      </c>
      <c r="D957" s="310" t="s">
        <v>56</v>
      </c>
      <c r="E957" s="310" t="s">
        <v>38</v>
      </c>
      <c r="F957" s="311">
        <v>9995059254</v>
      </c>
      <c r="G957" s="316" t="s">
        <v>1093</v>
      </c>
      <c r="H957" s="316" t="s">
        <v>3269</v>
      </c>
      <c r="I957" s="316" t="s">
        <v>6</v>
      </c>
      <c r="J957" s="310" t="s">
        <v>172</v>
      </c>
      <c r="K957" s="312">
        <v>57300</v>
      </c>
      <c r="L957" s="312">
        <v>144580</v>
      </c>
      <c r="M957" s="313">
        <f t="shared" si="87"/>
        <v>87280</v>
      </c>
      <c r="N957" s="314">
        <f t="shared" si="88"/>
        <v>0.603679623737723</v>
      </c>
      <c r="O957" s="312">
        <v>57300</v>
      </c>
      <c r="P957" s="313">
        <f t="shared" si="84"/>
        <v>0</v>
      </c>
      <c r="Q957" s="310" t="s">
        <v>147</v>
      </c>
      <c r="R957" s="310">
        <v>41</v>
      </c>
      <c r="S957" s="310"/>
      <c r="T957" s="308"/>
      <c r="U957" s="308"/>
      <c r="V957" s="308"/>
      <c r="W957" s="315" t="str">
        <f t="shared" si="89"/>
        <v/>
      </c>
      <c r="X957" s="310" t="s">
        <v>54</v>
      </c>
      <c r="Y957" s="310" t="s">
        <v>56</v>
      </c>
      <c r="Z957" s="316"/>
      <c r="AA957" s="316"/>
      <c r="AB957" s="316"/>
    </row>
    <row r="958" spans="1:28" x14ac:dyDescent="0.25">
      <c r="A958" s="307">
        <f t="shared" si="85"/>
        <v>952</v>
      </c>
      <c r="B958" s="308">
        <v>46152</v>
      </c>
      <c r="C958" s="309">
        <f t="shared" si="86"/>
        <v>46143</v>
      </c>
      <c r="D958" s="310" t="s">
        <v>56</v>
      </c>
      <c r="E958" s="310" t="s">
        <v>1641</v>
      </c>
      <c r="F958" s="311">
        <v>9486716172</v>
      </c>
      <c r="G958" s="316" t="s">
        <v>1093</v>
      </c>
      <c r="H958" s="316" t="s">
        <v>3271</v>
      </c>
      <c r="I958" s="316" t="s">
        <v>6</v>
      </c>
      <c r="J958" s="310" t="s">
        <v>172</v>
      </c>
      <c r="K958" s="312">
        <v>57300</v>
      </c>
      <c r="L958" s="312">
        <v>144580</v>
      </c>
      <c r="M958" s="313">
        <f t="shared" si="87"/>
        <v>87280</v>
      </c>
      <c r="N958" s="314">
        <f t="shared" si="88"/>
        <v>0.603679623737723</v>
      </c>
      <c r="O958" s="312">
        <v>57300</v>
      </c>
      <c r="P958" s="313">
        <f t="shared" si="84"/>
        <v>0</v>
      </c>
      <c r="Q958" s="310" t="s">
        <v>147</v>
      </c>
      <c r="R958" s="310">
        <v>42</v>
      </c>
      <c r="S958" s="310"/>
      <c r="T958" s="308"/>
      <c r="U958" s="308"/>
      <c r="V958" s="308"/>
      <c r="W958" s="315" t="str">
        <f t="shared" si="89"/>
        <v/>
      </c>
      <c r="X958" s="310" t="s">
        <v>54</v>
      </c>
      <c r="Y958" s="310" t="s">
        <v>56</v>
      </c>
      <c r="Z958" s="316"/>
      <c r="AA958" s="316"/>
      <c r="AB958" s="316"/>
    </row>
    <row r="959" spans="1:28" x14ac:dyDescent="0.25">
      <c r="A959" s="307">
        <f t="shared" si="85"/>
        <v>953</v>
      </c>
      <c r="B959" s="308">
        <v>46153</v>
      </c>
      <c r="C959" s="309">
        <f t="shared" si="86"/>
        <v>46143</v>
      </c>
      <c r="D959" s="310" t="s">
        <v>56</v>
      </c>
      <c r="E959" s="310" t="s">
        <v>3114</v>
      </c>
      <c r="F959" s="311">
        <v>9902798068</v>
      </c>
      <c r="G959" s="316" t="s">
        <v>6</v>
      </c>
      <c r="H959" s="316" t="s">
        <v>1874</v>
      </c>
      <c r="I959" s="316" t="s">
        <v>3252</v>
      </c>
      <c r="J959" s="310" t="s">
        <v>172</v>
      </c>
      <c r="K959" s="312">
        <v>44680</v>
      </c>
      <c r="L959" s="312">
        <v>60480</v>
      </c>
      <c r="M959" s="313">
        <f t="shared" si="87"/>
        <v>15800</v>
      </c>
      <c r="N959" s="314">
        <f t="shared" si="88"/>
        <v>0.261243386243386</v>
      </c>
      <c r="O959" s="312">
        <v>44680</v>
      </c>
      <c r="P959" s="313">
        <f t="shared" si="84"/>
        <v>0</v>
      </c>
      <c r="Q959" s="310" t="s">
        <v>147</v>
      </c>
      <c r="R959" s="310">
        <v>43</v>
      </c>
      <c r="S959" s="310"/>
      <c r="T959" s="308"/>
      <c r="U959" s="308"/>
      <c r="V959" s="308"/>
      <c r="W959" s="315" t="str">
        <f t="shared" si="89"/>
        <v/>
      </c>
      <c r="X959" s="310" t="s">
        <v>54</v>
      </c>
      <c r="Y959" s="310" t="s">
        <v>56</v>
      </c>
      <c r="Z959" s="316"/>
      <c r="AA959" s="316"/>
      <c r="AB959" s="316"/>
    </row>
    <row r="960" spans="1:28" x14ac:dyDescent="0.25">
      <c r="A960" s="307">
        <f t="shared" si="85"/>
        <v>954</v>
      </c>
      <c r="B960" s="308">
        <v>46154</v>
      </c>
      <c r="C960" s="309">
        <f t="shared" si="86"/>
        <v>46143</v>
      </c>
      <c r="D960" s="310" t="s">
        <v>56</v>
      </c>
      <c r="E960" s="310" t="s">
        <v>1637</v>
      </c>
      <c r="F960" s="311">
        <v>9220186371</v>
      </c>
      <c r="G960" s="316" t="s">
        <v>6</v>
      </c>
      <c r="H960" s="316" t="s">
        <v>3253</v>
      </c>
      <c r="I960" s="316" t="s">
        <v>3254</v>
      </c>
      <c r="J960" s="310" t="s">
        <v>172</v>
      </c>
      <c r="K960" s="312">
        <v>45630</v>
      </c>
      <c r="L960" s="312">
        <v>66780</v>
      </c>
      <c r="M960" s="313">
        <f t="shared" si="87"/>
        <v>21150</v>
      </c>
      <c r="N960" s="314">
        <f t="shared" si="88"/>
        <v>0.316711590296496</v>
      </c>
      <c r="O960" s="312">
        <v>45630</v>
      </c>
      <c r="P960" s="313">
        <f t="shared" si="84"/>
        <v>0</v>
      </c>
      <c r="Q960" s="310" t="s">
        <v>147</v>
      </c>
      <c r="R960" s="310">
        <v>44</v>
      </c>
      <c r="S960" s="310"/>
      <c r="T960" s="308"/>
      <c r="U960" s="308"/>
      <c r="V960" s="308"/>
      <c r="W960" s="315" t="str">
        <f t="shared" si="89"/>
        <v/>
      </c>
      <c r="X960" s="310" t="s">
        <v>54</v>
      </c>
      <c r="Y960" s="310" t="s">
        <v>56</v>
      </c>
      <c r="Z960" s="316"/>
      <c r="AA960" s="316"/>
      <c r="AB960" s="316"/>
    </row>
    <row r="961" spans="1:28" x14ac:dyDescent="0.25">
      <c r="A961" s="307">
        <f t="shared" si="85"/>
        <v>955</v>
      </c>
      <c r="B961" s="308">
        <v>46156</v>
      </c>
      <c r="C961" s="309">
        <f t="shared" si="86"/>
        <v>46143</v>
      </c>
      <c r="D961" s="310" t="s">
        <v>56</v>
      </c>
      <c r="E961" s="310" t="s">
        <v>3065</v>
      </c>
      <c r="F961" s="311">
        <v>9589264337</v>
      </c>
      <c r="G961" s="316" t="s">
        <v>6</v>
      </c>
      <c r="H961" s="316" t="s">
        <v>1874</v>
      </c>
      <c r="I961" s="316" t="s">
        <v>3255</v>
      </c>
      <c r="J961" s="310" t="s">
        <v>172</v>
      </c>
      <c r="K961" s="312">
        <v>44680</v>
      </c>
      <c r="L961" s="312">
        <v>60480</v>
      </c>
      <c r="M961" s="313">
        <f t="shared" si="87"/>
        <v>15800</v>
      </c>
      <c r="N961" s="314">
        <f t="shared" si="88"/>
        <v>0.261243386243386</v>
      </c>
      <c r="O961" s="312">
        <v>44680</v>
      </c>
      <c r="P961" s="313">
        <f t="shared" si="84"/>
        <v>0</v>
      </c>
      <c r="Q961" s="310" t="s">
        <v>147</v>
      </c>
      <c r="R961" s="310">
        <v>45</v>
      </c>
      <c r="S961" s="310"/>
      <c r="T961" s="308"/>
      <c r="U961" s="308"/>
      <c r="V961" s="308"/>
      <c r="W961" s="315" t="str">
        <f t="shared" si="89"/>
        <v/>
      </c>
      <c r="X961" s="310" t="s">
        <v>54</v>
      </c>
      <c r="Y961" s="310" t="s">
        <v>56</v>
      </c>
      <c r="Z961" s="316"/>
      <c r="AA961" s="316"/>
      <c r="AB961" s="316"/>
    </row>
    <row r="962" spans="1:28" x14ac:dyDescent="0.25">
      <c r="A962" s="307">
        <f t="shared" si="85"/>
        <v>956</v>
      </c>
      <c r="B962" s="308">
        <v>46156</v>
      </c>
      <c r="C962" s="309">
        <f t="shared" si="86"/>
        <v>46143</v>
      </c>
      <c r="D962" s="310" t="s">
        <v>56</v>
      </c>
      <c r="E962" s="310" t="s">
        <v>3114</v>
      </c>
      <c r="F962" s="311">
        <v>9902798068</v>
      </c>
      <c r="G962" s="316" t="s">
        <v>1093</v>
      </c>
      <c r="H962" s="316" t="s">
        <v>3277</v>
      </c>
      <c r="I962" s="316" t="s">
        <v>6</v>
      </c>
      <c r="J962" s="310" t="s">
        <v>172</v>
      </c>
      <c r="K962" s="312">
        <v>58240</v>
      </c>
      <c r="L962" s="312">
        <v>150880</v>
      </c>
      <c r="M962" s="313">
        <f t="shared" si="87"/>
        <v>92640</v>
      </c>
      <c r="N962" s="314">
        <f t="shared" si="88"/>
        <v>0.613997879109226</v>
      </c>
      <c r="O962" s="312">
        <v>58240</v>
      </c>
      <c r="P962" s="313">
        <f t="shared" si="84"/>
        <v>0</v>
      </c>
      <c r="Q962" s="310" t="s">
        <v>147</v>
      </c>
      <c r="R962" s="310">
        <v>46</v>
      </c>
      <c r="S962" s="310"/>
      <c r="T962" s="308"/>
      <c r="U962" s="308"/>
      <c r="V962" s="308"/>
      <c r="W962" s="315" t="str">
        <f t="shared" si="89"/>
        <v/>
      </c>
      <c r="X962" s="310" t="s">
        <v>54</v>
      </c>
      <c r="Y962" s="310" t="s">
        <v>56</v>
      </c>
      <c r="Z962" s="316"/>
      <c r="AA962" s="316"/>
      <c r="AB962" s="316"/>
    </row>
    <row r="963" spans="1:28" x14ac:dyDescent="0.25">
      <c r="A963" s="307">
        <f t="shared" si="85"/>
        <v>957</v>
      </c>
      <c r="B963" s="308">
        <v>46156</v>
      </c>
      <c r="C963" s="309">
        <f t="shared" si="86"/>
        <v>46143</v>
      </c>
      <c r="D963" s="310" t="s">
        <v>56</v>
      </c>
      <c r="E963" s="310" t="s">
        <v>1637</v>
      </c>
      <c r="F963" s="311">
        <v>9220186371</v>
      </c>
      <c r="G963" s="316" t="s">
        <v>105</v>
      </c>
      <c r="H963" s="316" t="s">
        <v>3267</v>
      </c>
      <c r="I963" s="316" t="s">
        <v>6</v>
      </c>
      <c r="J963" s="310" t="s">
        <v>172</v>
      </c>
      <c r="K963" s="312">
        <v>57300</v>
      </c>
      <c r="L963" s="312">
        <v>144580</v>
      </c>
      <c r="M963" s="313">
        <f t="shared" si="87"/>
        <v>87280</v>
      </c>
      <c r="N963" s="314">
        <f t="shared" si="88"/>
        <v>0.603679623737723</v>
      </c>
      <c r="O963" s="312">
        <v>57300</v>
      </c>
      <c r="P963" s="313">
        <f t="shared" si="84"/>
        <v>0</v>
      </c>
      <c r="Q963" s="310" t="s">
        <v>147</v>
      </c>
      <c r="R963" s="310">
        <v>47</v>
      </c>
      <c r="S963" s="310"/>
      <c r="T963" s="308"/>
      <c r="U963" s="308"/>
      <c r="V963" s="308"/>
      <c r="W963" s="315" t="str">
        <f t="shared" si="89"/>
        <v/>
      </c>
      <c r="X963" s="310" t="s">
        <v>54</v>
      </c>
      <c r="Y963" s="310" t="s">
        <v>56</v>
      </c>
      <c r="Z963" s="316"/>
      <c r="AA963" s="316"/>
      <c r="AB963" s="316"/>
    </row>
    <row r="964" spans="1:28" x14ac:dyDescent="0.25">
      <c r="A964" s="307">
        <f t="shared" si="85"/>
        <v>958</v>
      </c>
      <c r="B964" s="308">
        <v>46156</v>
      </c>
      <c r="C964" s="309">
        <f t="shared" si="86"/>
        <v>46143</v>
      </c>
      <c r="D964" s="310" t="s">
        <v>56</v>
      </c>
      <c r="E964" s="310" t="s">
        <v>1635</v>
      </c>
      <c r="F964" s="311">
        <v>9793531306</v>
      </c>
      <c r="G964" s="316" t="s">
        <v>1093</v>
      </c>
      <c r="H964" s="316" t="s">
        <v>3272</v>
      </c>
      <c r="I964" s="316" t="s">
        <v>6</v>
      </c>
      <c r="J964" s="310" t="s">
        <v>172</v>
      </c>
      <c r="K964" s="312">
        <v>57300</v>
      </c>
      <c r="L964" s="312">
        <v>144580</v>
      </c>
      <c r="M964" s="313">
        <f t="shared" si="87"/>
        <v>87280</v>
      </c>
      <c r="N964" s="314">
        <f t="shared" si="88"/>
        <v>0.603679623737723</v>
      </c>
      <c r="O964" s="312">
        <v>57300</v>
      </c>
      <c r="P964" s="313">
        <f t="shared" si="84"/>
        <v>0</v>
      </c>
      <c r="Q964" s="310" t="s">
        <v>147</v>
      </c>
      <c r="R964" s="310">
        <v>48</v>
      </c>
      <c r="S964" s="310"/>
      <c r="T964" s="308"/>
      <c r="U964" s="308"/>
      <c r="V964" s="308"/>
      <c r="W964" s="315" t="str">
        <f t="shared" si="89"/>
        <v/>
      </c>
      <c r="X964" s="310" t="s">
        <v>54</v>
      </c>
      <c r="Y964" s="310" t="s">
        <v>56</v>
      </c>
      <c r="Z964" s="316"/>
      <c r="AA964" s="316"/>
      <c r="AB964" s="316"/>
    </row>
    <row r="965" spans="1:28" x14ac:dyDescent="0.25">
      <c r="A965" s="307">
        <f t="shared" si="85"/>
        <v>959</v>
      </c>
      <c r="B965" s="308">
        <v>46157</v>
      </c>
      <c r="C965" s="309">
        <f t="shared" si="86"/>
        <v>46143</v>
      </c>
      <c r="D965" s="310" t="s">
        <v>56</v>
      </c>
      <c r="E965" s="310" t="s">
        <v>38</v>
      </c>
      <c r="F965" s="311">
        <v>9995059254</v>
      </c>
      <c r="G965" s="316" t="s">
        <v>6</v>
      </c>
      <c r="H965" s="316" t="s">
        <v>1874</v>
      </c>
      <c r="I965" s="316" t="s">
        <v>3256</v>
      </c>
      <c r="J965" s="310" t="s">
        <v>172</v>
      </c>
      <c r="K965" s="312">
        <v>44330</v>
      </c>
      <c r="L965" s="312">
        <v>58120</v>
      </c>
      <c r="M965" s="313">
        <f t="shared" si="87"/>
        <v>13790</v>
      </c>
      <c r="N965" s="314">
        <f t="shared" si="88"/>
        <v>0.237267721954577</v>
      </c>
      <c r="O965" s="312">
        <v>44330</v>
      </c>
      <c r="P965" s="313">
        <f t="shared" si="84"/>
        <v>0</v>
      </c>
      <c r="Q965" s="310" t="s">
        <v>147</v>
      </c>
      <c r="R965" s="310">
        <v>49</v>
      </c>
      <c r="S965" s="310"/>
      <c r="T965" s="308"/>
      <c r="U965" s="308"/>
      <c r="V965" s="308"/>
      <c r="W965" s="315" t="str">
        <f t="shared" si="89"/>
        <v/>
      </c>
      <c r="X965" s="310" t="s">
        <v>54</v>
      </c>
      <c r="Y965" s="310" t="s">
        <v>56</v>
      </c>
      <c r="Z965" s="316"/>
      <c r="AA965" s="316"/>
      <c r="AB965" s="316"/>
    </row>
    <row r="966" spans="1:28" x14ac:dyDescent="0.25">
      <c r="A966" s="307">
        <f t="shared" si="85"/>
        <v>960</v>
      </c>
      <c r="B966" s="308">
        <v>46157</v>
      </c>
      <c r="C966" s="309">
        <f t="shared" si="86"/>
        <v>46143</v>
      </c>
      <c r="D966" s="310" t="s">
        <v>56</v>
      </c>
      <c r="E966" s="310" t="s">
        <v>2859</v>
      </c>
      <c r="F966" s="311">
        <v>9472230553</v>
      </c>
      <c r="G966" s="316" t="s">
        <v>1093</v>
      </c>
      <c r="H966" s="316" t="s">
        <v>3274</v>
      </c>
      <c r="I966" s="316" t="s">
        <v>6</v>
      </c>
      <c r="J966" s="310" t="s">
        <v>172</v>
      </c>
      <c r="K966" s="312">
        <v>57300</v>
      </c>
      <c r="L966" s="312">
        <v>144580</v>
      </c>
      <c r="M966" s="313">
        <f t="shared" si="87"/>
        <v>87280</v>
      </c>
      <c r="N966" s="314">
        <f t="shared" si="88"/>
        <v>0.603679623737723</v>
      </c>
      <c r="O966" s="312">
        <v>57300</v>
      </c>
      <c r="P966" s="313">
        <f t="shared" si="84"/>
        <v>0</v>
      </c>
      <c r="Q966" s="310" t="s">
        <v>147</v>
      </c>
      <c r="R966" s="310">
        <v>50</v>
      </c>
      <c r="S966" s="310"/>
      <c r="T966" s="308"/>
      <c r="U966" s="308"/>
      <c r="V966" s="308"/>
      <c r="W966" s="315" t="str">
        <f t="shared" si="89"/>
        <v/>
      </c>
      <c r="X966" s="310" t="s">
        <v>54</v>
      </c>
      <c r="Y966" s="310" t="s">
        <v>56</v>
      </c>
      <c r="Z966" s="316"/>
      <c r="AA966" s="316"/>
      <c r="AB966" s="316"/>
    </row>
    <row r="967" spans="1:28" x14ac:dyDescent="0.25">
      <c r="A967" s="307">
        <f t="shared" si="85"/>
        <v>961</v>
      </c>
      <c r="B967" s="308">
        <v>46161</v>
      </c>
      <c r="C967" s="309">
        <f t="shared" si="86"/>
        <v>46143</v>
      </c>
      <c r="D967" s="310" t="s">
        <v>56</v>
      </c>
      <c r="E967" s="310" t="s">
        <v>3122</v>
      </c>
      <c r="F967" s="311">
        <v>9281983602</v>
      </c>
      <c r="G967" s="316" t="s">
        <v>6</v>
      </c>
      <c r="H967" s="316" t="s">
        <v>3257</v>
      </c>
      <c r="I967" s="316" t="s">
        <v>3258</v>
      </c>
      <c r="J967" s="310" t="s">
        <v>172</v>
      </c>
      <c r="K967" s="312">
        <v>45630</v>
      </c>
      <c r="L967" s="312">
        <v>66780</v>
      </c>
      <c r="M967" s="313">
        <f t="shared" si="87"/>
        <v>21150</v>
      </c>
      <c r="N967" s="314">
        <f t="shared" si="88"/>
        <v>0.316711590296496</v>
      </c>
      <c r="O967" s="312">
        <v>45630</v>
      </c>
      <c r="P967" s="313">
        <f t="shared" ref="P967:P1030" si="90">IF(OR($K967="",$O967=""),"",$K967-$O967)</f>
        <v>0</v>
      </c>
      <c r="Q967" s="310" t="s">
        <v>147</v>
      </c>
      <c r="R967" s="310">
        <v>51</v>
      </c>
      <c r="S967" s="310"/>
      <c r="T967" s="308"/>
      <c r="U967" s="308"/>
      <c r="V967" s="308"/>
      <c r="W967" s="315" t="str">
        <f t="shared" si="89"/>
        <v/>
      </c>
      <c r="X967" s="310" t="s">
        <v>54</v>
      </c>
      <c r="Y967" s="310" t="s">
        <v>56</v>
      </c>
      <c r="Z967" s="316"/>
      <c r="AA967" s="316"/>
      <c r="AB967" s="316"/>
    </row>
    <row r="968" spans="1:28" x14ac:dyDescent="0.25">
      <c r="A968" s="307">
        <f t="shared" ref="A968:A1031" si="91">IF($B968="","",ROW()-6)</f>
        <v>962</v>
      </c>
      <c r="B968" s="308">
        <v>46161</v>
      </c>
      <c r="C968" s="309">
        <f t="shared" ref="C968:C1031" si="92">IF($B968="","",EOMONTH($B968,-1)+1)</f>
        <v>46143</v>
      </c>
      <c r="D968" s="310" t="s">
        <v>56</v>
      </c>
      <c r="E968" s="310" t="s">
        <v>1635</v>
      </c>
      <c r="F968" s="311">
        <v>9793531306</v>
      </c>
      <c r="G968" s="316" t="s">
        <v>6</v>
      </c>
      <c r="H968" s="316" t="s">
        <v>1874</v>
      </c>
      <c r="I968" s="316" t="s">
        <v>3259</v>
      </c>
      <c r="J968" s="310" t="s">
        <v>172</v>
      </c>
      <c r="K968" s="312">
        <v>44680</v>
      </c>
      <c r="L968" s="312">
        <v>60480</v>
      </c>
      <c r="M968" s="313">
        <f t="shared" ref="M968:M1031" si="93">IF(OR($K968="",$L968=""),"",$L968-$K968)</f>
        <v>15800</v>
      </c>
      <c r="N968" s="314">
        <f t="shared" ref="N968:N1031" si="94">IF(OR($L968="",$L968=0,$M968=""),"",$M968/$L968)</f>
        <v>0.261243386243386</v>
      </c>
      <c r="O968" s="312">
        <v>44680</v>
      </c>
      <c r="P968" s="313">
        <f t="shared" si="90"/>
        <v>0</v>
      </c>
      <c r="Q968" s="310" t="s">
        <v>147</v>
      </c>
      <c r="R968" s="310">
        <v>52</v>
      </c>
      <c r="S968" s="310"/>
      <c r="T968" s="308"/>
      <c r="U968" s="308"/>
      <c r="V968" s="308"/>
      <c r="W968" s="315" t="str">
        <f t="shared" ref="W968:W1031" si="95">IF(OR($B968="",$U968=""),"",$U968-$B968)</f>
        <v/>
      </c>
      <c r="X968" s="310" t="s">
        <v>54</v>
      </c>
      <c r="Y968" s="310" t="s">
        <v>56</v>
      </c>
      <c r="Z968" s="316"/>
      <c r="AA968" s="316"/>
      <c r="AB968" s="316"/>
    </row>
    <row r="969" spans="1:28" x14ac:dyDescent="0.25">
      <c r="A969" s="307">
        <f t="shared" si="91"/>
        <v>963</v>
      </c>
      <c r="B969" s="308">
        <v>46162</v>
      </c>
      <c r="C969" s="309">
        <f t="shared" si="92"/>
        <v>46143</v>
      </c>
      <c r="D969" s="310" t="s">
        <v>56</v>
      </c>
      <c r="E969" s="310" t="s">
        <v>2859</v>
      </c>
      <c r="F969" s="311">
        <v>9472230553</v>
      </c>
      <c r="G969" s="316" t="s">
        <v>6</v>
      </c>
      <c r="H969" s="316" t="s">
        <v>3260</v>
      </c>
      <c r="I969" s="316" t="s">
        <v>3261</v>
      </c>
      <c r="J969" s="310" t="s">
        <v>172</v>
      </c>
      <c r="K969" s="312">
        <v>45630</v>
      </c>
      <c r="L969" s="312">
        <v>66780</v>
      </c>
      <c r="M969" s="313">
        <f t="shared" si="93"/>
        <v>21150</v>
      </c>
      <c r="N969" s="314">
        <f t="shared" si="94"/>
        <v>0.316711590296496</v>
      </c>
      <c r="O969" s="312">
        <v>45630</v>
      </c>
      <c r="P969" s="313">
        <f t="shared" si="90"/>
        <v>0</v>
      </c>
      <c r="Q969" s="310" t="s">
        <v>147</v>
      </c>
      <c r="R969" s="310">
        <v>53</v>
      </c>
      <c r="S969" s="310"/>
      <c r="T969" s="308"/>
      <c r="U969" s="308"/>
      <c r="V969" s="308"/>
      <c r="W969" s="315" t="str">
        <f t="shared" si="95"/>
        <v/>
      </c>
      <c r="X969" s="310" t="s">
        <v>54</v>
      </c>
      <c r="Y969" s="310" t="s">
        <v>56</v>
      </c>
      <c r="Z969" s="316"/>
      <c r="AA969" s="316"/>
      <c r="AB969" s="316"/>
    </row>
    <row r="970" spans="1:28" x14ac:dyDescent="0.25">
      <c r="A970" s="307">
        <f t="shared" si="91"/>
        <v>964</v>
      </c>
      <c r="B970" s="308">
        <v>46163</v>
      </c>
      <c r="C970" s="309">
        <f t="shared" si="92"/>
        <v>46143</v>
      </c>
      <c r="D970" s="310" t="s">
        <v>56</v>
      </c>
      <c r="E970" s="310" t="s">
        <v>3114</v>
      </c>
      <c r="F970" s="311">
        <v>9902798068</v>
      </c>
      <c r="G970" s="316" t="s">
        <v>6</v>
      </c>
      <c r="H970" s="316" t="s">
        <v>1874</v>
      </c>
      <c r="I970" s="316" t="s">
        <v>3262</v>
      </c>
      <c r="J970" s="310" t="s">
        <v>172</v>
      </c>
      <c r="K970" s="312">
        <v>44680</v>
      </c>
      <c r="L970" s="312">
        <v>60480</v>
      </c>
      <c r="M970" s="313">
        <f t="shared" si="93"/>
        <v>15800</v>
      </c>
      <c r="N970" s="314">
        <f t="shared" si="94"/>
        <v>0.261243386243386</v>
      </c>
      <c r="O970" s="312">
        <v>44680</v>
      </c>
      <c r="P970" s="313">
        <f t="shared" si="90"/>
        <v>0</v>
      </c>
      <c r="Q970" s="310" t="s">
        <v>147</v>
      </c>
      <c r="R970" s="310">
        <v>54</v>
      </c>
      <c r="S970" s="310"/>
      <c r="T970" s="308"/>
      <c r="U970" s="308"/>
      <c r="V970" s="308"/>
      <c r="W970" s="315" t="str">
        <f t="shared" si="95"/>
        <v/>
      </c>
      <c r="X970" s="310" t="s">
        <v>54</v>
      </c>
      <c r="Y970" s="310" t="s">
        <v>56</v>
      </c>
      <c r="Z970" s="316"/>
      <c r="AA970" s="316"/>
      <c r="AB970" s="316"/>
    </row>
    <row r="971" spans="1:28" x14ac:dyDescent="0.25">
      <c r="A971" s="307">
        <f t="shared" si="91"/>
        <v>965</v>
      </c>
      <c r="B971" s="308">
        <v>46163</v>
      </c>
      <c r="C971" s="309">
        <f t="shared" si="92"/>
        <v>46143</v>
      </c>
      <c r="D971" s="310" t="s">
        <v>56</v>
      </c>
      <c r="E971" s="310" t="s">
        <v>38</v>
      </c>
      <c r="F971" s="311">
        <v>9995059254</v>
      </c>
      <c r="G971" s="316" t="s">
        <v>1093</v>
      </c>
      <c r="H971" s="316" t="s">
        <v>3270</v>
      </c>
      <c r="I971" s="316" t="s">
        <v>6</v>
      </c>
      <c r="J971" s="310" t="s">
        <v>172</v>
      </c>
      <c r="K971" s="312">
        <v>57110</v>
      </c>
      <c r="L971" s="312">
        <v>143320</v>
      </c>
      <c r="M971" s="313">
        <f t="shared" si="93"/>
        <v>86210</v>
      </c>
      <c r="N971" s="314">
        <f t="shared" si="94"/>
        <v>0.601521071727603</v>
      </c>
      <c r="O971" s="312">
        <v>57110</v>
      </c>
      <c r="P971" s="313">
        <f t="shared" si="90"/>
        <v>0</v>
      </c>
      <c r="Q971" s="310" t="s">
        <v>147</v>
      </c>
      <c r="R971" s="310">
        <v>55</v>
      </c>
      <c r="S971" s="310"/>
      <c r="T971" s="308"/>
      <c r="U971" s="308"/>
      <c r="V971" s="308"/>
      <c r="W971" s="315" t="str">
        <f t="shared" si="95"/>
        <v/>
      </c>
      <c r="X971" s="310" t="s">
        <v>54</v>
      </c>
      <c r="Y971" s="310" t="s">
        <v>56</v>
      </c>
      <c r="Z971" s="316"/>
      <c r="AA971" s="316"/>
      <c r="AB971" s="316"/>
    </row>
    <row r="972" spans="1:28" x14ac:dyDescent="0.25">
      <c r="A972" s="307">
        <f t="shared" si="91"/>
        <v>966</v>
      </c>
      <c r="B972" s="308">
        <v>46164</v>
      </c>
      <c r="C972" s="309">
        <f t="shared" si="92"/>
        <v>46143</v>
      </c>
      <c r="D972" s="310" t="s">
        <v>56</v>
      </c>
      <c r="E972" s="310" t="s">
        <v>1635</v>
      </c>
      <c r="F972" s="311">
        <v>9793531306</v>
      </c>
      <c r="G972" s="316" t="s">
        <v>105</v>
      </c>
      <c r="H972" s="316" t="s">
        <v>3273</v>
      </c>
      <c r="I972" s="316" t="s">
        <v>6</v>
      </c>
      <c r="J972" s="310" t="s">
        <v>172</v>
      </c>
      <c r="K972" s="312">
        <v>59190</v>
      </c>
      <c r="L972" s="312">
        <v>157180</v>
      </c>
      <c r="M972" s="313">
        <f t="shared" si="93"/>
        <v>97990</v>
      </c>
      <c r="N972" s="314">
        <f t="shared" si="94"/>
        <v>0.623425372184756</v>
      </c>
      <c r="O972" s="312">
        <v>59190</v>
      </c>
      <c r="P972" s="313">
        <f t="shared" si="90"/>
        <v>0</v>
      </c>
      <c r="Q972" s="310" t="s">
        <v>147</v>
      </c>
      <c r="R972" s="310">
        <v>56</v>
      </c>
      <c r="S972" s="310"/>
      <c r="T972" s="308"/>
      <c r="U972" s="308"/>
      <c r="V972" s="308"/>
      <c r="W972" s="315" t="str">
        <f t="shared" si="95"/>
        <v/>
      </c>
      <c r="X972" s="310" t="s">
        <v>54</v>
      </c>
      <c r="Y972" s="310" t="s">
        <v>56</v>
      </c>
      <c r="Z972" s="316"/>
      <c r="AA972" s="316"/>
      <c r="AB972" s="316"/>
    </row>
    <row r="973" spans="1:28" x14ac:dyDescent="0.25">
      <c r="A973" s="307">
        <f t="shared" si="91"/>
        <v>967</v>
      </c>
      <c r="B973" s="308">
        <v>46164</v>
      </c>
      <c r="C973" s="309">
        <f t="shared" si="92"/>
        <v>46143</v>
      </c>
      <c r="D973" s="310" t="s">
        <v>56</v>
      </c>
      <c r="E973" s="310" t="s">
        <v>1637</v>
      </c>
      <c r="F973" s="311">
        <v>9220186371</v>
      </c>
      <c r="G973" s="316" t="s">
        <v>6</v>
      </c>
      <c r="H973" s="316" t="s">
        <v>1874</v>
      </c>
      <c r="I973" s="316" t="s">
        <v>3263</v>
      </c>
      <c r="J973" s="310" t="s">
        <v>172</v>
      </c>
      <c r="K973" s="312">
        <v>44680</v>
      </c>
      <c r="L973" s="312">
        <v>60480</v>
      </c>
      <c r="M973" s="313">
        <f t="shared" si="93"/>
        <v>15800</v>
      </c>
      <c r="N973" s="314">
        <f t="shared" si="94"/>
        <v>0.261243386243386</v>
      </c>
      <c r="O973" s="312">
        <v>44680</v>
      </c>
      <c r="P973" s="313">
        <f t="shared" si="90"/>
        <v>0</v>
      </c>
      <c r="Q973" s="310" t="s">
        <v>147</v>
      </c>
      <c r="R973" s="310">
        <v>57</v>
      </c>
      <c r="S973" s="310"/>
      <c r="T973" s="308"/>
      <c r="U973" s="308"/>
      <c r="V973" s="308"/>
      <c r="W973" s="315" t="str">
        <f t="shared" si="95"/>
        <v/>
      </c>
      <c r="X973" s="310" t="s">
        <v>54</v>
      </c>
      <c r="Y973" s="310" t="s">
        <v>56</v>
      </c>
      <c r="Z973" s="316"/>
      <c r="AA973" s="316"/>
      <c r="AB973" s="316"/>
    </row>
    <row r="974" spans="1:28" x14ac:dyDescent="0.25">
      <c r="A974" s="307">
        <f t="shared" si="91"/>
        <v>968</v>
      </c>
      <c r="B974" s="308">
        <v>46164</v>
      </c>
      <c r="C974" s="309">
        <f t="shared" si="92"/>
        <v>46143</v>
      </c>
      <c r="D974" s="310" t="s">
        <v>56</v>
      </c>
      <c r="E974" s="310" t="s">
        <v>60</v>
      </c>
      <c r="F974" s="311">
        <v>9040208667</v>
      </c>
      <c r="G974" s="316" t="s">
        <v>6</v>
      </c>
      <c r="H974" s="316" t="s">
        <v>1874</v>
      </c>
      <c r="I974" s="316" t="s">
        <v>3264</v>
      </c>
      <c r="J974" s="310" t="s">
        <v>172</v>
      </c>
      <c r="K974" s="312">
        <v>44680</v>
      </c>
      <c r="L974" s="312">
        <v>60480</v>
      </c>
      <c r="M974" s="313">
        <f t="shared" si="93"/>
        <v>15800</v>
      </c>
      <c r="N974" s="314">
        <f t="shared" si="94"/>
        <v>0.261243386243386</v>
      </c>
      <c r="O974" s="312">
        <v>44680</v>
      </c>
      <c r="P974" s="313">
        <f t="shared" si="90"/>
        <v>0</v>
      </c>
      <c r="Q974" s="310" t="s">
        <v>147</v>
      </c>
      <c r="R974" s="310">
        <v>58</v>
      </c>
      <c r="S974" s="310"/>
      <c r="T974" s="308"/>
      <c r="U974" s="308"/>
      <c r="V974" s="308"/>
      <c r="W974" s="315" t="str">
        <f t="shared" si="95"/>
        <v/>
      </c>
      <c r="X974" s="310" t="s">
        <v>54</v>
      </c>
      <c r="Y974" s="310" t="s">
        <v>56</v>
      </c>
      <c r="Z974" s="316"/>
      <c r="AA974" s="316"/>
      <c r="AB974" s="316"/>
    </row>
    <row r="975" spans="1:28" x14ac:dyDescent="0.25">
      <c r="A975" s="307">
        <f t="shared" si="91"/>
        <v>969</v>
      </c>
      <c r="B975" s="308">
        <v>46165</v>
      </c>
      <c r="C975" s="309">
        <f t="shared" si="92"/>
        <v>46143</v>
      </c>
      <c r="D975" s="310" t="s">
        <v>56</v>
      </c>
      <c r="E975" s="310" t="s">
        <v>2859</v>
      </c>
      <c r="F975" s="311">
        <v>9472230553</v>
      </c>
      <c r="G975" s="316" t="s">
        <v>1093</v>
      </c>
      <c r="H975" s="316" t="s">
        <v>3275</v>
      </c>
      <c r="I975" s="316" t="s">
        <v>6</v>
      </c>
      <c r="J975" s="310" t="s">
        <v>172</v>
      </c>
      <c r="K975" s="312">
        <v>57300</v>
      </c>
      <c r="L975" s="312">
        <v>144580</v>
      </c>
      <c r="M975" s="313">
        <f t="shared" si="93"/>
        <v>87280</v>
      </c>
      <c r="N975" s="314">
        <f t="shared" si="94"/>
        <v>0.603679623737723</v>
      </c>
      <c r="O975" s="312">
        <v>57300</v>
      </c>
      <c r="P975" s="313">
        <f t="shared" si="90"/>
        <v>0</v>
      </c>
      <c r="Q975" s="310" t="s">
        <v>147</v>
      </c>
      <c r="R975" s="310">
        <v>59</v>
      </c>
      <c r="S975" s="310"/>
      <c r="T975" s="308"/>
      <c r="U975" s="308"/>
      <c r="V975" s="308"/>
      <c r="W975" s="315" t="str">
        <f t="shared" si="95"/>
        <v/>
      </c>
      <c r="X975" s="310" t="s">
        <v>54</v>
      </c>
      <c r="Y975" s="310" t="s">
        <v>56</v>
      </c>
      <c r="Z975" s="316"/>
      <c r="AA975" s="316"/>
      <c r="AB975" s="316"/>
    </row>
    <row r="976" spans="1:28" x14ac:dyDescent="0.25">
      <c r="A976" s="307">
        <f t="shared" si="91"/>
        <v>970</v>
      </c>
      <c r="B976" s="308">
        <v>46165</v>
      </c>
      <c r="C976" s="309">
        <f t="shared" si="92"/>
        <v>46143</v>
      </c>
      <c r="D976" s="310" t="s">
        <v>56</v>
      </c>
      <c r="E976" s="310" t="s">
        <v>3122</v>
      </c>
      <c r="F976" s="311">
        <v>9281983602</v>
      </c>
      <c r="G976" s="316" t="s">
        <v>1093</v>
      </c>
      <c r="H976" s="316" t="s">
        <v>3299</v>
      </c>
      <c r="I976" s="316" t="s">
        <v>6</v>
      </c>
      <c r="J976" s="310" t="s">
        <v>172</v>
      </c>
      <c r="K976" s="312">
        <v>57300</v>
      </c>
      <c r="L976" s="312">
        <v>144580</v>
      </c>
      <c r="M976" s="313">
        <f t="shared" si="93"/>
        <v>87280</v>
      </c>
      <c r="N976" s="314">
        <f t="shared" si="94"/>
        <v>0.603679623737723</v>
      </c>
      <c r="O976" s="312">
        <v>57300</v>
      </c>
      <c r="P976" s="313">
        <f t="shared" si="90"/>
        <v>0</v>
      </c>
      <c r="Q976" s="310" t="s">
        <v>147</v>
      </c>
      <c r="R976" s="310">
        <v>60</v>
      </c>
      <c r="S976" s="310"/>
      <c r="T976" s="308"/>
      <c r="U976" s="308"/>
      <c r="V976" s="308"/>
      <c r="W976" s="315" t="str">
        <f t="shared" si="95"/>
        <v/>
      </c>
      <c r="X976" s="310" t="s">
        <v>54</v>
      </c>
      <c r="Y976" s="310" t="s">
        <v>56</v>
      </c>
      <c r="Z976" s="316"/>
      <c r="AA976" s="316"/>
      <c r="AB976" s="316"/>
    </row>
    <row r="977" spans="1:28" x14ac:dyDescent="0.25">
      <c r="A977" s="307">
        <f t="shared" si="91"/>
        <v>971</v>
      </c>
      <c r="B977" s="308">
        <v>46165</v>
      </c>
      <c r="C977" s="309">
        <f t="shared" si="92"/>
        <v>46143</v>
      </c>
      <c r="D977" s="310" t="s">
        <v>56</v>
      </c>
      <c r="E977" s="310" t="s">
        <v>3065</v>
      </c>
      <c r="F977" s="311">
        <v>9589264337</v>
      </c>
      <c r="G977" s="316" t="s">
        <v>6</v>
      </c>
      <c r="H977" s="316" t="s">
        <v>1874</v>
      </c>
      <c r="I977" s="316" t="s">
        <v>3288</v>
      </c>
      <c r="J977" s="310" t="s">
        <v>172</v>
      </c>
      <c r="K977" s="312">
        <v>44680</v>
      </c>
      <c r="L977" s="312">
        <v>60480</v>
      </c>
      <c r="M977" s="313">
        <f t="shared" si="93"/>
        <v>15800</v>
      </c>
      <c r="N977" s="314">
        <f t="shared" si="94"/>
        <v>0.261243386243386</v>
      </c>
      <c r="O977" s="312">
        <v>44680</v>
      </c>
      <c r="P977" s="313">
        <f t="shared" si="90"/>
        <v>0</v>
      </c>
      <c r="Q977" s="310" t="s">
        <v>147</v>
      </c>
      <c r="R977" s="310">
        <v>61</v>
      </c>
      <c r="S977" s="310"/>
      <c r="T977" s="308"/>
      <c r="U977" s="308"/>
      <c r="V977" s="308"/>
      <c r="W977" s="315" t="str">
        <f t="shared" si="95"/>
        <v/>
      </c>
      <c r="X977" s="310" t="s">
        <v>54</v>
      </c>
      <c r="Y977" s="310" t="s">
        <v>56</v>
      </c>
      <c r="Z977" s="316"/>
      <c r="AA977" s="316"/>
      <c r="AB977" s="316"/>
    </row>
    <row r="978" spans="1:28" x14ac:dyDescent="0.25">
      <c r="A978" s="307">
        <f t="shared" si="91"/>
        <v>972</v>
      </c>
      <c r="B978" s="308">
        <v>46165</v>
      </c>
      <c r="C978" s="309">
        <f t="shared" si="92"/>
        <v>46143</v>
      </c>
      <c r="D978" s="310" t="s">
        <v>56</v>
      </c>
      <c r="E978" s="310" t="s">
        <v>38</v>
      </c>
      <c r="F978" s="311">
        <v>9995059254</v>
      </c>
      <c r="G978" s="316" t="s">
        <v>6</v>
      </c>
      <c r="H978" s="316" t="s">
        <v>1874</v>
      </c>
      <c r="I978" s="316" t="s">
        <v>3287</v>
      </c>
      <c r="J978" s="310" t="s">
        <v>59</v>
      </c>
      <c r="K978" s="312">
        <v>44330</v>
      </c>
      <c r="L978" s="312">
        <v>58120</v>
      </c>
      <c r="M978" s="313">
        <f t="shared" si="93"/>
        <v>13790</v>
      </c>
      <c r="N978" s="314">
        <f t="shared" si="94"/>
        <v>0.237267721954577</v>
      </c>
      <c r="O978" s="312">
        <v>44330</v>
      </c>
      <c r="P978" s="313">
        <f t="shared" si="90"/>
        <v>0</v>
      </c>
      <c r="Q978" s="310" t="s">
        <v>147</v>
      </c>
      <c r="R978" s="310">
        <v>62</v>
      </c>
      <c r="S978" s="310"/>
      <c r="T978" s="308"/>
      <c r="U978" s="308"/>
      <c r="V978" s="308"/>
      <c r="W978" s="315" t="str">
        <f t="shared" si="95"/>
        <v/>
      </c>
      <c r="X978" s="310" t="s">
        <v>54</v>
      </c>
      <c r="Y978" s="310" t="s">
        <v>56</v>
      </c>
      <c r="Z978" s="316"/>
      <c r="AA978" s="316"/>
      <c r="AB978" s="316"/>
    </row>
    <row r="979" spans="1:28" x14ac:dyDescent="0.25">
      <c r="A979" s="307">
        <f t="shared" si="91"/>
        <v>973</v>
      </c>
      <c r="B979" s="308">
        <v>46168</v>
      </c>
      <c r="C979" s="309">
        <f t="shared" si="92"/>
        <v>46143</v>
      </c>
      <c r="D979" s="310" t="s">
        <v>56</v>
      </c>
      <c r="E979" s="310" t="s">
        <v>3122</v>
      </c>
      <c r="F979" s="311">
        <v>9281983602</v>
      </c>
      <c r="G979" s="316" t="s">
        <v>6</v>
      </c>
      <c r="H979" s="316" t="s">
        <v>1874</v>
      </c>
      <c r="I979" s="316" t="s">
        <v>3289</v>
      </c>
      <c r="J979" s="310" t="s">
        <v>172</v>
      </c>
      <c r="K979" s="312">
        <v>44680</v>
      </c>
      <c r="L979" s="312">
        <v>60480</v>
      </c>
      <c r="M979" s="313">
        <f t="shared" si="93"/>
        <v>15800</v>
      </c>
      <c r="N979" s="314">
        <f t="shared" si="94"/>
        <v>0.261243386243386</v>
      </c>
      <c r="O979" s="312">
        <v>44680</v>
      </c>
      <c r="P979" s="313">
        <f t="shared" si="90"/>
        <v>0</v>
      </c>
      <c r="Q979" s="310" t="s">
        <v>147</v>
      </c>
      <c r="R979" s="310">
        <v>63</v>
      </c>
      <c r="S979" s="310"/>
      <c r="T979" s="308"/>
      <c r="U979" s="308"/>
      <c r="V979" s="308"/>
      <c r="W979" s="315" t="str">
        <f t="shared" si="95"/>
        <v/>
      </c>
      <c r="X979" s="310" t="s">
        <v>54</v>
      </c>
      <c r="Y979" s="310" t="s">
        <v>56</v>
      </c>
      <c r="Z979" s="316"/>
      <c r="AA979" s="316"/>
      <c r="AB979" s="316"/>
    </row>
    <row r="980" spans="1:28" x14ac:dyDescent="0.25">
      <c r="A980" s="307">
        <f t="shared" si="91"/>
        <v>974</v>
      </c>
      <c r="B980" s="308">
        <v>46168</v>
      </c>
      <c r="C980" s="309">
        <f t="shared" si="92"/>
        <v>46143</v>
      </c>
      <c r="D980" s="310" t="s">
        <v>56</v>
      </c>
      <c r="E980" s="310" t="s">
        <v>1635</v>
      </c>
      <c r="F980" s="311">
        <v>9793531306</v>
      </c>
      <c r="G980" s="316" t="s">
        <v>6</v>
      </c>
      <c r="H980" s="316" t="s">
        <v>1874</v>
      </c>
      <c r="I980" s="316" t="s">
        <v>3290</v>
      </c>
      <c r="J980" s="310" t="s">
        <v>172</v>
      </c>
      <c r="K980" s="312">
        <v>44680</v>
      </c>
      <c r="L980" s="312">
        <v>60480</v>
      </c>
      <c r="M980" s="313">
        <f t="shared" si="93"/>
        <v>15800</v>
      </c>
      <c r="N980" s="314">
        <f t="shared" si="94"/>
        <v>0.261243386243386</v>
      </c>
      <c r="O980" s="312">
        <v>44680</v>
      </c>
      <c r="P980" s="313">
        <f t="shared" si="90"/>
        <v>0</v>
      </c>
      <c r="Q980" s="310" t="s">
        <v>147</v>
      </c>
      <c r="R980" s="310">
        <v>64</v>
      </c>
      <c r="S980" s="310"/>
      <c r="T980" s="308"/>
      <c r="U980" s="308"/>
      <c r="V980" s="308"/>
      <c r="W980" s="315" t="str">
        <f t="shared" si="95"/>
        <v/>
      </c>
      <c r="X980" s="310" t="s">
        <v>54</v>
      </c>
      <c r="Y980" s="310" t="s">
        <v>56</v>
      </c>
      <c r="Z980" s="316"/>
      <c r="AA980" s="316"/>
      <c r="AB980" s="316"/>
    </row>
    <row r="981" spans="1:28" x14ac:dyDescent="0.25">
      <c r="A981" s="307">
        <f t="shared" si="91"/>
        <v>975</v>
      </c>
      <c r="B981" s="308">
        <v>46169</v>
      </c>
      <c r="C981" s="309">
        <f t="shared" si="92"/>
        <v>46143</v>
      </c>
      <c r="D981" s="310" t="s">
        <v>56</v>
      </c>
      <c r="E981" s="310" t="s">
        <v>1637</v>
      </c>
      <c r="F981" s="311">
        <v>9220186371</v>
      </c>
      <c r="G981" s="316" t="s">
        <v>1093</v>
      </c>
      <c r="H981" s="316" t="s">
        <v>3298</v>
      </c>
      <c r="I981" s="316" t="s">
        <v>6</v>
      </c>
      <c r="J981" s="310" t="s">
        <v>172</v>
      </c>
      <c r="K981" s="312">
        <v>57300</v>
      </c>
      <c r="L981" s="312">
        <v>144580</v>
      </c>
      <c r="M981" s="313">
        <f t="shared" si="93"/>
        <v>87280</v>
      </c>
      <c r="N981" s="314">
        <f t="shared" si="94"/>
        <v>0.603679623737723</v>
      </c>
      <c r="O981" s="312">
        <v>57300</v>
      </c>
      <c r="P981" s="313">
        <f t="shared" si="90"/>
        <v>0</v>
      </c>
      <c r="Q981" s="310" t="s">
        <v>147</v>
      </c>
      <c r="R981" s="310">
        <v>65</v>
      </c>
      <c r="S981" s="310"/>
      <c r="T981" s="308"/>
      <c r="U981" s="308"/>
      <c r="V981" s="308"/>
      <c r="W981" s="315" t="str">
        <f t="shared" si="95"/>
        <v/>
      </c>
      <c r="X981" s="310" t="s">
        <v>54</v>
      </c>
      <c r="Y981" s="310" t="s">
        <v>56</v>
      </c>
      <c r="Z981" s="316"/>
      <c r="AA981" s="316"/>
      <c r="AB981" s="316"/>
    </row>
    <row r="982" spans="1:28" x14ac:dyDescent="0.25">
      <c r="A982" s="307">
        <f t="shared" si="91"/>
        <v>976</v>
      </c>
      <c r="B982" s="308">
        <v>46169</v>
      </c>
      <c r="C982" s="309">
        <f t="shared" si="92"/>
        <v>46143</v>
      </c>
      <c r="D982" s="310" t="s">
        <v>56</v>
      </c>
      <c r="E982" s="310" t="s">
        <v>2859</v>
      </c>
      <c r="F982" s="311">
        <v>9472230553</v>
      </c>
      <c r="G982" s="316" t="s">
        <v>6</v>
      </c>
      <c r="H982" s="316" t="s">
        <v>3291</v>
      </c>
      <c r="I982" s="316" t="s">
        <v>3292</v>
      </c>
      <c r="J982" s="310" t="s">
        <v>172</v>
      </c>
      <c r="K982" s="312">
        <v>45630</v>
      </c>
      <c r="L982" s="312">
        <v>66780</v>
      </c>
      <c r="M982" s="313">
        <f t="shared" si="93"/>
        <v>21150</v>
      </c>
      <c r="N982" s="314">
        <f t="shared" si="94"/>
        <v>0.316711590296496</v>
      </c>
      <c r="O982" s="312">
        <v>45630</v>
      </c>
      <c r="P982" s="313">
        <f t="shared" si="90"/>
        <v>0</v>
      </c>
      <c r="Q982" s="310" t="s">
        <v>147</v>
      </c>
      <c r="R982" s="310">
        <v>66</v>
      </c>
      <c r="S982" s="310"/>
      <c r="T982" s="308"/>
      <c r="U982" s="308"/>
      <c r="V982" s="308"/>
      <c r="W982" s="315" t="str">
        <f t="shared" si="95"/>
        <v/>
      </c>
      <c r="X982" s="310" t="s">
        <v>54</v>
      </c>
      <c r="Y982" s="310" t="s">
        <v>56</v>
      </c>
      <c r="Z982" s="316"/>
      <c r="AA982" s="316"/>
      <c r="AB982" s="316"/>
    </row>
    <row r="983" spans="1:28" x14ac:dyDescent="0.25">
      <c r="A983" s="307">
        <f t="shared" si="91"/>
        <v>977</v>
      </c>
      <c r="B983" s="308">
        <v>46170</v>
      </c>
      <c r="C983" s="309">
        <f t="shared" si="92"/>
        <v>46143</v>
      </c>
      <c r="D983" s="310" t="s">
        <v>56</v>
      </c>
      <c r="E983" s="310" t="s">
        <v>1644</v>
      </c>
      <c r="F983" s="311">
        <v>9220186371</v>
      </c>
      <c r="G983" s="316" t="s">
        <v>6</v>
      </c>
      <c r="H983" s="316" t="s">
        <v>1874</v>
      </c>
      <c r="I983" s="316" t="s">
        <v>3293</v>
      </c>
      <c r="J983" s="310" t="s">
        <v>172</v>
      </c>
      <c r="K983" s="312">
        <v>44680</v>
      </c>
      <c r="L983" s="312">
        <v>60480</v>
      </c>
      <c r="M983" s="313">
        <f t="shared" si="93"/>
        <v>15800</v>
      </c>
      <c r="N983" s="314">
        <f t="shared" si="94"/>
        <v>0.261243386243386</v>
      </c>
      <c r="O983" s="312">
        <v>44680</v>
      </c>
      <c r="P983" s="313">
        <f t="shared" si="90"/>
        <v>0</v>
      </c>
      <c r="Q983" s="310" t="s">
        <v>147</v>
      </c>
      <c r="R983" s="310">
        <v>67</v>
      </c>
      <c r="S983" s="310"/>
      <c r="T983" s="308"/>
      <c r="U983" s="308"/>
      <c r="V983" s="308"/>
      <c r="W983" s="315" t="str">
        <f t="shared" si="95"/>
        <v/>
      </c>
      <c r="X983" s="310" t="s">
        <v>54</v>
      </c>
      <c r="Y983" s="310" t="s">
        <v>56</v>
      </c>
      <c r="Z983" s="316"/>
      <c r="AA983" s="316"/>
      <c r="AB983" s="316"/>
    </row>
    <row r="984" spans="1:28" x14ac:dyDescent="0.25">
      <c r="A984" s="307">
        <f t="shared" si="91"/>
        <v>978</v>
      </c>
      <c r="B984" s="308">
        <v>46170</v>
      </c>
      <c r="C984" s="309">
        <f t="shared" si="92"/>
        <v>46143</v>
      </c>
      <c r="D984" s="310" t="s">
        <v>56</v>
      </c>
      <c r="E984" s="310" t="s">
        <v>1641</v>
      </c>
      <c r="F984" s="311">
        <v>9486716172</v>
      </c>
      <c r="G984" s="316" t="s">
        <v>1093</v>
      </c>
      <c r="H984" s="316" t="s">
        <v>3300</v>
      </c>
      <c r="I984" s="316" t="s">
        <v>6</v>
      </c>
      <c r="J984" s="310" t="s">
        <v>172</v>
      </c>
      <c r="K984" s="312">
        <v>58240</v>
      </c>
      <c r="L984" s="312">
        <v>150880</v>
      </c>
      <c r="M984" s="313">
        <f t="shared" si="93"/>
        <v>92640</v>
      </c>
      <c r="N984" s="314">
        <f t="shared" si="94"/>
        <v>0.613997879109226</v>
      </c>
      <c r="O984" s="312">
        <v>58240</v>
      </c>
      <c r="P984" s="313">
        <f t="shared" si="90"/>
        <v>0</v>
      </c>
      <c r="Q984" s="310" t="s">
        <v>147</v>
      </c>
      <c r="R984" s="310">
        <v>68</v>
      </c>
      <c r="S984" s="310"/>
      <c r="T984" s="308"/>
      <c r="U984" s="308"/>
      <c r="V984" s="308"/>
      <c r="W984" s="315" t="str">
        <f t="shared" si="95"/>
        <v/>
      </c>
      <c r="X984" s="310" t="s">
        <v>54</v>
      </c>
      <c r="Y984" s="310" t="s">
        <v>56</v>
      </c>
      <c r="Z984" s="316"/>
      <c r="AA984" s="316"/>
      <c r="AB984" s="316"/>
    </row>
    <row r="985" spans="1:28" x14ac:dyDescent="0.25">
      <c r="A985" s="307">
        <f t="shared" si="91"/>
        <v>979</v>
      </c>
      <c r="B985" s="308">
        <v>46171</v>
      </c>
      <c r="C985" s="309">
        <f t="shared" si="92"/>
        <v>46143</v>
      </c>
      <c r="D985" s="310" t="s">
        <v>56</v>
      </c>
      <c r="E985" s="310" t="s">
        <v>1637</v>
      </c>
      <c r="F985" s="311">
        <v>9025368773</v>
      </c>
      <c r="G985" s="316" t="s">
        <v>6</v>
      </c>
      <c r="H985" s="316" t="s">
        <v>3294</v>
      </c>
      <c r="I985" s="316" t="s">
        <v>3295</v>
      </c>
      <c r="J985" s="310" t="s">
        <v>172</v>
      </c>
      <c r="K985" s="312">
        <v>45630</v>
      </c>
      <c r="L985" s="312">
        <v>66780</v>
      </c>
      <c r="M985" s="313">
        <f t="shared" si="93"/>
        <v>21150</v>
      </c>
      <c r="N985" s="314">
        <f t="shared" si="94"/>
        <v>0.316711590296496</v>
      </c>
      <c r="O985" s="312">
        <v>45630</v>
      </c>
      <c r="P985" s="313">
        <f t="shared" si="90"/>
        <v>0</v>
      </c>
      <c r="Q985" s="310" t="s">
        <v>147</v>
      </c>
      <c r="R985" s="310">
        <v>69</v>
      </c>
      <c r="S985" s="310"/>
      <c r="T985" s="308"/>
      <c r="U985" s="308"/>
      <c r="V985" s="308"/>
      <c r="W985" s="315" t="str">
        <f t="shared" si="95"/>
        <v/>
      </c>
      <c r="X985" s="310" t="s">
        <v>54</v>
      </c>
      <c r="Y985" s="310" t="s">
        <v>56</v>
      </c>
      <c r="Z985" s="316"/>
      <c r="AA985" s="316"/>
      <c r="AB985" s="316"/>
    </row>
    <row r="986" spans="1:28" x14ac:dyDescent="0.25">
      <c r="A986" s="307">
        <f t="shared" si="91"/>
        <v>980</v>
      </c>
      <c r="B986" s="308">
        <v>46173</v>
      </c>
      <c r="C986" s="309">
        <f t="shared" si="92"/>
        <v>46143</v>
      </c>
      <c r="D986" s="310" t="s">
        <v>56</v>
      </c>
      <c r="E986" s="310" t="s">
        <v>60</v>
      </c>
      <c r="F986" s="311">
        <v>9040208667</v>
      </c>
      <c r="G986" s="316" t="s">
        <v>6</v>
      </c>
      <c r="H986" s="316" t="s">
        <v>3296</v>
      </c>
      <c r="I986" s="316" t="s">
        <v>3297</v>
      </c>
      <c r="J986" s="310" t="s">
        <v>172</v>
      </c>
      <c r="K986" s="312">
        <v>45630</v>
      </c>
      <c r="L986" s="312">
        <v>66780</v>
      </c>
      <c r="M986" s="313">
        <f t="shared" si="93"/>
        <v>21150</v>
      </c>
      <c r="N986" s="314">
        <f t="shared" si="94"/>
        <v>0.316711590296496</v>
      </c>
      <c r="O986" s="312">
        <v>45630</v>
      </c>
      <c r="P986" s="313">
        <f t="shared" si="90"/>
        <v>0</v>
      </c>
      <c r="Q986" s="310" t="s">
        <v>147</v>
      </c>
      <c r="R986" s="310">
        <v>70</v>
      </c>
      <c r="S986" s="310"/>
      <c r="T986" s="308"/>
      <c r="U986" s="308"/>
      <c r="V986" s="308"/>
      <c r="W986" s="315" t="str">
        <f t="shared" si="95"/>
        <v/>
      </c>
      <c r="X986" s="310" t="s">
        <v>54</v>
      </c>
      <c r="Y986" s="310" t="s">
        <v>56</v>
      </c>
      <c r="Z986" s="316"/>
      <c r="AA986" s="316"/>
      <c r="AB986" s="316"/>
    </row>
    <row r="987" spans="1:28" x14ac:dyDescent="0.25">
      <c r="A987" s="307">
        <f t="shared" si="91"/>
        <v>981</v>
      </c>
      <c r="B987" s="308">
        <v>46173</v>
      </c>
      <c r="C987" s="309">
        <f t="shared" si="92"/>
        <v>46143</v>
      </c>
      <c r="D987" s="310" t="s">
        <v>56</v>
      </c>
      <c r="E987" s="310" t="s">
        <v>38</v>
      </c>
      <c r="F987" s="311">
        <v>9995059254</v>
      </c>
      <c r="G987" s="316" t="s">
        <v>1093</v>
      </c>
      <c r="H987" s="316" t="s">
        <v>3301</v>
      </c>
      <c r="I987" s="316" t="s">
        <v>6</v>
      </c>
      <c r="J987" s="310" t="s">
        <v>59</v>
      </c>
      <c r="K987" s="312">
        <v>56160</v>
      </c>
      <c r="L987" s="312">
        <v>137020</v>
      </c>
      <c r="M987" s="313">
        <f t="shared" si="93"/>
        <v>80860</v>
      </c>
      <c r="N987" s="314">
        <f t="shared" si="94"/>
        <v>0.590132827324478</v>
      </c>
      <c r="O987" s="312">
        <v>56160</v>
      </c>
      <c r="P987" s="313">
        <f t="shared" si="90"/>
        <v>0</v>
      </c>
      <c r="Q987" s="310" t="s">
        <v>147</v>
      </c>
      <c r="R987" s="310">
        <v>71</v>
      </c>
      <c r="S987" s="310"/>
      <c r="T987" s="308"/>
      <c r="U987" s="308"/>
      <c r="V987" s="308"/>
      <c r="W987" s="315" t="str">
        <f t="shared" si="95"/>
        <v/>
      </c>
      <c r="X987" s="310" t="s">
        <v>54</v>
      </c>
      <c r="Y987" s="310" t="s">
        <v>56</v>
      </c>
      <c r="Z987" s="316"/>
      <c r="AA987" s="316"/>
      <c r="AB987" s="316"/>
    </row>
    <row r="988" spans="1:28" x14ac:dyDescent="0.25">
      <c r="A988" s="307">
        <f t="shared" si="91"/>
        <v>982</v>
      </c>
      <c r="B988" s="308">
        <v>46175</v>
      </c>
      <c r="C988" s="309">
        <f t="shared" si="92"/>
        <v>46174</v>
      </c>
      <c r="D988" s="310" t="s">
        <v>56</v>
      </c>
      <c r="E988" s="310" t="s">
        <v>1641</v>
      </c>
      <c r="F988" s="311">
        <v>9486716172</v>
      </c>
      <c r="G988" s="316" t="s">
        <v>6</v>
      </c>
      <c r="H988" s="316" t="s">
        <v>3348</v>
      </c>
      <c r="I988" s="316" t="s">
        <v>3349</v>
      </c>
      <c r="J988" s="310" t="s">
        <v>172</v>
      </c>
      <c r="K988" s="312">
        <v>45630</v>
      </c>
      <c r="L988" s="312">
        <v>66780</v>
      </c>
      <c r="M988" s="313">
        <f t="shared" si="93"/>
        <v>21150</v>
      </c>
      <c r="N988" s="314">
        <f t="shared" si="94"/>
        <v>0.316711590296496</v>
      </c>
      <c r="O988" s="312">
        <v>45630</v>
      </c>
      <c r="P988" s="313">
        <f t="shared" si="90"/>
        <v>0</v>
      </c>
      <c r="Q988" s="310" t="s">
        <v>147</v>
      </c>
      <c r="R988" s="310">
        <v>72</v>
      </c>
      <c r="S988" s="310"/>
      <c r="T988" s="308"/>
      <c r="U988" s="308"/>
      <c r="V988" s="308"/>
      <c r="W988" s="315" t="str">
        <f t="shared" si="95"/>
        <v/>
      </c>
      <c r="X988" s="310" t="s">
        <v>54</v>
      </c>
      <c r="Y988" s="310" t="s">
        <v>56</v>
      </c>
      <c r="Z988" s="316"/>
      <c r="AA988" s="316"/>
      <c r="AB988" s="316"/>
    </row>
    <row r="989" spans="1:28" x14ac:dyDescent="0.25">
      <c r="A989" s="307">
        <f t="shared" si="91"/>
        <v>983</v>
      </c>
      <c r="B989" s="308">
        <v>46176</v>
      </c>
      <c r="C989" s="309">
        <f t="shared" si="92"/>
        <v>46174</v>
      </c>
      <c r="D989" s="310" t="s">
        <v>56</v>
      </c>
      <c r="E989" s="310" t="s">
        <v>1644</v>
      </c>
      <c r="F989" s="311">
        <v>9220186371</v>
      </c>
      <c r="G989" s="316" t="s">
        <v>1093</v>
      </c>
      <c r="H989" s="316" t="s">
        <v>3350</v>
      </c>
      <c r="I989" s="316" t="s">
        <v>6</v>
      </c>
      <c r="J989" s="310" t="s">
        <v>172</v>
      </c>
      <c r="K989" s="312">
        <v>57300</v>
      </c>
      <c r="L989" s="312">
        <v>144580</v>
      </c>
      <c r="M989" s="313">
        <f t="shared" si="93"/>
        <v>87280</v>
      </c>
      <c r="N989" s="314">
        <f t="shared" si="94"/>
        <v>0.603679623737723</v>
      </c>
      <c r="O989" s="312">
        <v>57300</v>
      </c>
      <c r="P989" s="313">
        <f t="shared" si="90"/>
        <v>0</v>
      </c>
      <c r="Q989" s="310" t="s">
        <v>147</v>
      </c>
      <c r="R989" s="310">
        <v>73</v>
      </c>
      <c r="S989" s="310"/>
      <c r="T989" s="308"/>
      <c r="U989" s="308"/>
      <c r="V989" s="308"/>
      <c r="W989" s="315" t="str">
        <f t="shared" si="95"/>
        <v/>
      </c>
      <c r="X989" s="310" t="s">
        <v>54</v>
      </c>
      <c r="Y989" s="310" t="s">
        <v>56</v>
      </c>
      <c r="Z989" s="316"/>
      <c r="AA989" s="316"/>
      <c r="AB989" s="316"/>
    </row>
    <row r="990" spans="1:28" x14ac:dyDescent="0.25">
      <c r="A990" s="307">
        <f t="shared" si="91"/>
        <v>984</v>
      </c>
      <c r="B990" s="308">
        <v>46176</v>
      </c>
      <c r="C990" s="309">
        <f t="shared" si="92"/>
        <v>46174</v>
      </c>
      <c r="D990" s="310" t="s">
        <v>56</v>
      </c>
      <c r="E990" s="310" t="s">
        <v>3065</v>
      </c>
      <c r="F990" s="311">
        <v>9589264337</v>
      </c>
      <c r="G990" s="316" t="s">
        <v>6</v>
      </c>
      <c r="H990" s="316" t="s">
        <v>3346</v>
      </c>
      <c r="I990" s="316" t="s">
        <v>3347</v>
      </c>
      <c r="J990" s="310" t="s">
        <v>172</v>
      </c>
      <c r="K990" s="312">
        <v>45630</v>
      </c>
      <c r="L990" s="312">
        <v>66780</v>
      </c>
      <c r="M990" s="313">
        <f t="shared" si="93"/>
        <v>21150</v>
      </c>
      <c r="N990" s="314">
        <f t="shared" si="94"/>
        <v>0.316711590296496</v>
      </c>
      <c r="O990" s="312">
        <v>45630</v>
      </c>
      <c r="P990" s="313">
        <f t="shared" si="90"/>
        <v>0</v>
      </c>
      <c r="Q990" s="310" t="s">
        <v>147</v>
      </c>
      <c r="R990" s="310">
        <v>74</v>
      </c>
      <c r="S990" s="310"/>
      <c r="T990" s="308"/>
      <c r="U990" s="308"/>
      <c r="V990" s="308"/>
      <c r="W990" s="315" t="str">
        <f t="shared" si="95"/>
        <v/>
      </c>
      <c r="X990" s="310" t="s">
        <v>54</v>
      </c>
      <c r="Y990" s="310" t="s">
        <v>56</v>
      </c>
      <c r="Z990" s="316"/>
      <c r="AA990" s="316"/>
      <c r="AB990" s="316"/>
    </row>
    <row r="991" spans="1:28" x14ac:dyDescent="0.25">
      <c r="A991" s="307">
        <f t="shared" si="91"/>
        <v>985</v>
      </c>
      <c r="B991" s="308">
        <v>46177</v>
      </c>
      <c r="C991" s="309">
        <f t="shared" si="92"/>
        <v>46174</v>
      </c>
      <c r="D991" s="310" t="s">
        <v>56</v>
      </c>
      <c r="E991" s="310" t="s">
        <v>1637</v>
      </c>
      <c r="F991" s="311">
        <v>9025368773</v>
      </c>
      <c r="G991" s="316" t="s">
        <v>1093</v>
      </c>
      <c r="H991" s="316" t="s">
        <v>3354</v>
      </c>
      <c r="I991" s="316" t="s">
        <v>6</v>
      </c>
      <c r="J991" s="310" t="s">
        <v>172</v>
      </c>
      <c r="K991" s="312">
        <v>58240</v>
      </c>
      <c r="L991" s="312">
        <v>150880</v>
      </c>
      <c r="M991" s="313">
        <f t="shared" si="93"/>
        <v>92640</v>
      </c>
      <c r="N991" s="314">
        <f t="shared" si="94"/>
        <v>0.613997879109226</v>
      </c>
      <c r="O991" s="312">
        <v>58240</v>
      </c>
      <c r="P991" s="313">
        <f t="shared" si="90"/>
        <v>0</v>
      </c>
      <c r="Q991" s="310" t="s">
        <v>147</v>
      </c>
      <c r="R991" s="310">
        <v>75</v>
      </c>
      <c r="S991" s="310"/>
      <c r="T991" s="308"/>
      <c r="U991" s="308"/>
      <c r="V991" s="308"/>
      <c r="W991" s="315" t="str">
        <f t="shared" si="95"/>
        <v/>
      </c>
      <c r="X991" s="310" t="s">
        <v>54</v>
      </c>
      <c r="Y991" s="310" t="s">
        <v>56</v>
      </c>
      <c r="Z991" s="316"/>
      <c r="AA991" s="316"/>
      <c r="AB991" s="316"/>
    </row>
    <row r="992" spans="1:28" x14ac:dyDescent="0.25">
      <c r="A992" s="307">
        <f t="shared" si="91"/>
        <v>986</v>
      </c>
      <c r="B992" s="308">
        <v>46177</v>
      </c>
      <c r="C992" s="309">
        <f t="shared" si="92"/>
        <v>46174</v>
      </c>
      <c r="D992" s="310" t="s">
        <v>56</v>
      </c>
      <c r="E992" s="310" t="s">
        <v>38</v>
      </c>
      <c r="F992" s="311">
        <v>9995059254</v>
      </c>
      <c r="G992" s="316" t="s">
        <v>6</v>
      </c>
      <c r="H992" s="316" t="s">
        <v>3356</v>
      </c>
      <c r="I992" s="316" t="s">
        <v>3357</v>
      </c>
      <c r="J992" s="310" t="s">
        <v>59</v>
      </c>
      <c r="K992" s="312">
        <v>45270</v>
      </c>
      <c r="L992" s="312">
        <v>64420</v>
      </c>
      <c r="M992" s="313">
        <f t="shared" si="93"/>
        <v>19150</v>
      </c>
      <c r="N992" s="314">
        <f t="shared" si="94"/>
        <v>0.29726792921453</v>
      </c>
      <c r="O992" s="312">
        <v>45270</v>
      </c>
      <c r="P992" s="313">
        <f t="shared" si="90"/>
        <v>0</v>
      </c>
      <c r="Q992" s="310" t="s">
        <v>147</v>
      </c>
      <c r="R992" s="310">
        <v>76</v>
      </c>
      <c r="S992" s="310"/>
      <c r="T992" s="308"/>
      <c r="U992" s="308"/>
      <c r="V992" s="308"/>
      <c r="W992" s="315" t="str">
        <f t="shared" si="95"/>
        <v/>
      </c>
      <c r="X992" s="310" t="s">
        <v>54</v>
      </c>
      <c r="Y992" s="310" t="s">
        <v>56</v>
      </c>
      <c r="Z992" s="316"/>
      <c r="AA992" s="316"/>
      <c r="AB992" s="316"/>
    </row>
    <row r="993" spans="1:28" x14ac:dyDescent="0.25">
      <c r="A993" s="307">
        <f t="shared" si="91"/>
        <v>987</v>
      </c>
      <c r="B993" s="308">
        <v>46178</v>
      </c>
      <c r="C993" s="309">
        <f t="shared" si="92"/>
        <v>46174</v>
      </c>
      <c r="D993" s="310" t="s">
        <v>56</v>
      </c>
      <c r="E993" s="310" t="s">
        <v>60</v>
      </c>
      <c r="F993" s="311">
        <v>9040208667</v>
      </c>
      <c r="G993" s="316" t="s">
        <v>1093</v>
      </c>
      <c r="H993" s="316" t="s">
        <v>3355</v>
      </c>
      <c r="I993" s="316" t="s">
        <v>6</v>
      </c>
      <c r="J993" s="310" t="s">
        <v>172</v>
      </c>
      <c r="K993" s="312">
        <v>57300</v>
      </c>
      <c r="L993" s="312">
        <v>144580</v>
      </c>
      <c r="M993" s="313">
        <f t="shared" si="93"/>
        <v>87280</v>
      </c>
      <c r="N993" s="314">
        <f t="shared" si="94"/>
        <v>0.603679623737723</v>
      </c>
      <c r="O993" s="312">
        <v>57300</v>
      </c>
      <c r="P993" s="313">
        <f t="shared" si="90"/>
        <v>0</v>
      </c>
      <c r="Q993" s="310" t="s">
        <v>147</v>
      </c>
      <c r="R993" s="310">
        <v>77</v>
      </c>
      <c r="S993" s="310"/>
      <c r="T993" s="308"/>
      <c r="U993" s="308"/>
      <c r="V993" s="308"/>
      <c r="W993" s="315" t="str">
        <f t="shared" si="95"/>
        <v/>
      </c>
      <c r="X993" s="310" t="s">
        <v>54</v>
      </c>
      <c r="Y993" s="310" t="s">
        <v>56</v>
      </c>
      <c r="Z993" s="316"/>
      <c r="AA993" s="316"/>
      <c r="AB993" s="316"/>
    </row>
    <row r="994" spans="1:28" x14ac:dyDescent="0.25">
      <c r="A994" s="307">
        <f t="shared" si="91"/>
        <v>988</v>
      </c>
      <c r="B994" s="308">
        <v>46179</v>
      </c>
      <c r="C994" s="309">
        <f t="shared" si="92"/>
        <v>46174</v>
      </c>
      <c r="D994" s="310" t="s">
        <v>56</v>
      </c>
      <c r="E994" s="310" t="s">
        <v>1644</v>
      </c>
      <c r="F994" s="311">
        <v>9220186371</v>
      </c>
      <c r="G994" s="316" t="s">
        <v>6</v>
      </c>
      <c r="H994" s="316" t="s">
        <v>1874</v>
      </c>
      <c r="I994" s="316" t="s">
        <v>3358</v>
      </c>
      <c r="J994" s="310" t="s">
        <v>172</v>
      </c>
      <c r="K994" s="312">
        <v>44680</v>
      </c>
      <c r="L994" s="312">
        <v>60480</v>
      </c>
      <c r="M994" s="313">
        <f t="shared" si="93"/>
        <v>15800</v>
      </c>
      <c r="N994" s="314">
        <f t="shared" si="94"/>
        <v>0.261243386243386</v>
      </c>
      <c r="O994" s="312">
        <v>44680</v>
      </c>
      <c r="P994" s="313">
        <f t="shared" si="90"/>
        <v>0</v>
      </c>
      <c r="Q994" s="310" t="s">
        <v>147</v>
      </c>
      <c r="R994" s="310">
        <v>78</v>
      </c>
      <c r="S994" s="310"/>
      <c r="T994" s="308"/>
      <c r="U994" s="308"/>
      <c r="V994" s="308"/>
      <c r="W994" s="315" t="str">
        <f t="shared" si="95"/>
        <v/>
      </c>
      <c r="X994" s="310" t="s">
        <v>54</v>
      </c>
      <c r="Y994" s="310" t="s">
        <v>56</v>
      </c>
      <c r="Z994" s="316"/>
      <c r="AA994" s="316"/>
      <c r="AB994" s="316"/>
    </row>
    <row r="995" spans="1:28" x14ac:dyDescent="0.25">
      <c r="A995" s="307">
        <f t="shared" si="91"/>
        <v>989</v>
      </c>
      <c r="B995" s="308">
        <v>46179</v>
      </c>
      <c r="C995" s="309">
        <f t="shared" si="92"/>
        <v>46174</v>
      </c>
      <c r="D995" s="310" t="s">
        <v>56</v>
      </c>
      <c r="E995" s="310" t="s">
        <v>1637</v>
      </c>
      <c r="F995" s="311">
        <v>9025368773</v>
      </c>
      <c r="G995" s="316" t="s">
        <v>6</v>
      </c>
      <c r="H995" s="316" t="s">
        <v>1874</v>
      </c>
      <c r="I995" s="316" t="s">
        <v>3359</v>
      </c>
      <c r="J995" s="310" t="s">
        <v>172</v>
      </c>
      <c r="K995" s="312">
        <v>44680</v>
      </c>
      <c r="L995" s="312">
        <v>60480</v>
      </c>
      <c r="M995" s="313">
        <f t="shared" si="93"/>
        <v>15800</v>
      </c>
      <c r="N995" s="314">
        <f t="shared" si="94"/>
        <v>0.261243386243386</v>
      </c>
      <c r="O995" s="312">
        <v>44680</v>
      </c>
      <c r="P995" s="313">
        <f t="shared" si="90"/>
        <v>0</v>
      </c>
      <c r="Q995" s="310" t="s">
        <v>147</v>
      </c>
      <c r="R995" s="310">
        <v>79</v>
      </c>
      <c r="S995" s="310"/>
      <c r="T995" s="308"/>
      <c r="U995" s="308"/>
      <c r="V995" s="308"/>
      <c r="W995" s="315" t="str">
        <f t="shared" si="95"/>
        <v/>
      </c>
      <c r="X995" s="310" t="s">
        <v>54</v>
      </c>
      <c r="Y995" s="310" t="s">
        <v>56</v>
      </c>
      <c r="Z995" s="316"/>
      <c r="AA995" s="316"/>
      <c r="AB995" s="316"/>
    </row>
    <row r="996" spans="1:28" x14ac:dyDescent="0.25">
      <c r="A996" s="307">
        <f t="shared" si="91"/>
        <v>990</v>
      </c>
      <c r="B996" s="308">
        <v>46180</v>
      </c>
      <c r="C996" s="309">
        <f t="shared" si="92"/>
        <v>46174</v>
      </c>
      <c r="D996" s="310" t="s">
        <v>56</v>
      </c>
      <c r="E996" s="310" t="s">
        <v>1641</v>
      </c>
      <c r="F996" s="311">
        <v>9486716172</v>
      </c>
      <c r="G996" s="316" t="s">
        <v>1093</v>
      </c>
      <c r="H996" s="316" t="s">
        <v>3360</v>
      </c>
      <c r="I996" s="316" t="s">
        <v>6</v>
      </c>
      <c r="J996" s="310" t="s">
        <v>172</v>
      </c>
      <c r="K996" s="312">
        <v>57300</v>
      </c>
      <c r="L996" s="312">
        <v>144580</v>
      </c>
      <c r="M996" s="313">
        <f t="shared" si="93"/>
        <v>87280</v>
      </c>
      <c r="N996" s="314">
        <f t="shared" si="94"/>
        <v>0.603679623737723</v>
      </c>
      <c r="O996" s="312">
        <v>57300</v>
      </c>
      <c r="P996" s="313">
        <f t="shared" si="90"/>
        <v>0</v>
      </c>
      <c r="Q996" s="310" t="s">
        <v>147</v>
      </c>
      <c r="R996" s="310">
        <v>80</v>
      </c>
      <c r="S996" s="310"/>
      <c r="T996" s="308"/>
      <c r="U996" s="308"/>
      <c r="V996" s="308"/>
      <c r="W996" s="315" t="str">
        <f t="shared" si="95"/>
        <v/>
      </c>
      <c r="X996" s="310" t="s">
        <v>54</v>
      </c>
      <c r="Y996" s="310" t="s">
        <v>56</v>
      </c>
      <c r="Z996" s="316"/>
      <c r="AA996" s="316"/>
      <c r="AB996" s="316"/>
    </row>
    <row r="997" spans="1:28" x14ac:dyDescent="0.25">
      <c r="A997" s="307">
        <f t="shared" si="91"/>
        <v>991</v>
      </c>
      <c r="B997" s="308">
        <v>46182</v>
      </c>
      <c r="C997" s="309">
        <f t="shared" si="92"/>
        <v>46174</v>
      </c>
      <c r="D997" s="310" t="s">
        <v>56</v>
      </c>
      <c r="E997" s="310" t="s">
        <v>60</v>
      </c>
      <c r="F997" s="311">
        <v>9040208667</v>
      </c>
      <c r="G997" s="316" t="s">
        <v>6</v>
      </c>
      <c r="H997" s="316" t="s">
        <v>3382</v>
      </c>
      <c r="I997" s="316" t="s">
        <v>3383</v>
      </c>
      <c r="J997" s="310" t="s">
        <v>172</v>
      </c>
      <c r="K997" s="312">
        <v>45630</v>
      </c>
      <c r="L997" s="312">
        <v>66780</v>
      </c>
      <c r="M997" s="313">
        <f t="shared" si="93"/>
        <v>21150</v>
      </c>
      <c r="N997" s="314">
        <f t="shared" si="94"/>
        <v>0.316711590296496</v>
      </c>
      <c r="O997" s="312">
        <v>45630</v>
      </c>
      <c r="P997" s="313">
        <f t="shared" si="90"/>
        <v>0</v>
      </c>
      <c r="Q997" s="310" t="s">
        <v>147</v>
      </c>
      <c r="R997" s="310">
        <v>82</v>
      </c>
      <c r="S997" s="310"/>
      <c r="T997" s="308"/>
      <c r="U997" s="308"/>
      <c r="V997" s="308"/>
      <c r="W997" s="315" t="str">
        <f t="shared" si="95"/>
        <v/>
      </c>
      <c r="X997" s="310" t="s">
        <v>54</v>
      </c>
      <c r="Y997" s="310" t="s">
        <v>56</v>
      </c>
      <c r="Z997" s="316"/>
      <c r="AA997" s="316"/>
      <c r="AB997" s="316"/>
    </row>
    <row r="998" spans="1:28" x14ac:dyDescent="0.25">
      <c r="A998" s="307">
        <f t="shared" si="91"/>
        <v>992</v>
      </c>
      <c r="B998" s="308">
        <v>46182</v>
      </c>
      <c r="C998" s="309">
        <f t="shared" si="92"/>
        <v>46174</v>
      </c>
      <c r="D998" s="310" t="s">
        <v>56</v>
      </c>
      <c r="E998" s="310" t="s">
        <v>2859</v>
      </c>
      <c r="F998" s="311">
        <v>9182842770</v>
      </c>
      <c r="G998" s="316" t="s">
        <v>6</v>
      </c>
      <c r="H998" s="316" t="s">
        <v>3384</v>
      </c>
      <c r="I998" s="316" t="s">
        <v>3385</v>
      </c>
      <c r="J998" s="310" t="s">
        <v>172</v>
      </c>
      <c r="K998" s="312">
        <v>45630</v>
      </c>
      <c r="L998" s="312">
        <v>66780</v>
      </c>
      <c r="M998" s="313">
        <f t="shared" si="93"/>
        <v>21150</v>
      </c>
      <c r="N998" s="314">
        <f t="shared" si="94"/>
        <v>0.316711590296496</v>
      </c>
      <c r="O998" s="312">
        <v>45630</v>
      </c>
      <c r="P998" s="313">
        <f t="shared" si="90"/>
        <v>0</v>
      </c>
      <c r="Q998" s="310" t="s">
        <v>147</v>
      </c>
      <c r="R998" s="310">
        <v>83</v>
      </c>
      <c r="S998" s="310"/>
      <c r="T998" s="308"/>
      <c r="U998" s="308"/>
      <c r="V998" s="308"/>
      <c r="W998" s="315" t="str">
        <f t="shared" si="95"/>
        <v/>
      </c>
      <c r="X998" s="310" t="s">
        <v>54</v>
      </c>
      <c r="Y998" s="310" t="s">
        <v>56</v>
      </c>
      <c r="Z998" s="316"/>
      <c r="AA998" s="316"/>
      <c r="AB998" s="316"/>
    </row>
    <row r="999" spans="1:28" x14ac:dyDescent="0.25">
      <c r="A999" s="307">
        <f t="shared" si="91"/>
        <v>993</v>
      </c>
      <c r="B999" s="308">
        <v>46183</v>
      </c>
      <c r="C999" s="309">
        <f t="shared" si="92"/>
        <v>46174</v>
      </c>
      <c r="D999" s="310" t="s">
        <v>56</v>
      </c>
      <c r="E999" s="310" t="s">
        <v>1641</v>
      </c>
      <c r="F999" s="311">
        <v>9486716172</v>
      </c>
      <c r="G999" s="316" t="s">
        <v>6</v>
      </c>
      <c r="H999" s="316" t="s">
        <v>3386</v>
      </c>
      <c r="I999" s="316" t="s">
        <v>3387</v>
      </c>
      <c r="J999" s="310" t="s">
        <v>172</v>
      </c>
      <c r="K999" s="312">
        <v>45630</v>
      </c>
      <c r="L999" s="312">
        <v>66780</v>
      </c>
      <c r="M999" s="313">
        <f t="shared" si="93"/>
        <v>21150</v>
      </c>
      <c r="N999" s="314">
        <f t="shared" si="94"/>
        <v>0.316711590296496</v>
      </c>
      <c r="O999" s="312">
        <v>45630</v>
      </c>
      <c r="P999" s="313">
        <f t="shared" si="90"/>
        <v>0</v>
      </c>
      <c r="Q999" s="310" t="s">
        <v>147</v>
      </c>
      <c r="R999" s="310">
        <v>84</v>
      </c>
      <c r="S999" s="310"/>
      <c r="T999" s="308">
        <v>46186</v>
      </c>
      <c r="U999" s="308">
        <v>46186</v>
      </c>
      <c r="V999" s="308"/>
      <c r="W999" s="315">
        <f t="shared" si="95"/>
        <v>3</v>
      </c>
      <c r="X999" s="310" t="s">
        <v>54</v>
      </c>
      <c r="Y999" s="310" t="s">
        <v>56</v>
      </c>
      <c r="Z999" s="316"/>
      <c r="AA999" s="316" t="s">
        <v>3367</v>
      </c>
      <c r="AB999" s="316" t="s">
        <v>3367</v>
      </c>
    </row>
    <row r="1000" spans="1:28" x14ac:dyDescent="0.25">
      <c r="A1000" s="307">
        <f t="shared" si="91"/>
        <v>994</v>
      </c>
      <c r="B1000" s="308">
        <v>46184</v>
      </c>
      <c r="C1000" s="309">
        <f t="shared" si="92"/>
        <v>46174</v>
      </c>
      <c r="D1000" s="310" t="s">
        <v>56</v>
      </c>
      <c r="E1000" s="310" t="s">
        <v>38</v>
      </c>
      <c r="F1000" s="311">
        <v>9995059254</v>
      </c>
      <c r="G1000" s="316" t="s">
        <v>1093</v>
      </c>
      <c r="H1000" s="316" t="s">
        <v>3399</v>
      </c>
      <c r="I1000" s="316" t="s">
        <v>6</v>
      </c>
      <c r="J1000" s="310" t="s">
        <v>59</v>
      </c>
      <c r="K1000" s="312">
        <v>57110</v>
      </c>
      <c r="L1000" s="312">
        <v>143320</v>
      </c>
      <c r="M1000" s="313">
        <f t="shared" si="93"/>
        <v>86210</v>
      </c>
      <c r="N1000" s="314">
        <f t="shared" si="94"/>
        <v>0.601521071727603</v>
      </c>
      <c r="O1000" s="312">
        <v>57110</v>
      </c>
      <c r="P1000" s="313">
        <f t="shared" si="90"/>
        <v>0</v>
      </c>
      <c r="Q1000" s="310" t="s">
        <v>147</v>
      </c>
      <c r="R1000" s="310">
        <v>85</v>
      </c>
      <c r="S1000" s="310"/>
      <c r="T1000" s="308">
        <v>46186</v>
      </c>
      <c r="U1000" s="308">
        <v>46186</v>
      </c>
      <c r="V1000" s="308"/>
      <c r="W1000" s="315">
        <f t="shared" si="95"/>
        <v>2</v>
      </c>
      <c r="X1000" s="310" t="s">
        <v>54</v>
      </c>
      <c r="Y1000" s="310" t="s">
        <v>56</v>
      </c>
      <c r="Z1000" s="316"/>
      <c r="AA1000" s="316" t="s">
        <v>3367</v>
      </c>
      <c r="AB1000" s="316" t="s">
        <v>3367</v>
      </c>
    </row>
    <row r="1001" spans="1:28" x14ac:dyDescent="0.25">
      <c r="A1001" s="307">
        <f t="shared" si="91"/>
        <v>995</v>
      </c>
      <c r="B1001" s="308">
        <v>46185</v>
      </c>
      <c r="C1001" s="309">
        <f t="shared" si="92"/>
        <v>46174</v>
      </c>
      <c r="D1001" s="310" t="s">
        <v>56</v>
      </c>
      <c r="E1001" s="310" t="s">
        <v>1644</v>
      </c>
      <c r="F1001" s="311">
        <v>9220186371</v>
      </c>
      <c r="G1001" s="316" t="s">
        <v>1093</v>
      </c>
      <c r="H1001" s="316" t="s">
        <v>3787</v>
      </c>
      <c r="I1001" s="316" t="s">
        <v>6</v>
      </c>
      <c r="J1001" s="310" t="s">
        <v>172</v>
      </c>
      <c r="K1001" s="312">
        <v>58240</v>
      </c>
      <c r="L1001" s="312">
        <v>150880</v>
      </c>
      <c r="M1001" s="313">
        <f t="shared" si="93"/>
        <v>92640</v>
      </c>
      <c r="N1001" s="314">
        <f t="shared" si="94"/>
        <v>0.613997879109226</v>
      </c>
      <c r="O1001" s="312">
        <v>58240</v>
      </c>
      <c r="P1001" s="313">
        <f t="shared" si="90"/>
        <v>0</v>
      </c>
      <c r="Q1001" s="310" t="s">
        <v>147</v>
      </c>
      <c r="R1001" s="310">
        <v>86</v>
      </c>
      <c r="S1001" s="310"/>
      <c r="T1001" s="308">
        <v>46187</v>
      </c>
      <c r="U1001" s="308">
        <v>46188</v>
      </c>
      <c r="V1001" s="308"/>
      <c r="W1001" s="315">
        <f t="shared" si="95"/>
        <v>3</v>
      </c>
      <c r="X1001" s="310" t="s">
        <v>54</v>
      </c>
      <c r="Y1001" s="310" t="s">
        <v>56</v>
      </c>
      <c r="Z1001" s="316"/>
      <c r="AA1001" s="316" t="s">
        <v>3368</v>
      </c>
      <c r="AB1001" s="316" t="s">
        <v>3369</v>
      </c>
    </row>
    <row r="1002" spans="1:28" x14ac:dyDescent="0.25">
      <c r="A1002" s="307">
        <f t="shared" si="91"/>
        <v>996</v>
      </c>
      <c r="B1002" s="308">
        <v>46185</v>
      </c>
      <c r="C1002" s="309">
        <f t="shared" si="92"/>
        <v>46174</v>
      </c>
      <c r="D1002" s="310" t="s">
        <v>56</v>
      </c>
      <c r="E1002" s="310" t="s">
        <v>3065</v>
      </c>
      <c r="F1002" s="311">
        <v>9068805165</v>
      </c>
      <c r="G1002" s="316" t="s">
        <v>6</v>
      </c>
      <c r="H1002" s="316"/>
      <c r="I1002" s="316" t="s">
        <v>3388</v>
      </c>
      <c r="J1002" s="310" t="s">
        <v>172</v>
      </c>
      <c r="K1002" s="312">
        <v>44680</v>
      </c>
      <c r="L1002" s="312">
        <v>60480</v>
      </c>
      <c r="M1002" s="313">
        <f t="shared" si="93"/>
        <v>15800</v>
      </c>
      <c r="N1002" s="314">
        <f t="shared" si="94"/>
        <v>0.261243386243386</v>
      </c>
      <c r="O1002" s="312">
        <v>44680</v>
      </c>
      <c r="P1002" s="313">
        <f t="shared" si="90"/>
        <v>0</v>
      </c>
      <c r="Q1002" s="310" t="s">
        <v>147</v>
      </c>
      <c r="R1002" s="310">
        <v>87</v>
      </c>
      <c r="S1002" s="310"/>
      <c r="T1002" s="308">
        <v>46187</v>
      </c>
      <c r="U1002" s="308">
        <v>46188</v>
      </c>
      <c r="V1002" s="308"/>
      <c r="W1002" s="315">
        <f t="shared" si="95"/>
        <v>3</v>
      </c>
      <c r="X1002" s="310" t="s">
        <v>54</v>
      </c>
      <c r="Y1002" s="310" t="s">
        <v>56</v>
      </c>
      <c r="Z1002" s="316"/>
      <c r="AA1002" s="316" t="s">
        <v>3368</v>
      </c>
      <c r="AB1002" s="316" t="s">
        <v>3369</v>
      </c>
    </row>
    <row r="1003" spans="1:28" x14ac:dyDescent="0.25">
      <c r="A1003" s="307">
        <f t="shared" si="91"/>
        <v>997</v>
      </c>
      <c r="B1003" s="308">
        <v>46185</v>
      </c>
      <c r="C1003" s="309">
        <f t="shared" si="92"/>
        <v>46174</v>
      </c>
      <c r="D1003" s="310" t="s">
        <v>56</v>
      </c>
      <c r="E1003" s="310" t="s">
        <v>3366</v>
      </c>
      <c r="F1003" s="311">
        <v>9251616350</v>
      </c>
      <c r="G1003" s="316" t="s">
        <v>6</v>
      </c>
      <c r="H1003" s="316" t="s">
        <v>3389</v>
      </c>
      <c r="I1003" s="316" t="s">
        <v>3390</v>
      </c>
      <c r="J1003" s="310" t="s">
        <v>172</v>
      </c>
      <c r="K1003" s="312">
        <v>45630</v>
      </c>
      <c r="L1003" s="312">
        <v>66780</v>
      </c>
      <c r="M1003" s="313">
        <f t="shared" si="93"/>
        <v>21150</v>
      </c>
      <c r="N1003" s="314">
        <f t="shared" si="94"/>
        <v>0.316711590296496</v>
      </c>
      <c r="O1003" s="312">
        <v>45630</v>
      </c>
      <c r="P1003" s="313">
        <f t="shared" si="90"/>
        <v>0</v>
      </c>
      <c r="Q1003" s="310" t="s">
        <v>147</v>
      </c>
      <c r="R1003" s="310">
        <v>88</v>
      </c>
      <c r="S1003" s="310"/>
      <c r="T1003" s="308">
        <v>46188</v>
      </c>
      <c r="U1003" s="308">
        <v>46189</v>
      </c>
      <c r="V1003" s="308"/>
      <c r="W1003" s="315">
        <f t="shared" si="95"/>
        <v>4</v>
      </c>
      <c r="X1003" s="310" t="s">
        <v>54</v>
      </c>
      <c r="Y1003" s="310" t="s">
        <v>56</v>
      </c>
      <c r="Z1003" s="316"/>
      <c r="AA1003" s="316" t="s">
        <v>3369</v>
      </c>
      <c r="AB1003" s="316" t="s">
        <v>3373</v>
      </c>
    </row>
    <row r="1004" spans="1:28" x14ac:dyDescent="0.25">
      <c r="A1004" s="307">
        <f t="shared" si="91"/>
        <v>998</v>
      </c>
      <c r="B1004" s="308">
        <v>46186</v>
      </c>
      <c r="C1004" s="309">
        <f t="shared" si="92"/>
        <v>46174</v>
      </c>
      <c r="D1004" s="310" t="s">
        <v>56</v>
      </c>
      <c r="E1004" s="310" t="s">
        <v>60</v>
      </c>
      <c r="F1004" s="311">
        <v>9040208667</v>
      </c>
      <c r="G1004" s="316" t="s">
        <v>1093</v>
      </c>
      <c r="H1004" s="316" t="s">
        <v>3397</v>
      </c>
      <c r="I1004" s="316" t="s">
        <v>6</v>
      </c>
      <c r="J1004" s="310" t="s">
        <v>172</v>
      </c>
      <c r="K1004" s="312">
        <v>58240</v>
      </c>
      <c r="L1004" s="312">
        <v>150880</v>
      </c>
      <c r="M1004" s="313">
        <f t="shared" si="93"/>
        <v>92640</v>
      </c>
      <c r="N1004" s="314">
        <f t="shared" si="94"/>
        <v>0.613997879109226</v>
      </c>
      <c r="O1004" s="312">
        <v>58240</v>
      </c>
      <c r="P1004" s="313">
        <f t="shared" si="90"/>
        <v>0</v>
      </c>
      <c r="Q1004" s="310" t="s">
        <v>147</v>
      </c>
      <c r="R1004" s="310">
        <v>89</v>
      </c>
      <c r="S1004" s="310"/>
      <c r="T1004" s="308">
        <v>46190</v>
      </c>
      <c r="U1004" s="308">
        <v>46190</v>
      </c>
      <c r="V1004" s="308"/>
      <c r="W1004" s="315">
        <f t="shared" si="95"/>
        <v>4</v>
      </c>
      <c r="X1004" s="310" t="s">
        <v>54</v>
      </c>
      <c r="Y1004" s="310" t="s">
        <v>56</v>
      </c>
      <c r="Z1004" s="316"/>
      <c r="AA1004" s="316" t="s">
        <v>3374</v>
      </c>
      <c r="AB1004" s="316" t="s">
        <v>3374</v>
      </c>
    </row>
    <row r="1005" spans="1:28" x14ac:dyDescent="0.25">
      <c r="A1005" s="307">
        <f t="shared" si="91"/>
        <v>999</v>
      </c>
      <c r="B1005" s="308">
        <v>46186</v>
      </c>
      <c r="C1005" s="309">
        <f t="shared" si="92"/>
        <v>46174</v>
      </c>
      <c r="D1005" s="310" t="s">
        <v>56</v>
      </c>
      <c r="E1005" s="310" t="s">
        <v>3122</v>
      </c>
      <c r="F1005" s="311">
        <v>9935813519</v>
      </c>
      <c r="G1005" s="316" t="s">
        <v>6</v>
      </c>
      <c r="H1005" s="316" t="s">
        <v>3391</v>
      </c>
      <c r="I1005" s="316" t="s">
        <v>3392</v>
      </c>
      <c r="J1005" s="310" t="s">
        <v>172</v>
      </c>
      <c r="K1005" s="312">
        <v>45630</v>
      </c>
      <c r="L1005" s="312">
        <v>66780</v>
      </c>
      <c r="M1005" s="313">
        <f t="shared" si="93"/>
        <v>21150</v>
      </c>
      <c r="N1005" s="314">
        <f t="shared" si="94"/>
        <v>0.316711590296496</v>
      </c>
      <c r="O1005" s="312">
        <v>45630</v>
      </c>
      <c r="P1005" s="313">
        <f t="shared" si="90"/>
        <v>0</v>
      </c>
      <c r="Q1005" s="310" t="s">
        <v>147</v>
      </c>
      <c r="R1005" s="310">
        <v>90</v>
      </c>
      <c r="S1005" s="310"/>
      <c r="T1005" s="308">
        <v>46188</v>
      </c>
      <c r="U1005" s="308">
        <v>46189</v>
      </c>
      <c r="V1005" s="308"/>
      <c r="W1005" s="315">
        <f t="shared" si="95"/>
        <v>3</v>
      </c>
      <c r="X1005" s="310" t="s">
        <v>54</v>
      </c>
      <c r="Y1005" s="310" t="s">
        <v>56</v>
      </c>
      <c r="Z1005" s="316"/>
      <c r="AA1005" s="316" t="s">
        <v>3369</v>
      </c>
      <c r="AB1005" s="316" t="s">
        <v>3373</v>
      </c>
    </row>
    <row r="1006" spans="1:28" x14ac:dyDescent="0.25">
      <c r="A1006" s="307">
        <f t="shared" si="91"/>
        <v>1000</v>
      </c>
      <c r="B1006" s="308">
        <v>46186</v>
      </c>
      <c r="C1006" s="309">
        <f t="shared" si="92"/>
        <v>46174</v>
      </c>
      <c r="D1006" s="310" t="s">
        <v>56</v>
      </c>
      <c r="E1006" s="310" t="s">
        <v>3114</v>
      </c>
      <c r="F1006" s="311">
        <v>9380803043</v>
      </c>
      <c r="G1006" s="316" t="s">
        <v>6</v>
      </c>
      <c r="H1006" s="316" t="s">
        <v>3393</v>
      </c>
      <c r="I1006" s="316" t="s">
        <v>3394</v>
      </c>
      <c r="J1006" s="310" t="s">
        <v>172</v>
      </c>
      <c r="K1006" s="312">
        <v>45630</v>
      </c>
      <c r="L1006" s="312">
        <v>66780</v>
      </c>
      <c r="M1006" s="313">
        <f t="shared" si="93"/>
        <v>21150</v>
      </c>
      <c r="N1006" s="314">
        <f t="shared" si="94"/>
        <v>0.316711590296496</v>
      </c>
      <c r="O1006" s="312">
        <v>45630</v>
      </c>
      <c r="P1006" s="313">
        <f t="shared" si="90"/>
        <v>0</v>
      </c>
      <c r="Q1006" s="310" t="s">
        <v>147</v>
      </c>
      <c r="R1006" s="310">
        <v>91</v>
      </c>
      <c r="S1006" s="310"/>
      <c r="T1006" s="308">
        <v>46189</v>
      </c>
      <c r="U1006" s="308">
        <v>46190</v>
      </c>
      <c r="V1006" s="308"/>
      <c r="W1006" s="315">
        <f t="shared" si="95"/>
        <v>4</v>
      </c>
      <c r="X1006" s="310" t="s">
        <v>54</v>
      </c>
      <c r="Y1006" s="310" t="s">
        <v>56</v>
      </c>
      <c r="Z1006" s="316"/>
      <c r="AA1006" s="316" t="s">
        <v>3373</v>
      </c>
      <c r="AB1006" s="316" t="s">
        <v>3374</v>
      </c>
    </row>
    <row r="1007" spans="1:28" x14ac:dyDescent="0.25">
      <c r="A1007" s="307">
        <f t="shared" si="91"/>
        <v>1001</v>
      </c>
      <c r="B1007" s="308">
        <v>46189</v>
      </c>
      <c r="C1007" s="309">
        <f t="shared" si="92"/>
        <v>46174</v>
      </c>
      <c r="D1007" s="310" t="s">
        <v>56</v>
      </c>
      <c r="E1007" s="310" t="s">
        <v>38</v>
      </c>
      <c r="F1007" s="311">
        <v>9995059254</v>
      </c>
      <c r="G1007" s="316" t="s">
        <v>6</v>
      </c>
      <c r="H1007" s="316" t="s">
        <v>1874</v>
      </c>
      <c r="I1007" s="316" t="s">
        <v>3395</v>
      </c>
      <c r="J1007" s="310" t="s">
        <v>59</v>
      </c>
      <c r="K1007" s="312">
        <v>44330</v>
      </c>
      <c r="L1007" s="312">
        <v>58120</v>
      </c>
      <c r="M1007" s="313">
        <f t="shared" si="93"/>
        <v>13790</v>
      </c>
      <c r="N1007" s="314">
        <f t="shared" si="94"/>
        <v>0.237267721954577</v>
      </c>
      <c r="O1007" s="312">
        <v>44330</v>
      </c>
      <c r="P1007" s="313">
        <f t="shared" si="90"/>
        <v>0</v>
      </c>
      <c r="Q1007" s="310" t="s">
        <v>147</v>
      </c>
      <c r="R1007" s="310">
        <v>92</v>
      </c>
      <c r="S1007" s="310"/>
      <c r="T1007" s="308">
        <v>46192</v>
      </c>
      <c r="U1007" s="308">
        <v>46192</v>
      </c>
      <c r="V1007" s="308"/>
      <c r="W1007" s="315">
        <f t="shared" si="95"/>
        <v>3</v>
      </c>
      <c r="X1007" s="310" t="s">
        <v>54</v>
      </c>
      <c r="Y1007" s="310" t="s">
        <v>56</v>
      </c>
      <c r="Z1007" s="316"/>
      <c r="AA1007" s="316" t="s">
        <v>3381</v>
      </c>
      <c r="AB1007" s="316" t="s">
        <v>3381</v>
      </c>
    </row>
    <row r="1008" spans="1:28" x14ac:dyDescent="0.25">
      <c r="A1008" s="307">
        <f t="shared" si="91"/>
        <v>1002</v>
      </c>
      <c r="B1008" s="308">
        <v>46189</v>
      </c>
      <c r="C1008" s="309">
        <f t="shared" si="92"/>
        <v>46174</v>
      </c>
      <c r="D1008" s="310" t="s">
        <v>56</v>
      </c>
      <c r="E1008" s="310" t="s">
        <v>3065</v>
      </c>
      <c r="F1008" s="311">
        <v>9068805165</v>
      </c>
      <c r="G1008" s="316" t="s">
        <v>1093</v>
      </c>
      <c r="H1008" s="316" t="s">
        <v>3400</v>
      </c>
      <c r="I1008" s="316" t="s">
        <v>6</v>
      </c>
      <c r="J1008" s="310" t="s">
        <v>172</v>
      </c>
      <c r="K1008" s="312">
        <v>58240</v>
      </c>
      <c r="L1008" s="312">
        <v>150880</v>
      </c>
      <c r="M1008" s="313">
        <f t="shared" si="93"/>
        <v>92640</v>
      </c>
      <c r="N1008" s="314">
        <f t="shared" si="94"/>
        <v>0.613997879109226</v>
      </c>
      <c r="O1008" s="312">
        <v>58240</v>
      </c>
      <c r="P1008" s="313">
        <f t="shared" si="90"/>
        <v>0</v>
      </c>
      <c r="Q1008" s="310" t="s">
        <v>147</v>
      </c>
      <c r="R1008" s="310">
        <v>93</v>
      </c>
      <c r="S1008" s="310"/>
      <c r="T1008" s="308">
        <v>46192</v>
      </c>
      <c r="U1008" s="308">
        <v>46192</v>
      </c>
      <c r="V1008" s="308"/>
      <c r="W1008" s="315">
        <f t="shared" si="95"/>
        <v>3</v>
      </c>
      <c r="X1008" s="310" t="s">
        <v>54</v>
      </c>
      <c r="Y1008" s="310" t="s">
        <v>56</v>
      </c>
      <c r="Z1008" s="316"/>
      <c r="AA1008" s="316" t="s">
        <v>3381</v>
      </c>
      <c r="AB1008" s="316" t="s">
        <v>3381</v>
      </c>
    </row>
    <row r="1009" spans="1:28" x14ac:dyDescent="0.25">
      <c r="A1009" s="307">
        <f t="shared" si="91"/>
        <v>1003</v>
      </c>
      <c r="B1009" s="308">
        <v>46190</v>
      </c>
      <c r="C1009" s="309">
        <f t="shared" si="92"/>
        <v>46174</v>
      </c>
      <c r="D1009" s="310" t="s">
        <v>56</v>
      </c>
      <c r="E1009" s="310" t="s">
        <v>1644</v>
      </c>
      <c r="F1009" s="311">
        <v>9220186371</v>
      </c>
      <c r="G1009" s="316" t="s">
        <v>6</v>
      </c>
      <c r="H1009" s="316" t="s">
        <v>3396</v>
      </c>
      <c r="I1009" s="316" t="s">
        <v>3297</v>
      </c>
      <c r="J1009" s="310" t="s">
        <v>172</v>
      </c>
      <c r="K1009" s="312">
        <v>45630</v>
      </c>
      <c r="L1009" s="312">
        <v>66780</v>
      </c>
      <c r="M1009" s="313">
        <f t="shared" si="93"/>
        <v>21150</v>
      </c>
      <c r="N1009" s="314">
        <f t="shared" si="94"/>
        <v>0.316711590296496</v>
      </c>
      <c r="O1009" s="312">
        <v>45630</v>
      </c>
      <c r="P1009" s="313">
        <f t="shared" si="90"/>
        <v>0</v>
      </c>
      <c r="Q1009" s="310" t="s">
        <v>147</v>
      </c>
      <c r="R1009" s="310">
        <v>94</v>
      </c>
      <c r="S1009" s="310"/>
      <c r="T1009" s="308">
        <v>46192</v>
      </c>
      <c r="U1009" s="308">
        <v>46193</v>
      </c>
      <c r="V1009" s="308"/>
      <c r="W1009" s="315">
        <f t="shared" si="95"/>
        <v>3</v>
      </c>
      <c r="X1009" s="310" t="s">
        <v>54</v>
      </c>
      <c r="Y1009" s="310" t="s">
        <v>56</v>
      </c>
      <c r="Z1009" s="316"/>
      <c r="AA1009" s="316" t="s">
        <v>3381</v>
      </c>
      <c r="AB1009" s="316" t="s">
        <v>3403</v>
      </c>
    </row>
    <row r="1010" spans="1:28" x14ac:dyDescent="0.25">
      <c r="A1010" s="307">
        <f t="shared" si="91"/>
        <v>1004</v>
      </c>
      <c r="B1010" s="308">
        <v>46190</v>
      </c>
      <c r="C1010" s="309">
        <f t="shared" si="92"/>
        <v>46174</v>
      </c>
      <c r="D1010" s="310" t="s">
        <v>56</v>
      </c>
      <c r="E1010" s="310" t="s">
        <v>60</v>
      </c>
      <c r="F1010" s="311">
        <v>9040208667</v>
      </c>
      <c r="G1010" s="316" t="s">
        <v>6</v>
      </c>
      <c r="H1010" s="316" t="s">
        <v>1874</v>
      </c>
      <c r="I1010" s="316" t="s">
        <v>3348</v>
      </c>
      <c r="J1010" s="310" t="s">
        <v>172</v>
      </c>
      <c r="K1010" s="312">
        <v>44680</v>
      </c>
      <c r="L1010" s="312">
        <v>60480</v>
      </c>
      <c r="M1010" s="313">
        <f t="shared" si="93"/>
        <v>15800</v>
      </c>
      <c r="N1010" s="314">
        <f t="shared" si="94"/>
        <v>0.261243386243386</v>
      </c>
      <c r="O1010" s="312">
        <v>44680</v>
      </c>
      <c r="P1010" s="313">
        <f t="shared" si="90"/>
        <v>0</v>
      </c>
      <c r="Q1010" s="310" t="s">
        <v>147</v>
      </c>
      <c r="R1010" s="310">
        <v>95</v>
      </c>
      <c r="S1010" s="310"/>
      <c r="T1010" s="308">
        <v>46193</v>
      </c>
      <c r="U1010" s="308">
        <v>46193</v>
      </c>
      <c r="V1010" s="308"/>
      <c r="W1010" s="315">
        <f t="shared" si="95"/>
        <v>3</v>
      </c>
      <c r="X1010" s="310" t="s">
        <v>54</v>
      </c>
      <c r="Y1010" s="310" t="s">
        <v>56</v>
      </c>
      <c r="Z1010" s="316"/>
      <c r="AA1010" s="316" t="s">
        <v>3403</v>
      </c>
      <c r="AB1010" s="316" t="s">
        <v>3403</v>
      </c>
    </row>
    <row r="1011" spans="1:28" x14ac:dyDescent="0.25">
      <c r="A1011" s="307">
        <f t="shared" si="91"/>
        <v>1005</v>
      </c>
      <c r="B1011" s="308">
        <v>46191</v>
      </c>
      <c r="C1011" s="309">
        <f t="shared" si="92"/>
        <v>46174</v>
      </c>
      <c r="D1011" s="310" t="s">
        <v>56</v>
      </c>
      <c r="E1011" s="310" t="s">
        <v>1641</v>
      </c>
      <c r="F1011" s="311">
        <v>9486716172</v>
      </c>
      <c r="G1011" s="316" t="s">
        <v>1093</v>
      </c>
      <c r="H1011" s="316" t="s">
        <v>3456</v>
      </c>
      <c r="I1011" s="316" t="s">
        <v>6</v>
      </c>
      <c r="J1011" s="310" t="s">
        <v>172</v>
      </c>
      <c r="K1011" s="312">
        <v>58240</v>
      </c>
      <c r="L1011" s="312">
        <v>150880</v>
      </c>
      <c r="M1011" s="313">
        <f t="shared" si="93"/>
        <v>92640</v>
      </c>
      <c r="N1011" s="314">
        <f t="shared" si="94"/>
        <v>0.613997879109226</v>
      </c>
      <c r="O1011" s="312">
        <v>58240</v>
      </c>
      <c r="P1011" s="313">
        <f t="shared" si="90"/>
        <v>0</v>
      </c>
      <c r="Q1011" s="310" t="s">
        <v>147</v>
      </c>
      <c r="R1011" s="310">
        <v>96</v>
      </c>
      <c r="S1011" s="310"/>
      <c r="T1011" s="308">
        <v>46193</v>
      </c>
      <c r="U1011" s="308">
        <v>46193</v>
      </c>
      <c r="V1011" s="308"/>
      <c r="W1011" s="315">
        <f t="shared" si="95"/>
        <v>2</v>
      </c>
      <c r="X1011" s="310" t="s">
        <v>54</v>
      </c>
      <c r="Y1011" s="310" t="s">
        <v>56</v>
      </c>
      <c r="Z1011" s="316"/>
      <c r="AA1011" s="316" t="s">
        <v>3403</v>
      </c>
      <c r="AB1011" s="316" t="s">
        <v>3403</v>
      </c>
    </row>
    <row r="1012" spans="1:28" x14ac:dyDescent="0.25">
      <c r="A1012" s="307">
        <f t="shared" si="91"/>
        <v>1006</v>
      </c>
      <c r="B1012" s="308">
        <v>46192</v>
      </c>
      <c r="C1012" s="309">
        <f t="shared" si="92"/>
        <v>46174</v>
      </c>
      <c r="D1012" s="310" t="s">
        <v>56</v>
      </c>
      <c r="E1012" s="310" t="s">
        <v>1635</v>
      </c>
      <c r="F1012" s="311">
        <v>9793531306</v>
      </c>
      <c r="G1012" s="316" t="s">
        <v>6</v>
      </c>
      <c r="H1012" s="316" t="s">
        <v>3416</v>
      </c>
      <c r="I1012" s="316" t="s">
        <v>3417</v>
      </c>
      <c r="J1012" s="310" t="s">
        <v>172</v>
      </c>
      <c r="K1012" s="312">
        <v>45630</v>
      </c>
      <c r="L1012" s="312">
        <v>66780</v>
      </c>
      <c r="M1012" s="313">
        <f t="shared" si="93"/>
        <v>21150</v>
      </c>
      <c r="N1012" s="314">
        <f t="shared" si="94"/>
        <v>0.316711590296496</v>
      </c>
      <c r="O1012" s="312">
        <v>45630</v>
      </c>
      <c r="P1012" s="313">
        <f t="shared" si="90"/>
        <v>0</v>
      </c>
      <c r="Q1012" s="310" t="s">
        <v>147</v>
      </c>
      <c r="R1012" s="310">
        <v>97</v>
      </c>
      <c r="S1012" s="310"/>
      <c r="T1012" s="308">
        <v>46195</v>
      </c>
      <c r="U1012" s="308">
        <v>46195</v>
      </c>
      <c r="V1012" s="308"/>
      <c r="W1012" s="315">
        <f t="shared" si="95"/>
        <v>3</v>
      </c>
      <c r="X1012" s="310" t="s">
        <v>54</v>
      </c>
      <c r="Y1012" s="310" t="s">
        <v>56</v>
      </c>
      <c r="Z1012" s="316"/>
      <c r="AA1012" s="316" t="s">
        <v>3404</v>
      </c>
      <c r="AB1012" s="316" t="s">
        <v>3404</v>
      </c>
    </row>
    <row r="1013" spans="1:28" x14ac:dyDescent="0.25">
      <c r="A1013" s="307">
        <f t="shared" si="91"/>
        <v>1007</v>
      </c>
      <c r="B1013" s="308">
        <v>46192</v>
      </c>
      <c r="C1013" s="309">
        <f t="shared" si="92"/>
        <v>46174</v>
      </c>
      <c r="D1013" s="310" t="s">
        <v>56</v>
      </c>
      <c r="E1013" s="310" t="s">
        <v>3065</v>
      </c>
      <c r="F1013" s="311">
        <v>9068805165</v>
      </c>
      <c r="G1013" s="316" t="s">
        <v>6</v>
      </c>
      <c r="H1013" s="316" t="s">
        <v>3418</v>
      </c>
      <c r="I1013" s="316" t="s">
        <v>3419</v>
      </c>
      <c r="J1013" s="310" t="s">
        <v>172</v>
      </c>
      <c r="K1013" s="312">
        <v>45630</v>
      </c>
      <c r="L1013" s="312">
        <v>66780</v>
      </c>
      <c r="M1013" s="313">
        <f t="shared" si="93"/>
        <v>21150</v>
      </c>
      <c r="N1013" s="314">
        <f t="shared" si="94"/>
        <v>0.316711590296496</v>
      </c>
      <c r="O1013" s="312">
        <v>45630</v>
      </c>
      <c r="P1013" s="313">
        <f t="shared" si="90"/>
        <v>0</v>
      </c>
      <c r="Q1013" s="310" t="s">
        <v>147</v>
      </c>
      <c r="R1013" s="310">
        <v>98</v>
      </c>
      <c r="S1013" s="310"/>
      <c r="T1013" s="308">
        <v>46195</v>
      </c>
      <c r="U1013" s="308">
        <v>46196</v>
      </c>
      <c r="V1013" s="308"/>
      <c r="W1013" s="315">
        <f t="shared" si="95"/>
        <v>4</v>
      </c>
      <c r="X1013" s="310" t="s">
        <v>54</v>
      </c>
      <c r="Y1013" s="310" t="s">
        <v>56</v>
      </c>
      <c r="Z1013" s="316"/>
      <c r="AA1013" s="316" t="s">
        <v>3404</v>
      </c>
      <c r="AB1013" s="316" t="s">
        <v>3407</v>
      </c>
    </row>
    <row r="1014" spans="1:28" x14ac:dyDescent="0.25">
      <c r="A1014" s="307">
        <f t="shared" si="91"/>
        <v>1008</v>
      </c>
      <c r="B1014" s="308">
        <v>46193</v>
      </c>
      <c r="C1014" s="309">
        <f t="shared" si="92"/>
        <v>46174</v>
      </c>
      <c r="D1014" s="310" t="s">
        <v>56</v>
      </c>
      <c r="E1014" s="310" t="s">
        <v>3114</v>
      </c>
      <c r="F1014" s="311">
        <v>9380803043</v>
      </c>
      <c r="G1014" s="316" t="s">
        <v>1093</v>
      </c>
      <c r="H1014" s="316" t="s">
        <v>3431</v>
      </c>
      <c r="I1014" s="316" t="s">
        <v>6</v>
      </c>
      <c r="J1014" s="310" t="s">
        <v>172</v>
      </c>
      <c r="K1014" s="312">
        <v>59190</v>
      </c>
      <c r="L1014" s="312">
        <v>157180</v>
      </c>
      <c r="M1014" s="313">
        <f t="shared" si="93"/>
        <v>97990</v>
      </c>
      <c r="N1014" s="314">
        <f t="shared" si="94"/>
        <v>0.623425372184756</v>
      </c>
      <c r="O1014" s="312">
        <v>59190</v>
      </c>
      <c r="P1014" s="313">
        <f t="shared" si="90"/>
        <v>0</v>
      </c>
      <c r="Q1014" s="310" t="s">
        <v>147</v>
      </c>
      <c r="R1014" s="310">
        <v>99</v>
      </c>
      <c r="S1014" s="310"/>
      <c r="T1014" s="308">
        <v>46196</v>
      </c>
      <c r="U1014" s="308">
        <v>46196</v>
      </c>
      <c r="V1014" s="308"/>
      <c r="W1014" s="315">
        <f t="shared" si="95"/>
        <v>3</v>
      </c>
      <c r="X1014" s="310" t="s">
        <v>54</v>
      </c>
      <c r="Y1014" s="310" t="s">
        <v>56</v>
      </c>
      <c r="Z1014" s="316"/>
      <c r="AA1014" s="316" t="s">
        <v>3407</v>
      </c>
      <c r="AB1014" s="316" t="s">
        <v>3407</v>
      </c>
    </row>
    <row r="1015" spans="1:28" x14ac:dyDescent="0.25">
      <c r="A1015" s="307">
        <f t="shared" si="91"/>
        <v>1009</v>
      </c>
      <c r="B1015" s="308">
        <v>46193</v>
      </c>
      <c r="C1015" s="309">
        <f t="shared" si="92"/>
        <v>46174</v>
      </c>
      <c r="D1015" s="310" t="s">
        <v>56</v>
      </c>
      <c r="E1015" s="310" t="s">
        <v>38</v>
      </c>
      <c r="F1015" s="311">
        <v>9995059254</v>
      </c>
      <c r="G1015" s="316" t="s">
        <v>1093</v>
      </c>
      <c r="H1015" s="316" t="s">
        <v>3457</v>
      </c>
      <c r="I1015" s="316" t="s">
        <v>6</v>
      </c>
      <c r="J1015" s="310" t="s">
        <v>59</v>
      </c>
      <c r="K1015" s="312">
        <v>57110</v>
      </c>
      <c r="L1015" s="312">
        <v>143320</v>
      </c>
      <c r="M1015" s="313">
        <f t="shared" si="93"/>
        <v>86210</v>
      </c>
      <c r="N1015" s="314">
        <f t="shared" si="94"/>
        <v>0.601521071727603</v>
      </c>
      <c r="O1015" s="312">
        <v>57110</v>
      </c>
      <c r="P1015" s="313">
        <f t="shared" si="90"/>
        <v>0</v>
      </c>
      <c r="Q1015" s="310" t="s">
        <v>147</v>
      </c>
      <c r="R1015" s="310">
        <v>100</v>
      </c>
      <c r="S1015" s="310"/>
      <c r="T1015" s="308">
        <v>46196</v>
      </c>
      <c r="U1015" s="308">
        <v>46196</v>
      </c>
      <c r="V1015" s="308"/>
      <c r="W1015" s="315">
        <f t="shared" si="95"/>
        <v>3</v>
      </c>
      <c r="X1015" s="310" t="s">
        <v>54</v>
      </c>
      <c r="Y1015" s="310" t="s">
        <v>56</v>
      </c>
      <c r="Z1015" s="316"/>
      <c r="AA1015" s="316" t="s">
        <v>3407</v>
      </c>
      <c r="AB1015" s="316" t="s">
        <v>3407</v>
      </c>
    </row>
    <row r="1016" spans="1:28" x14ac:dyDescent="0.25">
      <c r="A1016" s="307">
        <f t="shared" si="91"/>
        <v>1010</v>
      </c>
      <c r="B1016" s="308">
        <v>46194</v>
      </c>
      <c r="C1016" s="309">
        <f t="shared" si="92"/>
        <v>46174</v>
      </c>
      <c r="D1016" s="310" t="s">
        <v>56</v>
      </c>
      <c r="E1016" s="310" t="s">
        <v>60</v>
      </c>
      <c r="F1016" s="311">
        <v>9040208667</v>
      </c>
      <c r="G1016" s="316" t="s">
        <v>1093</v>
      </c>
      <c r="H1016" s="316" t="s">
        <v>3432</v>
      </c>
      <c r="I1016" s="316" t="s">
        <v>6</v>
      </c>
      <c r="J1016" s="310" t="s">
        <v>172</v>
      </c>
      <c r="K1016" s="312">
        <v>57300</v>
      </c>
      <c r="L1016" s="312">
        <v>144580</v>
      </c>
      <c r="M1016" s="313">
        <f t="shared" si="93"/>
        <v>87280</v>
      </c>
      <c r="N1016" s="314">
        <f t="shared" si="94"/>
        <v>0.603679623737723</v>
      </c>
      <c r="O1016" s="312">
        <v>57300</v>
      </c>
      <c r="P1016" s="313">
        <f t="shared" si="90"/>
        <v>0</v>
      </c>
      <c r="Q1016" s="310" t="s">
        <v>147</v>
      </c>
      <c r="R1016" s="310">
        <v>101</v>
      </c>
      <c r="S1016" s="310"/>
      <c r="T1016" s="308">
        <v>46197</v>
      </c>
      <c r="U1016" s="308">
        <v>46197</v>
      </c>
      <c r="V1016" s="308"/>
      <c r="W1016" s="315">
        <f t="shared" si="95"/>
        <v>3</v>
      </c>
      <c r="X1016" s="310" t="s">
        <v>54</v>
      </c>
      <c r="Y1016" s="310" t="s">
        <v>56</v>
      </c>
      <c r="Z1016" s="316"/>
      <c r="AA1016" s="316" t="s">
        <v>3411</v>
      </c>
      <c r="AB1016" s="316" t="s">
        <v>3411</v>
      </c>
    </row>
    <row r="1017" spans="1:28" x14ac:dyDescent="0.25">
      <c r="A1017" s="307">
        <f t="shared" si="91"/>
        <v>1011</v>
      </c>
      <c r="B1017" s="308">
        <v>46194</v>
      </c>
      <c r="C1017" s="309">
        <f t="shared" si="92"/>
        <v>46174</v>
      </c>
      <c r="D1017" s="310" t="s">
        <v>56</v>
      </c>
      <c r="E1017" s="310" t="s">
        <v>1641</v>
      </c>
      <c r="F1017" s="311">
        <v>9486716172</v>
      </c>
      <c r="G1017" s="316" t="s">
        <v>6</v>
      </c>
      <c r="H1017" s="316" t="s">
        <v>1874</v>
      </c>
      <c r="I1017" s="316" t="s">
        <v>3420</v>
      </c>
      <c r="J1017" s="310" t="s">
        <v>172</v>
      </c>
      <c r="K1017" s="312">
        <v>44680</v>
      </c>
      <c r="L1017" s="312">
        <v>60480</v>
      </c>
      <c r="M1017" s="313">
        <f t="shared" si="93"/>
        <v>15800</v>
      </c>
      <c r="N1017" s="314">
        <f t="shared" si="94"/>
        <v>0.261243386243386</v>
      </c>
      <c r="O1017" s="312">
        <v>44680</v>
      </c>
      <c r="P1017" s="313">
        <f t="shared" si="90"/>
        <v>0</v>
      </c>
      <c r="Q1017" s="310" t="s">
        <v>147</v>
      </c>
      <c r="R1017" s="310">
        <v>102</v>
      </c>
      <c r="S1017" s="310"/>
      <c r="T1017" s="308">
        <v>46196</v>
      </c>
      <c r="U1017" s="308">
        <v>46196</v>
      </c>
      <c r="V1017" s="308"/>
      <c r="W1017" s="315">
        <f t="shared" si="95"/>
        <v>2</v>
      </c>
      <c r="X1017" s="310" t="s">
        <v>54</v>
      </c>
      <c r="Y1017" s="310" t="s">
        <v>56</v>
      </c>
      <c r="Z1017" s="316"/>
      <c r="AA1017" s="316" t="s">
        <v>3407</v>
      </c>
      <c r="AB1017" s="316" t="s">
        <v>3407</v>
      </c>
    </row>
    <row r="1018" spans="1:28" x14ac:dyDescent="0.25">
      <c r="A1018" s="307">
        <f t="shared" si="91"/>
        <v>1012</v>
      </c>
      <c r="B1018" s="308">
        <v>46194</v>
      </c>
      <c r="C1018" s="309">
        <f t="shared" si="92"/>
        <v>46174</v>
      </c>
      <c r="D1018" s="310" t="s">
        <v>56</v>
      </c>
      <c r="E1018" s="310" t="s">
        <v>2859</v>
      </c>
      <c r="F1018" s="311">
        <v>9182842770</v>
      </c>
      <c r="G1018" s="316" t="s">
        <v>6</v>
      </c>
      <c r="H1018" s="316" t="s">
        <v>3421</v>
      </c>
      <c r="I1018" s="316" t="s">
        <v>3422</v>
      </c>
      <c r="J1018" s="310" t="s">
        <v>172</v>
      </c>
      <c r="K1018" s="312">
        <v>45630</v>
      </c>
      <c r="L1018" s="312">
        <v>66780</v>
      </c>
      <c r="M1018" s="313">
        <f t="shared" si="93"/>
        <v>21150</v>
      </c>
      <c r="N1018" s="314">
        <f t="shared" si="94"/>
        <v>0.316711590296496</v>
      </c>
      <c r="O1018" s="312">
        <v>45630</v>
      </c>
      <c r="P1018" s="313">
        <f t="shared" si="90"/>
        <v>0</v>
      </c>
      <c r="Q1018" s="310" t="s">
        <v>147</v>
      </c>
      <c r="R1018" s="310">
        <v>103</v>
      </c>
      <c r="S1018" s="310"/>
      <c r="T1018" s="308">
        <v>46196</v>
      </c>
      <c r="U1018" s="308">
        <v>46197</v>
      </c>
      <c r="V1018" s="308"/>
      <c r="W1018" s="315">
        <f t="shared" si="95"/>
        <v>3</v>
      </c>
      <c r="X1018" s="310" t="s">
        <v>54</v>
      </c>
      <c r="Y1018" s="310" t="s">
        <v>56</v>
      </c>
      <c r="Z1018" s="316"/>
      <c r="AA1018" s="316" t="s">
        <v>3407</v>
      </c>
      <c r="AB1018" s="316" t="s">
        <v>3411</v>
      </c>
    </row>
    <row r="1019" spans="1:28" x14ac:dyDescent="0.25">
      <c r="A1019" s="307">
        <f t="shared" si="91"/>
        <v>1013</v>
      </c>
      <c r="B1019" s="308">
        <v>46196</v>
      </c>
      <c r="C1019" s="309">
        <f t="shared" si="92"/>
        <v>46174</v>
      </c>
      <c r="D1019" s="310" t="s">
        <v>56</v>
      </c>
      <c r="E1019" s="310" t="s">
        <v>1637</v>
      </c>
      <c r="F1019" s="311">
        <v>9025368773</v>
      </c>
      <c r="G1019" s="316" t="s">
        <v>6</v>
      </c>
      <c r="H1019" s="316" t="s">
        <v>3423</v>
      </c>
      <c r="I1019" s="316" t="s">
        <v>3424</v>
      </c>
      <c r="J1019" s="310" t="s">
        <v>172</v>
      </c>
      <c r="K1019" s="312">
        <v>45630</v>
      </c>
      <c r="L1019" s="312">
        <v>66780</v>
      </c>
      <c r="M1019" s="313">
        <f t="shared" si="93"/>
        <v>21150</v>
      </c>
      <c r="N1019" s="314">
        <f t="shared" si="94"/>
        <v>0.316711590296496</v>
      </c>
      <c r="O1019" s="312">
        <v>45630</v>
      </c>
      <c r="P1019" s="313">
        <f t="shared" si="90"/>
        <v>0</v>
      </c>
      <c r="Q1019" s="310" t="s">
        <v>147</v>
      </c>
      <c r="R1019" s="310">
        <v>104</v>
      </c>
      <c r="S1019" s="310"/>
      <c r="T1019" s="308">
        <v>46199</v>
      </c>
      <c r="U1019" s="308">
        <v>46199</v>
      </c>
      <c r="V1019" s="308"/>
      <c r="W1019" s="315">
        <f t="shared" si="95"/>
        <v>3</v>
      </c>
      <c r="X1019" s="310" t="s">
        <v>54</v>
      </c>
      <c r="Y1019" s="310" t="s">
        <v>56</v>
      </c>
      <c r="Z1019" s="316"/>
      <c r="AA1019" s="316" t="s">
        <v>3412</v>
      </c>
      <c r="AB1019" s="316" t="s">
        <v>3412</v>
      </c>
    </row>
    <row r="1020" spans="1:28" x14ac:dyDescent="0.25">
      <c r="A1020" s="307">
        <f t="shared" si="91"/>
        <v>1014</v>
      </c>
      <c r="B1020" s="308">
        <v>46197</v>
      </c>
      <c r="C1020" s="309">
        <f t="shared" si="92"/>
        <v>46174</v>
      </c>
      <c r="D1020" s="310" t="s">
        <v>56</v>
      </c>
      <c r="E1020" s="310" t="s">
        <v>3122</v>
      </c>
      <c r="F1020" s="311">
        <v>9935813519</v>
      </c>
      <c r="G1020" s="316" t="s">
        <v>6</v>
      </c>
      <c r="H1020" s="316" t="s">
        <v>3425</v>
      </c>
      <c r="I1020" s="316" t="s">
        <v>3426</v>
      </c>
      <c r="J1020" s="310" t="s">
        <v>172</v>
      </c>
      <c r="K1020" s="312">
        <v>45630</v>
      </c>
      <c r="L1020" s="312">
        <v>66780</v>
      </c>
      <c r="M1020" s="313">
        <f t="shared" si="93"/>
        <v>21150</v>
      </c>
      <c r="N1020" s="314">
        <f t="shared" si="94"/>
        <v>0.316711590296496</v>
      </c>
      <c r="O1020" s="312">
        <v>45630</v>
      </c>
      <c r="P1020" s="313">
        <f t="shared" si="90"/>
        <v>0</v>
      </c>
      <c r="Q1020" s="310" t="s">
        <v>147</v>
      </c>
      <c r="R1020" s="310">
        <v>105</v>
      </c>
      <c r="S1020" s="310"/>
      <c r="T1020" s="308">
        <v>46199</v>
      </c>
      <c r="U1020" s="308">
        <v>46199</v>
      </c>
      <c r="V1020" s="308"/>
      <c r="W1020" s="315">
        <f t="shared" si="95"/>
        <v>2</v>
      </c>
      <c r="X1020" s="310" t="s">
        <v>54</v>
      </c>
      <c r="Y1020" s="310" t="s">
        <v>56</v>
      </c>
      <c r="Z1020" s="316"/>
      <c r="AA1020" s="316" t="s">
        <v>3412</v>
      </c>
      <c r="AB1020" s="316" t="s">
        <v>3412</v>
      </c>
    </row>
    <row r="1021" spans="1:28" x14ac:dyDescent="0.25">
      <c r="A1021" s="307">
        <f t="shared" si="91"/>
        <v>1015</v>
      </c>
      <c r="B1021" s="308">
        <v>46197</v>
      </c>
      <c r="C1021" s="309">
        <f t="shared" si="92"/>
        <v>46174</v>
      </c>
      <c r="D1021" s="310" t="s">
        <v>56</v>
      </c>
      <c r="E1021" s="310" t="s">
        <v>38</v>
      </c>
      <c r="F1021" s="311">
        <v>9995059254</v>
      </c>
      <c r="G1021" s="316" t="s">
        <v>6</v>
      </c>
      <c r="H1021" s="316" t="s">
        <v>3427</v>
      </c>
      <c r="I1021" s="316" t="s">
        <v>3428</v>
      </c>
      <c r="J1021" s="310" t="s">
        <v>59</v>
      </c>
      <c r="K1021" s="312">
        <v>45270</v>
      </c>
      <c r="L1021" s="312">
        <v>64420</v>
      </c>
      <c r="M1021" s="313">
        <f t="shared" si="93"/>
        <v>19150</v>
      </c>
      <c r="N1021" s="314">
        <f t="shared" si="94"/>
        <v>0.29726792921453</v>
      </c>
      <c r="O1021" s="312">
        <v>45270</v>
      </c>
      <c r="P1021" s="313">
        <f t="shared" si="90"/>
        <v>0</v>
      </c>
      <c r="Q1021" s="310" t="s">
        <v>147</v>
      </c>
      <c r="R1021" s="310">
        <v>106</v>
      </c>
      <c r="S1021" s="310"/>
      <c r="T1021" s="308">
        <v>46200</v>
      </c>
      <c r="U1021" s="308">
        <v>46200</v>
      </c>
      <c r="V1021" s="308"/>
      <c r="W1021" s="315">
        <f t="shared" si="95"/>
        <v>3</v>
      </c>
      <c r="X1021" s="310" t="s">
        <v>54</v>
      </c>
      <c r="Y1021" s="310" t="s">
        <v>56</v>
      </c>
      <c r="Z1021" s="316"/>
      <c r="AA1021" s="316" t="s">
        <v>3434</v>
      </c>
      <c r="AB1021" s="316" t="s">
        <v>3434</v>
      </c>
    </row>
    <row r="1022" spans="1:28" x14ac:dyDescent="0.25">
      <c r="A1022" s="307">
        <f t="shared" si="91"/>
        <v>1016</v>
      </c>
      <c r="B1022" s="308">
        <v>46197</v>
      </c>
      <c r="C1022" s="309">
        <f t="shared" si="92"/>
        <v>46174</v>
      </c>
      <c r="D1022" s="310" t="s">
        <v>56</v>
      </c>
      <c r="E1022" s="310" t="s">
        <v>1641</v>
      </c>
      <c r="F1022" s="311">
        <v>9486716172</v>
      </c>
      <c r="G1022" s="316" t="s">
        <v>1093</v>
      </c>
      <c r="H1022" s="316" t="s">
        <v>3450</v>
      </c>
      <c r="I1022" s="316" t="s">
        <v>6</v>
      </c>
      <c r="J1022" s="310" t="s">
        <v>172</v>
      </c>
      <c r="K1022" s="312">
        <v>57300</v>
      </c>
      <c r="L1022" s="312">
        <v>144580</v>
      </c>
      <c r="M1022" s="313">
        <f t="shared" si="93"/>
        <v>87280</v>
      </c>
      <c r="N1022" s="314">
        <f t="shared" si="94"/>
        <v>0.603679623737723</v>
      </c>
      <c r="O1022" s="312">
        <v>57300</v>
      </c>
      <c r="P1022" s="313">
        <f t="shared" si="90"/>
        <v>0</v>
      </c>
      <c r="Q1022" s="310" t="s">
        <v>147</v>
      </c>
      <c r="R1022" s="310">
        <v>107</v>
      </c>
      <c r="S1022" s="310"/>
      <c r="T1022" s="308">
        <v>46200</v>
      </c>
      <c r="U1022" s="308">
        <v>46200</v>
      </c>
      <c r="V1022" s="308"/>
      <c r="W1022" s="315">
        <f t="shared" si="95"/>
        <v>3</v>
      </c>
      <c r="X1022" s="310" t="s">
        <v>54</v>
      </c>
      <c r="Y1022" s="310" t="s">
        <v>56</v>
      </c>
      <c r="Z1022" s="316"/>
      <c r="AA1022" s="316" t="s">
        <v>3434</v>
      </c>
      <c r="AB1022" s="316" t="s">
        <v>3434</v>
      </c>
    </row>
    <row r="1023" spans="1:28" x14ac:dyDescent="0.25">
      <c r="A1023" s="307">
        <f t="shared" si="91"/>
        <v>1017</v>
      </c>
      <c r="B1023" s="308">
        <v>46198</v>
      </c>
      <c r="C1023" s="309">
        <f t="shared" si="92"/>
        <v>46174</v>
      </c>
      <c r="D1023" s="310" t="s">
        <v>56</v>
      </c>
      <c r="E1023" s="310" t="s">
        <v>3065</v>
      </c>
      <c r="F1023" s="311">
        <v>9068805165</v>
      </c>
      <c r="G1023" s="316" t="s">
        <v>1093</v>
      </c>
      <c r="H1023" s="316" t="s">
        <v>3459</v>
      </c>
      <c r="I1023" s="316" t="s">
        <v>6</v>
      </c>
      <c r="J1023" s="310" t="s">
        <v>172</v>
      </c>
      <c r="K1023" s="312">
        <v>58240</v>
      </c>
      <c r="L1023" s="312">
        <v>150880</v>
      </c>
      <c r="M1023" s="313">
        <f t="shared" si="93"/>
        <v>92640</v>
      </c>
      <c r="N1023" s="314">
        <f t="shared" si="94"/>
        <v>0.613997879109226</v>
      </c>
      <c r="O1023" s="312">
        <v>58240</v>
      </c>
      <c r="P1023" s="313">
        <f t="shared" si="90"/>
        <v>0</v>
      </c>
      <c r="Q1023" s="310" t="s">
        <v>147</v>
      </c>
      <c r="R1023" s="310">
        <v>108</v>
      </c>
      <c r="S1023" s="310"/>
      <c r="T1023" s="308">
        <v>46200</v>
      </c>
      <c r="U1023" s="308">
        <v>46200</v>
      </c>
      <c r="V1023" s="308"/>
      <c r="W1023" s="315">
        <f t="shared" si="95"/>
        <v>2</v>
      </c>
      <c r="X1023" s="310" t="s">
        <v>54</v>
      </c>
      <c r="Y1023" s="310" t="s">
        <v>56</v>
      </c>
      <c r="Z1023" s="316"/>
      <c r="AA1023" s="316" t="s">
        <v>3434</v>
      </c>
      <c r="AB1023" s="316" t="s">
        <v>3434</v>
      </c>
    </row>
    <row r="1024" spans="1:28" x14ac:dyDescent="0.25">
      <c r="A1024" s="307">
        <f t="shared" si="91"/>
        <v>1018</v>
      </c>
      <c r="B1024" s="308">
        <v>46198</v>
      </c>
      <c r="C1024" s="309">
        <f t="shared" si="92"/>
        <v>46174</v>
      </c>
      <c r="D1024" s="310" t="s">
        <v>56</v>
      </c>
      <c r="E1024" s="310" t="s">
        <v>60</v>
      </c>
      <c r="F1024" s="311">
        <v>9040208667</v>
      </c>
      <c r="G1024" s="316" t="s">
        <v>6</v>
      </c>
      <c r="H1024" s="316" t="s">
        <v>3429</v>
      </c>
      <c r="I1024" s="316" t="s">
        <v>3430</v>
      </c>
      <c r="J1024" s="310" t="s">
        <v>172</v>
      </c>
      <c r="K1024" s="312">
        <v>45630</v>
      </c>
      <c r="L1024" s="312">
        <v>66780</v>
      </c>
      <c r="M1024" s="313">
        <f t="shared" si="93"/>
        <v>21150</v>
      </c>
      <c r="N1024" s="314">
        <f t="shared" si="94"/>
        <v>0.316711590296496</v>
      </c>
      <c r="O1024" s="312">
        <v>45630</v>
      </c>
      <c r="P1024" s="313">
        <f t="shared" si="90"/>
        <v>0</v>
      </c>
      <c r="Q1024" s="310" t="s">
        <v>147</v>
      </c>
      <c r="R1024" s="310">
        <v>109</v>
      </c>
      <c r="S1024" s="310"/>
      <c r="T1024" s="308">
        <v>46200</v>
      </c>
      <c r="U1024" s="308">
        <v>46200</v>
      </c>
      <c r="V1024" s="308"/>
      <c r="W1024" s="315">
        <f t="shared" si="95"/>
        <v>2</v>
      </c>
      <c r="X1024" s="310" t="s">
        <v>54</v>
      </c>
      <c r="Y1024" s="310" t="s">
        <v>56</v>
      </c>
      <c r="Z1024" s="316"/>
      <c r="AA1024" s="316" t="s">
        <v>3434</v>
      </c>
      <c r="AB1024" s="316" t="s">
        <v>3434</v>
      </c>
    </row>
    <row r="1025" spans="1:28" x14ac:dyDescent="0.25">
      <c r="A1025" s="307">
        <f t="shared" si="91"/>
        <v>1019</v>
      </c>
      <c r="B1025" s="308">
        <v>46198</v>
      </c>
      <c r="C1025" s="309">
        <f t="shared" si="92"/>
        <v>46174</v>
      </c>
      <c r="D1025" s="310" t="s">
        <v>56</v>
      </c>
      <c r="E1025" s="310" t="s">
        <v>1635</v>
      </c>
      <c r="F1025" s="311">
        <v>9793531306</v>
      </c>
      <c r="G1025" s="316" t="s">
        <v>1093</v>
      </c>
      <c r="H1025" s="316" t="s">
        <v>3451</v>
      </c>
      <c r="I1025" s="316" t="s">
        <v>6</v>
      </c>
      <c r="J1025" s="310" t="s">
        <v>172</v>
      </c>
      <c r="K1025" s="312">
        <v>57300</v>
      </c>
      <c r="L1025" s="312">
        <v>144580</v>
      </c>
      <c r="M1025" s="313">
        <f t="shared" si="93"/>
        <v>87280</v>
      </c>
      <c r="N1025" s="314">
        <f t="shared" si="94"/>
        <v>0.603679623737723</v>
      </c>
      <c r="O1025" s="312">
        <v>57300</v>
      </c>
      <c r="P1025" s="313">
        <f t="shared" si="90"/>
        <v>0</v>
      </c>
      <c r="Q1025" s="310" t="s">
        <v>147</v>
      </c>
      <c r="R1025" s="310">
        <v>110</v>
      </c>
      <c r="S1025" s="310"/>
      <c r="T1025" s="308">
        <v>46201</v>
      </c>
      <c r="U1025" s="308">
        <v>46202</v>
      </c>
      <c r="V1025" s="308"/>
      <c r="W1025" s="315">
        <f t="shared" si="95"/>
        <v>4</v>
      </c>
      <c r="X1025" s="310" t="s">
        <v>54</v>
      </c>
      <c r="Y1025" s="310" t="s">
        <v>56</v>
      </c>
      <c r="Z1025" s="316"/>
      <c r="AA1025" s="316" t="s">
        <v>3436</v>
      </c>
      <c r="AB1025" s="316" t="s">
        <v>3437</v>
      </c>
    </row>
    <row r="1026" spans="1:28" x14ac:dyDescent="0.25">
      <c r="A1026" s="307">
        <f t="shared" si="91"/>
        <v>1020</v>
      </c>
      <c r="B1026" s="308">
        <v>46200</v>
      </c>
      <c r="C1026" s="309">
        <f t="shared" si="92"/>
        <v>46174</v>
      </c>
      <c r="D1026" s="310" t="s">
        <v>56</v>
      </c>
      <c r="E1026" s="310" t="s">
        <v>3065</v>
      </c>
      <c r="F1026" s="311">
        <v>9068805165</v>
      </c>
      <c r="G1026" s="316" t="s">
        <v>6</v>
      </c>
      <c r="H1026" s="316" t="s">
        <v>3453</v>
      </c>
      <c r="I1026" s="316" t="s">
        <v>3454</v>
      </c>
      <c r="J1026" s="310" t="s">
        <v>172</v>
      </c>
      <c r="K1026" s="312">
        <v>45630</v>
      </c>
      <c r="L1026" s="312">
        <v>66780</v>
      </c>
      <c r="M1026" s="313">
        <f t="shared" si="93"/>
        <v>21150</v>
      </c>
      <c r="N1026" s="314">
        <f t="shared" si="94"/>
        <v>0.316711590296496</v>
      </c>
      <c r="O1026" s="312">
        <v>45630</v>
      </c>
      <c r="P1026" s="313">
        <f t="shared" si="90"/>
        <v>0</v>
      </c>
      <c r="Q1026" s="310" t="s">
        <v>147</v>
      </c>
      <c r="R1026" s="310">
        <v>111</v>
      </c>
      <c r="S1026" s="310"/>
      <c r="T1026" s="308">
        <v>46203</v>
      </c>
      <c r="U1026" s="308">
        <v>46203</v>
      </c>
      <c r="V1026" s="308"/>
      <c r="W1026" s="315">
        <f t="shared" si="95"/>
        <v>3</v>
      </c>
      <c r="X1026" s="310" t="s">
        <v>54</v>
      </c>
      <c r="Y1026" s="310" t="s">
        <v>56</v>
      </c>
      <c r="Z1026" s="316"/>
      <c r="AA1026" s="316" t="s">
        <v>3444</v>
      </c>
      <c r="AB1026" s="316" t="s">
        <v>3444</v>
      </c>
    </row>
    <row r="1027" spans="1:28" x14ac:dyDescent="0.25">
      <c r="A1027" s="307">
        <f t="shared" si="91"/>
        <v>1021</v>
      </c>
      <c r="B1027" s="308">
        <v>46200</v>
      </c>
      <c r="C1027" s="309">
        <f t="shared" si="92"/>
        <v>46174</v>
      </c>
      <c r="D1027" s="310" t="s">
        <v>56</v>
      </c>
      <c r="E1027" s="310" t="s">
        <v>1637</v>
      </c>
      <c r="F1027" s="311">
        <v>9025368773</v>
      </c>
      <c r="G1027" s="316" t="s">
        <v>1093</v>
      </c>
      <c r="H1027" s="316" t="s">
        <v>3452</v>
      </c>
      <c r="I1027" s="316" t="s">
        <v>6</v>
      </c>
      <c r="J1027" s="310" t="s">
        <v>172</v>
      </c>
      <c r="K1027" s="312">
        <v>58240</v>
      </c>
      <c r="L1027" s="312">
        <v>150880</v>
      </c>
      <c r="M1027" s="313">
        <f t="shared" si="93"/>
        <v>92640</v>
      </c>
      <c r="N1027" s="314">
        <f t="shared" si="94"/>
        <v>0.613997879109226</v>
      </c>
      <c r="O1027" s="312">
        <v>58240</v>
      </c>
      <c r="P1027" s="313">
        <f t="shared" si="90"/>
        <v>0</v>
      </c>
      <c r="Q1027" s="310" t="s">
        <v>147</v>
      </c>
      <c r="R1027" s="310">
        <v>112</v>
      </c>
      <c r="S1027" s="310"/>
      <c r="T1027" s="308">
        <v>46203</v>
      </c>
      <c r="U1027" s="308">
        <v>46203</v>
      </c>
      <c r="V1027" s="308"/>
      <c r="W1027" s="315">
        <f t="shared" si="95"/>
        <v>3</v>
      </c>
      <c r="X1027" s="310" t="s">
        <v>54</v>
      </c>
      <c r="Y1027" s="310" t="s">
        <v>56</v>
      </c>
      <c r="Z1027" s="316"/>
      <c r="AA1027" s="316" t="s">
        <v>3444</v>
      </c>
      <c r="AB1027" s="316" t="s">
        <v>3444</v>
      </c>
    </row>
    <row r="1028" spans="1:28" x14ac:dyDescent="0.25">
      <c r="A1028" s="307">
        <f t="shared" si="91"/>
        <v>1022</v>
      </c>
      <c r="B1028" s="308">
        <v>46201</v>
      </c>
      <c r="C1028" s="309">
        <f t="shared" si="92"/>
        <v>46174</v>
      </c>
      <c r="D1028" s="310" t="s">
        <v>56</v>
      </c>
      <c r="E1028" s="310" t="s">
        <v>3122</v>
      </c>
      <c r="F1028" s="311">
        <v>992309437</v>
      </c>
      <c r="G1028" s="316" t="s">
        <v>1093</v>
      </c>
      <c r="H1028" s="316" t="s">
        <v>3458</v>
      </c>
      <c r="I1028" s="316" t="s">
        <v>6</v>
      </c>
      <c r="J1028" s="310" t="s">
        <v>172</v>
      </c>
      <c r="K1028" s="312">
        <v>57300</v>
      </c>
      <c r="L1028" s="312">
        <v>144580</v>
      </c>
      <c r="M1028" s="313">
        <f t="shared" si="93"/>
        <v>87280</v>
      </c>
      <c r="N1028" s="314">
        <f t="shared" si="94"/>
        <v>0.603679623737723</v>
      </c>
      <c r="O1028" s="312">
        <v>57300</v>
      </c>
      <c r="P1028" s="313">
        <f t="shared" si="90"/>
        <v>0</v>
      </c>
      <c r="Q1028" s="310" t="s">
        <v>147</v>
      </c>
      <c r="R1028" s="310">
        <v>113</v>
      </c>
      <c r="S1028" s="310"/>
      <c r="T1028" s="308">
        <v>46203</v>
      </c>
      <c r="U1028" s="308">
        <v>46203</v>
      </c>
      <c r="V1028" s="308"/>
      <c r="W1028" s="315">
        <f t="shared" si="95"/>
        <v>2</v>
      </c>
      <c r="X1028" s="310" t="s">
        <v>54</v>
      </c>
      <c r="Y1028" s="310" t="s">
        <v>56</v>
      </c>
      <c r="Z1028" s="316"/>
      <c r="AA1028" s="316" t="s">
        <v>3444</v>
      </c>
      <c r="AB1028" s="316" t="s">
        <v>3444</v>
      </c>
    </row>
    <row r="1029" spans="1:28" x14ac:dyDescent="0.25">
      <c r="A1029" s="307">
        <f t="shared" si="91"/>
        <v>1023</v>
      </c>
      <c r="B1029" s="308">
        <v>46202</v>
      </c>
      <c r="C1029" s="309">
        <f t="shared" si="92"/>
        <v>46174</v>
      </c>
      <c r="D1029" s="310" t="s">
        <v>56</v>
      </c>
      <c r="E1029" s="310" t="s">
        <v>1635</v>
      </c>
      <c r="F1029" s="311">
        <v>9793531306</v>
      </c>
      <c r="G1029" s="316" t="s">
        <v>6</v>
      </c>
      <c r="H1029" s="316" t="s">
        <v>1874</v>
      </c>
      <c r="I1029" s="316" t="s">
        <v>3455</v>
      </c>
      <c r="J1029" s="310" t="s">
        <v>172</v>
      </c>
      <c r="K1029" s="312">
        <v>44680</v>
      </c>
      <c r="L1029" s="312">
        <v>60480</v>
      </c>
      <c r="M1029" s="313">
        <f t="shared" si="93"/>
        <v>15800</v>
      </c>
      <c r="N1029" s="314">
        <f t="shared" si="94"/>
        <v>0.261243386243386</v>
      </c>
      <c r="O1029" s="312">
        <v>44680</v>
      </c>
      <c r="P1029" s="313">
        <f t="shared" si="90"/>
        <v>0</v>
      </c>
      <c r="Q1029" s="310" t="s">
        <v>147</v>
      </c>
      <c r="R1029" s="310">
        <v>114</v>
      </c>
      <c r="S1029" s="310"/>
      <c r="T1029" s="308">
        <v>46204</v>
      </c>
      <c r="U1029" s="308">
        <v>46204</v>
      </c>
      <c r="V1029" s="308"/>
      <c r="W1029" s="315">
        <f t="shared" si="95"/>
        <v>2</v>
      </c>
      <c r="X1029" s="310" t="s">
        <v>54</v>
      </c>
      <c r="Y1029" s="310" t="s">
        <v>56</v>
      </c>
      <c r="Z1029" s="316"/>
      <c r="AA1029" s="317">
        <v>46029</v>
      </c>
      <c r="AB1029" s="317">
        <v>46029</v>
      </c>
    </row>
    <row r="1030" spans="1:28" x14ac:dyDescent="0.25">
      <c r="A1030" s="307">
        <f t="shared" si="91"/>
        <v>1024</v>
      </c>
      <c r="B1030" s="308">
        <v>46204</v>
      </c>
      <c r="C1030" s="309">
        <f t="shared" si="92"/>
        <v>46204</v>
      </c>
      <c r="D1030" s="310" t="s">
        <v>56</v>
      </c>
      <c r="E1030" s="310" t="s">
        <v>38</v>
      </c>
      <c r="F1030" s="311">
        <v>9995059254</v>
      </c>
      <c r="G1030" s="316" t="s">
        <v>6</v>
      </c>
      <c r="H1030" s="316" t="s">
        <v>3485</v>
      </c>
      <c r="I1030" s="316" t="s">
        <v>3486</v>
      </c>
      <c r="J1030" s="310" t="s">
        <v>59</v>
      </c>
      <c r="K1030" s="312">
        <v>45270</v>
      </c>
      <c r="L1030" s="312">
        <v>64420</v>
      </c>
      <c r="M1030" s="313">
        <f t="shared" si="93"/>
        <v>19150</v>
      </c>
      <c r="N1030" s="314">
        <f t="shared" si="94"/>
        <v>0.29726792921453</v>
      </c>
      <c r="O1030" s="312">
        <v>45270</v>
      </c>
      <c r="P1030" s="313">
        <f t="shared" si="90"/>
        <v>0</v>
      </c>
      <c r="Q1030" s="310" t="s">
        <v>147</v>
      </c>
      <c r="R1030" s="310">
        <v>115</v>
      </c>
      <c r="S1030" s="310"/>
      <c r="T1030" s="308">
        <v>46206</v>
      </c>
      <c r="U1030" s="308">
        <v>46206</v>
      </c>
      <c r="V1030" s="308"/>
      <c r="W1030" s="315">
        <f t="shared" si="95"/>
        <v>2</v>
      </c>
      <c r="X1030" s="310" t="s">
        <v>54</v>
      </c>
      <c r="Y1030" s="310" t="s">
        <v>56</v>
      </c>
      <c r="Z1030" s="316"/>
      <c r="AA1030" s="317">
        <v>46088</v>
      </c>
      <c r="AB1030" s="317">
        <v>46088</v>
      </c>
    </row>
    <row r="1031" spans="1:28" x14ac:dyDescent="0.25">
      <c r="A1031" s="307">
        <f t="shared" si="91"/>
        <v>1025</v>
      </c>
      <c r="B1031" s="308">
        <v>46205</v>
      </c>
      <c r="C1031" s="309">
        <f t="shared" si="92"/>
        <v>46204</v>
      </c>
      <c r="D1031" s="310" t="s">
        <v>56</v>
      </c>
      <c r="E1031" s="310" t="s">
        <v>1637</v>
      </c>
      <c r="F1031" s="311">
        <v>9025368773</v>
      </c>
      <c r="G1031" s="316" t="s">
        <v>6</v>
      </c>
      <c r="H1031" s="316" t="s">
        <v>3487</v>
      </c>
      <c r="I1031" s="316" t="s">
        <v>3488</v>
      </c>
      <c r="J1031" s="310" t="s">
        <v>172</v>
      </c>
      <c r="K1031" s="312">
        <v>45630</v>
      </c>
      <c r="L1031" s="312">
        <v>66780</v>
      </c>
      <c r="M1031" s="313">
        <f t="shared" si="93"/>
        <v>21150</v>
      </c>
      <c r="N1031" s="314">
        <f t="shared" si="94"/>
        <v>0.316711590296496</v>
      </c>
      <c r="O1031" s="312">
        <v>45630</v>
      </c>
      <c r="P1031" s="313">
        <f t="shared" ref="P1031:P1094" si="96">IF(OR($K1031="",$O1031=""),"",$K1031-$O1031)</f>
        <v>0</v>
      </c>
      <c r="Q1031" s="310" t="s">
        <v>147</v>
      </c>
      <c r="R1031" s="310">
        <v>116</v>
      </c>
      <c r="S1031" s="310"/>
      <c r="T1031" s="308">
        <v>46207</v>
      </c>
      <c r="U1031" s="308">
        <v>46207</v>
      </c>
      <c r="V1031" s="308"/>
      <c r="W1031" s="315">
        <f t="shared" si="95"/>
        <v>2</v>
      </c>
      <c r="X1031" s="310" t="s">
        <v>54</v>
      </c>
      <c r="Y1031" s="310" t="s">
        <v>56</v>
      </c>
      <c r="Z1031" s="316"/>
      <c r="AA1031" s="317">
        <v>46119</v>
      </c>
      <c r="AB1031" s="317">
        <v>46119</v>
      </c>
    </row>
    <row r="1032" spans="1:28" x14ac:dyDescent="0.25">
      <c r="A1032" s="307">
        <f t="shared" ref="A1032:A1095" si="97">IF($B1032="","",ROW()-6)</f>
        <v>1026</v>
      </c>
      <c r="B1032" s="308">
        <v>46205</v>
      </c>
      <c r="C1032" s="309">
        <f t="shared" ref="C1032:C1095" si="98">IF($B1032="","",EOMONTH($B1032,-1)+1)</f>
        <v>46204</v>
      </c>
      <c r="D1032" s="310" t="s">
        <v>56</v>
      </c>
      <c r="E1032" s="310" t="s">
        <v>1644</v>
      </c>
      <c r="F1032" s="311">
        <v>9220186371</v>
      </c>
      <c r="G1032" s="316" t="s">
        <v>1093</v>
      </c>
      <c r="H1032" s="316" t="s">
        <v>3498</v>
      </c>
      <c r="I1032" s="316" t="s">
        <v>6</v>
      </c>
      <c r="J1032" s="310" t="s">
        <v>172</v>
      </c>
      <c r="K1032" s="312">
        <v>57300</v>
      </c>
      <c r="L1032" s="312">
        <v>144580</v>
      </c>
      <c r="M1032" s="313">
        <f t="shared" ref="M1032:M1095" si="99">IF(OR($K1032="",$L1032=""),"",$L1032-$K1032)</f>
        <v>87280</v>
      </c>
      <c r="N1032" s="314">
        <f t="shared" ref="N1032:N1095" si="100">IF(OR($L1032="",$L1032=0,$M1032=""),"",$M1032/$L1032)</f>
        <v>0.603679623737723</v>
      </c>
      <c r="O1032" s="312">
        <v>57300</v>
      </c>
      <c r="P1032" s="313">
        <f t="shared" si="96"/>
        <v>0</v>
      </c>
      <c r="Q1032" s="310" t="s">
        <v>147</v>
      </c>
      <c r="R1032" s="310">
        <v>117</v>
      </c>
      <c r="S1032" s="310"/>
      <c r="T1032" s="308">
        <v>46208</v>
      </c>
      <c r="U1032" s="308">
        <v>46208</v>
      </c>
      <c r="V1032" s="308"/>
      <c r="W1032" s="315">
        <f t="shared" ref="W1032:W1095" si="101">IF(OR($B1032="",$U1032=""),"",$U1032-$B1032)</f>
        <v>3</v>
      </c>
      <c r="X1032" s="310" t="s">
        <v>54</v>
      </c>
      <c r="Y1032" s="310" t="s">
        <v>56</v>
      </c>
      <c r="Z1032" s="316"/>
      <c r="AA1032" s="317">
        <v>46149</v>
      </c>
      <c r="AB1032" s="317">
        <v>46149</v>
      </c>
    </row>
    <row r="1033" spans="1:28" x14ac:dyDescent="0.25">
      <c r="A1033" s="307">
        <f t="shared" si="97"/>
        <v>1027</v>
      </c>
      <c r="B1033" s="308">
        <v>46208</v>
      </c>
      <c r="C1033" s="309">
        <f t="shared" si="98"/>
        <v>46204</v>
      </c>
      <c r="D1033" s="310" t="s">
        <v>56</v>
      </c>
      <c r="E1033" s="310" t="s">
        <v>1635</v>
      </c>
      <c r="F1033" s="311">
        <v>9793531306</v>
      </c>
      <c r="G1033" s="316" t="s">
        <v>1093</v>
      </c>
      <c r="H1033" s="316" t="s">
        <v>3497</v>
      </c>
      <c r="I1033" s="316" t="s">
        <v>6</v>
      </c>
      <c r="J1033" s="310" t="s">
        <v>172</v>
      </c>
      <c r="K1033" s="312">
        <v>58240</v>
      </c>
      <c r="L1033" s="312">
        <v>150880</v>
      </c>
      <c r="M1033" s="313">
        <f t="shared" si="99"/>
        <v>92640</v>
      </c>
      <c r="N1033" s="314">
        <f t="shared" si="100"/>
        <v>0.613997879109226</v>
      </c>
      <c r="O1033" s="312">
        <v>58240</v>
      </c>
      <c r="P1033" s="313">
        <f t="shared" si="96"/>
        <v>0</v>
      </c>
      <c r="Q1033" s="310" t="s">
        <v>147</v>
      </c>
      <c r="R1033" s="310">
        <v>118</v>
      </c>
      <c r="S1033" s="310"/>
      <c r="T1033" s="308">
        <v>46210</v>
      </c>
      <c r="U1033" s="308">
        <v>46210</v>
      </c>
      <c r="V1033" s="308"/>
      <c r="W1033" s="315">
        <f t="shared" si="101"/>
        <v>2</v>
      </c>
      <c r="X1033" s="310" t="s">
        <v>54</v>
      </c>
      <c r="Y1033" s="310" t="s">
        <v>56</v>
      </c>
      <c r="Z1033" s="316"/>
      <c r="AA1033" s="317">
        <v>46210</v>
      </c>
      <c r="AB1033" s="317">
        <v>46210</v>
      </c>
    </row>
    <row r="1034" spans="1:28" x14ac:dyDescent="0.25">
      <c r="A1034" s="307">
        <f t="shared" si="97"/>
        <v>1028</v>
      </c>
      <c r="B1034" s="308">
        <v>46209</v>
      </c>
      <c r="C1034" s="309">
        <f t="shared" si="98"/>
        <v>46204</v>
      </c>
      <c r="D1034" s="310" t="s">
        <v>56</v>
      </c>
      <c r="E1034" s="310" t="s">
        <v>1644</v>
      </c>
      <c r="F1034" s="311">
        <v>9220186371</v>
      </c>
      <c r="G1034" s="316" t="s">
        <v>6</v>
      </c>
      <c r="H1034" s="316" t="s">
        <v>3490</v>
      </c>
      <c r="I1034" s="316" t="s">
        <v>3489</v>
      </c>
      <c r="J1034" s="310" t="s">
        <v>172</v>
      </c>
      <c r="K1034" s="312">
        <v>48130</v>
      </c>
      <c r="L1034" s="312">
        <v>83480</v>
      </c>
      <c r="M1034" s="313">
        <f t="shared" si="99"/>
        <v>35350</v>
      </c>
      <c r="N1034" s="314">
        <f t="shared" si="100"/>
        <v>0.42345471969334</v>
      </c>
      <c r="O1034" s="312">
        <v>48130</v>
      </c>
      <c r="P1034" s="313">
        <f t="shared" si="96"/>
        <v>0</v>
      </c>
      <c r="Q1034" s="310" t="s">
        <v>147</v>
      </c>
      <c r="R1034" s="310">
        <v>119</v>
      </c>
      <c r="S1034" s="310"/>
      <c r="T1034" s="308">
        <v>46212</v>
      </c>
      <c r="U1034" s="308">
        <v>46212</v>
      </c>
      <c r="V1034" s="308"/>
      <c r="W1034" s="315">
        <f t="shared" si="101"/>
        <v>3</v>
      </c>
      <c r="X1034" s="310" t="s">
        <v>54</v>
      </c>
      <c r="Y1034" s="310" t="s">
        <v>56</v>
      </c>
      <c r="Z1034" s="316" t="s">
        <v>3788</v>
      </c>
      <c r="AA1034" s="317">
        <v>46272</v>
      </c>
      <c r="AB1034" s="317">
        <v>46272</v>
      </c>
    </row>
    <row r="1035" spans="1:28" x14ac:dyDescent="0.25">
      <c r="A1035" s="307">
        <f t="shared" si="97"/>
        <v>1029</v>
      </c>
      <c r="B1035" s="308">
        <v>46211</v>
      </c>
      <c r="C1035" s="309">
        <f t="shared" si="98"/>
        <v>46204</v>
      </c>
      <c r="D1035" s="310" t="s">
        <v>56</v>
      </c>
      <c r="E1035" s="310" t="s">
        <v>38</v>
      </c>
      <c r="F1035" s="311">
        <v>9995059254</v>
      </c>
      <c r="G1035" s="316" t="s">
        <v>1093</v>
      </c>
      <c r="H1035" s="316" t="s">
        <v>3501</v>
      </c>
      <c r="I1035" s="316" t="s">
        <v>6</v>
      </c>
      <c r="J1035" s="310" t="s">
        <v>59</v>
      </c>
      <c r="K1035" s="312">
        <v>56160</v>
      </c>
      <c r="L1035" s="312">
        <v>137020</v>
      </c>
      <c r="M1035" s="313">
        <f t="shared" si="99"/>
        <v>80860</v>
      </c>
      <c r="N1035" s="314">
        <f t="shared" si="100"/>
        <v>0.590132827324478</v>
      </c>
      <c r="O1035" s="312">
        <v>56160</v>
      </c>
      <c r="P1035" s="313">
        <f t="shared" si="96"/>
        <v>0</v>
      </c>
      <c r="Q1035" s="310" t="s">
        <v>147</v>
      </c>
      <c r="R1035" s="310">
        <v>120</v>
      </c>
      <c r="S1035" s="310"/>
      <c r="T1035" s="308">
        <v>46214</v>
      </c>
      <c r="U1035" s="308">
        <v>46214</v>
      </c>
      <c r="V1035" s="308"/>
      <c r="W1035" s="315">
        <f t="shared" si="101"/>
        <v>3</v>
      </c>
      <c r="X1035" s="310" t="s">
        <v>54</v>
      </c>
      <c r="Y1035" s="310" t="s">
        <v>56</v>
      </c>
      <c r="Z1035" s="316"/>
      <c r="AA1035" s="317">
        <v>46333</v>
      </c>
      <c r="AB1035" s="317">
        <v>46333</v>
      </c>
    </row>
    <row r="1036" spans="1:28" x14ac:dyDescent="0.25">
      <c r="A1036" s="307">
        <f t="shared" si="97"/>
        <v>1030</v>
      </c>
      <c r="B1036" s="308">
        <v>46211</v>
      </c>
      <c r="C1036" s="309">
        <f t="shared" si="98"/>
        <v>46204</v>
      </c>
      <c r="D1036" s="310" t="s">
        <v>56</v>
      </c>
      <c r="E1036" s="310" t="s">
        <v>1635</v>
      </c>
      <c r="F1036" s="311">
        <v>9793531306</v>
      </c>
      <c r="G1036" s="316" t="s">
        <v>6</v>
      </c>
      <c r="H1036" s="316" t="s">
        <v>1874</v>
      </c>
      <c r="I1036" s="316" t="s">
        <v>3491</v>
      </c>
      <c r="J1036" s="310" t="s">
        <v>172</v>
      </c>
      <c r="K1036" s="312">
        <v>44680</v>
      </c>
      <c r="L1036" s="312">
        <v>60480</v>
      </c>
      <c r="M1036" s="313">
        <f t="shared" si="99"/>
        <v>15800</v>
      </c>
      <c r="N1036" s="314">
        <f t="shared" si="100"/>
        <v>0.261243386243386</v>
      </c>
      <c r="O1036" s="312">
        <v>44680</v>
      </c>
      <c r="P1036" s="313">
        <f t="shared" si="96"/>
        <v>0</v>
      </c>
      <c r="Q1036" s="310" t="s">
        <v>147</v>
      </c>
      <c r="R1036" s="310">
        <v>121</v>
      </c>
      <c r="S1036" s="310"/>
      <c r="T1036" s="308">
        <v>46214</v>
      </c>
      <c r="U1036" s="308">
        <v>46214</v>
      </c>
      <c r="V1036" s="308"/>
      <c r="W1036" s="315">
        <f t="shared" si="101"/>
        <v>3</v>
      </c>
      <c r="X1036" s="310" t="s">
        <v>54</v>
      </c>
      <c r="Y1036" s="310" t="s">
        <v>56</v>
      </c>
      <c r="Z1036" s="316"/>
      <c r="AA1036" s="317">
        <v>46333</v>
      </c>
      <c r="AB1036" s="317">
        <v>46333</v>
      </c>
    </row>
    <row r="1037" spans="1:28" x14ac:dyDescent="0.25">
      <c r="A1037" s="307">
        <f t="shared" si="97"/>
        <v>1031</v>
      </c>
      <c r="B1037" s="308">
        <v>46212</v>
      </c>
      <c r="C1037" s="309">
        <f t="shared" si="98"/>
        <v>46204</v>
      </c>
      <c r="D1037" s="310" t="s">
        <v>56</v>
      </c>
      <c r="E1037" s="310" t="s">
        <v>2859</v>
      </c>
      <c r="F1037" s="311">
        <v>9902798068</v>
      </c>
      <c r="G1037" s="316" t="s">
        <v>1093</v>
      </c>
      <c r="H1037" s="316" t="s">
        <v>3502</v>
      </c>
      <c r="I1037" s="316" t="s">
        <v>6</v>
      </c>
      <c r="J1037" s="310" t="s">
        <v>172</v>
      </c>
      <c r="K1037" s="312">
        <v>58240</v>
      </c>
      <c r="L1037" s="312">
        <v>150880</v>
      </c>
      <c r="M1037" s="313">
        <f t="shared" si="99"/>
        <v>92640</v>
      </c>
      <c r="N1037" s="314">
        <f t="shared" si="100"/>
        <v>0.613997879109226</v>
      </c>
      <c r="O1037" s="312">
        <v>58240</v>
      </c>
      <c r="P1037" s="313">
        <f t="shared" si="96"/>
        <v>0</v>
      </c>
      <c r="Q1037" s="310" t="s">
        <v>147</v>
      </c>
      <c r="R1037" s="310">
        <v>122</v>
      </c>
      <c r="S1037" s="310"/>
      <c r="T1037" s="308">
        <v>46214</v>
      </c>
      <c r="U1037" s="308">
        <v>46215</v>
      </c>
      <c r="V1037" s="308"/>
      <c r="W1037" s="315">
        <f t="shared" si="101"/>
        <v>3</v>
      </c>
      <c r="X1037" s="310" t="s">
        <v>54</v>
      </c>
      <c r="Y1037" s="310" t="s">
        <v>56</v>
      </c>
      <c r="Z1037" s="316"/>
      <c r="AA1037" s="317">
        <v>46333</v>
      </c>
      <c r="AB1037" s="317">
        <v>46363</v>
      </c>
    </row>
    <row r="1038" spans="1:28" x14ac:dyDescent="0.25">
      <c r="A1038" s="307">
        <f t="shared" si="97"/>
        <v>1032</v>
      </c>
      <c r="B1038" s="308">
        <v>46213</v>
      </c>
      <c r="C1038" s="309">
        <f t="shared" si="98"/>
        <v>46204</v>
      </c>
      <c r="D1038" s="310" t="s">
        <v>56</v>
      </c>
      <c r="E1038" s="310" t="s">
        <v>3122</v>
      </c>
      <c r="F1038" s="311">
        <v>9281983602</v>
      </c>
      <c r="G1038" s="316" t="s">
        <v>1093</v>
      </c>
      <c r="H1038" s="316" t="s">
        <v>3503</v>
      </c>
      <c r="I1038" s="316" t="s">
        <v>6</v>
      </c>
      <c r="J1038" s="310" t="s">
        <v>172</v>
      </c>
      <c r="K1038" s="312">
        <v>57300</v>
      </c>
      <c r="L1038" s="312">
        <v>144580</v>
      </c>
      <c r="M1038" s="313">
        <f t="shared" si="99"/>
        <v>87280</v>
      </c>
      <c r="N1038" s="314">
        <f t="shared" si="100"/>
        <v>0.603679623737723</v>
      </c>
      <c r="O1038" s="312">
        <v>57300</v>
      </c>
      <c r="P1038" s="313">
        <f t="shared" si="96"/>
        <v>0</v>
      </c>
      <c r="Q1038" s="310" t="s">
        <v>147</v>
      </c>
      <c r="R1038" s="310">
        <v>123</v>
      </c>
      <c r="S1038" s="310"/>
      <c r="T1038" s="308">
        <v>46215</v>
      </c>
      <c r="U1038" s="308">
        <v>46215</v>
      </c>
      <c r="V1038" s="308"/>
      <c r="W1038" s="315">
        <f t="shared" si="101"/>
        <v>2</v>
      </c>
      <c r="X1038" s="310" t="s">
        <v>54</v>
      </c>
      <c r="Y1038" s="310" t="s">
        <v>56</v>
      </c>
      <c r="Z1038" s="316"/>
      <c r="AA1038" s="317">
        <v>46363</v>
      </c>
      <c r="AB1038" s="317">
        <v>46363</v>
      </c>
    </row>
    <row r="1039" spans="1:28" x14ac:dyDescent="0.25">
      <c r="A1039" s="307">
        <f t="shared" si="97"/>
        <v>1033</v>
      </c>
      <c r="B1039" s="308">
        <v>46213</v>
      </c>
      <c r="C1039" s="309">
        <f t="shared" si="98"/>
        <v>46204</v>
      </c>
      <c r="D1039" s="310" t="s">
        <v>56</v>
      </c>
      <c r="E1039" s="310" t="s">
        <v>60</v>
      </c>
      <c r="F1039" s="311">
        <v>9040208667</v>
      </c>
      <c r="G1039" s="316" t="s">
        <v>2168</v>
      </c>
      <c r="H1039" s="316" t="s">
        <v>3789</v>
      </c>
      <c r="I1039" s="316" t="s">
        <v>6</v>
      </c>
      <c r="J1039" s="310" t="s">
        <v>172</v>
      </c>
      <c r="K1039" s="312">
        <v>56780</v>
      </c>
      <c r="L1039" s="312">
        <v>141120</v>
      </c>
      <c r="M1039" s="313">
        <f t="shared" si="99"/>
        <v>84340</v>
      </c>
      <c r="N1039" s="314">
        <f t="shared" si="100"/>
        <v>0.597647392290249</v>
      </c>
      <c r="O1039" s="312">
        <v>56780</v>
      </c>
      <c r="P1039" s="313">
        <f t="shared" si="96"/>
        <v>0</v>
      </c>
      <c r="Q1039" s="310" t="s">
        <v>147</v>
      </c>
      <c r="R1039" s="310">
        <v>124</v>
      </c>
      <c r="S1039" s="310"/>
      <c r="T1039" s="308">
        <v>46216</v>
      </c>
      <c r="U1039" s="308">
        <v>46216</v>
      </c>
      <c r="V1039" s="308"/>
      <c r="W1039" s="315">
        <f t="shared" si="101"/>
        <v>3</v>
      </c>
      <c r="X1039" s="310" t="s">
        <v>54</v>
      </c>
      <c r="Y1039" s="310" t="s">
        <v>56</v>
      </c>
      <c r="Z1039" s="316"/>
      <c r="AA1039" s="316" t="s">
        <v>3479</v>
      </c>
      <c r="AB1039" s="316" t="s">
        <v>3479</v>
      </c>
    </row>
    <row r="1040" spans="1:28" x14ac:dyDescent="0.25">
      <c r="A1040" s="307">
        <f t="shared" si="97"/>
        <v>1034</v>
      </c>
      <c r="B1040" s="308">
        <v>46213</v>
      </c>
      <c r="C1040" s="309">
        <f t="shared" si="98"/>
        <v>46204</v>
      </c>
      <c r="D1040" s="310" t="s">
        <v>56</v>
      </c>
      <c r="E1040" s="310" t="s">
        <v>3065</v>
      </c>
      <c r="F1040" s="311">
        <v>9589264337</v>
      </c>
      <c r="G1040" s="316" t="s">
        <v>6</v>
      </c>
      <c r="H1040" s="316" t="s">
        <v>3493</v>
      </c>
      <c r="I1040" s="316" t="s">
        <v>3492</v>
      </c>
      <c r="J1040" s="310" t="s">
        <v>172</v>
      </c>
      <c r="K1040" s="312">
        <v>45630</v>
      </c>
      <c r="L1040" s="312">
        <v>66780</v>
      </c>
      <c r="M1040" s="313">
        <f t="shared" si="99"/>
        <v>21150</v>
      </c>
      <c r="N1040" s="314">
        <f t="shared" si="100"/>
        <v>0.316711590296496</v>
      </c>
      <c r="O1040" s="312">
        <v>45630</v>
      </c>
      <c r="P1040" s="313">
        <f t="shared" si="96"/>
        <v>0</v>
      </c>
      <c r="Q1040" s="310" t="s">
        <v>147</v>
      </c>
      <c r="R1040" s="310">
        <v>125</v>
      </c>
      <c r="S1040" s="310"/>
      <c r="T1040" s="308">
        <v>46216</v>
      </c>
      <c r="U1040" s="308">
        <v>46216</v>
      </c>
      <c r="V1040" s="308"/>
      <c r="W1040" s="315">
        <f t="shared" si="101"/>
        <v>3</v>
      </c>
      <c r="X1040" s="310" t="s">
        <v>54</v>
      </c>
      <c r="Y1040" s="310" t="s">
        <v>56</v>
      </c>
      <c r="Z1040" s="316"/>
      <c r="AA1040" s="316" t="s">
        <v>3479</v>
      </c>
      <c r="AB1040" s="316" t="s">
        <v>3479</v>
      </c>
    </row>
    <row r="1041" spans="1:28" x14ac:dyDescent="0.25">
      <c r="A1041" s="307">
        <f t="shared" si="97"/>
        <v>1035</v>
      </c>
      <c r="B1041" s="308">
        <v>46214</v>
      </c>
      <c r="C1041" s="309">
        <f t="shared" si="98"/>
        <v>46204</v>
      </c>
      <c r="D1041" s="310" t="s">
        <v>56</v>
      </c>
      <c r="E1041" s="310" t="s">
        <v>3114</v>
      </c>
      <c r="F1041" s="311">
        <v>9472230553</v>
      </c>
      <c r="G1041" s="316" t="s">
        <v>6</v>
      </c>
      <c r="H1041" s="316" t="s">
        <v>3495</v>
      </c>
      <c r="I1041" s="316" t="s">
        <v>3494</v>
      </c>
      <c r="J1041" s="310" t="s">
        <v>172</v>
      </c>
      <c r="K1041" s="312">
        <v>45630</v>
      </c>
      <c r="L1041" s="312">
        <v>66780</v>
      </c>
      <c r="M1041" s="313">
        <f t="shared" si="99"/>
        <v>21150</v>
      </c>
      <c r="N1041" s="314">
        <f t="shared" si="100"/>
        <v>0.316711590296496</v>
      </c>
      <c r="O1041" s="312">
        <v>45630</v>
      </c>
      <c r="P1041" s="313">
        <f t="shared" si="96"/>
        <v>0</v>
      </c>
      <c r="Q1041" s="310" t="s">
        <v>147</v>
      </c>
      <c r="R1041" s="310">
        <v>126</v>
      </c>
      <c r="S1041" s="310"/>
      <c r="T1041" s="308">
        <v>46217</v>
      </c>
      <c r="U1041" s="308">
        <v>46217</v>
      </c>
      <c r="V1041" s="308"/>
      <c r="W1041" s="315">
        <f t="shared" si="101"/>
        <v>3</v>
      </c>
      <c r="X1041" s="310" t="s">
        <v>54</v>
      </c>
      <c r="Y1041" s="310" t="s">
        <v>56</v>
      </c>
      <c r="Z1041" s="316"/>
      <c r="AA1041" s="316" t="s">
        <v>3484</v>
      </c>
      <c r="AB1041" s="316" t="s">
        <v>3484</v>
      </c>
    </row>
    <row r="1042" spans="1:28" x14ac:dyDescent="0.25">
      <c r="A1042" s="307">
        <f t="shared" si="97"/>
        <v>1036</v>
      </c>
      <c r="B1042" s="308">
        <v>46215</v>
      </c>
      <c r="C1042" s="309">
        <f t="shared" si="98"/>
        <v>46204</v>
      </c>
      <c r="D1042" s="310" t="s">
        <v>56</v>
      </c>
      <c r="E1042" s="310" t="s">
        <v>1644</v>
      </c>
      <c r="F1042" s="311">
        <v>9220186371</v>
      </c>
      <c r="G1042" s="316" t="s">
        <v>1093</v>
      </c>
      <c r="H1042" s="316" t="s">
        <v>3499</v>
      </c>
      <c r="I1042" s="316" t="s">
        <v>6</v>
      </c>
      <c r="J1042" s="310" t="s">
        <v>172</v>
      </c>
      <c r="K1042" s="312">
        <v>59190</v>
      </c>
      <c r="L1042" s="312">
        <v>157180</v>
      </c>
      <c r="M1042" s="313">
        <f t="shared" si="99"/>
        <v>97990</v>
      </c>
      <c r="N1042" s="314">
        <f t="shared" si="100"/>
        <v>0.623425372184756</v>
      </c>
      <c r="O1042" s="312">
        <v>59190</v>
      </c>
      <c r="P1042" s="313">
        <f t="shared" si="96"/>
        <v>0</v>
      </c>
      <c r="Q1042" s="310" t="s">
        <v>147</v>
      </c>
      <c r="R1042" s="310">
        <v>127</v>
      </c>
      <c r="S1042" s="310"/>
      <c r="T1042" s="308">
        <v>46218</v>
      </c>
      <c r="U1042" s="308">
        <v>46218</v>
      </c>
      <c r="V1042" s="308"/>
      <c r="W1042" s="315">
        <f t="shared" si="101"/>
        <v>3</v>
      </c>
      <c r="X1042" s="310" t="s">
        <v>54</v>
      </c>
      <c r="Y1042" s="310" t="s">
        <v>56</v>
      </c>
      <c r="Z1042" s="316"/>
      <c r="AA1042" s="316" t="s">
        <v>3504</v>
      </c>
      <c r="AB1042" s="316" t="s">
        <v>3504</v>
      </c>
    </row>
    <row r="1043" spans="1:28" x14ac:dyDescent="0.25">
      <c r="A1043" s="307">
        <f t="shared" si="97"/>
        <v>1037</v>
      </c>
      <c r="B1043" s="308">
        <v>46216</v>
      </c>
      <c r="C1043" s="309">
        <f t="shared" si="98"/>
        <v>46204</v>
      </c>
      <c r="D1043" s="310" t="s">
        <v>56</v>
      </c>
      <c r="E1043" s="310" t="s">
        <v>3065</v>
      </c>
      <c r="F1043" s="311">
        <v>9589264337</v>
      </c>
      <c r="G1043" s="316" t="s">
        <v>2168</v>
      </c>
      <c r="H1043" s="316" t="s">
        <v>3514</v>
      </c>
      <c r="I1043" s="316" t="s">
        <v>6</v>
      </c>
      <c r="J1043" s="310" t="s">
        <v>172</v>
      </c>
      <c r="K1043" s="312">
        <v>54890</v>
      </c>
      <c r="L1043" s="312">
        <v>128520</v>
      </c>
      <c r="M1043" s="313">
        <f t="shared" si="99"/>
        <v>73630</v>
      </c>
      <c r="N1043" s="314">
        <f t="shared" si="100"/>
        <v>0.572906940553999</v>
      </c>
      <c r="O1043" s="312">
        <v>54890</v>
      </c>
      <c r="P1043" s="313">
        <f t="shared" si="96"/>
        <v>0</v>
      </c>
      <c r="Q1043" s="310" t="s">
        <v>147</v>
      </c>
      <c r="R1043" s="310">
        <v>128</v>
      </c>
      <c r="S1043" s="310"/>
      <c r="T1043" s="308">
        <v>46220</v>
      </c>
      <c r="U1043" s="308">
        <v>46220</v>
      </c>
      <c r="V1043" s="308"/>
      <c r="W1043" s="315">
        <f t="shared" si="101"/>
        <v>4</v>
      </c>
      <c r="X1043" s="310" t="s">
        <v>54</v>
      </c>
      <c r="Y1043" s="310" t="s">
        <v>56</v>
      </c>
      <c r="Z1043" s="316"/>
      <c r="AA1043" s="316" t="s">
        <v>3505</v>
      </c>
      <c r="AB1043" s="316" t="s">
        <v>3505</v>
      </c>
    </row>
    <row r="1044" spans="1:28" x14ac:dyDescent="0.25">
      <c r="A1044" s="307">
        <f t="shared" si="97"/>
        <v>1038</v>
      </c>
      <c r="B1044" s="308">
        <v>46217</v>
      </c>
      <c r="C1044" s="309">
        <f t="shared" si="98"/>
        <v>46204</v>
      </c>
      <c r="D1044" s="310" t="s">
        <v>56</v>
      </c>
      <c r="E1044" s="310" t="s">
        <v>1635</v>
      </c>
      <c r="F1044" s="311">
        <v>9793531306</v>
      </c>
      <c r="G1044" s="316" t="s">
        <v>1093</v>
      </c>
      <c r="H1044" s="316" t="s">
        <v>3515</v>
      </c>
      <c r="I1044" s="316" t="s">
        <v>6</v>
      </c>
      <c r="J1044" s="310" t="s">
        <v>172</v>
      </c>
      <c r="K1044" s="312">
        <v>58240</v>
      </c>
      <c r="L1044" s="312">
        <v>150880</v>
      </c>
      <c r="M1044" s="313">
        <f t="shared" si="99"/>
        <v>92640</v>
      </c>
      <c r="N1044" s="314">
        <f t="shared" si="100"/>
        <v>0.613997879109226</v>
      </c>
      <c r="O1044" s="312">
        <v>58240</v>
      </c>
      <c r="P1044" s="313">
        <f t="shared" si="96"/>
        <v>0</v>
      </c>
      <c r="Q1044" s="310" t="s">
        <v>147</v>
      </c>
      <c r="R1044" s="310">
        <v>129</v>
      </c>
      <c r="S1044" s="310"/>
      <c r="T1044" s="308">
        <v>46220</v>
      </c>
      <c r="U1044" s="308">
        <v>46220</v>
      </c>
      <c r="V1044" s="308"/>
      <c r="W1044" s="315">
        <f t="shared" si="101"/>
        <v>3</v>
      </c>
      <c r="X1044" s="310" t="s">
        <v>54</v>
      </c>
      <c r="Y1044" s="310" t="s">
        <v>56</v>
      </c>
      <c r="Z1044" s="316"/>
      <c r="AA1044" s="316" t="s">
        <v>3505</v>
      </c>
      <c r="AB1044" s="316" t="s">
        <v>3505</v>
      </c>
    </row>
    <row r="1045" spans="1:28" x14ac:dyDescent="0.25">
      <c r="A1045" s="307">
        <f t="shared" si="97"/>
        <v>1039</v>
      </c>
      <c r="B1045" s="308">
        <v>46217</v>
      </c>
      <c r="C1045" s="309">
        <f t="shared" si="98"/>
        <v>46204</v>
      </c>
      <c r="D1045" s="310" t="s">
        <v>56</v>
      </c>
      <c r="E1045" s="310" t="s">
        <v>38</v>
      </c>
      <c r="F1045" s="311">
        <v>9995059254</v>
      </c>
      <c r="G1045" s="316" t="s">
        <v>6</v>
      </c>
      <c r="H1045" s="316" t="s">
        <v>1874</v>
      </c>
      <c r="I1045" s="316" t="s">
        <v>3496</v>
      </c>
      <c r="J1045" s="310" t="s">
        <v>59</v>
      </c>
      <c r="K1045" s="312">
        <v>44330</v>
      </c>
      <c r="L1045" s="312">
        <v>58120</v>
      </c>
      <c r="M1045" s="313">
        <f t="shared" si="99"/>
        <v>13790</v>
      </c>
      <c r="N1045" s="314">
        <f t="shared" si="100"/>
        <v>0.237267721954577</v>
      </c>
      <c r="O1045" s="312">
        <v>44330</v>
      </c>
      <c r="P1045" s="313">
        <f t="shared" si="96"/>
        <v>0</v>
      </c>
      <c r="Q1045" s="310" t="s">
        <v>147</v>
      </c>
      <c r="R1045" s="310">
        <v>130</v>
      </c>
      <c r="S1045" s="310"/>
      <c r="T1045" s="308">
        <v>46220</v>
      </c>
      <c r="U1045" s="308">
        <v>46220</v>
      </c>
      <c r="V1045" s="308"/>
      <c r="W1045" s="315">
        <f t="shared" si="101"/>
        <v>3</v>
      </c>
      <c r="X1045" s="310" t="s">
        <v>54</v>
      </c>
      <c r="Y1045" s="310" t="s">
        <v>56</v>
      </c>
      <c r="Z1045" s="316"/>
      <c r="AA1045" s="316" t="s">
        <v>3505</v>
      </c>
      <c r="AB1045" s="316" t="s">
        <v>3505</v>
      </c>
    </row>
    <row r="1046" spans="1:28" x14ac:dyDescent="0.25">
      <c r="A1046" s="307">
        <f t="shared" si="97"/>
        <v>1040</v>
      </c>
      <c r="B1046" s="308">
        <v>46218</v>
      </c>
      <c r="C1046" s="309">
        <f t="shared" si="98"/>
        <v>46204</v>
      </c>
      <c r="D1046" s="310" t="s">
        <v>56</v>
      </c>
      <c r="E1046" s="310" t="s">
        <v>3122</v>
      </c>
      <c r="F1046" s="311">
        <v>9281983602</v>
      </c>
      <c r="G1046" s="316" t="s">
        <v>6</v>
      </c>
      <c r="H1046" s="316" t="s">
        <v>440</v>
      </c>
      <c r="I1046" s="316" t="s">
        <v>41</v>
      </c>
      <c r="J1046" s="310" t="s">
        <v>172</v>
      </c>
      <c r="K1046" s="312"/>
      <c r="L1046" s="312"/>
      <c r="M1046" s="313" t="str">
        <f t="shared" si="99"/>
        <v/>
      </c>
      <c r="N1046" s="314" t="str">
        <f t="shared" si="100"/>
        <v/>
      </c>
      <c r="O1046" s="312"/>
      <c r="P1046" s="313" t="str">
        <f t="shared" si="96"/>
        <v/>
      </c>
      <c r="Q1046" s="310"/>
      <c r="R1046" s="310" t="s">
        <v>1874</v>
      </c>
      <c r="S1046" s="310"/>
      <c r="T1046" s="308"/>
      <c r="U1046" s="308"/>
      <c r="V1046" s="308"/>
      <c r="W1046" s="315" t="str">
        <f t="shared" si="101"/>
        <v/>
      </c>
      <c r="X1046" s="310"/>
      <c r="Y1046" s="310" t="s">
        <v>56</v>
      </c>
      <c r="Z1046" s="316" t="s">
        <v>3506</v>
      </c>
      <c r="AA1046" s="316" t="s">
        <v>1874</v>
      </c>
      <c r="AB1046" s="316" t="s">
        <v>1874</v>
      </c>
    </row>
    <row r="1047" spans="1:28" x14ac:dyDescent="0.25">
      <c r="A1047" s="307">
        <f t="shared" si="97"/>
        <v>1041</v>
      </c>
      <c r="B1047" s="308">
        <v>46218</v>
      </c>
      <c r="C1047" s="309">
        <f t="shared" si="98"/>
        <v>46204</v>
      </c>
      <c r="D1047" s="310" t="s">
        <v>56</v>
      </c>
      <c r="E1047" s="310" t="s">
        <v>1644</v>
      </c>
      <c r="F1047" s="311">
        <v>9935813519</v>
      </c>
      <c r="G1047" s="316" t="s">
        <v>6</v>
      </c>
      <c r="H1047" s="316" t="s">
        <v>1874</v>
      </c>
      <c r="I1047" s="316" t="s">
        <v>3530</v>
      </c>
      <c r="J1047" s="310" t="s">
        <v>172</v>
      </c>
      <c r="K1047" s="312">
        <v>44680</v>
      </c>
      <c r="L1047" s="312">
        <v>60480</v>
      </c>
      <c r="M1047" s="313">
        <f t="shared" si="99"/>
        <v>15800</v>
      </c>
      <c r="N1047" s="314">
        <f t="shared" si="100"/>
        <v>0.261243386243386</v>
      </c>
      <c r="O1047" s="312">
        <v>44680</v>
      </c>
      <c r="P1047" s="313">
        <f t="shared" si="96"/>
        <v>0</v>
      </c>
      <c r="Q1047" s="310" t="s">
        <v>147</v>
      </c>
      <c r="R1047" s="310">
        <v>131</v>
      </c>
      <c r="S1047" s="310"/>
      <c r="T1047" s="308">
        <v>46223</v>
      </c>
      <c r="U1047" s="308">
        <v>46224</v>
      </c>
      <c r="V1047" s="308"/>
      <c r="W1047" s="315">
        <f t="shared" si="101"/>
        <v>6</v>
      </c>
      <c r="X1047" s="310" t="s">
        <v>54</v>
      </c>
      <c r="Y1047" s="310" t="s">
        <v>56</v>
      </c>
      <c r="Z1047" s="316"/>
      <c r="AA1047" s="316" t="s">
        <v>3523</v>
      </c>
      <c r="AB1047" s="316" t="s">
        <v>3524</v>
      </c>
    </row>
    <row r="1048" spans="1:28" x14ac:dyDescent="0.25">
      <c r="A1048" s="307">
        <f t="shared" si="97"/>
        <v>1042</v>
      </c>
      <c r="B1048" s="308">
        <v>46220</v>
      </c>
      <c r="C1048" s="309">
        <f t="shared" si="98"/>
        <v>46204</v>
      </c>
      <c r="D1048" s="310" t="s">
        <v>56</v>
      </c>
      <c r="E1048" s="310" t="s">
        <v>3065</v>
      </c>
      <c r="F1048" s="311">
        <v>9589264337</v>
      </c>
      <c r="G1048" s="316" t="s">
        <v>6</v>
      </c>
      <c r="H1048" s="316" t="s">
        <v>1874</v>
      </c>
      <c r="I1048" s="316" t="s">
        <v>3531</v>
      </c>
      <c r="J1048" s="310" t="s">
        <v>172</v>
      </c>
      <c r="K1048" s="312">
        <v>44680</v>
      </c>
      <c r="L1048" s="312">
        <v>60480</v>
      </c>
      <c r="M1048" s="313">
        <f t="shared" si="99"/>
        <v>15800</v>
      </c>
      <c r="N1048" s="314">
        <f t="shared" si="100"/>
        <v>0.261243386243386</v>
      </c>
      <c r="O1048" s="312">
        <v>44680</v>
      </c>
      <c r="P1048" s="313">
        <f t="shared" si="96"/>
        <v>0</v>
      </c>
      <c r="Q1048" s="310" t="s">
        <v>147</v>
      </c>
      <c r="R1048" s="310">
        <v>132</v>
      </c>
      <c r="S1048" s="310"/>
      <c r="T1048" s="308">
        <v>46223</v>
      </c>
      <c r="U1048" s="308">
        <v>46223</v>
      </c>
      <c r="V1048" s="308"/>
      <c r="W1048" s="315">
        <f t="shared" si="101"/>
        <v>3</v>
      </c>
      <c r="X1048" s="310" t="s">
        <v>54</v>
      </c>
      <c r="Y1048" s="310" t="s">
        <v>56</v>
      </c>
      <c r="Z1048" s="316"/>
      <c r="AA1048" s="316" t="s">
        <v>3523</v>
      </c>
      <c r="AB1048" s="316" t="s">
        <v>3523</v>
      </c>
    </row>
    <row r="1049" spans="1:28" x14ac:dyDescent="0.25">
      <c r="A1049" s="307">
        <f t="shared" si="97"/>
        <v>1043</v>
      </c>
      <c r="B1049" s="308">
        <v>46221</v>
      </c>
      <c r="C1049" s="309">
        <f t="shared" si="98"/>
        <v>46204</v>
      </c>
      <c r="D1049" s="310" t="s">
        <v>56</v>
      </c>
      <c r="E1049" s="310" t="s">
        <v>1635</v>
      </c>
      <c r="F1049" s="311">
        <v>9793531306</v>
      </c>
      <c r="G1049" s="316" t="s">
        <v>6</v>
      </c>
      <c r="H1049" s="316" t="s">
        <v>1874</v>
      </c>
      <c r="I1049" s="316" t="s">
        <v>3532</v>
      </c>
      <c r="J1049" s="310" t="s">
        <v>172</v>
      </c>
      <c r="K1049" s="312">
        <v>44680</v>
      </c>
      <c r="L1049" s="312">
        <v>60480</v>
      </c>
      <c r="M1049" s="313">
        <f t="shared" si="99"/>
        <v>15800</v>
      </c>
      <c r="N1049" s="314">
        <f t="shared" si="100"/>
        <v>0.261243386243386</v>
      </c>
      <c r="O1049" s="312">
        <v>44680</v>
      </c>
      <c r="P1049" s="313">
        <f t="shared" si="96"/>
        <v>0</v>
      </c>
      <c r="Q1049" s="310" t="s">
        <v>147</v>
      </c>
      <c r="R1049" s="310">
        <v>133</v>
      </c>
      <c r="S1049" s="310"/>
      <c r="T1049" s="308">
        <v>46224</v>
      </c>
      <c r="U1049" s="308">
        <v>46224</v>
      </c>
      <c r="V1049" s="308"/>
      <c r="W1049" s="315">
        <f t="shared" si="101"/>
        <v>3</v>
      </c>
      <c r="X1049" s="310" t="s">
        <v>54</v>
      </c>
      <c r="Y1049" s="310" t="s">
        <v>56</v>
      </c>
      <c r="Z1049" s="316"/>
      <c r="AA1049" s="316" t="s">
        <v>3524</v>
      </c>
      <c r="AB1049" s="316" t="s">
        <v>3524</v>
      </c>
    </row>
    <row r="1050" spans="1:28" x14ac:dyDescent="0.25">
      <c r="A1050" s="307">
        <f t="shared" si="97"/>
        <v>1044</v>
      </c>
      <c r="B1050" s="308">
        <v>46221</v>
      </c>
      <c r="C1050" s="309">
        <f t="shared" si="98"/>
        <v>46204</v>
      </c>
      <c r="D1050" s="310" t="s">
        <v>56</v>
      </c>
      <c r="E1050" s="310" t="s">
        <v>38</v>
      </c>
      <c r="F1050" s="311">
        <v>9995059254</v>
      </c>
      <c r="G1050" s="316" t="s">
        <v>1093</v>
      </c>
      <c r="H1050" s="316" t="s">
        <v>3529</v>
      </c>
      <c r="I1050" s="316" t="s">
        <v>6</v>
      </c>
      <c r="J1050" s="310" t="s">
        <v>172</v>
      </c>
      <c r="K1050" s="312">
        <v>56160</v>
      </c>
      <c r="L1050" s="312">
        <v>137020</v>
      </c>
      <c r="M1050" s="313">
        <f t="shared" si="99"/>
        <v>80860</v>
      </c>
      <c r="N1050" s="314">
        <f t="shared" si="100"/>
        <v>0.590132827324478</v>
      </c>
      <c r="O1050" s="312">
        <v>56160</v>
      </c>
      <c r="P1050" s="313">
        <f t="shared" si="96"/>
        <v>0</v>
      </c>
      <c r="Q1050" s="310" t="s">
        <v>147</v>
      </c>
      <c r="R1050" s="310">
        <v>134</v>
      </c>
      <c r="S1050" s="310"/>
      <c r="T1050" s="308">
        <v>46224</v>
      </c>
      <c r="U1050" s="308">
        <v>46224</v>
      </c>
      <c r="V1050" s="308"/>
      <c r="W1050" s="315">
        <f t="shared" si="101"/>
        <v>3</v>
      </c>
      <c r="X1050" s="310" t="s">
        <v>54</v>
      </c>
      <c r="Y1050" s="310" t="s">
        <v>56</v>
      </c>
      <c r="Z1050" s="316"/>
      <c r="AA1050" s="316" t="s">
        <v>3524</v>
      </c>
      <c r="AB1050" s="316" t="s">
        <v>3524</v>
      </c>
    </row>
    <row r="1051" spans="1:28" x14ac:dyDescent="0.25">
      <c r="A1051" s="307">
        <f t="shared" si="97"/>
        <v>1045</v>
      </c>
      <c r="B1051" s="308">
        <v>46222</v>
      </c>
      <c r="C1051" s="309">
        <f t="shared" si="98"/>
        <v>46204</v>
      </c>
      <c r="D1051" s="310" t="s">
        <v>56</v>
      </c>
      <c r="E1051" s="310" t="s">
        <v>3114</v>
      </c>
      <c r="F1051" s="311">
        <v>9472230553</v>
      </c>
      <c r="G1051" s="316" t="s">
        <v>6</v>
      </c>
      <c r="H1051" s="316" t="s">
        <v>1874</v>
      </c>
      <c r="I1051" s="316" t="s">
        <v>3533</v>
      </c>
      <c r="J1051" s="310" t="s">
        <v>172</v>
      </c>
      <c r="K1051" s="312">
        <v>44680</v>
      </c>
      <c r="L1051" s="312">
        <v>60480</v>
      </c>
      <c r="M1051" s="313">
        <f t="shared" si="99"/>
        <v>15800</v>
      </c>
      <c r="N1051" s="314">
        <f t="shared" si="100"/>
        <v>0.261243386243386</v>
      </c>
      <c r="O1051" s="312">
        <v>44680</v>
      </c>
      <c r="P1051" s="313">
        <f t="shared" si="96"/>
        <v>0</v>
      </c>
      <c r="Q1051" s="310" t="s">
        <v>147</v>
      </c>
      <c r="R1051" s="310">
        <v>135</v>
      </c>
      <c r="S1051" s="310"/>
      <c r="T1051" s="308">
        <v>46224</v>
      </c>
      <c r="U1051" s="308">
        <v>46224</v>
      </c>
      <c r="V1051" s="308"/>
      <c r="W1051" s="315">
        <f t="shared" si="101"/>
        <v>2</v>
      </c>
      <c r="X1051" s="310" t="s">
        <v>54</v>
      </c>
      <c r="Y1051" s="310" t="s">
        <v>56</v>
      </c>
      <c r="Z1051" s="316"/>
      <c r="AA1051" s="316" t="s">
        <v>3524</v>
      </c>
      <c r="AB1051" s="316" t="s">
        <v>3524</v>
      </c>
    </row>
    <row r="1052" spans="1:28" x14ac:dyDescent="0.25">
      <c r="A1052" s="307">
        <f t="shared" si="97"/>
        <v>1046</v>
      </c>
      <c r="B1052" s="308">
        <v>46224</v>
      </c>
      <c r="C1052" s="309">
        <f t="shared" si="98"/>
        <v>46204</v>
      </c>
      <c r="D1052" s="310" t="s">
        <v>56</v>
      </c>
      <c r="E1052" s="310" t="s">
        <v>38</v>
      </c>
      <c r="F1052" s="311">
        <v>9995059254</v>
      </c>
      <c r="G1052" s="316" t="s">
        <v>6</v>
      </c>
      <c r="H1052" s="316" t="s">
        <v>3534</v>
      </c>
      <c r="I1052" s="316" t="s">
        <v>3535</v>
      </c>
      <c r="J1052" s="310" t="s">
        <v>59</v>
      </c>
      <c r="K1052" s="312">
        <v>45270</v>
      </c>
      <c r="L1052" s="312">
        <v>64420</v>
      </c>
      <c r="M1052" s="313">
        <f t="shared" si="99"/>
        <v>19150</v>
      </c>
      <c r="N1052" s="314">
        <f t="shared" si="100"/>
        <v>0.29726792921453</v>
      </c>
      <c r="O1052" s="312">
        <v>45270</v>
      </c>
      <c r="P1052" s="313">
        <f t="shared" si="96"/>
        <v>0</v>
      </c>
      <c r="Q1052" s="310" t="s">
        <v>147</v>
      </c>
      <c r="R1052" s="310">
        <v>136</v>
      </c>
      <c r="S1052" s="310"/>
      <c r="T1052" s="308">
        <v>46227</v>
      </c>
      <c r="U1052" s="308">
        <v>46227</v>
      </c>
      <c r="V1052" s="308"/>
      <c r="W1052" s="315">
        <f t="shared" si="101"/>
        <v>3</v>
      </c>
      <c r="X1052" s="310" t="s">
        <v>54</v>
      </c>
      <c r="Y1052" s="310" t="s">
        <v>56</v>
      </c>
      <c r="Z1052" s="316"/>
      <c r="AA1052" s="316" t="s">
        <v>3537</v>
      </c>
      <c r="AB1052" s="316" t="s">
        <v>3537</v>
      </c>
    </row>
    <row r="1053" spans="1:28" x14ac:dyDescent="0.25">
      <c r="A1053" s="307">
        <f t="shared" si="97"/>
        <v>1047</v>
      </c>
      <c r="B1053" s="308">
        <v>46224</v>
      </c>
      <c r="C1053" s="309">
        <f t="shared" si="98"/>
        <v>46204</v>
      </c>
      <c r="D1053" s="310" t="s">
        <v>51</v>
      </c>
      <c r="E1053" s="310" t="s">
        <v>2092</v>
      </c>
      <c r="F1053" s="311">
        <v>9757919404</v>
      </c>
      <c r="G1053" s="316" t="s">
        <v>6</v>
      </c>
      <c r="H1053" s="316" t="s">
        <v>1874</v>
      </c>
      <c r="I1053" s="316" t="s">
        <v>3536</v>
      </c>
      <c r="J1053" s="310" t="s">
        <v>172</v>
      </c>
      <c r="K1053" s="312">
        <v>44680</v>
      </c>
      <c r="L1053" s="312">
        <v>60480</v>
      </c>
      <c r="M1053" s="313">
        <f t="shared" si="99"/>
        <v>15800</v>
      </c>
      <c r="N1053" s="314">
        <f t="shared" si="100"/>
        <v>0.261243386243386</v>
      </c>
      <c r="O1053" s="312">
        <v>44680</v>
      </c>
      <c r="P1053" s="313">
        <f t="shared" si="96"/>
        <v>0</v>
      </c>
      <c r="Q1053" s="310" t="s">
        <v>147</v>
      </c>
      <c r="R1053" s="310">
        <v>137</v>
      </c>
      <c r="S1053" s="310"/>
      <c r="T1053" s="308">
        <v>46227</v>
      </c>
      <c r="U1053" s="308">
        <v>46227</v>
      </c>
      <c r="V1053" s="308"/>
      <c r="W1053" s="315">
        <f t="shared" si="101"/>
        <v>3</v>
      </c>
      <c r="X1053" s="310" t="s">
        <v>54</v>
      </c>
      <c r="Y1053" s="310" t="s">
        <v>3561</v>
      </c>
      <c r="Z1053" s="316"/>
      <c r="AA1053" s="316" t="s">
        <v>3537</v>
      </c>
      <c r="AB1053" s="316" t="s">
        <v>3537</v>
      </c>
    </row>
    <row r="1054" spans="1:28" x14ac:dyDescent="0.25">
      <c r="A1054" s="307">
        <f t="shared" si="97"/>
        <v>1048</v>
      </c>
      <c r="B1054" s="308">
        <v>46225</v>
      </c>
      <c r="C1054" s="309">
        <f t="shared" si="98"/>
        <v>46204</v>
      </c>
      <c r="D1054" s="310" t="s">
        <v>56</v>
      </c>
      <c r="E1054" s="310" t="s">
        <v>60</v>
      </c>
      <c r="F1054" s="311">
        <v>9040208667</v>
      </c>
      <c r="G1054" s="316" t="s">
        <v>1093</v>
      </c>
      <c r="H1054" s="316" t="s">
        <v>3575</v>
      </c>
      <c r="I1054" s="316" t="s">
        <v>6</v>
      </c>
      <c r="J1054" s="310" t="s">
        <v>172</v>
      </c>
      <c r="K1054" s="312">
        <v>58240</v>
      </c>
      <c r="L1054" s="312">
        <v>150880</v>
      </c>
      <c r="M1054" s="313">
        <f t="shared" si="99"/>
        <v>92640</v>
      </c>
      <c r="N1054" s="314">
        <f t="shared" si="100"/>
        <v>0.613997879109226</v>
      </c>
      <c r="O1054" s="312">
        <v>58240</v>
      </c>
      <c r="P1054" s="313">
        <f t="shared" si="96"/>
        <v>0</v>
      </c>
      <c r="Q1054" s="310" t="s">
        <v>147</v>
      </c>
      <c r="R1054" s="310">
        <v>139</v>
      </c>
      <c r="S1054" s="310"/>
      <c r="T1054" s="308">
        <v>46227</v>
      </c>
      <c r="U1054" s="308">
        <v>46228</v>
      </c>
      <c r="V1054" s="308"/>
      <c r="W1054" s="315">
        <f t="shared" si="101"/>
        <v>3</v>
      </c>
      <c r="X1054" s="310" t="s">
        <v>54</v>
      </c>
      <c r="Y1054" s="310" t="s">
        <v>56</v>
      </c>
      <c r="Z1054" s="316"/>
      <c r="AA1054" s="316" t="s">
        <v>3537</v>
      </c>
      <c r="AB1054" s="316" t="s">
        <v>3538</v>
      </c>
    </row>
    <row r="1055" spans="1:28" x14ac:dyDescent="0.25">
      <c r="A1055" s="307">
        <f t="shared" si="97"/>
        <v>1049</v>
      </c>
      <c r="B1055" s="308">
        <v>46226</v>
      </c>
      <c r="C1055" s="309">
        <f t="shared" si="98"/>
        <v>46204</v>
      </c>
      <c r="D1055" s="310" t="s">
        <v>56</v>
      </c>
      <c r="E1055" s="310" t="s">
        <v>2859</v>
      </c>
      <c r="F1055" s="311">
        <v>9902798068</v>
      </c>
      <c r="G1055" s="316" t="s">
        <v>6</v>
      </c>
      <c r="H1055" s="316" t="s">
        <v>3562</v>
      </c>
      <c r="I1055" s="316" t="s">
        <v>3563</v>
      </c>
      <c r="J1055" s="310" t="s">
        <v>172</v>
      </c>
      <c r="K1055" s="312">
        <v>45630</v>
      </c>
      <c r="L1055" s="312">
        <v>66780</v>
      </c>
      <c r="M1055" s="313">
        <f t="shared" si="99"/>
        <v>21150</v>
      </c>
      <c r="N1055" s="314">
        <f t="shared" si="100"/>
        <v>0.316711590296496</v>
      </c>
      <c r="O1055" s="312">
        <v>45630</v>
      </c>
      <c r="P1055" s="313">
        <f t="shared" si="96"/>
        <v>0</v>
      </c>
      <c r="Q1055" s="310" t="s">
        <v>147</v>
      </c>
      <c r="R1055" s="310">
        <v>140</v>
      </c>
      <c r="S1055" s="310"/>
      <c r="T1055" s="308">
        <v>46228</v>
      </c>
      <c r="U1055" s="308">
        <v>46228</v>
      </c>
      <c r="V1055" s="308"/>
      <c r="W1055" s="315">
        <f t="shared" si="101"/>
        <v>2</v>
      </c>
      <c r="X1055" s="310" t="s">
        <v>54</v>
      </c>
      <c r="Y1055" s="310" t="s">
        <v>56</v>
      </c>
      <c r="Z1055" s="316"/>
      <c r="AA1055" s="316" t="s">
        <v>3538</v>
      </c>
      <c r="AB1055" s="316" t="s">
        <v>3538</v>
      </c>
    </row>
    <row r="1056" spans="1:28" x14ac:dyDescent="0.25">
      <c r="A1056" s="307">
        <f t="shared" si="97"/>
        <v>1050</v>
      </c>
      <c r="B1056" s="308">
        <v>46226</v>
      </c>
      <c r="C1056" s="309">
        <f t="shared" si="98"/>
        <v>46204</v>
      </c>
      <c r="D1056" s="310" t="s">
        <v>56</v>
      </c>
      <c r="E1056" s="310" t="s">
        <v>1644</v>
      </c>
      <c r="F1056" s="311">
        <v>9935813519</v>
      </c>
      <c r="G1056" s="316" t="s">
        <v>1093</v>
      </c>
      <c r="H1056" s="316" t="s">
        <v>3577</v>
      </c>
      <c r="I1056" s="316" t="s">
        <v>6</v>
      </c>
      <c r="J1056" s="310" t="s">
        <v>172</v>
      </c>
      <c r="K1056" s="312">
        <v>57300</v>
      </c>
      <c r="L1056" s="312">
        <v>144580</v>
      </c>
      <c r="M1056" s="313">
        <f t="shared" si="99"/>
        <v>87280</v>
      </c>
      <c r="N1056" s="314">
        <f t="shared" si="100"/>
        <v>0.603679623737723</v>
      </c>
      <c r="O1056" s="312">
        <v>57300</v>
      </c>
      <c r="P1056" s="313">
        <f t="shared" si="96"/>
        <v>0</v>
      </c>
      <c r="Q1056" s="310" t="s">
        <v>147</v>
      </c>
      <c r="R1056" s="310">
        <v>141</v>
      </c>
      <c r="S1056" s="310"/>
      <c r="T1056" s="308">
        <v>46229</v>
      </c>
      <c r="U1056" s="308">
        <v>46230</v>
      </c>
      <c r="V1056" s="308"/>
      <c r="W1056" s="315">
        <f t="shared" si="101"/>
        <v>4</v>
      </c>
      <c r="X1056" s="310" t="s">
        <v>54</v>
      </c>
      <c r="Y1056" s="310" t="s">
        <v>56</v>
      </c>
      <c r="Z1056" s="316"/>
      <c r="AA1056" s="316" t="s">
        <v>3542</v>
      </c>
      <c r="AB1056" s="316" t="s">
        <v>3543</v>
      </c>
    </row>
    <row r="1057" spans="1:28" x14ac:dyDescent="0.25">
      <c r="A1057" s="307">
        <f t="shared" si="97"/>
        <v>1051</v>
      </c>
      <c r="B1057" s="308">
        <v>46227</v>
      </c>
      <c r="C1057" s="309">
        <f t="shared" si="98"/>
        <v>46204</v>
      </c>
      <c r="D1057" s="310" t="s">
        <v>56</v>
      </c>
      <c r="E1057" s="310" t="s">
        <v>1641</v>
      </c>
      <c r="F1057" s="311">
        <v>9486716172</v>
      </c>
      <c r="G1057" s="316" t="s">
        <v>6</v>
      </c>
      <c r="H1057" s="316" t="s">
        <v>1874</v>
      </c>
      <c r="I1057" s="316" t="s">
        <v>3564</v>
      </c>
      <c r="J1057" s="310" t="s">
        <v>172</v>
      </c>
      <c r="K1057" s="312">
        <v>44680</v>
      </c>
      <c r="L1057" s="312">
        <v>60480</v>
      </c>
      <c r="M1057" s="313">
        <f t="shared" si="99"/>
        <v>15800</v>
      </c>
      <c r="N1057" s="314">
        <f t="shared" si="100"/>
        <v>0.261243386243386</v>
      </c>
      <c r="O1057" s="312">
        <v>44680</v>
      </c>
      <c r="P1057" s="313">
        <f t="shared" si="96"/>
        <v>0</v>
      </c>
      <c r="Q1057" s="310" t="s">
        <v>147</v>
      </c>
      <c r="R1057" s="310">
        <v>142</v>
      </c>
      <c r="S1057" s="310"/>
      <c r="T1057" s="308">
        <v>46230</v>
      </c>
      <c r="U1057" s="308">
        <v>46230</v>
      </c>
      <c r="V1057" s="308"/>
      <c r="W1057" s="315">
        <f t="shared" si="101"/>
        <v>3</v>
      </c>
      <c r="X1057" s="310" t="s">
        <v>54</v>
      </c>
      <c r="Y1057" s="310" t="s">
        <v>56</v>
      </c>
      <c r="Z1057" s="316"/>
      <c r="AA1057" s="316" t="s">
        <v>3543</v>
      </c>
      <c r="AB1057" s="316" t="s">
        <v>3543</v>
      </c>
    </row>
    <row r="1058" spans="1:28" x14ac:dyDescent="0.25">
      <c r="A1058" s="307">
        <f t="shared" si="97"/>
        <v>1052</v>
      </c>
      <c r="B1058" s="308">
        <v>46228</v>
      </c>
      <c r="C1058" s="309">
        <f t="shared" si="98"/>
        <v>46204</v>
      </c>
      <c r="D1058" s="310" t="s">
        <v>56</v>
      </c>
      <c r="E1058" s="310" t="s">
        <v>60</v>
      </c>
      <c r="F1058" s="311">
        <v>9040208667</v>
      </c>
      <c r="G1058" s="316" t="s">
        <v>6</v>
      </c>
      <c r="H1058" s="316" t="s">
        <v>1874</v>
      </c>
      <c r="I1058" s="316" t="s">
        <v>3565</v>
      </c>
      <c r="J1058" s="310" t="s">
        <v>172</v>
      </c>
      <c r="K1058" s="312">
        <v>44680</v>
      </c>
      <c r="L1058" s="312">
        <v>60480</v>
      </c>
      <c r="M1058" s="313">
        <f t="shared" si="99"/>
        <v>15800</v>
      </c>
      <c r="N1058" s="314">
        <f t="shared" si="100"/>
        <v>0.261243386243386</v>
      </c>
      <c r="O1058" s="312">
        <v>44680</v>
      </c>
      <c r="P1058" s="313">
        <f t="shared" si="96"/>
        <v>0</v>
      </c>
      <c r="Q1058" s="310" t="s">
        <v>147</v>
      </c>
      <c r="R1058" s="310">
        <v>143</v>
      </c>
      <c r="S1058" s="310"/>
      <c r="T1058" s="308">
        <v>46231</v>
      </c>
      <c r="U1058" s="308">
        <v>46231</v>
      </c>
      <c r="V1058" s="308"/>
      <c r="W1058" s="315">
        <f t="shared" si="101"/>
        <v>3</v>
      </c>
      <c r="X1058" s="310" t="s">
        <v>54</v>
      </c>
      <c r="Y1058" s="310" t="s">
        <v>56</v>
      </c>
      <c r="Z1058" s="316"/>
      <c r="AA1058" s="316" t="s">
        <v>3545</v>
      </c>
      <c r="AB1058" s="316" t="s">
        <v>3545</v>
      </c>
    </row>
    <row r="1059" spans="1:28" x14ac:dyDescent="0.25">
      <c r="A1059" s="307">
        <f t="shared" si="97"/>
        <v>1053</v>
      </c>
      <c r="B1059" s="308">
        <v>46228</v>
      </c>
      <c r="C1059" s="309">
        <f t="shared" si="98"/>
        <v>46204</v>
      </c>
      <c r="D1059" s="310" t="s">
        <v>56</v>
      </c>
      <c r="E1059" s="310" t="s">
        <v>38</v>
      </c>
      <c r="F1059" s="311">
        <v>9995059254</v>
      </c>
      <c r="G1059" s="316" t="s">
        <v>1093</v>
      </c>
      <c r="H1059" s="316" t="s">
        <v>3579</v>
      </c>
      <c r="I1059" s="316" t="s">
        <v>6</v>
      </c>
      <c r="J1059" s="310" t="s">
        <v>59</v>
      </c>
      <c r="K1059" s="312">
        <v>56160</v>
      </c>
      <c r="L1059" s="312">
        <v>137020</v>
      </c>
      <c r="M1059" s="313">
        <f t="shared" si="99"/>
        <v>80860</v>
      </c>
      <c r="N1059" s="314">
        <f t="shared" si="100"/>
        <v>0.590132827324478</v>
      </c>
      <c r="O1059" s="312">
        <v>56160</v>
      </c>
      <c r="P1059" s="313">
        <f t="shared" si="96"/>
        <v>0</v>
      </c>
      <c r="Q1059" s="310" t="s">
        <v>147</v>
      </c>
      <c r="R1059" s="310">
        <v>144</v>
      </c>
      <c r="S1059" s="310"/>
      <c r="T1059" s="308">
        <v>46232</v>
      </c>
      <c r="U1059" s="308">
        <v>46232</v>
      </c>
      <c r="V1059" s="308"/>
      <c r="W1059" s="315">
        <f t="shared" si="101"/>
        <v>4</v>
      </c>
      <c r="X1059" s="310" t="s">
        <v>54</v>
      </c>
      <c r="Y1059" s="310" t="s">
        <v>56</v>
      </c>
      <c r="Z1059" s="316"/>
      <c r="AA1059" s="316" t="s">
        <v>3546</v>
      </c>
      <c r="AB1059" s="316" t="s">
        <v>3546</v>
      </c>
    </row>
    <row r="1060" spans="1:28" x14ac:dyDescent="0.25">
      <c r="A1060" s="307">
        <f t="shared" si="97"/>
        <v>1054</v>
      </c>
      <c r="B1060" s="308">
        <v>46228</v>
      </c>
      <c r="C1060" s="309">
        <f t="shared" si="98"/>
        <v>46204</v>
      </c>
      <c r="D1060" s="310" t="s">
        <v>56</v>
      </c>
      <c r="E1060" s="310" t="s">
        <v>1635</v>
      </c>
      <c r="F1060" s="311">
        <v>9793531306</v>
      </c>
      <c r="G1060" s="316" t="s">
        <v>1093</v>
      </c>
      <c r="H1060" s="316" t="s">
        <v>3580</v>
      </c>
      <c r="I1060" s="316" t="s">
        <v>6</v>
      </c>
      <c r="J1060" s="310" t="s">
        <v>172</v>
      </c>
      <c r="K1060" s="312">
        <v>59190</v>
      </c>
      <c r="L1060" s="312">
        <v>157180</v>
      </c>
      <c r="M1060" s="313">
        <f t="shared" si="99"/>
        <v>97990</v>
      </c>
      <c r="N1060" s="314">
        <f t="shared" si="100"/>
        <v>0.623425372184756</v>
      </c>
      <c r="O1060" s="312">
        <v>59190</v>
      </c>
      <c r="P1060" s="313">
        <f t="shared" si="96"/>
        <v>0</v>
      </c>
      <c r="Q1060" s="310" t="s">
        <v>147</v>
      </c>
      <c r="R1060" s="310">
        <v>145</v>
      </c>
      <c r="S1060" s="310"/>
      <c r="T1060" s="308">
        <v>46232</v>
      </c>
      <c r="U1060" s="308">
        <v>46232</v>
      </c>
      <c r="V1060" s="308"/>
      <c r="W1060" s="315">
        <f t="shared" si="101"/>
        <v>4</v>
      </c>
      <c r="X1060" s="310" t="s">
        <v>54</v>
      </c>
      <c r="Y1060" s="310" t="s">
        <v>56</v>
      </c>
      <c r="Z1060" s="316"/>
      <c r="AA1060" s="316" t="s">
        <v>3546</v>
      </c>
      <c r="AB1060" s="316" t="s">
        <v>3546</v>
      </c>
    </row>
    <row r="1061" spans="1:28" x14ac:dyDescent="0.25">
      <c r="A1061" s="307">
        <f t="shared" si="97"/>
        <v>1055</v>
      </c>
      <c r="B1061" s="308">
        <v>46230</v>
      </c>
      <c r="C1061" s="309">
        <f t="shared" si="98"/>
        <v>46204</v>
      </c>
      <c r="D1061" s="310" t="s">
        <v>56</v>
      </c>
      <c r="E1061" s="310" t="s">
        <v>3065</v>
      </c>
      <c r="F1061" s="311">
        <v>9589264337</v>
      </c>
      <c r="G1061" s="316" t="s">
        <v>6</v>
      </c>
      <c r="H1061" s="316" t="s">
        <v>3566</v>
      </c>
      <c r="I1061" s="316" t="s">
        <v>3567</v>
      </c>
      <c r="J1061" s="310" t="s">
        <v>172</v>
      </c>
      <c r="K1061" s="312">
        <v>45630</v>
      </c>
      <c r="L1061" s="312">
        <v>66780</v>
      </c>
      <c r="M1061" s="313">
        <f t="shared" si="99"/>
        <v>21150</v>
      </c>
      <c r="N1061" s="314">
        <f t="shared" si="100"/>
        <v>0.316711590296496</v>
      </c>
      <c r="O1061" s="312">
        <v>45630</v>
      </c>
      <c r="P1061" s="313">
        <f t="shared" si="96"/>
        <v>0</v>
      </c>
      <c r="Q1061" s="310" t="s">
        <v>147</v>
      </c>
      <c r="R1061" s="310">
        <v>146</v>
      </c>
      <c r="S1061" s="310"/>
      <c r="T1061" s="308">
        <v>46233</v>
      </c>
      <c r="U1061" s="308">
        <v>46233</v>
      </c>
      <c r="V1061" s="308"/>
      <c r="W1061" s="315">
        <f t="shared" si="101"/>
        <v>3</v>
      </c>
      <c r="X1061" s="310" t="s">
        <v>54</v>
      </c>
      <c r="Y1061" s="310" t="s">
        <v>56</v>
      </c>
      <c r="Z1061" s="316"/>
      <c r="AA1061" s="316" t="s">
        <v>3548</v>
      </c>
      <c r="AB1061" s="316" t="s">
        <v>3548</v>
      </c>
    </row>
    <row r="1062" spans="1:28" x14ac:dyDescent="0.25">
      <c r="A1062" s="307">
        <f t="shared" si="97"/>
        <v>1056</v>
      </c>
      <c r="B1062" s="308">
        <v>46230</v>
      </c>
      <c r="C1062" s="309">
        <f t="shared" si="98"/>
        <v>46204</v>
      </c>
      <c r="D1062" s="310" t="s">
        <v>56</v>
      </c>
      <c r="E1062" s="310" t="s">
        <v>1644</v>
      </c>
      <c r="F1062" s="311">
        <v>9935813519</v>
      </c>
      <c r="G1062" s="316" t="s">
        <v>6</v>
      </c>
      <c r="H1062" s="316" t="s">
        <v>1874</v>
      </c>
      <c r="I1062" s="316" t="s">
        <v>3568</v>
      </c>
      <c r="J1062" s="310" t="s">
        <v>172</v>
      </c>
      <c r="K1062" s="312">
        <v>44680</v>
      </c>
      <c r="L1062" s="312">
        <v>60480</v>
      </c>
      <c r="M1062" s="313">
        <f t="shared" si="99"/>
        <v>15800</v>
      </c>
      <c r="N1062" s="314">
        <f t="shared" si="100"/>
        <v>0.261243386243386</v>
      </c>
      <c r="O1062" s="312">
        <v>44680</v>
      </c>
      <c r="P1062" s="313">
        <f t="shared" si="96"/>
        <v>0</v>
      </c>
      <c r="Q1062" s="310" t="s">
        <v>147</v>
      </c>
      <c r="R1062" s="310">
        <v>147</v>
      </c>
      <c r="S1062" s="310"/>
      <c r="T1062" s="308">
        <v>46233</v>
      </c>
      <c r="U1062" s="308">
        <v>46233</v>
      </c>
      <c r="V1062" s="308"/>
      <c r="W1062" s="315">
        <f t="shared" si="101"/>
        <v>3</v>
      </c>
      <c r="X1062" s="310" t="s">
        <v>54</v>
      </c>
      <c r="Y1062" s="310" t="s">
        <v>56</v>
      </c>
      <c r="Z1062" s="316"/>
      <c r="AA1062" s="316" t="s">
        <v>3548</v>
      </c>
      <c r="AB1062" s="316" t="s">
        <v>3548</v>
      </c>
    </row>
    <row r="1063" spans="1:28" x14ac:dyDescent="0.25">
      <c r="A1063" s="307">
        <f t="shared" si="97"/>
        <v>1057</v>
      </c>
      <c r="B1063" s="308">
        <v>46231</v>
      </c>
      <c r="C1063" s="309">
        <f t="shared" si="98"/>
        <v>46204</v>
      </c>
      <c r="D1063" s="310" t="s">
        <v>56</v>
      </c>
      <c r="E1063" s="310" t="s">
        <v>1641</v>
      </c>
      <c r="F1063" s="311">
        <v>9486716172</v>
      </c>
      <c r="G1063" s="316" t="s">
        <v>1093</v>
      </c>
      <c r="H1063" s="316" t="s">
        <v>3581</v>
      </c>
      <c r="I1063" s="316" t="s">
        <v>6</v>
      </c>
      <c r="J1063" s="310" t="s">
        <v>172</v>
      </c>
      <c r="K1063" s="312">
        <v>57300</v>
      </c>
      <c r="L1063" s="312">
        <v>144580</v>
      </c>
      <c r="M1063" s="313">
        <f t="shared" si="99"/>
        <v>87280</v>
      </c>
      <c r="N1063" s="314">
        <f t="shared" si="100"/>
        <v>0.603679623737723</v>
      </c>
      <c r="O1063" s="312">
        <v>57300</v>
      </c>
      <c r="P1063" s="313">
        <f t="shared" si="96"/>
        <v>0</v>
      </c>
      <c r="Q1063" s="310" t="s">
        <v>147</v>
      </c>
      <c r="R1063" s="310">
        <v>148</v>
      </c>
      <c r="S1063" s="310"/>
      <c r="T1063" s="308">
        <v>46234</v>
      </c>
      <c r="U1063" s="308">
        <v>46234</v>
      </c>
      <c r="V1063" s="308"/>
      <c r="W1063" s="315">
        <f t="shared" si="101"/>
        <v>3</v>
      </c>
      <c r="X1063" s="310" t="s">
        <v>54</v>
      </c>
      <c r="Y1063" s="310"/>
      <c r="Z1063" s="316"/>
      <c r="AA1063" s="316" t="s">
        <v>3554</v>
      </c>
      <c r="AB1063" s="316" t="s">
        <v>3554</v>
      </c>
    </row>
    <row r="1064" spans="1:28" x14ac:dyDescent="0.25">
      <c r="A1064" s="307">
        <f t="shared" si="97"/>
        <v>1058</v>
      </c>
      <c r="B1064" s="308">
        <v>46231</v>
      </c>
      <c r="C1064" s="309">
        <f t="shared" si="98"/>
        <v>46204</v>
      </c>
      <c r="D1064" s="310" t="s">
        <v>56</v>
      </c>
      <c r="E1064" s="310" t="s">
        <v>2859</v>
      </c>
      <c r="F1064" s="311">
        <v>9902798068</v>
      </c>
      <c r="G1064" s="316" t="s">
        <v>1093</v>
      </c>
      <c r="H1064" s="316" t="s">
        <v>3582</v>
      </c>
      <c r="I1064" s="316" t="s">
        <v>6</v>
      </c>
      <c r="J1064" s="310" t="s">
        <v>172</v>
      </c>
      <c r="K1064" s="312">
        <v>57300</v>
      </c>
      <c r="L1064" s="312">
        <v>144580</v>
      </c>
      <c r="M1064" s="313">
        <f t="shared" si="99"/>
        <v>87280</v>
      </c>
      <c r="N1064" s="314">
        <f t="shared" si="100"/>
        <v>0.603679623737723</v>
      </c>
      <c r="O1064" s="312">
        <v>57300</v>
      </c>
      <c r="P1064" s="313">
        <f t="shared" si="96"/>
        <v>0</v>
      </c>
      <c r="Q1064" s="310" t="s">
        <v>147</v>
      </c>
      <c r="R1064" s="310">
        <v>149</v>
      </c>
      <c r="S1064" s="310"/>
      <c r="T1064" s="308">
        <v>46233</v>
      </c>
      <c r="U1064" s="308">
        <v>46233</v>
      </c>
      <c r="V1064" s="308"/>
      <c r="W1064" s="315">
        <f t="shared" si="101"/>
        <v>2</v>
      </c>
      <c r="X1064" s="310" t="s">
        <v>54</v>
      </c>
      <c r="Y1064" s="310" t="s">
        <v>56</v>
      </c>
      <c r="Z1064" s="316"/>
      <c r="AA1064" s="316" t="s">
        <v>3548</v>
      </c>
      <c r="AB1064" s="316" t="s">
        <v>3548</v>
      </c>
    </row>
    <row r="1065" spans="1:28" x14ac:dyDescent="0.25">
      <c r="A1065" s="307">
        <f t="shared" si="97"/>
        <v>1059</v>
      </c>
      <c r="B1065" s="308">
        <v>46232</v>
      </c>
      <c r="C1065" s="309">
        <f t="shared" si="98"/>
        <v>46204</v>
      </c>
      <c r="D1065" s="310" t="s">
        <v>56</v>
      </c>
      <c r="E1065" s="310" t="s">
        <v>1635</v>
      </c>
      <c r="F1065" s="311">
        <v>9793531306</v>
      </c>
      <c r="G1065" s="316" t="s">
        <v>6</v>
      </c>
      <c r="H1065" s="316" t="s">
        <v>3569</v>
      </c>
      <c r="I1065" s="316" t="s">
        <v>3570</v>
      </c>
      <c r="J1065" s="310" t="s">
        <v>172</v>
      </c>
      <c r="K1065" s="312">
        <v>45630</v>
      </c>
      <c r="L1065" s="312">
        <v>66780</v>
      </c>
      <c r="M1065" s="313">
        <f t="shared" si="99"/>
        <v>21150</v>
      </c>
      <c r="N1065" s="314">
        <f t="shared" si="100"/>
        <v>0.316711590296496</v>
      </c>
      <c r="O1065" s="312">
        <v>45630</v>
      </c>
      <c r="P1065" s="313">
        <f t="shared" si="96"/>
        <v>0</v>
      </c>
      <c r="Q1065" s="310" t="s">
        <v>147</v>
      </c>
      <c r="R1065" s="310">
        <v>150</v>
      </c>
      <c r="S1065" s="310"/>
      <c r="T1065" s="308">
        <v>46235</v>
      </c>
      <c r="U1065" s="308">
        <v>46237</v>
      </c>
      <c r="V1065" s="308"/>
      <c r="W1065" s="315">
        <f t="shared" si="101"/>
        <v>5</v>
      </c>
      <c r="X1065" s="310" t="s">
        <v>54</v>
      </c>
      <c r="Y1065" s="310" t="s">
        <v>56</v>
      </c>
      <c r="Z1065" s="316"/>
      <c r="AA1065" s="317">
        <v>46030</v>
      </c>
      <c r="AB1065" s="317">
        <v>46089</v>
      </c>
    </row>
    <row r="1066" spans="1:28" x14ac:dyDescent="0.25">
      <c r="A1066" s="307">
        <f t="shared" si="97"/>
        <v>1060</v>
      </c>
      <c r="B1066" s="308">
        <v>46233</v>
      </c>
      <c r="C1066" s="309">
        <f t="shared" si="98"/>
        <v>46204</v>
      </c>
      <c r="D1066" s="310" t="s">
        <v>56</v>
      </c>
      <c r="E1066" s="310" t="s">
        <v>38</v>
      </c>
      <c r="F1066" s="311">
        <v>9995059254</v>
      </c>
      <c r="G1066" s="316" t="s">
        <v>6</v>
      </c>
      <c r="H1066" s="316" t="s">
        <v>1874</v>
      </c>
      <c r="I1066" s="316" t="s">
        <v>3571</v>
      </c>
      <c r="J1066" s="310" t="s">
        <v>59</v>
      </c>
      <c r="K1066" s="312">
        <v>44330</v>
      </c>
      <c r="L1066" s="312">
        <v>58120</v>
      </c>
      <c r="M1066" s="313">
        <f t="shared" si="99"/>
        <v>13790</v>
      </c>
      <c r="N1066" s="314">
        <f t="shared" si="100"/>
        <v>0.237267721954577</v>
      </c>
      <c r="O1066" s="312">
        <v>44330</v>
      </c>
      <c r="P1066" s="313">
        <f t="shared" si="96"/>
        <v>0</v>
      </c>
      <c r="Q1066" s="310" t="s">
        <v>147</v>
      </c>
      <c r="R1066" s="310">
        <v>151</v>
      </c>
      <c r="S1066" s="310"/>
      <c r="T1066" s="308">
        <v>46237</v>
      </c>
      <c r="U1066" s="308">
        <v>46237</v>
      </c>
      <c r="V1066" s="308"/>
      <c r="W1066" s="315">
        <f t="shared" si="101"/>
        <v>4</v>
      </c>
      <c r="X1066" s="310" t="s">
        <v>54</v>
      </c>
      <c r="Y1066" s="310" t="s">
        <v>56</v>
      </c>
      <c r="Z1066" s="316"/>
      <c r="AA1066" s="317">
        <v>46089</v>
      </c>
      <c r="AB1066" s="317">
        <v>46089</v>
      </c>
    </row>
    <row r="1067" spans="1:28" x14ac:dyDescent="0.25">
      <c r="A1067" s="307">
        <f t="shared" si="97"/>
        <v>1061</v>
      </c>
      <c r="B1067" s="308">
        <v>46234</v>
      </c>
      <c r="C1067" s="309">
        <f t="shared" si="98"/>
        <v>46204</v>
      </c>
      <c r="D1067" s="310" t="s">
        <v>56</v>
      </c>
      <c r="E1067" s="310" t="s">
        <v>60</v>
      </c>
      <c r="F1067" s="311">
        <v>9040208667</v>
      </c>
      <c r="G1067" s="316" t="s">
        <v>1093</v>
      </c>
      <c r="H1067" s="316" t="s">
        <v>3576</v>
      </c>
      <c r="I1067" s="316" t="s">
        <v>6</v>
      </c>
      <c r="J1067" s="310" t="s">
        <v>172</v>
      </c>
      <c r="K1067" s="312">
        <v>58240</v>
      </c>
      <c r="L1067" s="312">
        <v>150880</v>
      </c>
      <c r="M1067" s="313">
        <f t="shared" si="99"/>
        <v>92640</v>
      </c>
      <c r="N1067" s="314">
        <f t="shared" si="100"/>
        <v>0.613997879109226</v>
      </c>
      <c r="O1067" s="312">
        <v>58240</v>
      </c>
      <c r="P1067" s="313">
        <f t="shared" si="96"/>
        <v>0</v>
      </c>
      <c r="Q1067" s="310" t="s">
        <v>147</v>
      </c>
      <c r="R1067" s="310">
        <v>152</v>
      </c>
      <c r="S1067" s="310"/>
      <c r="T1067" s="308">
        <v>46237</v>
      </c>
      <c r="U1067" s="308">
        <v>46237</v>
      </c>
      <c r="V1067" s="308"/>
      <c r="W1067" s="315">
        <f t="shared" si="101"/>
        <v>3</v>
      </c>
      <c r="X1067" s="310" t="s">
        <v>54</v>
      </c>
      <c r="Y1067" s="310" t="s">
        <v>56</v>
      </c>
      <c r="Z1067" s="316"/>
      <c r="AA1067" s="317">
        <v>46089</v>
      </c>
      <c r="AB1067" s="317">
        <v>46089</v>
      </c>
    </row>
    <row r="1068" spans="1:28" x14ac:dyDescent="0.25">
      <c r="A1068" s="307">
        <f t="shared" si="97"/>
        <v>1062</v>
      </c>
      <c r="B1068" s="308">
        <v>46234</v>
      </c>
      <c r="C1068" s="309">
        <f t="shared" si="98"/>
        <v>46204</v>
      </c>
      <c r="D1068" s="310" t="s">
        <v>56</v>
      </c>
      <c r="E1068" s="310" t="s">
        <v>3065</v>
      </c>
      <c r="F1068" s="311">
        <v>9589264337</v>
      </c>
      <c r="G1068" s="316" t="s">
        <v>1093</v>
      </c>
      <c r="H1068" s="316" t="s">
        <v>3583</v>
      </c>
      <c r="I1068" s="316" t="s">
        <v>6</v>
      </c>
      <c r="J1068" s="310" t="s">
        <v>172</v>
      </c>
      <c r="K1068" s="312">
        <v>57300</v>
      </c>
      <c r="L1068" s="312">
        <v>144580</v>
      </c>
      <c r="M1068" s="313">
        <f t="shared" si="99"/>
        <v>87280</v>
      </c>
      <c r="N1068" s="314">
        <f t="shared" si="100"/>
        <v>0.603679623737723</v>
      </c>
      <c r="O1068" s="312">
        <v>57300</v>
      </c>
      <c r="P1068" s="313">
        <f t="shared" si="96"/>
        <v>0</v>
      </c>
      <c r="Q1068" s="310" t="s">
        <v>147</v>
      </c>
      <c r="R1068" s="310">
        <v>153</v>
      </c>
      <c r="S1068" s="310"/>
      <c r="T1068" s="308">
        <v>46237</v>
      </c>
      <c r="U1068" s="308">
        <v>46237</v>
      </c>
      <c r="V1068" s="308"/>
      <c r="W1068" s="315">
        <f t="shared" si="101"/>
        <v>3</v>
      </c>
      <c r="X1068" s="310" t="s">
        <v>54</v>
      </c>
      <c r="Y1068" s="310" t="s">
        <v>56</v>
      </c>
      <c r="Z1068" s="316"/>
      <c r="AA1068" s="317">
        <v>46089</v>
      </c>
      <c r="AB1068" s="317">
        <v>46089</v>
      </c>
    </row>
    <row r="1069" spans="1:28" x14ac:dyDescent="0.25">
      <c r="A1069" s="307">
        <f t="shared" si="97"/>
        <v>1063</v>
      </c>
      <c r="B1069" s="308">
        <v>46234</v>
      </c>
      <c r="C1069" s="309">
        <f t="shared" si="98"/>
        <v>46204</v>
      </c>
      <c r="D1069" s="310" t="s">
        <v>56</v>
      </c>
      <c r="E1069" s="310" t="s">
        <v>1644</v>
      </c>
      <c r="F1069" s="311">
        <v>9935813519</v>
      </c>
      <c r="G1069" s="316" t="s">
        <v>2168</v>
      </c>
      <c r="H1069" s="316" t="s">
        <v>3790</v>
      </c>
      <c r="I1069" s="316" t="s">
        <v>6</v>
      </c>
      <c r="J1069" s="310" t="s">
        <v>172</v>
      </c>
      <c r="K1069" s="312">
        <v>55830</v>
      </c>
      <c r="L1069" s="312">
        <v>134820</v>
      </c>
      <c r="M1069" s="313">
        <f t="shared" si="99"/>
        <v>78990</v>
      </c>
      <c r="N1069" s="314">
        <f t="shared" si="100"/>
        <v>0.585892300845572</v>
      </c>
      <c r="O1069" s="312">
        <v>55830</v>
      </c>
      <c r="P1069" s="313">
        <f t="shared" si="96"/>
        <v>0</v>
      </c>
      <c r="Q1069" s="310" t="s">
        <v>147</v>
      </c>
      <c r="R1069" s="310">
        <v>154</v>
      </c>
      <c r="S1069" s="310"/>
      <c r="T1069" s="308">
        <v>46237</v>
      </c>
      <c r="U1069" s="308">
        <v>46237</v>
      </c>
      <c r="V1069" s="308"/>
      <c r="W1069" s="315">
        <f t="shared" si="101"/>
        <v>3</v>
      </c>
      <c r="X1069" s="310" t="s">
        <v>54</v>
      </c>
      <c r="Y1069" s="310" t="s">
        <v>56</v>
      </c>
      <c r="Z1069" s="316"/>
      <c r="AA1069" s="317">
        <v>46089</v>
      </c>
      <c r="AB1069" s="317">
        <v>46089</v>
      </c>
    </row>
    <row r="1070" spans="1:28" x14ac:dyDescent="0.25">
      <c r="A1070" s="307">
        <f t="shared" si="97"/>
        <v>1064</v>
      </c>
      <c r="B1070" s="308">
        <v>46234</v>
      </c>
      <c r="C1070" s="309">
        <f t="shared" si="98"/>
        <v>46204</v>
      </c>
      <c r="D1070" s="310" t="s">
        <v>56</v>
      </c>
      <c r="E1070" s="310" t="s">
        <v>1641</v>
      </c>
      <c r="F1070" s="311">
        <v>9486716172</v>
      </c>
      <c r="G1070" s="316" t="s">
        <v>6</v>
      </c>
      <c r="H1070" s="316"/>
      <c r="I1070" s="316" t="s">
        <v>3572</v>
      </c>
      <c r="J1070" s="310" t="s">
        <v>172</v>
      </c>
      <c r="K1070" s="312">
        <v>44680</v>
      </c>
      <c r="L1070" s="312">
        <v>60480</v>
      </c>
      <c r="M1070" s="313">
        <f t="shared" si="99"/>
        <v>15800</v>
      </c>
      <c r="N1070" s="314">
        <f t="shared" si="100"/>
        <v>0.261243386243386</v>
      </c>
      <c r="O1070" s="312">
        <v>44680</v>
      </c>
      <c r="P1070" s="313">
        <f t="shared" si="96"/>
        <v>0</v>
      </c>
      <c r="Q1070" s="310" t="s">
        <v>147</v>
      </c>
      <c r="R1070" s="310">
        <v>155</v>
      </c>
      <c r="S1070" s="310"/>
      <c r="T1070" s="308">
        <v>46237</v>
      </c>
      <c r="U1070" s="308">
        <v>46237</v>
      </c>
      <c r="V1070" s="308"/>
      <c r="W1070" s="315">
        <f t="shared" si="101"/>
        <v>3</v>
      </c>
      <c r="X1070" s="310" t="s">
        <v>54</v>
      </c>
      <c r="Y1070" s="310" t="s">
        <v>56</v>
      </c>
      <c r="Z1070" s="316"/>
      <c r="AA1070" s="317">
        <v>46089</v>
      </c>
      <c r="AB1070" s="317">
        <v>46089</v>
      </c>
    </row>
    <row r="1071" spans="1:28" x14ac:dyDescent="0.25">
      <c r="A1071" s="307">
        <f t="shared" si="97"/>
        <v>1065</v>
      </c>
      <c r="B1071" s="308">
        <v>46234</v>
      </c>
      <c r="C1071" s="309">
        <f t="shared" si="98"/>
        <v>46204</v>
      </c>
      <c r="D1071" s="310" t="s">
        <v>56</v>
      </c>
      <c r="E1071" s="310" t="s">
        <v>2859</v>
      </c>
      <c r="F1071" s="311">
        <v>9902798068</v>
      </c>
      <c r="G1071" s="316" t="s">
        <v>6</v>
      </c>
      <c r="H1071" s="316" t="s">
        <v>3573</v>
      </c>
      <c r="I1071" s="316" t="s">
        <v>3574</v>
      </c>
      <c r="J1071" s="310" t="s">
        <v>172</v>
      </c>
      <c r="K1071" s="312">
        <v>45630</v>
      </c>
      <c r="L1071" s="312">
        <v>66780</v>
      </c>
      <c r="M1071" s="313">
        <f t="shared" si="99"/>
        <v>21150</v>
      </c>
      <c r="N1071" s="314">
        <f t="shared" si="100"/>
        <v>0.316711590296496</v>
      </c>
      <c r="O1071" s="312">
        <v>45630</v>
      </c>
      <c r="P1071" s="313">
        <f t="shared" si="96"/>
        <v>0</v>
      </c>
      <c r="Q1071" s="310" t="s">
        <v>147</v>
      </c>
      <c r="R1071" s="310">
        <v>156</v>
      </c>
      <c r="S1071" s="310"/>
      <c r="T1071" s="308">
        <v>46237</v>
      </c>
      <c r="U1071" s="308">
        <v>46237</v>
      </c>
      <c r="V1071" s="308"/>
      <c r="W1071" s="315">
        <f t="shared" si="101"/>
        <v>3</v>
      </c>
      <c r="X1071" s="310" t="s">
        <v>54</v>
      </c>
      <c r="Y1071" s="310" t="s">
        <v>56</v>
      </c>
      <c r="Z1071" s="316"/>
      <c r="AA1071" s="317">
        <v>46089</v>
      </c>
      <c r="AB1071" s="317">
        <v>46089</v>
      </c>
    </row>
    <row r="1072" spans="1:28" x14ac:dyDescent="0.25">
      <c r="A1072" s="307">
        <f t="shared" si="97"/>
        <v>1066</v>
      </c>
      <c r="B1072" s="308">
        <v>46235</v>
      </c>
      <c r="C1072" s="309">
        <f t="shared" si="98"/>
        <v>46235</v>
      </c>
      <c r="D1072" s="310" t="s">
        <v>56</v>
      </c>
      <c r="E1072" s="310" t="s">
        <v>1637</v>
      </c>
      <c r="F1072" s="311">
        <v>9025368773</v>
      </c>
      <c r="G1072" s="316" t="s">
        <v>1093</v>
      </c>
      <c r="H1072" s="316" t="s">
        <v>3627</v>
      </c>
      <c r="I1072" s="316" t="s">
        <v>6</v>
      </c>
      <c r="J1072" s="310" t="s">
        <v>172</v>
      </c>
      <c r="K1072" s="312">
        <v>58240</v>
      </c>
      <c r="L1072" s="312">
        <v>150880</v>
      </c>
      <c r="M1072" s="313">
        <f t="shared" si="99"/>
        <v>92640</v>
      </c>
      <c r="N1072" s="314">
        <f t="shared" si="100"/>
        <v>0.613997879109226</v>
      </c>
      <c r="O1072" s="312">
        <v>58240</v>
      </c>
      <c r="P1072" s="313">
        <f t="shared" si="96"/>
        <v>0</v>
      </c>
      <c r="Q1072" s="310" t="s">
        <v>147</v>
      </c>
      <c r="R1072" s="310">
        <v>157</v>
      </c>
      <c r="S1072" s="310"/>
      <c r="T1072" s="308">
        <v>46239</v>
      </c>
      <c r="U1072" s="308">
        <v>46239</v>
      </c>
      <c r="V1072" s="308"/>
      <c r="W1072" s="315">
        <f t="shared" si="101"/>
        <v>4</v>
      </c>
      <c r="X1072" s="310" t="s">
        <v>54</v>
      </c>
      <c r="Y1072" s="310" t="s">
        <v>56</v>
      </c>
      <c r="Z1072" s="316"/>
      <c r="AA1072" s="317">
        <v>46150</v>
      </c>
      <c r="AB1072" s="317">
        <v>46150</v>
      </c>
    </row>
    <row r="1073" spans="1:28" x14ac:dyDescent="0.25">
      <c r="A1073" s="307">
        <f t="shared" si="97"/>
        <v>1067</v>
      </c>
      <c r="B1073" s="308">
        <v>46236</v>
      </c>
      <c r="C1073" s="309">
        <f t="shared" si="98"/>
        <v>46235</v>
      </c>
      <c r="D1073" s="310" t="s">
        <v>51</v>
      </c>
      <c r="E1073" s="310" t="s">
        <v>3556</v>
      </c>
      <c r="F1073" s="311">
        <v>9531183035</v>
      </c>
      <c r="G1073" s="316" t="s">
        <v>6</v>
      </c>
      <c r="H1073" s="316" t="s">
        <v>1874</v>
      </c>
      <c r="I1073" s="316" t="s">
        <v>3609</v>
      </c>
      <c r="J1073" s="310" t="s">
        <v>172</v>
      </c>
      <c r="K1073" s="312">
        <v>35850</v>
      </c>
      <c r="L1073" s="312">
        <v>60480</v>
      </c>
      <c r="M1073" s="313">
        <f t="shared" si="99"/>
        <v>24630</v>
      </c>
      <c r="N1073" s="314">
        <f t="shared" si="100"/>
        <v>0.407242063492064</v>
      </c>
      <c r="O1073" s="312">
        <v>34420</v>
      </c>
      <c r="P1073" s="313">
        <f t="shared" si="96"/>
        <v>1430</v>
      </c>
      <c r="Q1073" s="310" t="s">
        <v>147</v>
      </c>
      <c r="R1073" s="310">
        <v>158</v>
      </c>
      <c r="S1073" s="310"/>
      <c r="T1073" s="308">
        <v>46239</v>
      </c>
      <c r="U1073" s="308">
        <v>46239</v>
      </c>
      <c r="V1073" s="308"/>
      <c r="W1073" s="315">
        <f t="shared" si="101"/>
        <v>3</v>
      </c>
      <c r="X1073" s="310" t="s">
        <v>54</v>
      </c>
      <c r="Y1073" s="310" t="s">
        <v>3557</v>
      </c>
      <c r="Z1073" s="316"/>
      <c r="AA1073" s="317">
        <v>46150</v>
      </c>
      <c r="AB1073" s="317">
        <v>46150</v>
      </c>
    </row>
    <row r="1074" spans="1:28" x14ac:dyDescent="0.25">
      <c r="A1074" s="307">
        <f t="shared" si="97"/>
        <v>1068</v>
      </c>
      <c r="B1074" s="308">
        <v>46239</v>
      </c>
      <c r="C1074" s="309">
        <f t="shared" si="98"/>
        <v>46235</v>
      </c>
      <c r="D1074" s="310" t="s">
        <v>56</v>
      </c>
      <c r="E1074" s="310" t="s">
        <v>60</v>
      </c>
      <c r="F1074" s="311">
        <v>9040208667</v>
      </c>
      <c r="G1074" s="316" t="s">
        <v>6</v>
      </c>
      <c r="H1074" s="316" t="s">
        <v>3610</v>
      </c>
      <c r="I1074" s="316" t="s">
        <v>3611</v>
      </c>
      <c r="J1074" s="310" t="s">
        <v>172</v>
      </c>
      <c r="K1074" s="312">
        <v>45630</v>
      </c>
      <c r="L1074" s="312">
        <v>66780</v>
      </c>
      <c r="M1074" s="313">
        <f t="shared" si="99"/>
        <v>21150</v>
      </c>
      <c r="N1074" s="314">
        <f t="shared" si="100"/>
        <v>0.316711590296496</v>
      </c>
      <c r="O1074" s="312">
        <v>45630</v>
      </c>
      <c r="P1074" s="313">
        <f t="shared" si="96"/>
        <v>0</v>
      </c>
      <c r="Q1074" s="310" t="s">
        <v>147</v>
      </c>
      <c r="R1074" s="310">
        <v>159</v>
      </c>
      <c r="S1074" s="310"/>
      <c r="T1074" s="308">
        <v>46242</v>
      </c>
      <c r="U1074" s="308">
        <v>46242</v>
      </c>
      <c r="V1074" s="308"/>
      <c r="W1074" s="315">
        <f t="shared" si="101"/>
        <v>3</v>
      </c>
      <c r="X1074" s="310" t="s">
        <v>54</v>
      </c>
      <c r="Y1074" s="310" t="s">
        <v>56</v>
      </c>
      <c r="Z1074" s="316"/>
      <c r="AA1074" s="317">
        <v>46242</v>
      </c>
      <c r="AB1074" s="317">
        <v>46242</v>
      </c>
    </row>
    <row r="1075" spans="1:28" x14ac:dyDescent="0.25">
      <c r="A1075" s="307">
        <f t="shared" si="97"/>
        <v>1069</v>
      </c>
      <c r="B1075" s="308">
        <v>46240</v>
      </c>
      <c r="C1075" s="309">
        <f t="shared" si="98"/>
        <v>46235</v>
      </c>
      <c r="D1075" s="310" t="s">
        <v>56</v>
      </c>
      <c r="E1075" s="310" t="s">
        <v>1637</v>
      </c>
      <c r="F1075" s="311">
        <v>9025368773</v>
      </c>
      <c r="G1075" s="316" t="s">
        <v>6</v>
      </c>
      <c r="H1075" s="316" t="s">
        <v>1874</v>
      </c>
      <c r="I1075" s="316" t="s">
        <v>3612</v>
      </c>
      <c r="J1075" s="310" t="s">
        <v>172</v>
      </c>
      <c r="K1075" s="312">
        <v>44680</v>
      </c>
      <c r="L1075" s="312">
        <v>60480</v>
      </c>
      <c r="M1075" s="313">
        <f t="shared" si="99"/>
        <v>15800</v>
      </c>
      <c r="N1075" s="314">
        <f t="shared" si="100"/>
        <v>0.261243386243386</v>
      </c>
      <c r="O1075" s="312">
        <v>44680</v>
      </c>
      <c r="P1075" s="313">
        <f t="shared" si="96"/>
        <v>0</v>
      </c>
      <c r="Q1075" s="310" t="s">
        <v>147</v>
      </c>
      <c r="R1075" s="310">
        <v>160</v>
      </c>
      <c r="S1075" s="310"/>
      <c r="T1075" s="308">
        <v>46242</v>
      </c>
      <c r="U1075" s="308">
        <v>46242</v>
      </c>
      <c r="V1075" s="308"/>
      <c r="W1075" s="315">
        <f t="shared" si="101"/>
        <v>2</v>
      </c>
      <c r="X1075" s="310" t="s">
        <v>54</v>
      </c>
      <c r="Y1075" s="310" t="s">
        <v>56</v>
      </c>
      <c r="Z1075" s="316"/>
      <c r="AA1075" s="317">
        <v>46242</v>
      </c>
      <c r="AB1075" s="317">
        <v>46242</v>
      </c>
    </row>
    <row r="1076" spans="1:28" x14ac:dyDescent="0.25">
      <c r="A1076" s="307">
        <f t="shared" si="97"/>
        <v>1070</v>
      </c>
      <c r="B1076" s="308">
        <v>46240</v>
      </c>
      <c r="C1076" s="309">
        <f t="shared" si="98"/>
        <v>46235</v>
      </c>
      <c r="D1076" s="310" t="s">
        <v>56</v>
      </c>
      <c r="E1076" s="310" t="s">
        <v>38</v>
      </c>
      <c r="F1076" s="311">
        <v>9995059254</v>
      </c>
      <c r="G1076" s="316" t="s">
        <v>1093</v>
      </c>
      <c r="H1076" s="316" t="s">
        <v>3625</v>
      </c>
      <c r="I1076" s="316" t="s">
        <v>6</v>
      </c>
      <c r="J1076" s="310" t="s">
        <v>59</v>
      </c>
      <c r="K1076" s="312">
        <v>56160</v>
      </c>
      <c r="L1076" s="312">
        <v>137020</v>
      </c>
      <c r="M1076" s="313">
        <f t="shared" si="99"/>
        <v>80860</v>
      </c>
      <c r="N1076" s="314">
        <f t="shared" si="100"/>
        <v>0.590132827324478</v>
      </c>
      <c r="O1076" s="312">
        <v>56160</v>
      </c>
      <c r="P1076" s="313">
        <f t="shared" si="96"/>
        <v>0</v>
      </c>
      <c r="Q1076" s="310" t="s">
        <v>147</v>
      </c>
      <c r="R1076" s="310">
        <v>161</v>
      </c>
      <c r="S1076" s="310"/>
      <c r="T1076" s="308">
        <v>46244</v>
      </c>
      <c r="U1076" s="308">
        <v>46244</v>
      </c>
      <c r="V1076" s="308"/>
      <c r="W1076" s="315">
        <f t="shared" si="101"/>
        <v>4</v>
      </c>
      <c r="X1076" s="310" t="s">
        <v>54</v>
      </c>
      <c r="Y1076" s="310" t="s">
        <v>56</v>
      </c>
      <c r="Z1076" s="316" t="s">
        <v>3791</v>
      </c>
      <c r="AA1076" s="317">
        <v>46303</v>
      </c>
      <c r="AB1076" s="317">
        <v>46303</v>
      </c>
    </row>
    <row r="1077" spans="1:28" x14ac:dyDescent="0.25">
      <c r="A1077" s="307">
        <f t="shared" si="97"/>
        <v>1071</v>
      </c>
      <c r="B1077" s="308">
        <v>46241</v>
      </c>
      <c r="C1077" s="309">
        <f t="shared" si="98"/>
        <v>46235</v>
      </c>
      <c r="D1077" s="310" t="s">
        <v>51</v>
      </c>
      <c r="E1077" s="310" t="s">
        <v>3592</v>
      </c>
      <c r="F1077" s="311">
        <v>9364520221</v>
      </c>
      <c r="G1077" s="316" t="s">
        <v>6</v>
      </c>
      <c r="H1077" s="316" t="s">
        <v>3613</v>
      </c>
      <c r="I1077" s="316" t="s">
        <v>3614</v>
      </c>
      <c r="J1077" s="310" t="s">
        <v>172</v>
      </c>
      <c r="K1077" s="312">
        <v>37330</v>
      </c>
      <c r="L1077" s="312">
        <v>66780</v>
      </c>
      <c r="M1077" s="313">
        <f t="shared" si="99"/>
        <v>29450</v>
      </c>
      <c r="N1077" s="314">
        <f t="shared" si="100"/>
        <v>0.441000299490866</v>
      </c>
      <c r="O1077" s="312"/>
      <c r="P1077" s="313" t="str">
        <f t="shared" si="96"/>
        <v/>
      </c>
      <c r="Q1077" s="310" t="s">
        <v>147</v>
      </c>
      <c r="R1077" s="310">
        <v>162</v>
      </c>
      <c r="S1077" s="310"/>
      <c r="T1077" s="308">
        <v>46244</v>
      </c>
      <c r="U1077" s="308">
        <v>46245</v>
      </c>
      <c r="V1077" s="308"/>
      <c r="W1077" s="315">
        <f t="shared" si="101"/>
        <v>4</v>
      </c>
      <c r="X1077" s="310" t="s">
        <v>54</v>
      </c>
      <c r="Y1077" s="310" t="s">
        <v>3561</v>
      </c>
      <c r="Z1077" s="316"/>
      <c r="AA1077" s="317">
        <v>46303</v>
      </c>
      <c r="AB1077" s="317">
        <v>46334</v>
      </c>
    </row>
    <row r="1078" spans="1:28" x14ac:dyDescent="0.25">
      <c r="A1078" s="307">
        <f t="shared" si="97"/>
        <v>1072</v>
      </c>
      <c r="B1078" s="308">
        <v>46241</v>
      </c>
      <c r="C1078" s="309">
        <f t="shared" si="98"/>
        <v>46235</v>
      </c>
      <c r="D1078" s="310" t="s">
        <v>51</v>
      </c>
      <c r="E1078" s="310" t="s">
        <v>3594</v>
      </c>
      <c r="F1078" s="311">
        <v>9093304663</v>
      </c>
      <c r="G1078" s="316" t="s">
        <v>6</v>
      </c>
      <c r="H1078" s="316" t="s">
        <v>3615</v>
      </c>
      <c r="I1078" s="316" t="s">
        <v>3616</v>
      </c>
      <c r="J1078" s="310" t="s">
        <v>168</v>
      </c>
      <c r="K1078" s="312">
        <v>30910</v>
      </c>
      <c r="L1078" s="312">
        <v>59690</v>
      </c>
      <c r="M1078" s="313">
        <f t="shared" si="99"/>
        <v>28780</v>
      </c>
      <c r="N1078" s="314">
        <f t="shared" si="100"/>
        <v>0.482157815379461</v>
      </c>
      <c r="O1078" s="312"/>
      <c r="P1078" s="313" t="str">
        <f t="shared" si="96"/>
        <v/>
      </c>
      <c r="Q1078" s="310" t="s">
        <v>147</v>
      </c>
      <c r="R1078" s="310">
        <v>163</v>
      </c>
      <c r="S1078" s="310"/>
      <c r="T1078" s="308">
        <v>46244</v>
      </c>
      <c r="U1078" s="308">
        <v>46245</v>
      </c>
      <c r="V1078" s="308"/>
      <c r="W1078" s="315">
        <f t="shared" si="101"/>
        <v>4</v>
      </c>
      <c r="X1078" s="310" t="s">
        <v>54</v>
      </c>
      <c r="Y1078" s="310" t="s">
        <v>3561</v>
      </c>
      <c r="Z1078" s="316"/>
      <c r="AA1078" s="317">
        <v>46303</v>
      </c>
      <c r="AB1078" s="317">
        <v>46334</v>
      </c>
    </row>
    <row r="1079" spans="1:28" x14ac:dyDescent="0.25">
      <c r="A1079" s="307">
        <f t="shared" si="97"/>
        <v>1073</v>
      </c>
      <c r="B1079" s="308">
        <v>46241</v>
      </c>
      <c r="C1079" s="309">
        <f t="shared" si="98"/>
        <v>46235</v>
      </c>
      <c r="D1079" s="310" t="s">
        <v>56</v>
      </c>
      <c r="E1079" s="310" t="s">
        <v>2859</v>
      </c>
      <c r="F1079" s="311">
        <v>9902798068</v>
      </c>
      <c r="G1079" s="316" t="s">
        <v>6</v>
      </c>
      <c r="H1079" s="316" t="s">
        <v>1874</v>
      </c>
      <c r="I1079" s="316" t="s">
        <v>3617</v>
      </c>
      <c r="J1079" s="310" t="s">
        <v>172</v>
      </c>
      <c r="K1079" s="312">
        <v>44680</v>
      </c>
      <c r="L1079" s="312">
        <v>60480</v>
      </c>
      <c r="M1079" s="313">
        <f t="shared" si="99"/>
        <v>15800</v>
      </c>
      <c r="N1079" s="314">
        <f t="shared" si="100"/>
        <v>0.261243386243386</v>
      </c>
      <c r="O1079" s="312">
        <v>44680</v>
      </c>
      <c r="P1079" s="313">
        <f t="shared" si="96"/>
        <v>0</v>
      </c>
      <c r="Q1079" s="310" t="s">
        <v>147</v>
      </c>
      <c r="R1079" s="310">
        <v>164</v>
      </c>
      <c r="S1079" s="310"/>
      <c r="T1079" s="308">
        <v>46244</v>
      </c>
      <c r="U1079" s="308">
        <v>46245</v>
      </c>
      <c r="V1079" s="308"/>
      <c r="W1079" s="315">
        <f t="shared" si="101"/>
        <v>4</v>
      </c>
      <c r="X1079" s="310" t="s">
        <v>54</v>
      </c>
      <c r="Y1079" s="310" t="s">
        <v>56</v>
      </c>
      <c r="Z1079" s="316"/>
      <c r="AA1079" s="317">
        <v>46303</v>
      </c>
      <c r="AB1079" s="317">
        <v>46334</v>
      </c>
    </row>
    <row r="1080" spans="1:28" x14ac:dyDescent="0.25">
      <c r="A1080" s="307">
        <f t="shared" si="97"/>
        <v>1074</v>
      </c>
      <c r="B1080" s="308">
        <v>46241</v>
      </c>
      <c r="C1080" s="309">
        <f t="shared" si="98"/>
        <v>46235</v>
      </c>
      <c r="D1080" s="310" t="s">
        <v>56</v>
      </c>
      <c r="E1080" s="310" t="s">
        <v>1644</v>
      </c>
      <c r="F1080" s="311">
        <v>9935813519</v>
      </c>
      <c r="G1080" s="316" t="s">
        <v>1093</v>
      </c>
      <c r="H1080" s="316" t="s">
        <v>3626</v>
      </c>
      <c r="I1080" s="316" t="s">
        <v>6</v>
      </c>
      <c r="J1080" s="310" t="s">
        <v>172</v>
      </c>
      <c r="K1080" s="312">
        <v>57300</v>
      </c>
      <c r="L1080" s="312">
        <v>144580</v>
      </c>
      <c r="M1080" s="313">
        <f t="shared" si="99"/>
        <v>87280</v>
      </c>
      <c r="N1080" s="314">
        <f t="shared" si="100"/>
        <v>0.603679623737723</v>
      </c>
      <c r="O1080" s="312">
        <v>57300</v>
      </c>
      <c r="P1080" s="313">
        <f t="shared" si="96"/>
        <v>0</v>
      </c>
      <c r="Q1080" s="310" t="s">
        <v>147</v>
      </c>
      <c r="R1080" s="310">
        <v>165</v>
      </c>
      <c r="S1080" s="310"/>
      <c r="T1080" s="308">
        <v>46244</v>
      </c>
      <c r="U1080" s="308">
        <v>46244</v>
      </c>
      <c r="V1080" s="308"/>
      <c r="W1080" s="315">
        <f t="shared" si="101"/>
        <v>3</v>
      </c>
      <c r="X1080" s="310" t="s">
        <v>54</v>
      </c>
      <c r="Y1080" s="310" t="s">
        <v>56</v>
      </c>
      <c r="Z1080" s="316"/>
      <c r="AA1080" s="317">
        <v>46303</v>
      </c>
      <c r="AB1080" s="317">
        <v>46303</v>
      </c>
    </row>
    <row r="1081" spans="1:28" x14ac:dyDescent="0.25">
      <c r="A1081" s="307">
        <f t="shared" si="97"/>
        <v>1075</v>
      </c>
      <c r="B1081" s="308">
        <v>46243</v>
      </c>
      <c r="C1081" s="309">
        <f t="shared" si="98"/>
        <v>46235</v>
      </c>
      <c r="D1081" s="310" t="s">
        <v>56</v>
      </c>
      <c r="E1081" s="310" t="s">
        <v>60</v>
      </c>
      <c r="F1081" s="311">
        <v>9040208667</v>
      </c>
      <c r="G1081" s="316" t="s">
        <v>1093</v>
      </c>
      <c r="H1081" s="316" t="s">
        <v>3629</v>
      </c>
      <c r="I1081" s="316" t="s">
        <v>6</v>
      </c>
      <c r="J1081" s="310" t="s">
        <v>172</v>
      </c>
      <c r="K1081" s="312">
        <v>57300</v>
      </c>
      <c r="L1081" s="312">
        <v>144580</v>
      </c>
      <c r="M1081" s="313">
        <f t="shared" si="99"/>
        <v>87280</v>
      </c>
      <c r="N1081" s="314">
        <f t="shared" si="100"/>
        <v>0.603679623737723</v>
      </c>
      <c r="O1081" s="312">
        <v>57300</v>
      </c>
      <c r="P1081" s="313">
        <f t="shared" si="96"/>
        <v>0</v>
      </c>
      <c r="Q1081" s="310" t="s">
        <v>147</v>
      </c>
      <c r="R1081" s="310">
        <v>166</v>
      </c>
      <c r="S1081" s="310"/>
      <c r="T1081" s="308">
        <v>46246</v>
      </c>
      <c r="U1081" s="308">
        <v>46246</v>
      </c>
      <c r="V1081" s="308"/>
      <c r="W1081" s="315">
        <f t="shared" si="101"/>
        <v>3</v>
      </c>
      <c r="X1081" s="310" t="s">
        <v>54</v>
      </c>
      <c r="Y1081" s="310" t="s">
        <v>56</v>
      </c>
      <c r="Z1081" s="316"/>
      <c r="AA1081" s="317">
        <v>46364</v>
      </c>
      <c r="AB1081" s="317">
        <v>46364</v>
      </c>
    </row>
    <row r="1082" spans="1:28" x14ac:dyDescent="0.25">
      <c r="A1082" s="307">
        <f t="shared" si="97"/>
        <v>1076</v>
      </c>
      <c r="B1082" s="308">
        <v>46243</v>
      </c>
      <c r="C1082" s="309">
        <f t="shared" si="98"/>
        <v>46235</v>
      </c>
      <c r="D1082" s="310" t="s">
        <v>51</v>
      </c>
      <c r="E1082" s="310" t="s">
        <v>1108</v>
      </c>
      <c r="F1082" s="311">
        <v>9299677001</v>
      </c>
      <c r="G1082" s="316" t="s">
        <v>6</v>
      </c>
      <c r="H1082" s="316" t="s">
        <v>1874</v>
      </c>
      <c r="I1082" s="316" t="s">
        <v>3618</v>
      </c>
      <c r="J1082" s="310" t="s">
        <v>172</v>
      </c>
      <c r="K1082" s="312">
        <v>49940</v>
      </c>
      <c r="L1082" s="312">
        <v>150880</v>
      </c>
      <c r="M1082" s="313">
        <f t="shared" si="99"/>
        <v>100940</v>
      </c>
      <c r="N1082" s="314">
        <f t="shared" si="100"/>
        <v>0.669008483563097</v>
      </c>
      <c r="O1082" s="312"/>
      <c r="P1082" s="313" t="str">
        <f t="shared" si="96"/>
        <v/>
      </c>
      <c r="Q1082" s="310" t="s">
        <v>147</v>
      </c>
      <c r="R1082" s="310">
        <v>167</v>
      </c>
      <c r="S1082" s="310"/>
      <c r="T1082" s="308">
        <v>46246</v>
      </c>
      <c r="U1082" s="308">
        <v>46246</v>
      </c>
      <c r="V1082" s="308"/>
      <c r="W1082" s="315">
        <f t="shared" si="101"/>
        <v>3</v>
      </c>
      <c r="X1082" s="310" t="s">
        <v>54</v>
      </c>
      <c r="Y1082" s="310" t="s">
        <v>3561</v>
      </c>
      <c r="Z1082" s="316"/>
      <c r="AA1082" s="317">
        <v>46364</v>
      </c>
      <c r="AB1082" s="317">
        <v>46364</v>
      </c>
    </row>
    <row r="1083" spans="1:28" x14ac:dyDescent="0.25">
      <c r="A1083" s="307">
        <f t="shared" si="97"/>
        <v>1077</v>
      </c>
      <c r="B1083" s="308">
        <v>46244</v>
      </c>
      <c r="C1083" s="309">
        <f t="shared" si="98"/>
        <v>46235</v>
      </c>
      <c r="D1083" s="310" t="s">
        <v>56</v>
      </c>
      <c r="E1083" s="310" t="s">
        <v>1644</v>
      </c>
      <c r="F1083" s="311">
        <v>9935813519</v>
      </c>
      <c r="G1083" s="316" t="s">
        <v>6</v>
      </c>
      <c r="H1083" s="316" t="s">
        <v>1874</v>
      </c>
      <c r="I1083" s="316" t="s">
        <v>3619</v>
      </c>
      <c r="J1083" s="310" t="s">
        <v>172</v>
      </c>
      <c r="K1083" s="312">
        <v>44680</v>
      </c>
      <c r="L1083" s="312">
        <v>60480</v>
      </c>
      <c r="M1083" s="313">
        <f t="shared" si="99"/>
        <v>15800</v>
      </c>
      <c r="N1083" s="314">
        <f t="shared" si="100"/>
        <v>0.261243386243386</v>
      </c>
      <c r="O1083" s="312">
        <v>44680</v>
      </c>
      <c r="P1083" s="313">
        <f t="shared" si="96"/>
        <v>0</v>
      </c>
      <c r="Q1083" s="310" t="s">
        <v>147</v>
      </c>
      <c r="R1083" s="310">
        <v>168</v>
      </c>
      <c r="S1083" s="310"/>
      <c r="T1083" s="308">
        <v>46247</v>
      </c>
      <c r="U1083" s="308">
        <v>46247</v>
      </c>
      <c r="V1083" s="308"/>
      <c r="W1083" s="315">
        <f t="shared" si="101"/>
        <v>3</v>
      </c>
      <c r="X1083" s="310" t="s">
        <v>54</v>
      </c>
      <c r="Y1083" s="310" t="s">
        <v>56</v>
      </c>
      <c r="Z1083" s="316"/>
      <c r="AA1083" s="316" t="s">
        <v>3607</v>
      </c>
      <c r="AB1083" s="316" t="s">
        <v>3607</v>
      </c>
    </row>
    <row r="1084" spans="1:28" x14ac:dyDescent="0.25">
      <c r="A1084" s="307">
        <f t="shared" si="97"/>
        <v>1078</v>
      </c>
      <c r="B1084" s="308">
        <v>46245</v>
      </c>
      <c r="C1084" s="309">
        <f t="shared" si="98"/>
        <v>46235</v>
      </c>
      <c r="D1084" s="310" t="s">
        <v>56</v>
      </c>
      <c r="E1084" s="310" t="s">
        <v>3114</v>
      </c>
      <c r="F1084" s="311">
        <v>9472230553</v>
      </c>
      <c r="G1084" s="316" t="s">
        <v>6</v>
      </c>
      <c r="H1084" s="316" t="s">
        <v>3620</v>
      </c>
      <c r="I1084" s="316" t="s">
        <v>3621</v>
      </c>
      <c r="J1084" s="310" t="s">
        <v>172</v>
      </c>
      <c r="K1084" s="312">
        <v>45630</v>
      </c>
      <c r="L1084" s="312">
        <v>66780</v>
      </c>
      <c r="M1084" s="313">
        <f t="shared" si="99"/>
        <v>21150</v>
      </c>
      <c r="N1084" s="314">
        <f t="shared" si="100"/>
        <v>0.316711590296496</v>
      </c>
      <c r="O1084" s="312">
        <v>45630</v>
      </c>
      <c r="P1084" s="313">
        <f t="shared" si="96"/>
        <v>0</v>
      </c>
      <c r="Q1084" s="310" t="s">
        <v>147</v>
      </c>
      <c r="R1084" s="310">
        <v>169</v>
      </c>
      <c r="S1084" s="310"/>
      <c r="T1084" s="308">
        <v>46247</v>
      </c>
      <c r="U1084" s="308">
        <v>46247</v>
      </c>
      <c r="V1084" s="308"/>
      <c r="W1084" s="315">
        <f t="shared" si="101"/>
        <v>2</v>
      </c>
      <c r="X1084" s="310" t="s">
        <v>54</v>
      </c>
      <c r="Y1084" s="310" t="s">
        <v>56</v>
      </c>
      <c r="Z1084" s="316"/>
      <c r="AA1084" s="316" t="s">
        <v>3607</v>
      </c>
      <c r="AB1084" s="316" t="s">
        <v>3607</v>
      </c>
    </row>
    <row r="1085" spans="1:28" x14ac:dyDescent="0.25">
      <c r="A1085" s="307">
        <f t="shared" si="97"/>
        <v>1079</v>
      </c>
      <c r="B1085" s="308">
        <v>46246</v>
      </c>
      <c r="C1085" s="309">
        <f t="shared" si="98"/>
        <v>46235</v>
      </c>
      <c r="D1085" s="310" t="s">
        <v>56</v>
      </c>
      <c r="E1085" s="310" t="s">
        <v>1637</v>
      </c>
      <c r="F1085" s="311">
        <v>9025368773</v>
      </c>
      <c r="G1085" s="316" t="s">
        <v>1537</v>
      </c>
      <c r="H1085" s="316" t="s">
        <v>3628</v>
      </c>
      <c r="I1085" s="316" t="s">
        <v>6</v>
      </c>
      <c r="J1085" s="310" t="s">
        <v>172</v>
      </c>
      <c r="K1085" s="312">
        <v>55830</v>
      </c>
      <c r="L1085" s="312">
        <v>134820</v>
      </c>
      <c r="M1085" s="313">
        <f t="shared" si="99"/>
        <v>78990</v>
      </c>
      <c r="N1085" s="314">
        <f t="shared" si="100"/>
        <v>0.585892300845572</v>
      </c>
      <c r="O1085" s="312">
        <v>55830</v>
      </c>
      <c r="P1085" s="313">
        <f t="shared" si="96"/>
        <v>0</v>
      </c>
      <c r="Q1085" s="310" t="s">
        <v>147</v>
      </c>
      <c r="R1085" s="310">
        <v>170</v>
      </c>
      <c r="S1085" s="310"/>
      <c r="T1085" s="308">
        <v>46248</v>
      </c>
      <c r="U1085" s="308">
        <v>46248</v>
      </c>
      <c r="V1085" s="308"/>
      <c r="W1085" s="315">
        <f t="shared" si="101"/>
        <v>2</v>
      </c>
      <c r="X1085" s="310" t="s">
        <v>54</v>
      </c>
      <c r="Y1085" s="310" t="s">
        <v>56</v>
      </c>
      <c r="Z1085" s="316"/>
      <c r="AA1085" s="316" t="s">
        <v>3608</v>
      </c>
      <c r="AB1085" s="316" t="s">
        <v>3608</v>
      </c>
    </row>
    <row r="1086" spans="1:28" x14ac:dyDescent="0.25">
      <c r="A1086" s="307">
        <f t="shared" si="97"/>
        <v>1080</v>
      </c>
      <c r="B1086" s="308">
        <v>46246</v>
      </c>
      <c r="C1086" s="309">
        <f t="shared" si="98"/>
        <v>46235</v>
      </c>
      <c r="D1086" s="310" t="s">
        <v>56</v>
      </c>
      <c r="E1086" s="310" t="s">
        <v>3065</v>
      </c>
      <c r="F1086" s="311">
        <v>9589264337</v>
      </c>
      <c r="G1086" s="316" t="s">
        <v>1093</v>
      </c>
      <c r="H1086" s="316" t="s">
        <v>3630</v>
      </c>
      <c r="I1086" s="316" t="s">
        <v>6</v>
      </c>
      <c r="J1086" s="310" t="s">
        <v>172</v>
      </c>
      <c r="K1086" s="312">
        <v>57300</v>
      </c>
      <c r="L1086" s="312">
        <v>144580</v>
      </c>
      <c r="M1086" s="313">
        <f t="shared" si="99"/>
        <v>87280</v>
      </c>
      <c r="N1086" s="314">
        <f t="shared" si="100"/>
        <v>0.603679623737723</v>
      </c>
      <c r="O1086" s="312">
        <v>57300</v>
      </c>
      <c r="P1086" s="313">
        <f t="shared" si="96"/>
        <v>0</v>
      </c>
      <c r="Q1086" s="310" t="s">
        <v>147</v>
      </c>
      <c r="R1086" s="310">
        <v>171</v>
      </c>
      <c r="S1086" s="310"/>
      <c r="T1086" s="308">
        <v>46249</v>
      </c>
      <c r="U1086" s="308">
        <v>46249</v>
      </c>
      <c r="V1086" s="308"/>
      <c r="W1086" s="315">
        <f t="shared" si="101"/>
        <v>3</v>
      </c>
      <c r="X1086" s="310" t="s">
        <v>54</v>
      </c>
      <c r="Y1086" s="310" t="s">
        <v>56</v>
      </c>
      <c r="Z1086" s="316"/>
      <c r="AA1086" s="316" t="s">
        <v>3648</v>
      </c>
      <c r="AB1086" s="316" t="s">
        <v>3648</v>
      </c>
    </row>
    <row r="1087" spans="1:28" x14ac:dyDescent="0.25">
      <c r="A1087" s="307">
        <f t="shared" si="97"/>
        <v>1081</v>
      </c>
      <c r="B1087" s="308">
        <v>46246</v>
      </c>
      <c r="C1087" s="309">
        <f t="shared" si="98"/>
        <v>46235</v>
      </c>
      <c r="D1087" s="310" t="s">
        <v>56</v>
      </c>
      <c r="E1087" s="310" t="s">
        <v>1635</v>
      </c>
      <c r="F1087" s="311">
        <v>9995059254</v>
      </c>
      <c r="G1087" s="316" t="s">
        <v>6</v>
      </c>
      <c r="H1087" s="316" t="s">
        <v>1874</v>
      </c>
      <c r="I1087" s="316" t="s">
        <v>3622</v>
      </c>
      <c r="J1087" s="310" t="s">
        <v>172</v>
      </c>
      <c r="K1087" s="312">
        <v>44680</v>
      </c>
      <c r="L1087" s="312">
        <v>60480</v>
      </c>
      <c r="M1087" s="313">
        <f t="shared" si="99"/>
        <v>15800</v>
      </c>
      <c r="N1087" s="314">
        <f t="shared" si="100"/>
        <v>0.261243386243386</v>
      </c>
      <c r="O1087" s="312">
        <v>44680</v>
      </c>
      <c r="P1087" s="313">
        <f t="shared" si="96"/>
        <v>0</v>
      </c>
      <c r="Q1087" s="310" t="s">
        <v>147</v>
      </c>
      <c r="R1087" s="310">
        <v>172</v>
      </c>
      <c r="S1087" s="310"/>
      <c r="T1087" s="308">
        <v>46248</v>
      </c>
      <c r="U1087" s="308">
        <v>46248</v>
      </c>
      <c r="V1087" s="308"/>
      <c r="W1087" s="315">
        <f t="shared" si="101"/>
        <v>2</v>
      </c>
      <c r="X1087" s="310" t="s">
        <v>54</v>
      </c>
      <c r="Y1087" s="310" t="s">
        <v>56</v>
      </c>
      <c r="Z1087" s="316"/>
      <c r="AA1087" s="316" t="s">
        <v>3608</v>
      </c>
      <c r="AB1087" s="316" t="s">
        <v>3608</v>
      </c>
    </row>
    <row r="1088" spans="1:28" x14ac:dyDescent="0.25">
      <c r="A1088" s="307">
        <f t="shared" si="97"/>
        <v>1082</v>
      </c>
      <c r="B1088" s="308">
        <v>46246</v>
      </c>
      <c r="C1088" s="309">
        <f t="shared" si="98"/>
        <v>46235</v>
      </c>
      <c r="D1088" s="310" t="s">
        <v>56</v>
      </c>
      <c r="E1088" s="310" t="s">
        <v>1641</v>
      </c>
      <c r="F1088" s="311">
        <v>9486716172</v>
      </c>
      <c r="G1088" s="316" t="s">
        <v>6</v>
      </c>
      <c r="H1088" s="316" t="s">
        <v>3623</v>
      </c>
      <c r="I1088" s="316" t="s">
        <v>3624</v>
      </c>
      <c r="J1088" s="310" t="s">
        <v>172</v>
      </c>
      <c r="K1088" s="312">
        <v>45630</v>
      </c>
      <c r="L1088" s="312">
        <v>66780</v>
      </c>
      <c r="M1088" s="313">
        <f t="shared" si="99"/>
        <v>21150</v>
      </c>
      <c r="N1088" s="314">
        <f t="shared" si="100"/>
        <v>0.316711590296496</v>
      </c>
      <c r="O1088" s="312">
        <v>45630</v>
      </c>
      <c r="P1088" s="313">
        <f t="shared" si="96"/>
        <v>0</v>
      </c>
      <c r="Q1088" s="310" t="s">
        <v>147</v>
      </c>
      <c r="R1088" s="310">
        <v>173</v>
      </c>
      <c r="S1088" s="310"/>
      <c r="T1088" s="308">
        <v>46249</v>
      </c>
      <c r="U1088" s="308">
        <v>46249</v>
      </c>
      <c r="V1088" s="308"/>
      <c r="W1088" s="315">
        <f t="shared" si="101"/>
        <v>3</v>
      </c>
      <c r="X1088" s="310" t="s">
        <v>54</v>
      </c>
      <c r="Y1088" s="310" t="s">
        <v>56</v>
      </c>
      <c r="Z1088" s="316"/>
      <c r="AA1088" s="316" t="s">
        <v>3648</v>
      </c>
      <c r="AB1088" s="316" t="s">
        <v>3648</v>
      </c>
    </row>
    <row r="1089" spans="1:28" x14ac:dyDescent="0.25">
      <c r="A1089" s="307">
        <f t="shared" si="97"/>
        <v>1083</v>
      </c>
      <c r="B1089" s="308">
        <v>46248</v>
      </c>
      <c r="C1089" s="309">
        <f t="shared" si="98"/>
        <v>46235</v>
      </c>
      <c r="D1089" s="310" t="s">
        <v>56</v>
      </c>
      <c r="E1089" s="310" t="s">
        <v>2859</v>
      </c>
      <c r="F1089" s="311">
        <v>9902798068</v>
      </c>
      <c r="G1089" s="316" t="s">
        <v>1093</v>
      </c>
      <c r="H1089" s="316" t="s">
        <v>3631</v>
      </c>
      <c r="I1089" s="316" t="s">
        <v>6</v>
      </c>
      <c r="J1089" s="310" t="s">
        <v>172</v>
      </c>
      <c r="K1089" s="312">
        <v>58240</v>
      </c>
      <c r="L1089" s="312">
        <v>150880</v>
      </c>
      <c r="M1089" s="313">
        <f t="shared" si="99"/>
        <v>92640</v>
      </c>
      <c r="N1089" s="314">
        <f t="shared" si="100"/>
        <v>0.613997879109226</v>
      </c>
      <c r="O1089" s="312">
        <v>58240</v>
      </c>
      <c r="P1089" s="313">
        <f t="shared" si="96"/>
        <v>0</v>
      </c>
      <c r="Q1089" s="310" t="s">
        <v>147</v>
      </c>
      <c r="R1089" s="310">
        <v>174</v>
      </c>
      <c r="S1089" s="310"/>
      <c r="T1089" s="308">
        <v>46254</v>
      </c>
      <c r="U1089" s="308">
        <v>46255</v>
      </c>
      <c r="V1089" s="308"/>
      <c r="W1089" s="315">
        <f t="shared" si="101"/>
        <v>7</v>
      </c>
      <c r="X1089" s="310" t="s">
        <v>54</v>
      </c>
      <c r="Y1089" s="310" t="s">
        <v>56</v>
      </c>
      <c r="Z1089" s="316"/>
      <c r="AA1089" s="316" t="s">
        <v>3649</v>
      </c>
      <c r="AB1089" s="316" t="s">
        <v>3650</v>
      </c>
    </row>
    <row r="1090" spans="1:28" x14ac:dyDescent="0.25">
      <c r="A1090" s="307">
        <f t="shared" si="97"/>
        <v>1084</v>
      </c>
      <c r="B1090" s="308">
        <v>46248</v>
      </c>
      <c r="C1090" s="309">
        <f t="shared" si="98"/>
        <v>46235</v>
      </c>
      <c r="D1090" s="310" t="s">
        <v>56</v>
      </c>
      <c r="E1090" s="310" t="s">
        <v>3114</v>
      </c>
      <c r="F1090" s="311">
        <v>9472230553</v>
      </c>
      <c r="G1090" s="316" t="s">
        <v>1093</v>
      </c>
      <c r="H1090" s="316" t="s">
        <v>3634</v>
      </c>
      <c r="I1090" s="316" t="s">
        <v>6</v>
      </c>
      <c r="J1090" s="310" t="s">
        <v>172</v>
      </c>
      <c r="K1090" s="312">
        <v>57300</v>
      </c>
      <c r="L1090" s="312">
        <v>144580</v>
      </c>
      <c r="M1090" s="313">
        <f t="shared" si="99"/>
        <v>87280</v>
      </c>
      <c r="N1090" s="314">
        <f t="shared" si="100"/>
        <v>0.603679623737723</v>
      </c>
      <c r="O1090" s="312">
        <v>57300</v>
      </c>
      <c r="P1090" s="313">
        <f t="shared" si="96"/>
        <v>0</v>
      </c>
      <c r="Q1090" s="310" t="s">
        <v>147</v>
      </c>
      <c r="R1090" s="310">
        <v>175</v>
      </c>
      <c r="S1090" s="310"/>
      <c r="T1090" s="308">
        <v>46251</v>
      </c>
      <c r="U1090" s="308">
        <v>46251</v>
      </c>
      <c r="V1090" s="308"/>
      <c r="W1090" s="315">
        <f t="shared" si="101"/>
        <v>3</v>
      </c>
      <c r="X1090" s="310" t="s">
        <v>54</v>
      </c>
      <c r="Y1090" s="310" t="s">
        <v>56</v>
      </c>
      <c r="Z1090" s="316"/>
      <c r="AA1090" s="316" t="s">
        <v>3652</v>
      </c>
      <c r="AB1090" s="316" t="s">
        <v>3652</v>
      </c>
    </row>
    <row r="1091" spans="1:28" x14ac:dyDescent="0.25">
      <c r="A1091" s="307">
        <f t="shared" si="97"/>
        <v>1085</v>
      </c>
      <c r="B1091" s="308">
        <v>46248</v>
      </c>
      <c r="C1091" s="309">
        <f t="shared" si="98"/>
        <v>46235</v>
      </c>
      <c r="D1091" s="310" t="s">
        <v>56</v>
      </c>
      <c r="E1091" s="310" t="s">
        <v>1644</v>
      </c>
      <c r="F1091" s="311">
        <v>9935813519</v>
      </c>
      <c r="G1091" s="316" t="s">
        <v>1537</v>
      </c>
      <c r="H1091" s="316" t="s">
        <v>3633</v>
      </c>
      <c r="I1091" s="316" t="s">
        <v>6</v>
      </c>
      <c r="J1091" s="310" t="s">
        <v>172</v>
      </c>
      <c r="K1091" s="312">
        <v>54890</v>
      </c>
      <c r="L1091" s="312">
        <v>128520</v>
      </c>
      <c r="M1091" s="313">
        <f t="shared" si="99"/>
        <v>73630</v>
      </c>
      <c r="N1091" s="314">
        <f t="shared" si="100"/>
        <v>0.572906940553999</v>
      </c>
      <c r="O1091" s="312">
        <v>54890</v>
      </c>
      <c r="P1091" s="313">
        <f t="shared" si="96"/>
        <v>0</v>
      </c>
      <c r="Q1091" s="310" t="s">
        <v>147</v>
      </c>
      <c r="R1091" s="310">
        <v>176</v>
      </c>
      <c r="S1091" s="310"/>
      <c r="T1091" s="308">
        <v>46251</v>
      </c>
      <c r="U1091" s="308">
        <v>46251</v>
      </c>
      <c r="V1091" s="308"/>
      <c r="W1091" s="315">
        <f t="shared" si="101"/>
        <v>3</v>
      </c>
      <c r="X1091" s="310" t="s">
        <v>54</v>
      </c>
      <c r="Y1091" s="310" t="s">
        <v>56</v>
      </c>
      <c r="Z1091" s="316"/>
      <c r="AA1091" s="316" t="s">
        <v>3652</v>
      </c>
      <c r="AB1091" s="316" t="s">
        <v>3652</v>
      </c>
    </row>
    <row r="1092" spans="1:28" x14ac:dyDescent="0.25">
      <c r="A1092" s="307">
        <f t="shared" si="97"/>
        <v>1086</v>
      </c>
      <c r="B1092" s="308">
        <v>46248</v>
      </c>
      <c r="C1092" s="309">
        <f t="shared" si="98"/>
        <v>46235</v>
      </c>
      <c r="D1092" s="310" t="s">
        <v>56</v>
      </c>
      <c r="E1092" s="310" t="s">
        <v>60</v>
      </c>
      <c r="F1092" s="311">
        <v>9040208667</v>
      </c>
      <c r="G1092" s="316" t="s">
        <v>6</v>
      </c>
      <c r="H1092" s="316" t="s">
        <v>3637</v>
      </c>
      <c r="I1092" s="316" t="s">
        <v>3638</v>
      </c>
      <c r="J1092" s="310" t="s">
        <v>172</v>
      </c>
      <c r="K1092" s="312">
        <v>45630</v>
      </c>
      <c r="L1092" s="312">
        <v>66780</v>
      </c>
      <c r="M1092" s="313">
        <f t="shared" si="99"/>
        <v>21150</v>
      </c>
      <c r="N1092" s="314">
        <f t="shared" si="100"/>
        <v>0.316711590296496</v>
      </c>
      <c r="O1092" s="312">
        <v>45630</v>
      </c>
      <c r="P1092" s="313">
        <f t="shared" si="96"/>
        <v>0</v>
      </c>
      <c r="Q1092" s="310" t="s">
        <v>147</v>
      </c>
      <c r="R1092" s="310">
        <v>177</v>
      </c>
      <c r="S1092" s="310"/>
      <c r="T1092" s="308">
        <v>46252</v>
      </c>
      <c r="U1092" s="308">
        <v>46252</v>
      </c>
      <c r="V1092" s="308"/>
      <c r="W1092" s="315">
        <f t="shared" si="101"/>
        <v>4</v>
      </c>
      <c r="X1092" s="310" t="s">
        <v>54</v>
      </c>
      <c r="Y1092" s="310" t="s">
        <v>56</v>
      </c>
      <c r="Z1092" s="316"/>
      <c r="AA1092" s="316" t="s">
        <v>3651</v>
      </c>
      <c r="AB1092" s="316" t="s">
        <v>3651</v>
      </c>
    </row>
    <row r="1093" spans="1:28" x14ac:dyDescent="0.25">
      <c r="A1093" s="307">
        <f t="shared" si="97"/>
        <v>1087</v>
      </c>
      <c r="B1093" s="308">
        <v>46248</v>
      </c>
      <c r="C1093" s="309">
        <f t="shared" si="98"/>
        <v>46235</v>
      </c>
      <c r="D1093" s="310" t="s">
        <v>56</v>
      </c>
      <c r="E1093" s="310" t="s">
        <v>1637</v>
      </c>
      <c r="F1093" s="311">
        <v>9025368773</v>
      </c>
      <c r="G1093" s="316" t="s">
        <v>6</v>
      </c>
      <c r="H1093" s="316" t="s">
        <v>3642</v>
      </c>
      <c r="I1093" s="316" t="s">
        <v>6</v>
      </c>
      <c r="J1093" s="310" t="s">
        <v>172</v>
      </c>
      <c r="K1093" s="312">
        <v>48130</v>
      </c>
      <c r="L1093" s="312">
        <v>83480</v>
      </c>
      <c r="M1093" s="313">
        <f t="shared" si="99"/>
        <v>35350</v>
      </c>
      <c r="N1093" s="314">
        <f t="shared" si="100"/>
        <v>0.42345471969334</v>
      </c>
      <c r="O1093" s="312">
        <v>48130</v>
      </c>
      <c r="P1093" s="313">
        <f t="shared" si="96"/>
        <v>0</v>
      </c>
      <c r="Q1093" s="310" t="s">
        <v>147</v>
      </c>
      <c r="R1093" s="310">
        <v>178</v>
      </c>
      <c r="S1093" s="310"/>
      <c r="T1093" s="308">
        <v>46252</v>
      </c>
      <c r="U1093" s="308">
        <v>46252</v>
      </c>
      <c r="V1093" s="308"/>
      <c r="W1093" s="315">
        <f t="shared" si="101"/>
        <v>4</v>
      </c>
      <c r="X1093" s="310" t="s">
        <v>54</v>
      </c>
      <c r="Y1093" s="310" t="s">
        <v>56</v>
      </c>
      <c r="Z1093" s="316"/>
      <c r="AA1093" s="316" t="s">
        <v>3651</v>
      </c>
      <c r="AB1093" s="316" t="s">
        <v>3651</v>
      </c>
    </row>
    <row r="1094" spans="1:28" x14ac:dyDescent="0.25">
      <c r="A1094" s="307">
        <f t="shared" si="97"/>
        <v>1088</v>
      </c>
      <c r="B1094" s="308">
        <v>46251</v>
      </c>
      <c r="C1094" s="309">
        <f t="shared" si="98"/>
        <v>46235</v>
      </c>
      <c r="D1094" s="310" t="s">
        <v>56</v>
      </c>
      <c r="E1094" s="310" t="s">
        <v>3065</v>
      </c>
      <c r="F1094" s="311">
        <v>9589264337</v>
      </c>
      <c r="G1094" s="316" t="s">
        <v>6</v>
      </c>
      <c r="H1094" s="316" t="s">
        <v>3636</v>
      </c>
      <c r="I1094" s="316" t="s">
        <v>3639</v>
      </c>
      <c r="J1094" s="310" t="s">
        <v>172</v>
      </c>
      <c r="K1094" s="312">
        <v>45630</v>
      </c>
      <c r="L1094" s="312">
        <v>66780</v>
      </c>
      <c r="M1094" s="313">
        <f t="shared" si="99"/>
        <v>21150</v>
      </c>
      <c r="N1094" s="314">
        <f t="shared" si="100"/>
        <v>0.316711590296496</v>
      </c>
      <c r="O1094" s="312">
        <v>45630</v>
      </c>
      <c r="P1094" s="313">
        <f t="shared" si="96"/>
        <v>0</v>
      </c>
      <c r="Q1094" s="310" t="s">
        <v>147</v>
      </c>
      <c r="R1094" s="310">
        <v>179</v>
      </c>
      <c r="S1094" s="310"/>
      <c r="T1094" s="308">
        <v>46254</v>
      </c>
      <c r="U1094" s="308">
        <v>46255</v>
      </c>
      <c r="V1094" s="308"/>
      <c r="W1094" s="315">
        <f t="shared" si="101"/>
        <v>4</v>
      </c>
      <c r="X1094" s="310" t="s">
        <v>54</v>
      </c>
      <c r="Y1094" s="310" t="s">
        <v>56</v>
      </c>
      <c r="Z1094" s="316"/>
      <c r="AA1094" s="316" t="s">
        <v>3649</v>
      </c>
      <c r="AB1094" s="316" t="s">
        <v>3650</v>
      </c>
    </row>
    <row r="1095" spans="1:28" x14ac:dyDescent="0.25">
      <c r="A1095" s="307">
        <f t="shared" si="97"/>
        <v>1089</v>
      </c>
      <c r="B1095" s="308">
        <v>46251</v>
      </c>
      <c r="C1095" s="309">
        <f t="shared" si="98"/>
        <v>46235</v>
      </c>
      <c r="D1095" s="310" t="s">
        <v>56</v>
      </c>
      <c r="E1095" s="310" t="s">
        <v>3112</v>
      </c>
      <c r="F1095" s="311">
        <v>9902798068</v>
      </c>
      <c r="G1095" s="316" t="s">
        <v>6</v>
      </c>
      <c r="H1095" s="316" t="s">
        <v>1874</v>
      </c>
      <c r="I1095" s="316" t="s">
        <v>3640</v>
      </c>
      <c r="J1095" s="310" t="s">
        <v>172</v>
      </c>
      <c r="K1095" s="312">
        <v>44680</v>
      </c>
      <c r="L1095" s="312">
        <v>60480</v>
      </c>
      <c r="M1095" s="313">
        <f t="shared" si="99"/>
        <v>15800</v>
      </c>
      <c r="N1095" s="314">
        <f t="shared" si="100"/>
        <v>0.261243386243386</v>
      </c>
      <c r="O1095" s="312">
        <v>44680</v>
      </c>
      <c r="P1095" s="313">
        <f t="shared" ref="P1095:P1120" si="102">IF(OR($K1095="",$O1095=""),"",$K1095-$O1095)</f>
        <v>0</v>
      </c>
      <c r="Q1095" s="310" t="s">
        <v>147</v>
      </c>
      <c r="R1095" s="310">
        <v>180</v>
      </c>
      <c r="S1095" s="310"/>
      <c r="T1095" s="308">
        <v>46254</v>
      </c>
      <c r="U1095" s="308">
        <v>46255</v>
      </c>
      <c r="V1095" s="308"/>
      <c r="W1095" s="315">
        <f t="shared" si="101"/>
        <v>4</v>
      </c>
      <c r="X1095" s="310" t="s">
        <v>54</v>
      </c>
      <c r="Y1095" s="310" t="s">
        <v>56</v>
      </c>
      <c r="Z1095" s="316"/>
      <c r="AA1095" s="316" t="s">
        <v>3649</v>
      </c>
      <c r="AB1095" s="316" t="s">
        <v>3650</v>
      </c>
    </row>
    <row r="1096" spans="1:28" x14ac:dyDescent="0.25">
      <c r="A1096" s="307">
        <f t="shared" ref="A1096:A1120" si="103">IF($B1096="","",ROW()-6)</f>
        <v>1090</v>
      </c>
      <c r="B1096" s="308">
        <v>46252</v>
      </c>
      <c r="C1096" s="309">
        <f t="shared" ref="C1096:C1120" si="104">IF($B1096="","",EOMONTH($B1096,-1)+1)</f>
        <v>46235</v>
      </c>
      <c r="D1096" s="310" t="s">
        <v>56</v>
      </c>
      <c r="E1096" s="310" t="s">
        <v>3114</v>
      </c>
      <c r="F1096" s="311">
        <v>9472230553</v>
      </c>
      <c r="G1096" s="316" t="s">
        <v>6</v>
      </c>
      <c r="H1096" s="316" t="s">
        <v>3641</v>
      </c>
      <c r="I1096" s="316" t="s">
        <v>3643</v>
      </c>
      <c r="J1096" s="310" t="s">
        <v>172</v>
      </c>
      <c r="K1096" s="312">
        <v>45630</v>
      </c>
      <c r="L1096" s="312">
        <v>66780</v>
      </c>
      <c r="M1096" s="313">
        <f t="shared" ref="M1096:M1120" si="105">IF(OR($K1096="",$L1096=""),"",$L1096-$K1096)</f>
        <v>21150</v>
      </c>
      <c r="N1096" s="314">
        <f t="shared" ref="N1096:N1120" si="106">IF(OR($L1096="",$L1096=0,$M1096=""),"",$M1096/$L1096)</f>
        <v>0.316711590296496</v>
      </c>
      <c r="O1096" s="312">
        <v>45630</v>
      </c>
      <c r="P1096" s="313">
        <f t="shared" si="102"/>
        <v>0</v>
      </c>
      <c r="Q1096" s="310" t="s">
        <v>147</v>
      </c>
      <c r="R1096" s="310">
        <v>181</v>
      </c>
      <c r="S1096" s="310"/>
      <c r="T1096" s="308">
        <v>46254</v>
      </c>
      <c r="U1096" s="308">
        <v>46254</v>
      </c>
      <c r="V1096" s="308"/>
      <c r="W1096" s="315">
        <f t="shared" ref="W1096:W1120" si="107">IF(OR($B1096="",$U1096=""),"",$U1096-$B1096)</f>
        <v>2</v>
      </c>
      <c r="X1096" s="310" t="s">
        <v>54</v>
      </c>
      <c r="Y1096" s="310" t="s">
        <v>56</v>
      </c>
      <c r="Z1096" s="316"/>
      <c r="AA1096" s="316" t="s">
        <v>3649</v>
      </c>
      <c r="AB1096" s="316" t="s">
        <v>3649</v>
      </c>
    </row>
    <row r="1097" spans="1:28" x14ac:dyDescent="0.25">
      <c r="A1097" s="307">
        <f t="shared" si="103"/>
        <v>1091</v>
      </c>
      <c r="B1097" s="308">
        <v>46252</v>
      </c>
      <c r="C1097" s="309">
        <f t="shared" si="104"/>
        <v>46235</v>
      </c>
      <c r="D1097" s="310" t="s">
        <v>56</v>
      </c>
      <c r="E1097" s="310" t="s">
        <v>1635</v>
      </c>
      <c r="F1097" s="311">
        <v>9793531306</v>
      </c>
      <c r="G1097" s="316" t="s">
        <v>1093</v>
      </c>
      <c r="H1097" s="316" t="s">
        <v>3632</v>
      </c>
      <c r="I1097" s="316" t="s">
        <v>6</v>
      </c>
      <c r="J1097" s="310" t="s">
        <v>172</v>
      </c>
      <c r="K1097" s="312">
        <v>57300</v>
      </c>
      <c r="L1097" s="312">
        <v>144580</v>
      </c>
      <c r="M1097" s="313">
        <f t="shared" si="105"/>
        <v>87280</v>
      </c>
      <c r="N1097" s="314">
        <f t="shared" si="106"/>
        <v>0.603679623737723</v>
      </c>
      <c r="O1097" s="312">
        <v>57300</v>
      </c>
      <c r="P1097" s="313">
        <f t="shared" si="102"/>
        <v>0</v>
      </c>
      <c r="Q1097" s="310" t="s">
        <v>147</v>
      </c>
      <c r="R1097" s="310">
        <v>182</v>
      </c>
      <c r="S1097" s="310"/>
      <c r="T1097" s="308">
        <v>46255</v>
      </c>
      <c r="U1097" s="308">
        <v>46255</v>
      </c>
      <c r="V1097" s="308"/>
      <c r="W1097" s="315">
        <f t="shared" si="107"/>
        <v>3</v>
      </c>
      <c r="X1097" s="310" t="s">
        <v>54</v>
      </c>
      <c r="Y1097" s="310" t="s">
        <v>56</v>
      </c>
      <c r="Z1097" s="316"/>
      <c r="AA1097" s="316" t="s">
        <v>3650</v>
      </c>
      <c r="AB1097" s="316" t="s">
        <v>3650</v>
      </c>
    </row>
    <row r="1098" spans="1:28" x14ac:dyDescent="0.25">
      <c r="A1098" s="307">
        <f t="shared" si="103"/>
        <v>1092</v>
      </c>
      <c r="B1098" s="308">
        <v>46253</v>
      </c>
      <c r="C1098" s="309">
        <f t="shared" si="104"/>
        <v>46235</v>
      </c>
      <c r="D1098" s="310" t="s">
        <v>56</v>
      </c>
      <c r="E1098" s="310" t="s">
        <v>3122</v>
      </c>
      <c r="F1098" s="311">
        <v>9281983602</v>
      </c>
      <c r="G1098" s="316" t="s">
        <v>6</v>
      </c>
      <c r="H1098" s="316" t="s">
        <v>3644</v>
      </c>
      <c r="I1098" s="316" t="s">
        <v>3645</v>
      </c>
      <c r="J1098" s="310" t="s">
        <v>172</v>
      </c>
      <c r="K1098" s="312">
        <v>45630</v>
      </c>
      <c r="L1098" s="312">
        <v>66780</v>
      </c>
      <c r="M1098" s="313">
        <f t="shared" si="105"/>
        <v>21150</v>
      </c>
      <c r="N1098" s="314">
        <f t="shared" si="106"/>
        <v>0.316711590296496</v>
      </c>
      <c r="O1098" s="312">
        <v>45630</v>
      </c>
      <c r="P1098" s="313">
        <f t="shared" si="102"/>
        <v>0</v>
      </c>
      <c r="Q1098" s="310" t="s">
        <v>147</v>
      </c>
      <c r="R1098" s="310">
        <v>183</v>
      </c>
      <c r="S1098" s="310"/>
      <c r="T1098" s="308">
        <v>46255</v>
      </c>
      <c r="U1098" s="308">
        <v>46256</v>
      </c>
      <c r="V1098" s="308"/>
      <c r="W1098" s="315">
        <f t="shared" si="107"/>
        <v>3</v>
      </c>
      <c r="X1098" s="310" t="s">
        <v>54</v>
      </c>
      <c r="Y1098" s="310" t="s">
        <v>56</v>
      </c>
      <c r="Z1098" s="316"/>
      <c r="AA1098" s="316" t="s">
        <v>3650</v>
      </c>
      <c r="AB1098" s="316" t="s">
        <v>3653</v>
      </c>
    </row>
    <row r="1099" spans="1:28" x14ac:dyDescent="0.25">
      <c r="A1099" s="307">
        <f t="shared" si="103"/>
        <v>1093</v>
      </c>
      <c r="B1099" s="308">
        <v>46254</v>
      </c>
      <c r="C1099" s="309">
        <f t="shared" si="104"/>
        <v>46235</v>
      </c>
      <c r="D1099" s="310" t="s">
        <v>56</v>
      </c>
      <c r="E1099" s="310" t="s">
        <v>1644</v>
      </c>
      <c r="F1099" s="311">
        <v>9935813519</v>
      </c>
      <c r="G1099" s="316" t="s">
        <v>6</v>
      </c>
      <c r="H1099" s="316" t="s">
        <v>3646</v>
      </c>
      <c r="I1099" s="316" t="s">
        <v>3647</v>
      </c>
      <c r="J1099" s="310" t="s">
        <v>172</v>
      </c>
      <c r="K1099" s="312">
        <v>45630</v>
      </c>
      <c r="L1099" s="312">
        <v>66780</v>
      </c>
      <c r="M1099" s="313">
        <f t="shared" si="105"/>
        <v>21150</v>
      </c>
      <c r="N1099" s="314">
        <f t="shared" si="106"/>
        <v>0.316711590296496</v>
      </c>
      <c r="O1099" s="312">
        <v>45630</v>
      </c>
      <c r="P1099" s="313">
        <f t="shared" si="102"/>
        <v>0</v>
      </c>
      <c r="Q1099" s="310" t="s">
        <v>147</v>
      </c>
      <c r="R1099" s="310">
        <v>184</v>
      </c>
      <c r="S1099" s="310"/>
      <c r="T1099" s="308">
        <v>46256</v>
      </c>
      <c r="U1099" s="308">
        <v>46256</v>
      </c>
      <c r="V1099" s="308"/>
      <c r="W1099" s="315">
        <f t="shared" si="107"/>
        <v>2</v>
      </c>
      <c r="X1099" s="310" t="s">
        <v>54</v>
      </c>
      <c r="Y1099" s="310" t="s">
        <v>56</v>
      </c>
      <c r="Z1099" s="316"/>
      <c r="AA1099" s="316" t="s">
        <v>3653</v>
      </c>
      <c r="AB1099" s="316" t="s">
        <v>3653</v>
      </c>
    </row>
    <row r="1100" spans="1:28" x14ac:dyDescent="0.25">
      <c r="A1100" s="307">
        <f t="shared" si="103"/>
        <v>1094</v>
      </c>
      <c r="B1100" s="308">
        <v>46255</v>
      </c>
      <c r="C1100" s="309">
        <f t="shared" si="104"/>
        <v>46235</v>
      </c>
      <c r="D1100" s="310" t="s">
        <v>56</v>
      </c>
      <c r="E1100" s="310" t="s">
        <v>1641</v>
      </c>
      <c r="F1100" s="311">
        <v>9486716172</v>
      </c>
      <c r="G1100" s="316" t="s">
        <v>1093</v>
      </c>
      <c r="H1100" s="316" t="s">
        <v>3635</v>
      </c>
      <c r="I1100" s="316" t="s">
        <v>6</v>
      </c>
      <c r="J1100" s="310" t="s">
        <v>172</v>
      </c>
      <c r="K1100" s="312">
        <v>59190</v>
      </c>
      <c r="L1100" s="312">
        <v>157180</v>
      </c>
      <c r="M1100" s="313">
        <f t="shared" si="105"/>
        <v>97990</v>
      </c>
      <c r="N1100" s="314">
        <f t="shared" si="106"/>
        <v>0.623425372184756</v>
      </c>
      <c r="O1100" s="312">
        <v>59190</v>
      </c>
      <c r="P1100" s="313">
        <f t="shared" si="102"/>
        <v>0</v>
      </c>
      <c r="Q1100" s="310" t="s">
        <v>147</v>
      </c>
      <c r="R1100" s="310">
        <v>185</v>
      </c>
      <c r="S1100" s="310"/>
      <c r="T1100" s="308">
        <v>46258</v>
      </c>
      <c r="U1100" s="308">
        <v>46258</v>
      </c>
      <c r="V1100" s="308"/>
      <c r="W1100" s="315">
        <f t="shared" si="107"/>
        <v>3</v>
      </c>
      <c r="X1100" s="310" t="s">
        <v>54</v>
      </c>
      <c r="Y1100" s="310" t="s">
        <v>56</v>
      </c>
      <c r="Z1100" s="316"/>
      <c r="AA1100" s="316" t="s">
        <v>3654</v>
      </c>
      <c r="AB1100" s="316" t="s">
        <v>3654</v>
      </c>
    </row>
    <row r="1101" spans="1:28" x14ac:dyDescent="0.25">
      <c r="A1101" s="307">
        <f t="shared" si="103"/>
        <v>1095</v>
      </c>
      <c r="B1101" s="308">
        <v>46256</v>
      </c>
      <c r="C1101" s="309">
        <f t="shared" si="104"/>
        <v>46235</v>
      </c>
      <c r="D1101" s="310" t="s">
        <v>56</v>
      </c>
      <c r="E1101" s="310" t="s">
        <v>1635</v>
      </c>
      <c r="F1101" s="311">
        <v>9995059254</v>
      </c>
      <c r="G1101" s="316" t="s">
        <v>6</v>
      </c>
      <c r="H1101" s="316" t="s">
        <v>3671</v>
      </c>
      <c r="I1101" s="316" t="s">
        <v>3672</v>
      </c>
      <c r="J1101" s="310" t="s">
        <v>172</v>
      </c>
      <c r="K1101" s="312">
        <v>45630</v>
      </c>
      <c r="L1101" s="312">
        <v>66780</v>
      </c>
      <c r="M1101" s="313">
        <f t="shared" si="105"/>
        <v>21150</v>
      </c>
      <c r="N1101" s="314">
        <f t="shared" si="106"/>
        <v>0.316711590296496</v>
      </c>
      <c r="O1101" s="312">
        <v>45630</v>
      </c>
      <c r="P1101" s="313">
        <f t="shared" si="102"/>
        <v>0</v>
      </c>
      <c r="Q1101" s="310" t="s">
        <v>147</v>
      </c>
      <c r="R1101" s="310">
        <v>186</v>
      </c>
      <c r="S1101" s="310"/>
      <c r="T1101" s="308">
        <v>46259</v>
      </c>
      <c r="U1101" s="308">
        <v>46259</v>
      </c>
      <c r="V1101" s="308"/>
      <c r="W1101" s="315">
        <f t="shared" si="107"/>
        <v>3</v>
      </c>
      <c r="X1101" s="310" t="s">
        <v>54</v>
      </c>
      <c r="Y1101" s="310" t="s">
        <v>56</v>
      </c>
      <c r="Z1101" s="316"/>
      <c r="AA1101" s="316" t="s">
        <v>3655</v>
      </c>
      <c r="AB1101" s="316" t="s">
        <v>3655</v>
      </c>
    </row>
    <row r="1102" spans="1:28" x14ac:dyDescent="0.25">
      <c r="A1102" s="307">
        <f t="shared" si="103"/>
        <v>1096</v>
      </c>
      <c r="B1102" s="308">
        <v>46257</v>
      </c>
      <c r="C1102" s="309">
        <f t="shared" si="104"/>
        <v>46235</v>
      </c>
      <c r="D1102" s="310" t="s">
        <v>56</v>
      </c>
      <c r="E1102" s="310" t="s">
        <v>3114</v>
      </c>
      <c r="F1102" s="311">
        <v>9902798068</v>
      </c>
      <c r="G1102" s="316" t="s">
        <v>1093</v>
      </c>
      <c r="H1102" s="316" t="s">
        <v>3685</v>
      </c>
      <c r="I1102" s="316" t="s">
        <v>6</v>
      </c>
      <c r="J1102" s="310" t="s">
        <v>172</v>
      </c>
      <c r="K1102" s="312">
        <v>57300</v>
      </c>
      <c r="L1102" s="312">
        <v>144580</v>
      </c>
      <c r="M1102" s="313">
        <f t="shared" si="105"/>
        <v>87280</v>
      </c>
      <c r="N1102" s="314">
        <f t="shared" si="106"/>
        <v>0.603679623737723</v>
      </c>
      <c r="O1102" s="312">
        <v>57300</v>
      </c>
      <c r="P1102" s="313">
        <f t="shared" si="102"/>
        <v>0</v>
      </c>
      <c r="Q1102" s="310" t="s">
        <v>147</v>
      </c>
      <c r="R1102" s="310">
        <v>187</v>
      </c>
      <c r="S1102" s="310"/>
      <c r="T1102" s="308">
        <v>46259</v>
      </c>
      <c r="U1102" s="308">
        <v>46259</v>
      </c>
      <c r="V1102" s="308"/>
      <c r="W1102" s="315">
        <f t="shared" si="107"/>
        <v>2</v>
      </c>
      <c r="X1102" s="310" t="s">
        <v>54</v>
      </c>
      <c r="Y1102" s="310" t="s">
        <v>56</v>
      </c>
      <c r="Z1102" s="316"/>
      <c r="AA1102" s="316" t="s">
        <v>3655</v>
      </c>
      <c r="AB1102" s="316" t="s">
        <v>3655</v>
      </c>
    </row>
    <row r="1103" spans="1:28" x14ac:dyDescent="0.25">
      <c r="A1103" s="307">
        <f t="shared" si="103"/>
        <v>1097</v>
      </c>
      <c r="B1103" s="308">
        <v>46257</v>
      </c>
      <c r="C1103" s="309">
        <f t="shared" si="104"/>
        <v>46235</v>
      </c>
      <c r="D1103" s="310" t="s">
        <v>56</v>
      </c>
      <c r="E1103" s="310" t="s">
        <v>60</v>
      </c>
      <c r="F1103" s="311">
        <v>9040208667</v>
      </c>
      <c r="G1103" s="316" t="s">
        <v>1093</v>
      </c>
      <c r="H1103" s="316" t="s">
        <v>3792</v>
      </c>
      <c r="I1103" s="316" t="s">
        <v>6</v>
      </c>
      <c r="J1103" s="310" t="s">
        <v>172</v>
      </c>
      <c r="K1103" s="312">
        <v>58240</v>
      </c>
      <c r="L1103" s="312">
        <v>150880</v>
      </c>
      <c r="M1103" s="313">
        <f t="shared" si="105"/>
        <v>92640</v>
      </c>
      <c r="N1103" s="314">
        <f t="shared" si="106"/>
        <v>0.613997879109226</v>
      </c>
      <c r="O1103" s="312">
        <v>58240</v>
      </c>
      <c r="P1103" s="313">
        <f t="shared" si="102"/>
        <v>0</v>
      </c>
      <c r="Q1103" s="310" t="s">
        <v>147</v>
      </c>
      <c r="R1103" s="310">
        <v>188</v>
      </c>
      <c r="S1103" s="310"/>
      <c r="T1103" s="308">
        <v>46259</v>
      </c>
      <c r="U1103" s="308">
        <v>46259</v>
      </c>
      <c r="V1103" s="308"/>
      <c r="W1103" s="315">
        <f t="shared" si="107"/>
        <v>2</v>
      </c>
      <c r="X1103" s="310" t="s">
        <v>54</v>
      </c>
      <c r="Y1103" s="310" t="s">
        <v>56</v>
      </c>
      <c r="Z1103" s="316"/>
      <c r="AA1103" s="316" t="s">
        <v>3655</v>
      </c>
      <c r="AB1103" s="316" t="s">
        <v>3655</v>
      </c>
    </row>
    <row r="1104" spans="1:28" x14ac:dyDescent="0.25">
      <c r="A1104" s="307">
        <f t="shared" si="103"/>
        <v>1098</v>
      </c>
      <c r="B1104" s="308">
        <v>46257</v>
      </c>
      <c r="C1104" s="309">
        <f t="shared" si="104"/>
        <v>46235</v>
      </c>
      <c r="D1104" s="310" t="s">
        <v>56</v>
      </c>
      <c r="E1104" s="310" t="s">
        <v>1637</v>
      </c>
      <c r="F1104" s="311">
        <v>9025368773</v>
      </c>
      <c r="G1104" s="316" t="s">
        <v>6</v>
      </c>
      <c r="H1104" s="316" t="s">
        <v>3673</v>
      </c>
      <c r="I1104" s="316" t="s">
        <v>3674</v>
      </c>
      <c r="J1104" s="310" t="s">
        <v>172</v>
      </c>
      <c r="K1104" s="312">
        <v>45630</v>
      </c>
      <c r="L1104" s="312">
        <v>66780</v>
      </c>
      <c r="M1104" s="313">
        <f t="shared" si="105"/>
        <v>21150</v>
      </c>
      <c r="N1104" s="314">
        <f t="shared" si="106"/>
        <v>0.316711590296496</v>
      </c>
      <c r="O1104" s="312">
        <v>45630</v>
      </c>
      <c r="P1104" s="313">
        <f t="shared" si="102"/>
        <v>0</v>
      </c>
      <c r="Q1104" s="310" t="s">
        <v>147</v>
      </c>
      <c r="R1104" s="310">
        <v>189</v>
      </c>
      <c r="S1104" s="310"/>
      <c r="T1104" s="308">
        <v>46260</v>
      </c>
      <c r="U1104" s="308">
        <v>46260</v>
      </c>
      <c r="V1104" s="308"/>
      <c r="W1104" s="315">
        <f t="shared" si="107"/>
        <v>3</v>
      </c>
      <c r="X1104" s="310" t="s">
        <v>54</v>
      </c>
      <c r="Y1104" s="310" t="s">
        <v>56</v>
      </c>
      <c r="Z1104" s="316"/>
      <c r="AA1104" s="316" t="s">
        <v>3656</v>
      </c>
      <c r="AB1104" s="316" t="s">
        <v>3656</v>
      </c>
    </row>
    <row r="1105" spans="1:28" x14ac:dyDescent="0.25">
      <c r="A1105" s="307">
        <f t="shared" si="103"/>
        <v>1099</v>
      </c>
      <c r="B1105" s="308">
        <v>46258</v>
      </c>
      <c r="C1105" s="309">
        <f t="shared" si="104"/>
        <v>46235</v>
      </c>
      <c r="D1105" s="310" t="s">
        <v>56</v>
      </c>
      <c r="E1105" s="310" t="s">
        <v>1641</v>
      </c>
      <c r="F1105" s="311">
        <v>9486716172</v>
      </c>
      <c r="G1105" s="316" t="s">
        <v>6</v>
      </c>
      <c r="H1105" s="316" t="s">
        <v>1874</v>
      </c>
      <c r="I1105" s="316" t="s">
        <v>3675</v>
      </c>
      <c r="J1105" s="310" t="s">
        <v>172</v>
      </c>
      <c r="K1105" s="312">
        <v>44680</v>
      </c>
      <c r="L1105" s="312">
        <v>60480</v>
      </c>
      <c r="M1105" s="313">
        <f t="shared" si="105"/>
        <v>15800</v>
      </c>
      <c r="N1105" s="314">
        <f t="shared" si="106"/>
        <v>0.261243386243386</v>
      </c>
      <c r="O1105" s="312">
        <v>44680</v>
      </c>
      <c r="P1105" s="313">
        <f t="shared" si="102"/>
        <v>0</v>
      </c>
      <c r="Q1105" s="310" t="s">
        <v>147</v>
      </c>
      <c r="R1105" s="310">
        <v>190</v>
      </c>
      <c r="S1105" s="310"/>
      <c r="T1105" s="308">
        <v>46261</v>
      </c>
      <c r="U1105" s="308">
        <v>46261</v>
      </c>
      <c r="V1105" s="308"/>
      <c r="W1105" s="315">
        <f t="shared" si="107"/>
        <v>3</v>
      </c>
      <c r="X1105" s="310" t="s">
        <v>54</v>
      </c>
      <c r="Y1105" s="310" t="s">
        <v>56</v>
      </c>
      <c r="Z1105" s="316"/>
      <c r="AA1105" s="316" t="s">
        <v>3657</v>
      </c>
      <c r="AB1105" s="316" t="s">
        <v>3657</v>
      </c>
    </row>
    <row r="1106" spans="1:28" x14ac:dyDescent="0.25">
      <c r="A1106" s="307">
        <f t="shared" si="103"/>
        <v>1100</v>
      </c>
      <c r="B1106" s="308">
        <v>46259</v>
      </c>
      <c r="C1106" s="309">
        <f t="shared" si="104"/>
        <v>46235</v>
      </c>
      <c r="D1106" s="310" t="s">
        <v>56</v>
      </c>
      <c r="E1106" s="310" t="s">
        <v>3065</v>
      </c>
      <c r="F1106" s="311">
        <v>9589264337</v>
      </c>
      <c r="G1106" s="316" t="s">
        <v>1093</v>
      </c>
      <c r="H1106" s="316" t="s">
        <v>3686</v>
      </c>
      <c r="I1106" s="316" t="s">
        <v>6</v>
      </c>
      <c r="J1106" s="310" t="s">
        <v>172</v>
      </c>
      <c r="K1106" s="312">
        <v>58240</v>
      </c>
      <c r="L1106" s="312">
        <v>150880</v>
      </c>
      <c r="M1106" s="313">
        <f t="shared" si="105"/>
        <v>92640</v>
      </c>
      <c r="N1106" s="314">
        <f t="shared" si="106"/>
        <v>0.613997879109226</v>
      </c>
      <c r="O1106" s="312">
        <v>58240</v>
      </c>
      <c r="P1106" s="313">
        <f t="shared" si="102"/>
        <v>0</v>
      </c>
      <c r="Q1106" s="310" t="s">
        <v>147</v>
      </c>
      <c r="R1106" s="310">
        <v>191</v>
      </c>
      <c r="S1106" s="310"/>
      <c r="T1106" s="308">
        <v>46262</v>
      </c>
      <c r="U1106" s="308">
        <v>46262</v>
      </c>
      <c r="V1106" s="308"/>
      <c r="W1106" s="315">
        <f t="shared" si="107"/>
        <v>3</v>
      </c>
      <c r="X1106" s="310" t="s">
        <v>54</v>
      </c>
      <c r="Y1106" s="310" t="s">
        <v>56</v>
      </c>
      <c r="Z1106" s="316"/>
      <c r="AA1106" s="316" t="s">
        <v>3658</v>
      </c>
      <c r="AB1106" s="316" t="s">
        <v>3658</v>
      </c>
    </row>
    <row r="1107" spans="1:28" x14ac:dyDescent="0.25">
      <c r="A1107" s="307">
        <f t="shared" si="103"/>
        <v>1101</v>
      </c>
      <c r="B1107" s="308">
        <v>46260</v>
      </c>
      <c r="C1107" s="309">
        <f t="shared" si="104"/>
        <v>46235</v>
      </c>
      <c r="D1107" s="310" t="s">
        <v>56</v>
      </c>
      <c r="E1107" s="310" t="s">
        <v>3114</v>
      </c>
      <c r="F1107" s="311">
        <v>9472230553</v>
      </c>
      <c r="G1107" s="316" t="s">
        <v>6</v>
      </c>
      <c r="H1107" s="316" t="s">
        <v>3676</v>
      </c>
      <c r="I1107" s="316" t="s">
        <v>3677</v>
      </c>
      <c r="J1107" s="310" t="s">
        <v>172</v>
      </c>
      <c r="K1107" s="312">
        <v>45630</v>
      </c>
      <c r="L1107" s="312">
        <v>66780</v>
      </c>
      <c r="M1107" s="313">
        <f t="shared" si="105"/>
        <v>21150</v>
      </c>
      <c r="N1107" s="314">
        <f t="shared" si="106"/>
        <v>0.316711590296496</v>
      </c>
      <c r="O1107" s="312">
        <v>45630</v>
      </c>
      <c r="P1107" s="313">
        <f t="shared" si="102"/>
        <v>0</v>
      </c>
      <c r="Q1107" s="310" t="s">
        <v>147</v>
      </c>
      <c r="R1107" s="310">
        <v>192</v>
      </c>
      <c r="S1107" s="310"/>
      <c r="T1107" s="308">
        <v>46263</v>
      </c>
      <c r="U1107" s="308">
        <v>46263</v>
      </c>
      <c r="V1107" s="308"/>
      <c r="W1107" s="315">
        <f t="shared" si="107"/>
        <v>3</v>
      </c>
      <c r="X1107" s="310" t="s">
        <v>54</v>
      </c>
      <c r="Y1107" s="310" t="s">
        <v>56</v>
      </c>
      <c r="Z1107" s="316"/>
      <c r="AA1107" s="316" t="s">
        <v>3659</v>
      </c>
      <c r="AB1107" s="316" t="s">
        <v>3659</v>
      </c>
    </row>
    <row r="1108" spans="1:28" x14ac:dyDescent="0.25">
      <c r="A1108" s="307">
        <f t="shared" si="103"/>
        <v>1102</v>
      </c>
      <c r="B1108" s="308">
        <v>46260</v>
      </c>
      <c r="C1108" s="309">
        <f t="shared" si="104"/>
        <v>46235</v>
      </c>
      <c r="D1108" s="310" t="s">
        <v>56</v>
      </c>
      <c r="E1108" s="310" t="s">
        <v>2859</v>
      </c>
      <c r="F1108" s="311">
        <v>9902798068</v>
      </c>
      <c r="G1108" s="316" t="s">
        <v>6</v>
      </c>
      <c r="H1108" s="316" t="s">
        <v>1874</v>
      </c>
      <c r="I1108" s="316" t="s">
        <v>3678</v>
      </c>
      <c r="J1108" s="310" t="s">
        <v>172</v>
      </c>
      <c r="K1108" s="312">
        <v>44680</v>
      </c>
      <c r="L1108" s="312">
        <v>60480</v>
      </c>
      <c r="M1108" s="313">
        <f t="shared" si="105"/>
        <v>15800</v>
      </c>
      <c r="N1108" s="314">
        <f t="shared" si="106"/>
        <v>0.261243386243386</v>
      </c>
      <c r="O1108" s="312">
        <v>44680</v>
      </c>
      <c r="P1108" s="313">
        <f t="shared" si="102"/>
        <v>0</v>
      </c>
      <c r="Q1108" s="310" t="s">
        <v>147</v>
      </c>
      <c r="R1108" s="310">
        <v>193</v>
      </c>
      <c r="S1108" s="310"/>
      <c r="T1108" s="308">
        <v>46263</v>
      </c>
      <c r="U1108" s="308">
        <v>46263</v>
      </c>
      <c r="V1108" s="308"/>
      <c r="W1108" s="315">
        <f t="shared" si="107"/>
        <v>3</v>
      </c>
      <c r="X1108" s="310" t="s">
        <v>54</v>
      </c>
      <c r="Y1108" s="310" t="s">
        <v>56</v>
      </c>
      <c r="Z1108" s="316"/>
      <c r="AA1108" s="316" t="s">
        <v>3659</v>
      </c>
      <c r="AB1108" s="316" t="s">
        <v>3659</v>
      </c>
    </row>
    <row r="1109" spans="1:28" x14ac:dyDescent="0.25">
      <c r="A1109" s="307">
        <f t="shared" si="103"/>
        <v>1103</v>
      </c>
      <c r="B1109" s="308">
        <v>46260</v>
      </c>
      <c r="C1109" s="309">
        <f t="shared" si="104"/>
        <v>46235</v>
      </c>
      <c r="D1109" s="310" t="s">
        <v>56</v>
      </c>
      <c r="E1109" s="310" t="s">
        <v>60</v>
      </c>
      <c r="F1109" s="311">
        <v>9040208667</v>
      </c>
      <c r="G1109" s="316" t="s">
        <v>6</v>
      </c>
      <c r="H1109" s="316" t="s">
        <v>3679</v>
      </c>
      <c r="I1109" s="316" t="s">
        <v>3680</v>
      </c>
      <c r="J1109" s="310" t="s">
        <v>172</v>
      </c>
      <c r="K1109" s="312">
        <v>45630</v>
      </c>
      <c r="L1109" s="312">
        <v>66780</v>
      </c>
      <c r="M1109" s="313">
        <f t="shared" si="105"/>
        <v>21150</v>
      </c>
      <c r="N1109" s="314">
        <f t="shared" si="106"/>
        <v>0.316711590296496</v>
      </c>
      <c r="O1109" s="312">
        <v>45630</v>
      </c>
      <c r="P1109" s="313">
        <f t="shared" si="102"/>
        <v>0</v>
      </c>
      <c r="Q1109" s="310" t="s">
        <v>147</v>
      </c>
      <c r="R1109" s="310">
        <v>194</v>
      </c>
      <c r="S1109" s="310"/>
      <c r="T1109" s="308">
        <v>46263</v>
      </c>
      <c r="U1109" s="308">
        <v>46263</v>
      </c>
      <c r="V1109" s="308"/>
      <c r="W1109" s="315">
        <f t="shared" si="107"/>
        <v>3</v>
      </c>
      <c r="X1109" s="310" t="s">
        <v>54</v>
      </c>
      <c r="Y1109" s="310" t="s">
        <v>56</v>
      </c>
      <c r="Z1109" s="316"/>
      <c r="AA1109" s="316" t="s">
        <v>3659</v>
      </c>
      <c r="AB1109" s="316" t="s">
        <v>3659</v>
      </c>
    </row>
    <row r="1110" spans="1:28" x14ac:dyDescent="0.25">
      <c r="A1110" s="307">
        <f t="shared" si="103"/>
        <v>1104</v>
      </c>
      <c r="B1110" s="308">
        <v>46262</v>
      </c>
      <c r="C1110" s="309">
        <f t="shared" si="104"/>
        <v>46235</v>
      </c>
      <c r="D1110" s="310" t="s">
        <v>56</v>
      </c>
      <c r="E1110" s="310" t="s">
        <v>1637</v>
      </c>
      <c r="F1110" s="311">
        <v>9025368773</v>
      </c>
      <c r="G1110" s="316" t="s">
        <v>1093</v>
      </c>
      <c r="H1110" s="316" t="s">
        <v>3687</v>
      </c>
      <c r="I1110" s="316" t="s">
        <v>6</v>
      </c>
      <c r="J1110" s="310" t="s">
        <v>172</v>
      </c>
      <c r="K1110" s="312">
        <v>58240</v>
      </c>
      <c r="L1110" s="312">
        <v>150880</v>
      </c>
      <c r="M1110" s="313">
        <f t="shared" si="105"/>
        <v>92640</v>
      </c>
      <c r="N1110" s="314">
        <f t="shared" si="106"/>
        <v>0.613997879109226</v>
      </c>
      <c r="O1110" s="312">
        <v>58240</v>
      </c>
      <c r="P1110" s="313">
        <f t="shared" si="102"/>
        <v>0</v>
      </c>
      <c r="Q1110" s="310" t="s">
        <v>147</v>
      </c>
      <c r="R1110" s="310">
        <v>195</v>
      </c>
      <c r="S1110" s="310"/>
      <c r="T1110" s="308">
        <v>46265</v>
      </c>
      <c r="U1110" s="308">
        <v>46265</v>
      </c>
      <c r="V1110" s="308"/>
      <c r="W1110" s="315">
        <f t="shared" si="107"/>
        <v>3</v>
      </c>
      <c r="X1110" s="310" t="s">
        <v>54</v>
      </c>
      <c r="Y1110" s="310" t="s">
        <v>56</v>
      </c>
      <c r="Z1110" s="316"/>
      <c r="AA1110" s="316" t="s">
        <v>3660</v>
      </c>
      <c r="AB1110" s="316" t="s">
        <v>3660</v>
      </c>
    </row>
    <row r="1111" spans="1:28" x14ac:dyDescent="0.25">
      <c r="A1111" s="307">
        <f t="shared" si="103"/>
        <v>1105</v>
      </c>
      <c r="B1111" s="308">
        <v>46263</v>
      </c>
      <c r="C1111" s="309">
        <f t="shared" si="104"/>
        <v>46235</v>
      </c>
      <c r="D1111" s="310" t="s">
        <v>56</v>
      </c>
      <c r="E1111" s="310" t="s">
        <v>1641</v>
      </c>
      <c r="F1111" s="311">
        <v>9486716172</v>
      </c>
      <c r="G1111" s="316" t="s">
        <v>1093</v>
      </c>
      <c r="H1111" s="316" t="s">
        <v>3688</v>
      </c>
      <c r="I1111" s="316" t="s">
        <v>6</v>
      </c>
      <c r="J1111" s="310" t="s">
        <v>172</v>
      </c>
      <c r="K1111" s="312">
        <v>57300</v>
      </c>
      <c r="L1111" s="312">
        <v>144580</v>
      </c>
      <c r="M1111" s="313">
        <f t="shared" si="105"/>
        <v>87280</v>
      </c>
      <c r="N1111" s="314">
        <f t="shared" si="106"/>
        <v>0.603679623737723</v>
      </c>
      <c r="O1111" s="312">
        <v>57300</v>
      </c>
      <c r="P1111" s="313">
        <f t="shared" si="102"/>
        <v>0</v>
      </c>
      <c r="Q1111" s="310" t="s">
        <v>147</v>
      </c>
      <c r="R1111" s="310">
        <v>196</v>
      </c>
      <c r="S1111" s="310"/>
      <c r="T1111" s="308">
        <v>46267</v>
      </c>
      <c r="U1111" s="308">
        <v>46267</v>
      </c>
      <c r="V1111" s="308"/>
      <c r="W1111" s="315">
        <f t="shared" si="107"/>
        <v>4</v>
      </c>
      <c r="X1111" s="310" t="s">
        <v>54</v>
      </c>
      <c r="Y1111" s="310" t="s">
        <v>56</v>
      </c>
      <c r="Z1111" s="316"/>
      <c r="AA1111" s="317">
        <v>46062</v>
      </c>
      <c r="AB1111" s="317">
        <v>46062</v>
      </c>
    </row>
    <row r="1112" spans="1:28" x14ac:dyDescent="0.25">
      <c r="A1112" s="307">
        <f t="shared" si="103"/>
        <v>1106</v>
      </c>
      <c r="B1112" s="308">
        <v>46263</v>
      </c>
      <c r="C1112" s="309">
        <f t="shared" si="104"/>
        <v>46235</v>
      </c>
      <c r="D1112" s="310" t="s">
        <v>56</v>
      </c>
      <c r="E1112" s="310" t="s">
        <v>3122</v>
      </c>
      <c r="F1112" s="311">
        <v>9281983602</v>
      </c>
      <c r="G1112" s="316" t="s">
        <v>6</v>
      </c>
      <c r="H1112" s="316" t="s">
        <v>3681</v>
      </c>
      <c r="I1112" s="316" t="s">
        <v>3682</v>
      </c>
      <c r="J1112" s="310" t="s">
        <v>172</v>
      </c>
      <c r="K1112" s="312">
        <v>45630</v>
      </c>
      <c r="L1112" s="312">
        <v>66780</v>
      </c>
      <c r="M1112" s="313">
        <f t="shared" si="105"/>
        <v>21150</v>
      </c>
      <c r="N1112" s="314">
        <f t="shared" si="106"/>
        <v>0.316711590296496</v>
      </c>
      <c r="O1112" s="312">
        <v>45630</v>
      </c>
      <c r="P1112" s="313">
        <f t="shared" si="102"/>
        <v>0</v>
      </c>
      <c r="Q1112" s="310" t="s">
        <v>147</v>
      </c>
      <c r="R1112" s="310">
        <v>197</v>
      </c>
      <c r="S1112" s="310"/>
      <c r="T1112" s="308">
        <v>46266</v>
      </c>
      <c r="U1112" s="308">
        <v>46267</v>
      </c>
      <c r="V1112" s="308"/>
      <c r="W1112" s="315">
        <f t="shared" si="107"/>
        <v>4</v>
      </c>
      <c r="X1112" s="310" t="s">
        <v>54</v>
      </c>
      <c r="Y1112" s="310" t="s">
        <v>56</v>
      </c>
      <c r="Z1112" s="316"/>
      <c r="AA1112" s="317">
        <v>46031</v>
      </c>
      <c r="AB1112" s="317">
        <v>46062</v>
      </c>
    </row>
    <row r="1113" spans="1:28" x14ac:dyDescent="0.25">
      <c r="A1113" s="307">
        <f t="shared" si="103"/>
        <v>1107</v>
      </c>
      <c r="B1113" s="308">
        <v>46265</v>
      </c>
      <c r="C1113" s="309">
        <f t="shared" si="104"/>
        <v>46235</v>
      </c>
      <c r="D1113" s="310" t="s">
        <v>56</v>
      </c>
      <c r="E1113" s="310" t="s">
        <v>3065</v>
      </c>
      <c r="F1113" s="311">
        <v>9589264337</v>
      </c>
      <c r="G1113" s="316" t="s">
        <v>6</v>
      </c>
      <c r="H1113" s="316" t="s">
        <v>1874</v>
      </c>
      <c r="I1113" s="316" t="s">
        <v>3683</v>
      </c>
      <c r="J1113" s="310" t="s">
        <v>172</v>
      </c>
      <c r="K1113" s="312">
        <v>44680</v>
      </c>
      <c r="L1113" s="312">
        <v>60480</v>
      </c>
      <c r="M1113" s="313">
        <f t="shared" si="105"/>
        <v>15800</v>
      </c>
      <c r="N1113" s="314">
        <f t="shared" si="106"/>
        <v>0.261243386243386</v>
      </c>
      <c r="O1113" s="312">
        <v>44680</v>
      </c>
      <c r="P1113" s="313">
        <f t="shared" si="102"/>
        <v>0</v>
      </c>
      <c r="Q1113" s="310" t="s">
        <v>147</v>
      </c>
      <c r="R1113" s="310">
        <v>198</v>
      </c>
      <c r="S1113" s="310"/>
      <c r="T1113" s="308">
        <v>46268</v>
      </c>
      <c r="U1113" s="308">
        <v>46268</v>
      </c>
      <c r="V1113" s="308"/>
      <c r="W1113" s="315">
        <f t="shared" si="107"/>
        <v>3</v>
      </c>
      <c r="X1113" s="310" t="s">
        <v>54</v>
      </c>
      <c r="Y1113" s="310" t="s">
        <v>56</v>
      </c>
      <c r="Z1113" s="316"/>
      <c r="AA1113" s="317">
        <v>46090</v>
      </c>
      <c r="AB1113" s="317">
        <v>46090</v>
      </c>
    </row>
    <row r="1114" spans="1:28" x14ac:dyDescent="0.25">
      <c r="A1114" s="307">
        <f t="shared" si="103"/>
        <v>1108</v>
      </c>
      <c r="B1114" s="308">
        <v>46266</v>
      </c>
      <c r="C1114" s="309">
        <f t="shared" si="104"/>
        <v>46266</v>
      </c>
      <c r="D1114" s="310" t="s">
        <v>56</v>
      </c>
      <c r="E1114" s="310" t="s">
        <v>1637</v>
      </c>
      <c r="F1114" s="311">
        <v>9025368773</v>
      </c>
      <c r="G1114" s="316" t="s">
        <v>6</v>
      </c>
      <c r="H1114" s="316" t="s">
        <v>440</v>
      </c>
      <c r="I1114" s="316" t="s">
        <v>41</v>
      </c>
      <c r="J1114" s="310" t="s">
        <v>172</v>
      </c>
      <c r="K1114" s="312">
        <v>45630</v>
      </c>
      <c r="L1114" s="312">
        <v>66780</v>
      </c>
      <c r="M1114" s="313">
        <f t="shared" si="105"/>
        <v>21150</v>
      </c>
      <c r="N1114" s="314">
        <f t="shared" si="106"/>
        <v>0.316711590296496</v>
      </c>
      <c r="O1114" s="312">
        <v>45630</v>
      </c>
      <c r="P1114" s="313">
        <f t="shared" si="102"/>
        <v>0</v>
      </c>
      <c r="Q1114" s="310" t="s">
        <v>267</v>
      </c>
      <c r="R1114" s="310"/>
      <c r="S1114" s="310"/>
      <c r="T1114" s="308">
        <v>46269</v>
      </c>
      <c r="U1114" s="308">
        <v>46269</v>
      </c>
      <c r="V1114" s="308"/>
      <c r="W1114" s="315">
        <f t="shared" si="107"/>
        <v>3</v>
      </c>
      <c r="X1114" s="310" t="s">
        <v>54</v>
      </c>
      <c r="Y1114" s="310" t="s">
        <v>56</v>
      </c>
      <c r="Z1114" s="316"/>
      <c r="AA1114" s="317">
        <v>46121</v>
      </c>
      <c r="AB1114" s="317">
        <v>46121</v>
      </c>
    </row>
    <row r="1115" spans="1:28" x14ac:dyDescent="0.25">
      <c r="A1115" s="307">
        <f t="shared" si="103"/>
        <v>1109</v>
      </c>
      <c r="B1115" s="308">
        <v>46266</v>
      </c>
      <c r="C1115" s="309">
        <f t="shared" si="104"/>
        <v>46266</v>
      </c>
      <c r="D1115" s="310" t="s">
        <v>56</v>
      </c>
      <c r="E1115" s="310" t="s">
        <v>60</v>
      </c>
      <c r="F1115" s="311">
        <v>9040208667</v>
      </c>
      <c r="G1115" s="316" t="s">
        <v>2168</v>
      </c>
      <c r="H1115" s="316" t="s">
        <v>3690</v>
      </c>
      <c r="I1115" s="316" t="s">
        <v>6</v>
      </c>
      <c r="J1115" s="310" t="s">
        <v>172</v>
      </c>
      <c r="K1115" s="312">
        <v>55830</v>
      </c>
      <c r="L1115" s="312">
        <v>134820</v>
      </c>
      <c r="M1115" s="313">
        <f t="shared" si="105"/>
        <v>78990</v>
      </c>
      <c r="N1115" s="314">
        <f t="shared" si="106"/>
        <v>0.585892300845572</v>
      </c>
      <c r="O1115" s="312">
        <v>55830</v>
      </c>
      <c r="P1115" s="313">
        <f t="shared" si="102"/>
        <v>0</v>
      </c>
      <c r="Q1115" s="310" t="s">
        <v>267</v>
      </c>
      <c r="R1115" s="310"/>
      <c r="S1115" s="310"/>
      <c r="T1115" s="308">
        <v>46269</v>
      </c>
      <c r="U1115" s="308">
        <v>46269</v>
      </c>
      <c r="V1115" s="308"/>
      <c r="W1115" s="315">
        <f t="shared" si="107"/>
        <v>3</v>
      </c>
      <c r="X1115" s="310" t="s">
        <v>54</v>
      </c>
      <c r="Y1115" s="310" t="s">
        <v>56</v>
      </c>
      <c r="Z1115" s="316"/>
      <c r="AA1115" s="317">
        <v>46121</v>
      </c>
      <c r="AB1115" s="317">
        <v>46121</v>
      </c>
    </row>
    <row r="1116" spans="1:28" x14ac:dyDescent="0.25">
      <c r="A1116" s="307">
        <f t="shared" si="103"/>
        <v>1110</v>
      </c>
      <c r="B1116" s="308">
        <v>46268</v>
      </c>
      <c r="C1116" s="309">
        <f t="shared" si="104"/>
        <v>46266</v>
      </c>
      <c r="D1116" s="310" t="s">
        <v>56</v>
      </c>
      <c r="E1116" s="310" t="s">
        <v>2859</v>
      </c>
      <c r="F1116" s="311">
        <v>9902798068</v>
      </c>
      <c r="G1116" s="316" t="s">
        <v>1093</v>
      </c>
      <c r="H1116" s="316" t="s">
        <v>3691</v>
      </c>
      <c r="I1116" s="316" t="s">
        <v>6</v>
      </c>
      <c r="J1116" s="310" t="s">
        <v>172</v>
      </c>
      <c r="K1116" s="312">
        <v>58240</v>
      </c>
      <c r="L1116" s="312">
        <v>150880</v>
      </c>
      <c r="M1116" s="313">
        <f t="shared" si="105"/>
        <v>92640</v>
      </c>
      <c r="N1116" s="314">
        <f t="shared" si="106"/>
        <v>0.613997879109226</v>
      </c>
      <c r="O1116" s="312">
        <v>58240</v>
      </c>
      <c r="P1116" s="313">
        <f t="shared" si="102"/>
        <v>0</v>
      </c>
      <c r="Q1116" s="310" t="s">
        <v>267</v>
      </c>
      <c r="R1116" s="310"/>
      <c r="S1116" s="310"/>
      <c r="T1116" s="308">
        <v>46270</v>
      </c>
      <c r="U1116" s="308">
        <v>46270</v>
      </c>
      <c r="V1116" s="308"/>
      <c r="W1116" s="315">
        <f t="shared" si="107"/>
        <v>2</v>
      </c>
      <c r="X1116" s="310" t="s">
        <v>54</v>
      </c>
      <c r="Y1116" s="310" t="s">
        <v>56</v>
      </c>
      <c r="Z1116" s="316"/>
      <c r="AA1116" s="317">
        <v>46151</v>
      </c>
      <c r="AB1116" s="317">
        <v>46151</v>
      </c>
    </row>
    <row r="1117" spans="1:28" x14ac:dyDescent="0.25">
      <c r="A1117" s="307">
        <f t="shared" si="103"/>
        <v>1111</v>
      </c>
      <c r="B1117" s="308">
        <v>46268</v>
      </c>
      <c r="C1117" s="309">
        <f t="shared" si="104"/>
        <v>46266</v>
      </c>
      <c r="D1117" s="310" t="s">
        <v>56</v>
      </c>
      <c r="E1117" s="310" t="s">
        <v>1641</v>
      </c>
      <c r="F1117" s="311">
        <v>9486716172</v>
      </c>
      <c r="G1117" s="316" t="s">
        <v>6</v>
      </c>
      <c r="H1117" s="316" t="s">
        <v>440</v>
      </c>
      <c r="I1117" s="316" t="s">
        <v>41</v>
      </c>
      <c r="J1117" s="310" t="s">
        <v>172</v>
      </c>
      <c r="K1117" s="312">
        <v>45630</v>
      </c>
      <c r="L1117" s="312">
        <v>66780</v>
      </c>
      <c r="M1117" s="313">
        <f t="shared" si="105"/>
        <v>21150</v>
      </c>
      <c r="N1117" s="314">
        <f t="shared" si="106"/>
        <v>0.316711590296496</v>
      </c>
      <c r="O1117" s="312">
        <v>45630</v>
      </c>
      <c r="P1117" s="313">
        <f t="shared" si="102"/>
        <v>0</v>
      </c>
      <c r="Q1117" s="310" t="s">
        <v>267</v>
      </c>
      <c r="R1117" s="310"/>
      <c r="S1117" s="310"/>
      <c r="T1117" s="308"/>
      <c r="U1117" s="308"/>
      <c r="V1117" s="308"/>
      <c r="W1117" s="315" t="str">
        <f t="shared" si="107"/>
        <v/>
      </c>
      <c r="X1117" s="310" t="s">
        <v>3364</v>
      </c>
      <c r="Y1117" s="310" t="s">
        <v>56</v>
      </c>
      <c r="Z1117" s="316"/>
      <c r="AA1117" s="316"/>
      <c r="AB1117" s="316"/>
    </row>
    <row r="1118" spans="1:28" x14ac:dyDescent="0.25">
      <c r="A1118" s="307">
        <f t="shared" si="103"/>
        <v>1112</v>
      </c>
      <c r="B1118" s="308">
        <v>46268</v>
      </c>
      <c r="C1118" s="309">
        <f t="shared" si="104"/>
        <v>46266</v>
      </c>
      <c r="D1118" s="310" t="s">
        <v>56</v>
      </c>
      <c r="E1118" s="310" t="s">
        <v>3114</v>
      </c>
      <c r="F1118" s="311">
        <v>9902798068</v>
      </c>
      <c r="G1118" s="316" t="s">
        <v>1093</v>
      </c>
      <c r="H1118" s="316" t="s">
        <v>3695</v>
      </c>
      <c r="I1118" s="316" t="s">
        <v>6</v>
      </c>
      <c r="J1118" s="310" t="s">
        <v>172</v>
      </c>
      <c r="K1118" s="312">
        <v>57300</v>
      </c>
      <c r="L1118" s="312">
        <v>144580</v>
      </c>
      <c r="M1118" s="313">
        <f t="shared" si="105"/>
        <v>87280</v>
      </c>
      <c r="N1118" s="314">
        <f t="shared" si="106"/>
        <v>0.603679623737723</v>
      </c>
      <c r="O1118" s="312">
        <v>57300</v>
      </c>
      <c r="P1118" s="313">
        <f t="shared" si="102"/>
        <v>0</v>
      </c>
      <c r="Q1118" s="310" t="s">
        <v>267</v>
      </c>
      <c r="R1118" s="310"/>
      <c r="S1118" s="310"/>
      <c r="T1118" s="308"/>
      <c r="U1118" s="308"/>
      <c r="V1118" s="308"/>
      <c r="W1118" s="315" t="str">
        <f t="shared" si="107"/>
        <v/>
      </c>
      <c r="X1118" s="310" t="s">
        <v>3364</v>
      </c>
      <c r="Y1118" s="310" t="s">
        <v>56</v>
      </c>
      <c r="Z1118" s="316"/>
      <c r="AA1118" s="316"/>
      <c r="AB1118" s="316"/>
    </row>
    <row r="1119" spans="1:28" x14ac:dyDescent="0.25">
      <c r="A1119" s="307">
        <f t="shared" si="103"/>
        <v>1113</v>
      </c>
      <c r="B1119" s="308">
        <v>46269</v>
      </c>
      <c r="C1119" s="309">
        <f t="shared" si="104"/>
        <v>46266</v>
      </c>
      <c r="D1119" s="310" t="s">
        <v>56</v>
      </c>
      <c r="E1119" s="310" t="s">
        <v>1635</v>
      </c>
      <c r="F1119" s="311">
        <v>9380803043</v>
      </c>
      <c r="G1119" s="316" t="s">
        <v>6</v>
      </c>
      <c r="H1119" s="316" t="s">
        <v>440</v>
      </c>
      <c r="I1119" s="316" t="s">
        <v>41</v>
      </c>
      <c r="J1119" s="310" t="s">
        <v>172</v>
      </c>
      <c r="K1119" s="312">
        <v>45630</v>
      </c>
      <c r="L1119" s="312">
        <v>66780</v>
      </c>
      <c r="M1119" s="313">
        <f t="shared" si="105"/>
        <v>21150</v>
      </c>
      <c r="N1119" s="314">
        <f t="shared" si="106"/>
        <v>0.316711590296496</v>
      </c>
      <c r="O1119" s="312">
        <v>45630</v>
      </c>
      <c r="P1119" s="313">
        <f t="shared" si="102"/>
        <v>0</v>
      </c>
      <c r="Q1119" s="310" t="s">
        <v>267</v>
      </c>
      <c r="R1119" s="310"/>
      <c r="S1119" s="310"/>
      <c r="T1119" s="308"/>
      <c r="U1119" s="308"/>
      <c r="V1119" s="308"/>
      <c r="W1119" s="315" t="str">
        <f t="shared" si="107"/>
        <v/>
      </c>
      <c r="X1119" s="310" t="s">
        <v>3364</v>
      </c>
      <c r="Y1119" s="310" t="s">
        <v>56</v>
      </c>
      <c r="Z1119" s="316"/>
      <c r="AA1119" s="316"/>
      <c r="AB1119" s="316"/>
    </row>
    <row r="1120" spans="1:28" x14ac:dyDescent="0.25">
      <c r="A1120" s="307">
        <f t="shared" si="103"/>
        <v>1114</v>
      </c>
      <c r="B1120" s="308">
        <v>46270</v>
      </c>
      <c r="C1120" s="309">
        <f t="shared" si="104"/>
        <v>46266</v>
      </c>
      <c r="D1120" s="310" t="s">
        <v>56</v>
      </c>
      <c r="E1120" s="310" t="s">
        <v>3065</v>
      </c>
      <c r="F1120" s="311">
        <v>9589264337</v>
      </c>
      <c r="G1120" s="316" t="s">
        <v>1093</v>
      </c>
      <c r="H1120" s="316" t="s">
        <v>2327</v>
      </c>
      <c r="I1120" s="316" t="s">
        <v>6</v>
      </c>
      <c r="J1120" s="310" t="s">
        <v>172</v>
      </c>
      <c r="K1120" s="312">
        <v>57300</v>
      </c>
      <c r="L1120" s="312">
        <v>144580</v>
      </c>
      <c r="M1120" s="313">
        <f t="shared" si="105"/>
        <v>87280</v>
      </c>
      <c r="N1120" s="314">
        <f t="shared" si="106"/>
        <v>0.603679623737723</v>
      </c>
      <c r="O1120" s="312">
        <v>57300</v>
      </c>
      <c r="P1120" s="313">
        <f t="shared" si="102"/>
        <v>0</v>
      </c>
      <c r="Q1120" s="310" t="s">
        <v>267</v>
      </c>
      <c r="R1120" s="310"/>
      <c r="S1120" s="310"/>
      <c r="T1120" s="308"/>
      <c r="U1120" s="308"/>
      <c r="V1120" s="308"/>
      <c r="W1120" s="315" t="str">
        <f t="shared" si="107"/>
        <v/>
      </c>
      <c r="X1120" s="310" t="s">
        <v>3364</v>
      </c>
      <c r="Y1120" s="310" t="s">
        <v>56</v>
      </c>
      <c r="Z1120" s="316"/>
      <c r="AA1120" s="316"/>
      <c r="AB1120" s="316"/>
    </row>
    <row r="1121" spans="1:28" x14ac:dyDescent="0.25">
      <c r="A1121" s="307"/>
      <c r="B1121" s="308"/>
      <c r="C1121" s="309" t="str">
        <f>IF($B1121="","",EOMONTH($B1121,-1)+1)</f>
        <v/>
      </c>
      <c r="D1121" s="310"/>
      <c r="E1121" s="310"/>
      <c r="F1121" s="311"/>
      <c r="G1121" s="316"/>
      <c r="H1121" s="316"/>
      <c r="I1121" s="316"/>
      <c r="J1121" s="310"/>
      <c r="K1121" s="312"/>
      <c r="L1121" s="312"/>
      <c r="M1121" s="313" t="str">
        <f>IF(OR($K1121="",$L1121=""),"",$L1121-$K1121)</f>
        <v/>
      </c>
      <c r="N1121" s="314" t="str">
        <f>IF(OR($L1121="",$L1121=0,$M1121=""),"",$M1121/$L1121)</f>
        <v/>
      </c>
      <c r="O1121" s="312"/>
      <c r="P1121" s="313" t="str">
        <f>IF(OR($K1121="",$O1121=""),"",$K1121-$O1121)</f>
        <v/>
      </c>
      <c r="Q1121" s="310"/>
      <c r="R1121" s="310"/>
      <c r="S1121" s="310"/>
      <c r="T1121" s="308"/>
      <c r="U1121" s="308"/>
      <c r="V1121" s="308"/>
      <c r="W1121" s="315" t="str">
        <f>IF(OR($B1121="",$U1121=""),"",$U1121-$B1121)</f>
        <v/>
      </c>
      <c r="X1121" s="310"/>
      <c r="Y1121" s="310"/>
      <c r="Z1121" s="316"/>
      <c r="AA1121" s="316"/>
      <c r="AB1121" s="3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E6CB-BB39-48BF-8072-87B741D21626}">
  <sheetPr filterMode="1"/>
  <dimension ref="A1:AO177"/>
  <sheetViews>
    <sheetView workbookViewId="0">
      <selection activeCell="G2" sqref="G2:G7"/>
    </sheetView>
  </sheetViews>
  <sheetFormatPr defaultRowHeight="15" x14ac:dyDescent="0.25"/>
  <cols>
    <col min="1" max="1" width="6.5703125" customWidth="1"/>
    <col min="2" max="3" width="13" customWidth="1"/>
    <col min="4" max="4" width="33.140625" customWidth="1"/>
    <col min="5" max="5" width="22" customWidth="1"/>
    <col min="6" max="6" width="19.28515625" customWidth="1"/>
    <col min="7" max="7" width="16.28515625" style="51" bestFit="1" customWidth="1"/>
    <col min="9" max="9" width="10.5703125" bestFit="1" customWidth="1"/>
    <col min="10" max="10" width="22.7109375" bestFit="1" customWidth="1"/>
    <col min="11" max="11" width="34.85546875" customWidth="1"/>
    <col min="12" max="12" width="19.28515625" bestFit="1" customWidth="1"/>
    <col min="13" max="13" width="24.85546875" style="165" bestFit="1" customWidth="1"/>
    <col min="14" max="41" width="8.85546875" style="165"/>
  </cols>
  <sheetData>
    <row r="1" spans="1:41" x14ac:dyDescent="0.25">
      <c r="A1" s="110" t="s">
        <v>16</v>
      </c>
      <c r="B1" s="110" t="s">
        <v>2979</v>
      </c>
      <c r="C1" s="110" t="s">
        <v>0</v>
      </c>
      <c r="D1" s="110" t="s">
        <v>2980</v>
      </c>
      <c r="E1" s="110" t="s">
        <v>2981</v>
      </c>
      <c r="F1" s="110" t="s">
        <v>2982</v>
      </c>
      <c r="G1" s="110" t="s">
        <v>2983</v>
      </c>
      <c r="H1" s="110" t="s">
        <v>2984</v>
      </c>
      <c r="I1" s="110" t="s">
        <v>2985</v>
      </c>
      <c r="J1" s="110" t="s">
        <v>2986</v>
      </c>
      <c r="K1" s="110" t="s">
        <v>96</v>
      </c>
      <c r="L1" s="110" t="s">
        <v>2987</v>
      </c>
    </row>
    <row r="2" spans="1:41" s="51" customFormat="1" x14ac:dyDescent="0.25">
      <c r="A2" s="1">
        <v>1</v>
      </c>
      <c r="B2" s="2">
        <v>45756</v>
      </c>
      <c r="C2" s="1" t="s">
        <v>1637</v>
      </c>
      <c r="D2" s="1" t="s">
        <v>2988</v>
      </c>
      <c r="E2" s="1" t="s">
        <v>1808</v>
      </c>
      <c r="F2" s="1" t="s">
        <v>6</v>
      </c>
      <c r="G2" s="111">
        <v>54450</v>
      </c>
      <c r="H2" s="1">
        <v>54450</v>
      </c>
      <c r="I2" s="1"/>
      <c r="J2" s="2">
        <v>45761</v>
      </c>
      <c r="K2" s="1" t="s">
        <v>2989</v>
      </c>
      <c r="L2" s="1" t="s">
        <v>102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</row>
    <row r="3" spans="1:41" s="51" customFormat="1" x14ac:dyDescent="0.25">
      <c r="A3" s="1">
        <v>2</v>
      </c>
      <c r="B3" s="2">
        <v>45765</v>
      </c>
      <c r="C3" s="1" t="s">
        <v>1644</v>
      </c>
      <c r="D3" s="1" t="s">
        <v>2990</v>
      </c>
      <c r="E3" s="1" t="s">
        <v>41</v>
      </c>
      <c r="F3" s="1" t="s">
        <v>1542</v>
      </c>
      <c r="G3" s="111">
        <v>49500</v>
      </c>
      <c r="H3" s="1">
        <v>49500</v>
      </c>
      <c r="I3" s="1"/>
      <c r="J3" s="2">
        <v>45768</v>
      </c>
      <c r="K3" s="1" t="s">
        <v>2989</v>
      </c>
      <c r="L3" s="1" t="s">
        <v>102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</row>
    <row r="4" spans="1:41" s="51" customFormat="1" x14ac:dyDescent="0.25">
      <c r="A4" s="1">
        <v>3</v>
      </c>
      <c r="B4" s="2">
        <v>45768</v>
      </c>
      <c r="C4" s="1" t="s">
        <v>1635</v>
      </c>
      <c r="D4" s="1" t="s">
        <v>2990</v>
      </c>
      <c r="E4" s="1" t="s">
        <v>2991</v>
      </c>
      <c r="F4" s="1" t="s">
        <v>1816</v>
      </c>
      <c r="G4" s="111">
        <v>57420</v>
      </c>
      <c r="H4" s="1">
        <v>57420</v>
      </c>
      <c r="I4" s="1"/>
      <c r="J4" s="2">
        <v>45772</v>
      </c>
      <c r="K4" s="1" t="s">
        <v>2989</v>
      </c>
      <c r="L4" s="1" t="s">
        <v>102</v>
      </c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</row>
    <row r="5" spans="1:41" s="51" customFormat="1" x14ac:dyDescent="0.25">
      <c r="A5" s="1">
        <v>4</v>
      </c>
      <c r="B5" s="2">
        <v>45772</v>
      </c>
      <c r="C5" s="1" t="s">
        <v>1637</v>
      </c>
      <c r="D5" s="1" t="s">
        <v>2988</v>
      </c>
      <c r="E5" s="1" t="s">
        <v>1808</v>
      </c>
      <c r="F5" s="1" t="s">
        <v>2365</v>
      </c>
      <c r="G5" s="111">
        <v>49500</v>
      </c>
      <c r="H5" s="1">
        <v>49500</v>
      </c>
      <c r="I5" s="1"/>
      <c r="J5" s="2">
        <v>45776</v>
      </c>
      <c r="K5" s="1" t="s">
        <v>2989</v>
      </c>
      <c r="L5" s="1" t="s">
        <v>102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</row>
    <row r="6" spans="1:41" s="51" customFormat="1" x14ac:dyDescent="0.25">
      <c r="A6" s="1">
        <v>5</v>
      </c>
      <c r="B6" s="2">
        <v>45772</v>
      </c>
      <c r="C6" s="1" t="s">
        <v>1644</v>
      </c>
      <c r="D6" s="1" t="s">
        <v>2988</v>
      </c>
      <c r="E6" s="1" t="s">
        <v>41</v>
      </c>
      <c r="F6" s="1" t="s">
        <v>2365</v>
      </c>
      <c r="G6" s="111">
        <v>49830</v>
      </c>
      <c r="H6" s="1">
        <v>49830</v>
      </c>
      <c r="I6" s="1"/>
      <c r="J6" s="2">
        <v>45778</v>
      </c>
      <c r="K6" s="1" t="s">
        <v>2989</v>
      </c>
      <c r="L6" s="1" t="s">
        <v>102</v>
      </c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</row>
    <row r="7" spans="1:41" s="51" customFormat="1" x14ac:dyDescent="0.25">
      <c r="A7" s="1">
        <v>6</v>
      </c>
      <c r="B7" s="2">
        <v>45773</v>
      </c>
      <c r="C7" s="1" t="s">
        <v>60</v>
      </c>
      <c r="D7" s="1" t="s">
        <v>2990</v>
      </c>
      <c r="E7" s="1" t="s">
        <v>2992</v>
      </c>
      <c r="F7" s="1" t="s">
        <v>2993</v>
      </c>
      <c r="G7" s="111">
        <v>54580</v>
      </c>
      <c r="H7" s="1">
        <v>54580</v>
      </c>
      <c r="I7" s="1"/>
      <c r="J7" s="2">
        <v>45775</v>
      </c>
      <c r="K7" s="1" t="s">
        <v>2989</v>
      </c>
      <c r="L7" s="1" t="s">
        <v>102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</row>
    <row r="8" spans="1:41" s="51" customFormat="1" hidden="1" x14ac:dyDescent="0.25">
      <c r="A8" s="1">
        <v>7</v>
      </c>
      <c r="B8" s="2">
        <v>45782</v>
      </c>
      <c r="C8" s="1" t="s">
        <v>1644</v>
      </c>
      <c r="D8" s="1" t="s">
        <v>2988</v>
      </c>
      <c r="E8" s="1" t="s">
        <v>1808</v>
      </c>
      <c r="F8" s="1" t="s">
        <v>2365</v>
      </c>
      <c r="G8" s="111">
        <v>50490</v>
      </c>
      <c r="H8" s="1">
        <v>50490</v>
      </c>
      <c r="I8" s="1"/>
      <c r="J8" s="2">
        <v>45792</v>
      </c>
      <c r="K8" s="1" t="s">
        <v>2989</v>
      </c>
      <c r="L8" s="1" t="s">
        <v>102</v>
      </c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</row>
    <row r="9" spans="1:41" s="51" customFormat="1" hidden="1" x14ac:dyDescent="0.25">
      <c r="A9" s="1">
        <v>8</v>
      </c>
      <c r="B9" s="2">
        <v>45782</v>
      </c>
      <c r="C9" s="1" t="s">
        <v>1637</v>
      </c>
      <c r="D9" s="1" t="s">
        <v>2990</v>
      </c>
      <c r="E9" s="1" t="s">
        <v>2992</v>
      </c>
      <c r="F9" s="1" t="s">
        <v>2994</v>
      </c>
      <c r="G9" s="111">
        <v>56100</v>
      </c>
      <c r="H9" s="1">
        <v>56100</v>
      </c>
      <c r="I9" s="1"/>
      <c r="J9" s="2">
        <v>45783</v>
      </c>
      <c r="K9" s="1" t="s">
        <v>2989</v>
      </c>
      <c r="L9" s="1" t="s">
        <v>102</v>
      </c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</row>
    <row r="10" spans="1:41" s="51" customFormat="1" hidden="1" x14ac:dyDescent="0.25">
      <c r="A10" s="1">
        <v>9</v>
      </c>
      <c r="B10" s="2">
        <v>45784</v>
      </c>
      <c r="C10" s="1" t="s">
        <v>1635</v>
      </c>
      <c r="D10" s="1" t="s">
        <v>2988</v>
      </c>
      <c r="E10" s="1" t="s">
        <v>1808</v>
      </c>
      <c r="F10" s="1" t="s">
        <v>6</v>
      </c>
      <c r="G10" s="111">
        <v>54450</v>
      </c>
      <c r="H10" s="1">
        <v>54450</v>
      </c>
      <c r="I10" s="1"/>
      <c r="J10" s="2">
        <v>45784</v>
      </c>
      <c r="K10" s="1" t="s">
        <v>2989</v>
      </c>
      <c r="L10" s="1" t="s">
        <v>102</v>
      </c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</row>
    <row r="11" spans="1:41" s="51" customFormat="1" hidden="1" x14ac:dyDescent="0.25">
      <c r="A11" s="1">
        <v>10</v>
      </c>
      <c r="B11" s="2">
        <v>45793</v>
      </c>
      <c r="C11" s="1" t="s">
        <v>1635</v>
      </c>
      <c r="D11" s="1" t="s">
        <v>2350</v>
      </c>
      <c r="E11" s="1" t="s">
        <v>440</v>
      </c>
      <c r="F11" s="1" t="s">
        <v>1093</v>
      </c>
      <c r="G11" s="111">
        <v>9900</v>
      </c>
      <c r="H11" s="1">
        <v>9900</v>
      </c>
      <c r="I11" s="1" t="s">
        <v>1874</v>
      </c>
      <c r="J11" s="2">
        <v>45840</v>
      </c>
      <c r="K11" s="1" t="s">
        <v>2989</v>
      </c>
      <c r="L11" s="1" t="s">
        <v>102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</row>
    <row r="12" spans="1:41" s="51" customFormat="1" hidden="1" x14ac:dyDescent="0.25">
      <c r="A12" s="1">
        <v>11</v>
      </c>
      <c r="B12" s="2">
        <v>45796</v>
      </c>
      <c r="C12" s="1" t="s">
        <v>1637</v>
      </c>
      <c r="D12" s="1" t="s">
        <v>2990</v>
      </c>
      <c r="E12" s="1" t="s">
        <v>2995</v>
      </c>
      <c r="F12" s="1" t="s">
        <v>2996</v>
      </c>
      <c r="G12" s="111">
        <v>56100</v>
      </c>
      <c r="H12" s="1">
        <v>56100</v>
      </c>
      <c r="I12" s="1"/>
      <c r="J12" s="2">
        <v>45798</v>
      </c>
      <c r="K12" s="1" t="s">
        <v>2989</v>
      </c>
      <c r="L12" s="1" t="s">
        <v>102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</row>
    <row r="13" spans="1:41" s="51" customFormat="1" hidden="1" x14ac:dyDescent="0.25">
      <c r="A13" s="1">
        <v>12</v>
      </c>
      <c r="B13" s="2">
        <v>45813</v>
      </c>
      <c r="C13" s="1" t="s">
        <v>1644</v>
      </c>
      <c r="D13" s="1" t="s">
        <v>2517</v>
      </c>
      <c r="E13" s="1" t="s">
        <v>440</v>
      </c>
      <c r="F13" s="1" t="s">
        <v>2997</v>
      </c>
      <c r="G13" s="111">
        <v>14520</v>
      </c>
      <c r="H13" s="1">
        <v>14520</v>
      </c>
      <c r="I13" s="1"/>
      <c r="J13" s="2">
        <v>45819</v>
      </c>
      <c r="K13" s="1" t="s">
        <v>2989</v>
      </c>
      <c r="L13" s="1" t="s">
        <v>102</v>
      </c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</row>
    <row r="14" spans="1:41" s="51" customFormat="1" hidden="1" x14ac:dyDescent="0.25">
      <c r="A14" s="1">
        <v>13</v>
      </c>
      <c r="B14" s="2">
        <v>45814</v>
      </c>
      <c r="C14" s="1" t="s">
        <v>1637</v>
      </c>
      <c r="D14" s="1" t="s">
        <v>2990</v>
      </c>
      <c r="E14" s="1" t="s">
        <v>2998</v>
      </c>
      <c r="F14" s="1" t="s">
        <v>2365</v>
      </c>
      <c r="G14" s="111">
        <v>54780</v>
      </c>
      <c r="H14" s="1">
        <v>54780</v>
      </c>
      <c r="I14" s="1"/>
      <c r="J14" s="2">
        <v>45814</v>
      </c>
      <c r="K14" s="1" t="s">
        <v>2989</v>
      </c>
      <c r="L14" s="1" t="s">
        <v>102</v>
      </c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</row>
    <row r="15" spans="1:41" s="51" customFormat="1" hidden="1" x14ac:dyDescent="0.25">
      <c r="A15" s="1">
        <v>14</v>
      </c>
      <c r="B15" s="2">
        <v>45817</v>
      </c>
      <c r="C15" s="1" t="s">
        <v>1637</v>
      </c>
      <c r="D15" s="1" t="s">
        <v>2999</v>
      </c>
      <c r="E15" s="1" t="s">
        <v>3000</v>
      </c>
      <c r="F15" s="1" t="s">
        <v>6</v>
      </c>
      <c r="G15" s="111">
        <v>16500</v>
      </c>
      <c r="H15" s="1">
        <v>16500</v>
      </c>
      <c r="I15" s="1"/>
      <c r="J15" s="2">
        <v>45819</v>
      </c>
      <c r="K15" s="1" t="s">
        <v>2989</v>
      </c>
      <c r="L15" s="1" t="s">
        <v>102</v>
      </c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</row>
    <row r="16" spans="1:41" s="51" customFormat="1" hidden="1" x14ac:dyDescent="0.25">
      <c r="A16" s="1">
        <v>15</v>
      </c>
      <c r="B16" s="2">
        <v>45836</v>
      </c>
      <c r="C16" s="1" t="s">
        <v>1644</v>
      </c>
      <c r="D16" s="1" t="s">
        <v>2517</v>
      </c>
      <c r="E16" s="1" t="s">
        <v>440</v>
      </c>
      <c r="F16" s="1" t="s">
        <v>3001</v>
      </c>
      <c r="G16" s="111">
        <v>56100</v>
      </c>
      <c r="H16" s="1">
        <v>56100</v>
      </c>
      <c r="I16" s="1" t="s">
        <v>1874</v>
      </c>
      <c r="J16" s="2">
        <v>45884</v>
      </c>
      <c r="K16" s="1" t="s">
        <v>2989</v>
      </c>
      <c r="L16" s="1" t="s">
        <v>102</v>
      </c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</row>
    <row r="17" spans="1:41" s="51" customFormat="1" hidden="1" x14ac:dyDescent="0.25">
      <c r="A17" s="1">
        <v>16</v>
      </c>
      <c r="B17" s="2">
        <v>45841</v>
      </c>
      <c r="C17" s="1" t="s">
        <v>60</v>
      </c>
      <c r="D17" s="1" t="s">
        <v>2990</v>
      </c>
      <c r="E17" s="1" t="s">
        <v>3002</v>
      </c>
      <c r="F17" s="1" t="s">
        <v>3003</v>
      </c>
      <c r="G17" s="111">
        <v>49500</v>
      </c>
      <c r="H17" s="1">
        <v>49500</v>
      </c>
      <c r="I17" s="1"/>
      <c r="J17" s="2">
        <v>45843</v>
      </c>
      <c r="K17" s="1" t="s">
        <v>2989</v>
      </c>
      <c r="L17" s="1" t="s">
        <v>102</v>
      </c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</row>
    <row r="18" spans="1:41" s="51" customFormat="1" hidden="1" x14ac:dyDescent="0.25">
      <c r="A18" s="1">
        <v>17</v>
      </c>
      <c r="B18" s="2">
        <v>45844</v>
      </c>
      <c r="C18" s="1" t="s">
        <v>60</v>
      </c>
      <c r="D18" s="1" t="s">
        <v>3004</v>
      </c>
      <c r="E18" s="1" t="s">
        <v>3005</v>
      </c>
      <c r="F18" s="1" t="s">
        <v>3006</v>
      </c>
      <c r="G18" s="111">
        <v>6600</v>
      </c>
      <c r="H18" s="1">
        <v>6600</v>
      </c>
      <c r="I18" s="1" t="s">
        <v>1874</v>
      </c>
      <c r="J18" s="2">
        <v>45844</v>
      </c>
      <c r="K18" s="1" t="s">
        <v>2989</v>
      </c>
      <c r="L18" s="1" t="s">
        <v>102</v>
      </c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</row>
    <row r="19" spans="1:41" s="51" customFormat="1" hidden="1" x14ac:dyDescent="0.25">
      <c r="A19" s="1">
        <v>17</v>
      </c>
      <c r="B19" s="2">
        <v>45841</v>
      </c>
      <c r="C19" s="1" t="s">
        <v>1641</v>
      </c>
      <c r="D19" s="1" t="s">
        <v>2990</v>
      </c>
      <c r="E19" s="1" t="s">
        <v>3007</v>
      </c>
      <c r="F19" s="1" t="s">
        <v>1314</v>
      </c>
      <c r="G19" s="111">
        <v>58080</v>
      </c>
      <c r="H19" s="1">
        <v>58080</v>
      </c>
      <c r="I19" s="1"/>
      <c r="J19" s="2">
        <v>45843</v>
      </c>
      <c r="K19" s="1" t="s">
        <v>2989</v>
      </c>
      <c r="L19" s="1" t="s">
        <v>102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</row>
    <row r="20" spans="1:41" s="51" customFormat="1" hidden="1" x14ac:dyDescent="0.25">
      <c r="A20" s="1">
        <v>18</v>
      </c>
      <c r="B20" s="2">
        <v>45843</v>
      </c>
      <c r="C20" s="1" t="s">
        <v>1637</v>
      </c>
      <c r="D20" s="1" t="s">
        <v>2988</v>
      </c>
      <c r="E20" s="1" t="s">
        <v>1808</v>
      </c>
      <c r="F20" s="1" t="s">
        <v>6</v>
      </c>
      <c r="G20" s="111">
        <v>52470</v>
      </c>
      <c r="H20" s="1">
        <v>52470</v>
      </c>
      <c r="I20" s="112" t="s">
        <v>3008</v>
      </c>
      <c r="J20" s="2">
        <v>45846</v>
      </c>
      <c r="K20" s="1" t="s">
        <v>2989</v>
      </c>
      <c r="L20" s="1" t="s">
        <v>102</v>
      </c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</row>
    <row r="21" spans="1:41" s="51" customFormat="1" hidden="1" x14ac:dyDescent="0.25">
      <c r="A21" s="1">
        <v>19</v>
      </c>
      <c r="B21" s="2">
        <v>45851</v>
      </c>
      <c r="C21" s="1" t="s">
        <v>1635</v>
      </c>
      <c r="D21" s="1" t="s">
        <v>3009</v>
      </c>
      <c r="E21" s="1" t="s">
        <v>3010</v>
      </c>
      <c r="F21" s="1" t="s">
        <v>6</v>
      </c>
      <c r="G21" s="111">
        <v>59400</v>
      </c>
      <c r="H21" s="1">
        <v>59400</v>
      </c>
      <c r="I21" s="112" t="s">
        <v>1874</v>
      </c>
      <c r="J21" s="2">
        <v>45930</v>
      </c>
      <c r="K21" s="1" t="s">
        <v>2989</v>
      </c>
      <c r="L21" s="1" t="s">
        <v>102</v>
      </c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</row>
    <row r="22" spans="1:41" s="51" customFormat="1" hidden="1" x14ac:dyDescent="0.25">
      <c r="A22" s="1">
        <v>20</v>
      </c>
      <c r="B22" s="2">
        <v>45860</v>
      </c>
      <c r="C22" s="1" t="s">
        <v>1635</v>
      </c>
      <c r="D22" s="1" t="s">
        <v>2988</v>
      </c>
      <c r="E22" s="1" t="s">
        <v>1808</v>
      </c>
      <c r="F22" s="1" t="s">
        <v>2365</v>
      </c>
      <c r="G22" s="111">
        <v>48840</v>
      </c>
      <c r="H22" s="1">
        <v>48840</v>
      </c>
      <c r="I22" s="112" t="s">
        <v>1874</v>
      </c>
      <c r="J22" s="2">
        <v>45863</v>
      </c>
      <c r="K22" s="1" t="s">
        <v>2989</v>
      </c>
      <c r="L22" s="1" t="s">
        <v>102</v>
      </c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</row>
    <row r="23" spans="1:41" s="51" customFormat="1" hidden="1" x14ac:dyDescent="0.25">
      <c r="A23" s="1">
        <v>21</v>
      </c>
      <c r="B23" s="2">
        <v>45876</v>
      </c>
      <c r="C23" s="1" t="s">
        <v>1637</v>
      </c>
      <c r="D23" s="1" t="s">
        <v>2988</v>
      </c>
      <c r="E23" s="1" t="s">
        <v>1808</v>
      </c>
      <c r="F23" s="1" t="s">
        <v>6</v>
      </c>
      <c r="G23" s="111">
        <v>49500</v>
      </c>
      <c r="H23" s="1">
        <v>49500</v>
      </c>
      <c r="I23" s="1" t="s">
        <v>1874</v>
      </c>
      <c r="J23" s="1" t="s">
        <v>1874</v>
      </c>
      <c r="K23" s="1" t="s">
        <v>2989</v>
      </c>
      <c r="L23" s="1" t="s">
        <v>102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</row>
    <row r="24" spans="1:41" s="51" customFormat="1" hidden="1" x14ac:dyDescent="0.25">
      <c r="A24" s="1">
        <v>22</v>
      </c>
      <c r="B24" s="2">
        <v>45883</v>
      </c>
      <c r="C24" s="1" t="s">
        <v>60</v>
      </c>
      <c r="D24" s="1" t="s">
        <v>2990</v>
      </c>
      <c r="E24" s="1" t="s">
        <v>3011</v>
      </c>
      <c r="F24" s="1" t="s">
        <v>1314</v>
      </c>
      <c r="G24" s="111">
        <v>52800</v>
      </c>
      <c r="H24" s="1">
        <v>52800</v>
      </c>
      <c r="I24" s="112" t="s">
        <v>1874</v>
      </c>
      <c r="J24" s="2">
        <v>45885</v>
      </c>
      <c r="K24" s="1" t="s">
        <v>2989</v>
      </c>
      <c r="L24" s="1" t="s">
        <v>102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</row>
    <row r="25" spans="1:41" s="51" customFormat="1" hidden="1" x14ac:dyDescent="0.25">
      <c r="A25" s="1">
        <v>23</v>
      </c>
      <c r="B25" s="2">
        <v>45886</v>
      </c>
      <c r="C25" s="1" t="s">
        <v>1641</v>
      </c>
      <c r="D25" s="1" t="s">
        <v>2990</v>
      </c>
      <c r="E25" s="1" t="s">
        <v>3011</v>
      </c>
      <c r="F25" s="1" t="s">
        <v>1314</v>
      </c>
      <c r="G25" s="111">
        <v>52800</v>
      </c>
      <c r="H25" s="1">
        <v>52800</v>
      </c>
      <c r="I25" s="112" t="s">
        <v>1874</v>
      </c>
      <c r="J25" s="2">
        <v>45890</v>
      </c>
      <c r="K25" s="1" t="s">
        <v>2989</v>
      </c>
      <c r="L25" s="1" t="s">
        <v>102</v>
      </c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</row>
    <row r="26" spans="1:41" s="51" customFormat="1" hidden="1" x14ac:dyDescent="0.25">
      <c r="A26" s="1">
        <v>24</v>
      </c>
      <c r="B26" s="2">
        <v>45887</v>
      </c>
      <c r="C26" s="1" t="s">
        <v>1637</v>
      </c>
      <c r="D26" s="1" t="s">
        <v>2990</v>
      </c>
      <c r="E26" s="1" t="s">
        <v>3011</v>
      </c>
      <c r="F26" s="1" t="s">
        <v>1314</v>
      </c>
      <c r="G26" s="111">
        <v>52800</v>
      </c>
      <c r="H26" s="1">
        <v>5280</v>
      </c>
      <c r="I26" s="112" t="s">
        <v>1874</v>
      </c>
      <c r="J26" s="2">
        <v>45890</v>
      </c>
      <c r="K26" s="1" t="s">
        <v>2989</v>
      </c>
      <c r="L26" s="1" t="s">
        <v>102</v>
      </c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</row>
    <row r="27" spans="1:41" s="51" customFormat="1" hidden="1" x14ac:dyDescent="0.25">
      <c r="A27" s="1">
        <v>25</v>
      </c>
      <c r="B27" s="2">
        <v>45891</v>
      </c>
      <c r="C27" s="1" t="s">
        <v>1644</v>
      </c>
      <c r="D27" s="1" t="s">
        <v>2990</v>
      </c>
      <c r="E27" s="1" t="s">
        <v>45</v>
      </c>
      <c r="F27" s="1" t="s">
        <v>1542</v>
      </c>
      <c r="G27" s="111">
        <v>48180</v>
      </c>
      <c r="H27" s="1">
        <v>48180</v>
      </c>
      <c r="I27" s="1" t="s">
        <v>1874</v>
      </c>
      <c r="J27" s="1" t="s">
        <v>1874</v>
      </c>
      <c r="K27" s="1" t="s">
        <v>2989</v>
      </c>
      <c r="L27" s="1" t="s">
        <v>102</v>
      </c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</row>
    <row r="28" spans="1:41" s="51" customFormat="1" hidden="1" x14ac:dyDescent="0.25">
      <c r="A28" s="1">
        <v>26</v>
      </c>
      <c r="B28" s="2">
        <v>45892</v>
      </c>
      <c r="C28" s="1" t="s">
        <v>3012</v>
      </c>
      <c r="D28" s="1" t="s">
        <v>2988</v>
      </c>
      <c r="E28" s="1" t="s">
        <v>1808</v>
      </c>
      <c r="F28" s="1" t="s">
        <v>6</v>
      </c>
      <c r="G28" s="111">
        <v>49170</v>
      </c>
      <c r="H28" s="1">
        <v>49170</v>
      </c>
      <c r="I28" s="1" t="s">
        <v>1874</v>
      </c>
      <c r="J28" s="112" t="s">
        <v>1874</v>
      </c>
      <c r="K28" s="1" t="s">
        <v>2989</v>
      </c>
      <c r="L28" s="1" t="s">
        <v>102</v>
      </c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</row>
    <row r="29" spans="1:41" s="51" customFormat="1" hidden="1" x14ac:dyDescent="0.25">
      <c r="A29" s="1">
        <v>57</v>
      </c>
      <c r="B29" s="2">
        <v>45894</v>
      </c>
      <c r="C29" s="1" t="s">
        <v>2336</v>
      </c>
      <c r="D29" s="1" t="s">
        <v>2988</v>
      </c>
      <c r="E29" s="1" t="s">
        <v>3013</v>
      </c>
      <c r="F29" s="1" t="s">
        <v>1542</v>
      </c>
      <c r="G29" s="111">
        <v>46860</v>
      </c>
      <c r="H29" s="1">
        <v>46860</v>
      </c>
      <c r="I29" s="1" t="s">
        <v>1874</v>
      </c>
      <c r="J29" s="1" t="s">
        <v>3014</v>
      </c>
      <c r="K29" s="1" t="s">
        <v>2989</v>
      </c>
      <c r="L29" s="1" t="s">
        <v>102</v>
      </c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</row>
    <row r="30" spans="1:41" s="51" customFormat="1" hidden="1" x14ac:dyDescent="0.25">
      <c r="A30" s="1">
        <v>58</v>
      </c>
      <c r="B30" s="2">
        <v>45904</v>
      </c>
      <c r="C30" s="1" t="s">
        <v>1641</v>
      </c>
      <c r="D30" s="1" t="s">
        <v>2990</v>
      </c>
      <c r="E30" s="1" t="s">
        <v>3011</v>
      </c>
      <c r="F30" s="1" t="s">
        <v>1314</v>
      </c>
      <c r="G30" s="111">
        <v>54120</v>
      </c>
      <c r="H30" s="1">
        <v>54120</v>
      </c>
      <c r="I30" s="1" t="s">
        <v>1874</v>
      </c>
      <c r="J30" s="2">
        <v>46000</v>
      </c>
      <c r="K30" s="1" t="s">
        <v>2989</v>
      </c>
      <c r="L30" s="1" t="s">
        <v>102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</row>
    <row r="31" spans="1:41" s="51" customFormat="1" hidden="1" x14ac:dyDescent="0.25">
      <c r="A31" s="1">
        <v>59</v>
      </c>
      <c r="B31" s="2">
        <v>45910</v>
      </c>
      <c r="C31" s="1" t="s">
        <v>1644</v>
      </c>
      <c r="D31" s="1" t="s">
        <v>2990</v>
      </c>
      <c r="E31" s="1" t="s">
        <v>3011</v>
      </c>
      <c r="F31" s="1" t="s">
        <v>1314</v>
      </c>
      <c r="G31" s="111">
        <v>54120</v>
      </c>
      <c r="H31" s="1">
        <v>54120</v>
      </c>
      <c r="I31" s="1" t="s">
        <v>1874</v>
      </c>
      <c r="J31" s="1" t="s">
        <v>1874</v>
      </c>
      <c r="K31" s="1" t="s">
        <v>2989</v>
      </c>
      <c r="L31" s="1" t="s">
        <v>102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</row>
    <row r="32" spans="1:41" s="201" customFormat="1" hidden="1" x14ac:dyDescent="0.25">
      <c r="A32" s="228">
        <v>60</v>
      </c>
      <c r="B32" s="229">
        <v>45915</v>
      </c>
      <c r="C32" s="228" t="s">
        <v>1637</v>
      </c>
      <c r="D32" s="228" t="s">
        <v>2988</v>
      </c>
      <c r="E32" s="228" t="s">
        <v>3010</v>
      </c>
      <c r="F32" s="228" t="s">
        <v>1542</v>
      </c>
      <c r="G32" s="230">
        <v>47520</v>
      </c>
      <c r="H32" s="228">
        <v>47520</v>
      </c>
      <c r="I32" s="228" t="s">
        <v>1874</v>
      </c>
      <c r="J32" s="228" t="s">
        <v>1874</v>
      </c>
      <c r="K32" s="228" t="s">
        <v>2989</v>
      </c>
      <c r="L32" s="228" t="s">
        <v>102</v>
      </c>
    </row>
    <row r="33" spans="1:41" s="51" customFormat="1" hidden="1" x14ac:dyDescent="0.25">
      <c r="A33" s="1">
        <v>61</v>
      </c>
      <c r="B33" s="2">
        <v>45917</v>
      </c>
      <c r="C33" s="1" t="s">
        <v>1641</v>
      </c>
      <c r="D33" s="1" t="s">
        <v>2990</v>
      </c>
      <c r="E33" s="1" t="s">
        <v>3011</v>
      </c>
      <c r="F33" s="1" t="s">
        <v>1314</v>
      </c>
      <c r="G33" s="111">
        <v>54120</v>
      </c>
      <c r="H33" s="1">
        <v>54120</v>
      </c>
      <c r="I33" s="1" t="s">
        <v>1874</v>
      </c>
      <c r="J33" s="1" t="s">
        <v>1874</v>
      </c>
      <c r="K33" s="1" t="s">
        <v>2989</v>
      </c>
      <c r="L33" s="1" t="s">
        <v>102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</row>
    <row r="34" spans="1:41" s="51" customFormat="1" hidden="1" x14ac:dyDescent="0.25">
      <c r="A34" s="1">
        <v>62</v>
      </c>
      <c r="B34" s="2">
        <v>45920</v>
      </c>
      <c r="C34" s="1" t="s">
        <v>2336</v>
      </c>
      <c r="D34" s="1" t="s">
        <v>2988</v>
      </c>
      <c r="E34" s="1" t="s">
        <v>1808</v>
      </c>
      <c r="F34" s="1" t="s">
        <v>2365</v>
      </c>
      <c r="G34" s="111">
        <v>48510</v>
      </c>
      <c r="H34" s="1">
        <v>48510</v>
      </c>
      <c r="I34" s="1" t="s">
        <v>1874</v>
      </c>
      <c r="J34" s="1" t="s">
        <v>1874</v>
      </c>
      <c r="K34" s="1" t="s">
        <v>2989</v>
      </c>
      <c r="L34" s="1" t="s">
        <v>102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</row>
    <row r="35" spans="1:41" s="51" customFormat="1" hidden="1" x14ac:dyDescent="0.25">
      <c r="A35" s="1">
        <v>63</v>
      </c>
      <c r="B35" s="2">
        <v>45926</v>
      </c>
      <c r="C35" s="1" t="s">
        <v>2336</v>
      </c>
      <c r="D35" s="1" t="s">
        <v>56</v>
      </c>
      <c r="E35" s="1" t="s">
        <v>1542</v>
      </c>
      <c r="F35" s="1" t="s">
        <v>6</v>
      </c>
      <c r="G35" s="111">
        <v>16500</v>
      </c>
      <c r="H35" s="1">
        <v>16500</v>
      </c>
      <c r="I35" s="1" t="s">
        <v>1874</v>
      </c>
      <c r="J35" s="2">
        <v>45940</v>
      </c>
      <c r="K35" s="1" t="s">
        <v>2989</v>
      </c>
      <c r="L35" s="1" t="s">
        <v>102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</row>
    <row r="36" spans="1:41" s="51" customFormat="1" hidden="1" x14ac:dyDescent="0.25">
      <c r="A36" s="1">
        <v>64</v>
      </c>
      <c r="B36" s="2">
        <v>45954</v>
      </c>
      <c r="C36" s="1" t="s">
        <v>1637</v>
      </c>
      <c r="D36" s="1" t="s">
        <v>2990</v>
      </c>
      <c r="E36" s="1" t="s">
        <v>3011</v>
      </c>
      <c r="F36" s="1" t="s">
        <v>3016</v>
      </c>
      <c r="G36" s="111">
        <v>50160</v>
      </c>
      <c r="H36" s="1">
        <v>50160</v>
      </c>
      <c r="I36" s="1" t="s">
        <v>1874</v>
      </c>
      <c r="J36" s="2" t="s">
        <v>1874</v>
      </c>
      <c r="K36" s="1" t="s">
        <v>2989</v>
      </c>
      <c r="L36" s="1" t="s">
        <v>102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</row>
    <row r="37" spans="1:41" s="51" customFormat="1" hidden="1" x14ac:dyDescent="0.25">
      <c r="A37" s="1">
        <v>65</v>
      </c>
      <c r="B37" s="2">
        <v>45958</v>
      </c>
      <c r="C37" s="1" t="s">
        <v>1644</v>
      </c>
      <c r="D37" s="1" t="s">
        <v>2990</v>
      </c>
      <c r="E37" s="1" t="s">
        <v>3011</v>
      </c>
      <c r="F37" s="1" t="s">
        <v>3016</v>
      </c>
      <c r="G37" s="111">
        <v>47520</v>
      </c>
      <c r="H37" s="1">
        <v>47520</v>
      </c>
      <c r="I37" s="1" t="s">
        <v>1874</v>
      </c>
      <c r="J37" s="2" t="s">
        <v>1874</v>
      </c>
      <c r="K37" s="1" t="s">
        <v>2989</v>
      </c>
      <c r="L37" s="1" t="s">
        <v>102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</row>
    <row r="38" spans="1:41" s="201" customFormat="1" hidden="1" x14ac:dyDescent="0.25">
      <c r="A38" s="228">
        <v>66</v>
      </c>
      <c r="B38" s="229">
        <v>45965</v>
      </c>
      <c r="C38" s="228" t="s">
        <v>1635</v>
      </c>
      <c r="D38" s="228" t="s">
        <v>2988</v>
      </c>
      <c r="E38" s="228" t="s">
        <v>1808</v>
      </c>
      <c r="F38" s="228" t="s">
        <v>6</v>
      </c>
      <c r="G38" s="230">
        <v>50160</v>
      </c>
      <c r="H38" s="228">
        <v>50160</v>
      </c>
      <c r="I38" s="228" t="s">
        <v>1874</v>
      </c>
      <c r="J38" s="229">
        <v>45967</v>
      </c>
      <c r="K38" s="228" t="s">
        <v>2989</v>
      </c>
      <c r="L38" s="228" t="s">
        <v>102</v>
      </c>
    </row>
    <row r="39" spans="1:41" s="201" customFormat="1" hidden="1" x14ac:dyDescent="0.25">
      <c r="A39" s="228">
        <v>67</v>
      </c>
      <c r="B39" s="229">
        <v>45965</v>
      </c>
      <c r="C39" s="228" t="s">
        <v>1637</v>
      </c>
      <c r="D39" s="228" t="s">
        <v>2988</v>
      </c>
      <c r="E39" s="228" t="s">
        <v>1808</v>
      </c>
      <c r="F39" s="228" t="s">
        <v>2365</v>
      </c>
      <c r="G39" s="230">
        <v>48840</v>
      </c>
      <c r="H39" s="228">
        <v>48840</v>
      </c>
      <c r="I39" s="228" t="s">
        <v>1874</v>
      </c>
      <c r="J39" s="229">
        <v>45979</v>
      </c>
      <c r="K39" s="228" t="s">
        <v>2989</v>
      </c>
      <c r="L39" s="228" t="s">
        <v>102</v>
      </c>
    </row>
    <row r="40" spans="1:41" s="51" customFormat="1" hidden="1" x14ac:dyDescent="0.25">
      <c r="A40" s="1">
        <v>68</v>
      </c>
      <c r="B40" s="2">
        <v>45968</v>
      </c>
      <c r="C40" s="1" t="s">
        <v>1644</v>
      </c>
      <c r="D40" s="1" t="s">
        <v>2990</v>
      </c>
      <c r="E40" s="1" t="s">
        <v>158</v>
      </c>
      <c r="F40" s="1" t="s">
        <v>1542</v>
      </c>
      <c r="G40" s="111">
        <v>49500</v>
      </c>
      <c r="H40" s="1">
        <v>49500</v>
      </c>
      <c r="I40" s="1" t="s">
        <v>1874</v>
      </c>
      <c r="J40" s="2" t="s">
        <v>1874</v>
      </c>
      <c r="K40" s="1" t="s">
        <v>2989</v>
      </c>
      <c r="L40" s="1" t="s">
        <v>102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</row>
    <row r="41" spans="1:41" s="51" customFormat="1" hidden="1" x14ac:dyDescent="0.25">
      <c r="A41" s="1">
        <v>69</v>
      </c>
      <c r="B41" s="2">
        <v>45968</v>
      </c>
      <c r="C41" s="1" t="s">
        <v>1641</v>
      </c>
      <c r="D41" s="1" t="s">
        <v>2990</v>
      </c>
      <c r="E41" s="1" t="s">
        <v>3017</v>
      </c>
      <c r="F41" s="1" t="s">
        <v>2365</v>
      </c>
      <c r="G41" s="111">
        <v>49500</v>
      </c>
      <c r="H41" s="1">
        <v>49500</v>
      </c>
      <c r="I41" s="1" t="s">
        <v>1874</v>
      </c>
      <c r="J41" s="2" t="s">
        <v>1874</v>
      </c>
      <c r="K41" s="1" t="s">
        <v>2989</v>
      </c>
      <c r="L41" s="1" t="s">
        <v>102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</row>
    <row r="42" spans="1:41" s="51" customFormat="1" hidden="1" x14ac:dyDescent="0.25">
      <c r="A42" s="1">
        <v>70</v>
      </c>
      <c r="B42" s="2">
        <v>45977</v>
      </c>
      <c r="C42" s="1" t="s">
        <v>1644</v>
      </c>
      <c r="D42" s="1" t="s">
        <v>3018</v>
      </c>
      <c r="E42" s="1" t="s">
        <v>394</v>
      </c>
      <c r="F42" s="1" t="s">
        <v>1542</v>
      </c>
      <c r="G42" s="111">
        <v>51500</v>
      </c>
      <c r="H42" s="1">
        <v>51500</v>
      </c>
      <c r="I42" s="1" t="s">
        <v>1874</v>
      </c>
      <c r="J42" s="2">
        <v>45979</v>
      </c>
      <c r="K42" s="1" t="s">
        <v>2989</v>
      </c>
      <c r="L42" s="1" t="s">
        <v>102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</row>
    <row r="43" spans="1:41" s="51" customFormat="1" hidden="1" x14ac:dyDescent="0.25">
      <c r="A43" s="1">
        <v>71</v>
      </c>
      <c r="B43" s="2">
        <v>45979</v>
      </c>
      <c r="C43" s="1" t="s">
        <v>1641</v>
      </c>
      <c r="D43" s="1" t="s">
        <v>3018</v>
      </c>
      <c r="E43" s="1" t="s">
        <v>3010</v>
      </c>
      <c r="F43" s="1" t="s">
        <v>6</v>
      </c>
      <c r="G43" s="111">
        <v>55620</v>
      </c>
      <c r="H43" s="1">
        <v>55620</v>
      </c>
      <c r="I43" s="1" t="s">
        <v>1874</v>
      </c>
      <c r="J43" s="2">
        <v>45979</v>
      </c>
      <c r="K43" s="1" t="s">
        <v>2989</v>
      </c>
      <c r="L43" s="1" t="s">
        <v>102</v>
      </c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</row>
    <row r="44" spans="1:41" s="51" customFormat="1" hidden="1" x14ac:dyDescent="0.25">
      <c r="A44" s="1">
        <v>72</v>
      </c>
      <c r="B44" s="2">
        <v>45979</v>
      </c>
      <c r="C44" s="1" t="s">
        <v>60</v>
      </c>
      <c r="D44" s="1" t="s">
        <v>3018</v>
      </c>
      <c r="E44" s="1" t="s">
        <v>3010</v>
      </c>
      <c r="F44" s="1" t="s">
        <v>6</v>
      </c>
      <c r="G44" s="111">
        <v>55620</v>
      </c>
      <c r="H44" s="1">
        <v>55620</v>
      </c>
      <c r="I44" s="1" t="s">
        <v>1874</v>
      </c>
      <c r="J44" s="2">
        <v>45979</v>
      </c>
      <c r="K44" s="1" t="s">
        <v>2989</v>
      </c>
      <c r="L44" s="1" t="s">
        <v>102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</row>
    <row r="45" spans="1:41" s="51" customFormat="1" hidden="1" x14ac:dyDescent="0.25">
      <c r="A45" s="1">
        <v>73</v>
      </c>
      <c r="B45" s="2">
        <v>45989</v>
      </c>
      <c r="C45" s="1" t="s">
        <v>1644</v>
      </c>
      <c r="D45" s="1" t="s">
        <v>3018</v>
      </c>
      <c r="E45" s="1" t="s">
        <v>41</v>
      </c>
      <c r="F45" s="1" t="s">
        <v>1542</v>
      </c>
      <c r="G45" s="111">
        <v>54780</v>
      </c>
      <c r="H45" s="1">
        <v>54780</v>
      </c>
      <c r="I45" s="1"/>
      <c r="J45" s="2" t="s">
        <v>1874</v>
      </c>
      <c r="K45" s="1" t="s">
        <v>2989</v>
      </c>
      <c r="L45" s="1" t="s">
        <v>102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</row>
    <row r="46" spans="1:41" s="51" customFormat="1" hidden="1" x14ac:dyDescent="0.25">
      <c r="A46" s="1">
        <v>74</v>
      </c>
      <c r="B46" s="2">
        <v>45991</v>
      </c>
      <c r="C46" s="1" t="s">
        <v>1641</v>
      </c>
      <c r="D46" s="1" t="s">
        <v>3018</v>
      </c>
      <c r="E46" s="1" t="s">
        <v>41</v>
      </c>
      <c r="F46" s="1" t="s">
        <v>1542</v>
      </c>
      <c r="G46" s="111">
        <v>54780</v>
      </c>
      <c r="H46" s="1">
        <v>54780</v>
      </c>
      <c r="I46" s="1" t="s">
        <v>1874</v>
      </c>
      <c r="J46" s="2" t="s">
        <v>1874</v>
      </c>
      <c r="K46" s="1" t="s">
        <v>2989</v>
      </c>
      <c r="L46" s="1" t="s">
        <v>102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</row>
    <row r="47" spans="1:41" s="51" customFormat="1" hidden="1" x14ac:dyDescent="0.25">
      <c r="A47" s="1">
        <v>75</v>
      </c>
      <c r="B47" s="2">
        <v>45991</v>
      </c>
      <c r="C47" s="1" t="s">
        <v>1635</v>
      </c>
      <c r="D47" s="1" t="s">
        <v>3018</v>
      </c>
      <c r="E47" s="1" t="s">
        <v>3010</v>
      </c>
      <c r="F47" s="1" t="s">
        <v>2365</v>
      </c>
      <c r="G47" s="111">
        <v>51480</v>
      </c>
      <c r="H47" s="1">
        <v>51480</v>
      </c>
      <c r="I47" s="1"/>
      <c r="J47" s="2" t="s">
        <v>1874</v>
      </c>
      <c r="K47" s="1" t="s">
        <v>2989</v>
      </c>
      <c r="L47" s="1" t="s">
        <v>102</v>
      </c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</row>
    <row r="48" spans="1:41" s="51" customFormat="1" hidden="1" x14ac:dyDescent="0.25">
      <c r="A48" s="1">
        <v>76</v>
      </c>
      <c r="B48" s="2">
        <v>46001</v>
      </c>
      <c r="C48" s="1" t="s">
        <v>1635</v>
      </c>
      <c r="D48" s="1" t="s">
        <v>3018</v>
      </c>
      <c r="E48" s="1" t="s">
        <v>369</v>
      </c>
      <c r="F48" s="1" t="s">
        <v>6</v>
      </c>
      <c r="G48" s="111">
        <v>52600</v>
      </c>
      <c r="H48" s="1">
        <v>52600</v>
      </c>
      <c r="I48" s="1" t="s">
        <v>1874</v>
      </c>
      <c r="J48" s="2" t="s">
        <v>1874</v>
      </c>
      <c r="K48" s="1" t="s">
        <v>2989</v>
      </c>
      <c r="L48" s="1" t="s">
        <v>102</v>
      </c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</row>
    <row r="49" spans="1:41" s="51" customFormat="1" hidden="1" x14ac:dyDescent="0.25">
      <c r="A49" s="1">
        <v>77</v>
      </c>
      <c r="B49" s="2">
        <v>46024</v>
      </c>
      <c r="C49" s="1" t="s">
        <v>1637</v>
      </c>
      <c r="D49" s="1" t="s">
        <v>3019</v>
      </c>
      <c r="E49" s="1" t="s">
        <v>3020</v>
      </c>
      <c r="F49" s="1" t="s">
        <v>3021</v>
      </c>
      <c r="G49" s="111">
        <v>52000</v>
      </c>
      <c r="H49" s="1">
        <v>44320</v>
      </c>
      <c r="I49" s="1" t="s">
        <v>1874</v>
      </c>
      <c r="J49" s="2" t="s">
        <v>1874</v>
      </c>
      <c r="K49" s="1" t="s">
        <v>2989</v>
      </c>
      <c r="L49" s="1" t="s">
        <v>3022</v>
      </c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</row>
    <row r="50" spans="1:41" s="51" customFormat="1" hidden="1" x14ac:dyDescent="0.25">
      <c r="A50" s="1">
        <v>78</v>
      </c>
      <c r="B50" s="2">
        <v>46028</v>
      </c>
      <c r="C50" s="1" t="s">
        <v>1637</v>
      </c>
      <c r="D50" s="1" t="s">
        <v>56</v>
      </c>
      <c r="E50" s="1" t="s">
        <v>1542</v>
      </c>
      <c r="F50" s="1" t="s">
        <v>6</v>
      </c>
      <c r="G50" s="111">
        <v>16500</v>
      </c>
      <c r="H50" s="1">
        <v>16500</v>
      </c>
      <c r="I50" s="1" t="s">
        <v>1874</v>
      </c>
      <c r="J50" s="2">
        <v>46042</v>
      </c>
      <c r="K50" s="1" t="s">
        <v>2989</v>
      </c>
      <c r="L50" s="1" t="s">
        <v>3023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</row>
    <row r="51" spans="1:41" s="51" customFormat="1" hidden="1" x14ac:dyDescent="0.25">
      <c r="A51" s="1">
        <v>79</v>
      </c>
      <c r="B51" s="2">
        <v>46039</v>
      </c>
      <c r="C51" s="1" t="s">
        <v>60</v>
      </c>
      <c r="D51" s="1" t="s">
        <v>3019</v>
      </c>
      <c r="E51" s="1" t="s">
        <v>2995</v>
      </c>
      <c r="F51" s="1" t="s">
        <v>3024</v>
      </c>
      <c r="G51" s="111">
        <v>51480</v>
      </c>
      <c r="H51" s="1">
        <v>51480</v>
      </c>
      <c r="I51" s="1" t="s">
        <v>1874</v>
      </c>
      <c r="J51" s="2">
        <v>46039</v>
      </c>
      <c r="K51" s="1" t="s">
        <v>2989</v>
      </c>
      <c r="L51" s="1" t="s">
        <v>3025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</row>
    <row r="52" spans="1:41" s="51" customFormat="1" hidden="1" x14ac:dyDescent="0.25">
      <c r="A52" s="1">
        <v>80</v>
      </c>
      <c r="B52" s="2">
        <v>46041</v>
      </c>
      <c r="C52" s="1" t="s">
        <v>1644</v>
      </c>
      <c r="D52" s="1" t="s">
        <v>3019</v>
      </c>
      <c r="E52" s="1" t="s">
        <v>3026</v>
      </c>
      <c r="F52" s="1" t="s">
        <v>3027</v>
      </c>
      <c r="G52" s="111">
        <v>51480</v>
      </c>
      <c r="H52" s="1">
        <v>51480</v>
      </c>
      <c r="I52" s="1" t="s">
        <v>1874</v>
      </c>
      <c r="J52" s="2">
        <v>46041</v>
      </c>
      <c r="K52" s="1" t="s">
        <v>2989</v>
      </c>
      <c r="L52" s="1" t="s">
        <v>3025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</row>
    <row r="53" spans="1:41" s="51" customFormat="1" hidden="1" x14ac:dyDescent="0.25">
      <c r="A53" s="1">
        <v>81</v>
      </c>
      <c r="B53" s="2">
        <v>46041</v>
      </c>
      <c r="C53" s="1" t="s">
        <v>1641</v>
      </c>
      <c r="D53" s="1" t="s">
        <v>3019</v>
      </c>
      <c r="E53" s="1" t="s">
        <v>3011</v>
      </c>
      <c r="F53" s="1" t="s">
        <v>3027</v>
      </c>
      <c r="G53" s="111">
        <v>50820</v>
      </c>
      <c r="H53" s="1">
        <v>50820</v>
      </c>
      <c r="I53" s="1" t="s">
        <v>1874</v>
      </c>
      <c r="J53" s="2">
        <v>46041</v>
      </c>
      <c r="K53" s="1" t="s">
        <v>2989</v>
      </c>
      <c r="L53" s="1" t="s">
        <v>3025</v>
      </c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</row>
    <row r="54" spans="1:41" s="51" customFormat="1" hidden="1" x14ac:dyDescent="0.25">
      <c r="A54" s="1">
        <v>82</v>
      </c>
      <c r="B54" s="2">
        <v>46041</v>
      </c>
      <c r="C54" s="1" t="s">
        <v>1635</v>
      </c>
      <c r="D54" s="1" t="s">
        <v>3019</v>
      </c>
      <c r="E54" s="1" t="s">
        <v>2995</v>
      </c>
      <c r="F54" s="1" t="s">
        <v>3028</v>
      </c>
      <c r="G54" s="111">
        <v>51480</v>
      </c>
      <c r="H54" s="1">
        <v>51480</v>
      </c>
      <c r="I54" s="1" t="s">
        <v>1874</v>
      </c>
      <c r="J54" s="2">
        <v>46041</v>
      </c>
      <c r="K54" s="1" t="s">
        <v>2989</v>
      </c>
      <c r="L54" s="1" t="s">
        <v>3025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</row>
    <row r="55" spans="1:41" s="51" customFormat="1" hidden="1" x14ac:dyDescent="0.25">
      <c r="A55" s="1">
        <v>83</v>
      </c>
      <c r="B55" s="2">
        <v>46068</v>
      </c>
      <c r="C55" s="1" t="s">
        <v>1637</v>
      </c>
      <c r="D55" s="1" t="s">
        <v>3019</v>
      </c>
      <c r="E55" s="1" t="s">
        <v>3029</v>
      </c>
      <c r="F55" s="1" t="s">
        <v>3030</v>
      </c>
      <c r="G55" s="111">
        <v>51680</v>
      </c>
      <c r="H55" s="1">
        <v>51680</v>
      </c>
      <c r="I55" s="1" t="s">
        <v>1874</v>
      </c>
      <c r="J55" s="2">
        <v>46071</v>
      </c>
      <c r="K55" s="1" t="s">
        <v>2989</v>
      </c>
      <c r="L55" s="1" t="s">
        <v>147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</row>
    <row r="56" spans="1:41" s="51" customFormat="1" hidden="1" x14ac:dyDescent="0.25">
      <c r="A56" s="1">
        <v>84</v>
      </c>
      <c r="B56" s="2">
        <v>46041</v>
      </c>
      <c r="C56" s="1" t="s">
        <v>1644</v>
      </c>
      <c r="D56" s="1" t="s">
        <v>3019</v>
      </c>
      <c r="E56" s="1" t="s">
        <v>3011</v>
      </c>
      <c r="F56" s="1" t="s">
        <v>1314</v>
      </c>
      <c r="G56" s="111">
        <v>51410</v>
      </c>
      <c r="H56" s="1">
        <v>51410</v>
      </c>
      <c r="I56" s="1" t="s">
        <v>1874</v>
      </c>
      <c r="J56" s="2">
        <v>46073</v>
      </c>
      <c r="K56" s="1" t="s">
        <v>2989</v>
      </c>
      <c r="L56" s="1" t="s">
        <v>147</v>
      </c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</row>
    <row r="57" spans="1:41" s="51" customFormat="1" hidden="1" x14ac:dyDescent="0.25">
      <c r="A57" s="1">
        <v>85</v>
      </c>
      <c r="B57" s="2">
        <v>46079</v>
      </c>
      <c r="C57" s="1" t="s">
        <v>1637</v>
      </c>
      <c r="D57" s="1" t="s">
        <v>3019</v>
      </c>
      <c r="E57" s="1" t="s">
        <v>3031</v>
      </c>
      <c r="F57" s="1" t="s">
        <v>1542</v>
      </c>
      <c r="G57" s="111">
        <v>53920</v>
      </c>
      <c r="H57" s="1">
        <v>53920</v>
      </c>
      <c r="I57" s="1" t="s">
        <v>1874</v>
      </c>
      <c r="J57" s="2">
        <v>46079</v>
      </c>
      <c r="K57" s="1" t="s">
        <v>2989</v>
      </c>
      <c r="L57" s="1" t="s">
        <v>147</v>
      </c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</row>
    <row r="58" spans="1:41" s="51" customFormat="1" hidden="1" x14ac:dyDescent="0.25">
      <c r="A58" s="1">
        <v>86</v>
      </c>
      <c r="B58" s="2">
        <v>46084</v>
      </c>
      <c r="C58" s="1" t="s">
        <v>1637</v>
      </c>
      <c r="D58" s="1" t="s">
        <v>56</v>
      </c>
      <c r="E58" s="1" t="s">
        <v>1542</v>
      </c>
      <c r="F58" s="1" t="s">
        <v>6</v>
      </c>
      <c r="G58" s="111">
        <v>9900</v>
      </c>
      <c r="H58" s="1">
        <v>9900</v>
      </c>
      <c r="I58" s="1" t="s">
        <v>1874</v>
      </c>
      <c r="J58" s="2">
        <v>46097</v>
      </c>
      <c r="K58" s="1" t="s">
        <v>2989</v>
      </c>
      <c r="L58" s="1" t="s">
        <v>3032</v>
      </c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</row>
    <row r="59" spans="1:41" s="201" customFormat="1" hidden="1" x14ac:dyDescent="0.25">
      <c r="A59" s="228">
        <v>87</v>
      </c>
      <c r="B59" s="229">
        <v>46092</v>
      </c>
      <c r="C59" s="228" t="s">
        <v>1637</v>
      </c>
      <c r="D59" s="228" t="s">
        <v>3019</v>
      </c>
      <c r="E59" s="228" t="s">
        <v>3033</v>
      </c>
      <c r="F59" s="228" t="s">
        <v>1542</v>
      </c>
      <c r="G59" s="230">
        <v>50490</v>
      </c>
      <c r="H59" s="228">
        <v>50490</v>
      </c>
      <c r="I59" s="228" t="s">
        <v>1874</v>
      </c>
      <c r="J59" s="229">
        <v>46094</v>
      </c>
      <c r="K59" s="228" t="s">
        <v>2989</v>
      </c>
      <c r="L59" s="228" t="s">
        <v>147</v>
      </c>
    </row>
    <row r="60" spans="1:41" s="51" customFormat="1" hidden="1" x14ac:dyDescent="0.25">
      <c r="A60" s="1">
        <v>88</v>
      </c>
      <c r="B60" s="2">
        <v>46096</v>
      </c>
      <c r="C60" s="1" t="s">
        <v>1641</v>
      </c>
      <c r="D60" s="1" t="s">
        <v>3019</v>
      </c>
      <c r="E60" s="1" t="s">
        <v>3031</v>
      </c>
      <c r="F60" s="1" t="s">
        <v>2996</v>
      </c>
      <c r="G60" s="111">
        <v>46200</v>
      </c>
      <c r="H60" s="1">
        <v>46200</v>
      </c>
      <c r="I60" s="1" t="s">
        <v>1874</v>
      </c>
      <c r="J60" s="2">
        <v>46099</v>
      </c>
      <c r="K60" s="1" t="s">
        <v>2989</v>
      </c>
      <c r="L60" s="1" t="s">
        <v>147</v>
      </c>
      <c r="M60" s="210" t="s">
        <v>3034</v>
      </c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</row>
    <row r="61" spans="1:41" s="51" customFormat="1" hidden="1" x14ac:dyDescent="0.25">
      <c r="A61" s="1">
        <v>89</v>
      </c>
      <c r="B61" s="2">
        <v>46101</v>
      </c>
      <c r="C61" s="1" t="s">
        <v>1635</v>
      </c>
      <c r="D61" s="1" t="s">
        <v>3035</v>
      </c>
      <c r="E61" s="1" t="s">
        <v>3031</v>
      </c>
      <c r="F61" s="1" t="s">
        <v>1542</v>
      </c>
      <c r="G61" s="111">
        <v>50120</v>
      </c>
      <c r="H61" s="1">
        <v>50120</v>
      </c>
      <c r="I61" s="1" t="s">
        <v>1874</v>
      </c>
      <c r="J61" s="2">
        <v>46102</v>
      </c>
      <c r="K61" s="1" t="s">
        <v>2989</v>
      </c>
      <c r="L61" s="1" t="s">
        <v>147</v>
      </c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</row>
    <row r="62" spans="1:41" s="51" customFormat="1" hidden="1" x14ac:dyDescent="0.25">
      <c r="A62" s="1">
        <v>90</v>
      </c>
      <c r="B62" s="2">
        <v>46102</v>
      </c>
      <c r="C62" s="1" t="s">
        <v>1644</v>
      </c>
      <c r="D62" s="1" t="s">
        <v>3019</v>
      </c>
      <c r="E62" s="1" t="s">
        <v>3031</v>
      </c>
      <c r="F62" s="1" t="s">
        <v>1314</v>
      </c>
      <c r="G62" s="111">
        <v>54780</v>
      </c>
      <c r="H62" s="1">
        <v>54780</v>
      </c>
      <c r="I62" s="137" t="s">
        <v>1874</v>
      </c>
      <c r="J62" s="2">
        <v>46103</v>
      </c>
      <c r="K62" s="1" t="s">
        <v>2989</v>
      </c>
      <c r="L62" s="1" t="s">
        <v>147</v>
      </c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</row>
    <row r="63" spans="1:41" s="51" customFormat="1" hidden="1" x14ac:dyDescent="0.25">
      <c r="A63" s="1">
        <v>91</v>
      </c>
      <c r="B63" s="2">
        <v>46102</v>
      </c>
      <c r="C63" s="1" t="s">
        <v>1637</v>
      </c>
      <c r="D63" s="1" t="s">
        <v>3035</v>
      </c>
      <c r="E63" s="1" t="s">
        <v>3010</v>
      </c>
      <c r="F63" s="1" t="s">
        <v>3036</v>
      </c>
      <c r="G63" s="111">
        <v>43760</v>
      </c>
      <c r="H63" s="1">
        <v>43760</v>
      </c>
      <c r="I63" s="1" t="s">
        <v>1874</v>
      </c>
      <c r="J63" s="2">
        <v>46103</v>
      </c>
      <c r="K63" s="1" t="s">
        <v>2989</v>
      </c>
      <c r="L63" s="1" t="s">
        <v>147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</row>
    <row r="64" spans="1:41" s="51" customFormat="1" hidden="1" x14ac:dyDescent="0.25">
      <c r="A64" s="1">
        <v>92</v>
      </c>
      <c r="B64" s="2">
        <v>46104</v>
      </c>
      <c r="C64" s="1" t="s">
        <v>1637</v>
      </c>
      <c r="D64" s="1" t="s">
        <v>3035</v>
      </c>
      <c r="E64" s="1" t="s">
        <v>3037</v>
      </c>
      <c r="F64" s="1" t="s">
        <v>6</v>
      </c>
      <c r="G64" s="111">
        <v>13980</v>
      </c>
      <c r="H64" s="1">
        <v>13980</v>
      </c>
      <c r="I64" s="1" t="s">
        <v>1874</v>
      </c>
      <c r="J64" s="2"/>
      <c r="K64" s="1" t="s">
        <v>2989</v>
      </c>
      <c r="L64" s="1" t="s">
        <v>147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</row>
    <row r="65" spans="1:41" s="51" customFormat="1" hidden="1" x14ac:dyDescent="0.25">
      <c r="A65" s="1">
        <v>93</v>
      </c>
      <c r="B65" s="2">
        <v>46105</v>
      </c>
      <c r="C65" s="1" t="s">
        <v>1635</v>
      </c>
      <c r="D65" s="1" t="s">
        <v>3035</v>
      </c>
      <c r="E65" s="1" t="s">
        <v>3038</v>
      </c>
      <c r="F65" s="1" t="s">
        <v>6</v>
      </c>
      <c r="G65" s="111">
        <v>13970</v>
      </c>
      <c r="H65" s="1">
        <v>13970</v>
      </c>
      <c r="I65" s="1" t="s">
        <v>1874</v>
      </c>
      <c r="J65" s="2">
        <v>46105</v>
      </c>
      <c r="K65" s="1" t="s">
        <v>2989</v>
      </c>
      <c r="L65" s="1" t="s">
        <v>147</v>
      </c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</row>
    <row r="66" spans="1:41" s="51" customFormat="1" hidden="1" x14ac:dyDescent="0.25">
      <c r="A66" s="1">
        <v>94</v>
      </c>
      <c r="B66" s="2">
        <v>46107</v>
      </c>
      <c r="C66" s="1" t="s">
        <v>1644</v>
      </c>
      <c r="D66" s="1" t="s">
        <v>3035</v>
      </c>
      <c r="E66" s="1" t="s">
        <v>3039</v>
      </c>
      <c r="F66" s="1" t="s">
        <v>1542</v>
      </c>
      <c r="G66" s="111">
        <v>13970</v>
      </c>
      <c r="H66" s="1">
        <v>13970</v>
      </c>
      <c r="I66" s="1" t="s">
        <v>1874</v>
      </c>
      <c r="J66" s="2">
        <v>46107</v>
      </c>
      <c r="K66" s="1" t="s">
        <v>2989</v>
      </c>
      <c r="L66" s="1" t="s">
        <v>147</v>
      </c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</row>
    <row r="67" spans="1:41" s="51" customFormat="1" hidden="1" x14ac:dyDescent="0.25">
      <c r="A67" s="1">
        <v>95</v>
      </c>
      <c r="B67" s="2">
        <v>46107</v>
      </c>
      <c r="C67" s="1" t="s">
        <v>1637</v>
      </c>
      <c r="D67" s="1" t="s">
        <v>3035</v>
      </c>
      <c r="E67" s="1" t="s">
        <v>6</v>
      </c>
      <c r="F67" s="1" t="s">
        <v>2996</v>
      </c>
      <c r="G67" s="111">
        <v>12340</v>
      </c>
      <c r="H67" s="1">
        <v>12340</v>
      </c>
      <c r="I67" s="1" t="s">
        <v>1874</v>
      </c>
      <c r="J67" s="2"/>
      <c r="K67" s="1" t="s">
        <v>2989</v>
      </c>
      <c r="L67" s="1" t="s">
        <v>147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</row>
    <row r="68" spans="1:41" s="51" customFormat="1" hidden="1" x14ac:dyDescent="0.25">
      <c r="A68" s="1">
        <v>96</v>
      </c>
      <c r="B68" s="2">
        <v>46108</v>
      </c>
      <c r="C68" s="1" t="s">
        <v>60</v>
      </c>
      <c r="D68" s="1" t="s">
        <v>3019</v>
      </c>
      <c r="E68" s="1" t="s">
        <v>3031</v>
      </c>
      <c r="F68" s="1" t="s">
        <v>1314</v>
      </c>
      <c r="G68" s="111">
        <v>54780</v>
      </c>
      <c r="H68" s="1">
        <v>54780</v>
      </c>
      <c r="I68" s="1" t="s">
        <v>1874</v>
      </c>
      <c r="J68" s="2">
        <v>46108</v>
      </c>
      <c r="K68" s="1" t="s">
        <v>2989</v>
      </c>
      <c r="L68" s="1" t="s">
        <v>147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</row>
    <row r="69" spans="1:41" s="51" customFormat="1" hidden="1" x14ac:dyDescent="0.25">
      <c r="A69" s="1">
        <v>97</v>
      </c>
      <c r="B69" s="2">
        <v>46114</v>
      </c>
      <c r="C69" s="1" t="s">
        <v>60</v>
      </c>
      <c r="D69" s="1" t="s">
        <v>3035</v>
      </c>
      <c r="E69" s="1" t="s">
        <v>3040</v>
      </c>
      <c r="F69" s="1" t="s">
        <v>3041</v>
      </c>
      <c r="G69" s="111">
        <v>11150</v>
      </c>
      <c r="H69" s="1">
        <v>11150</v>
      </c>
      <c r="I69" s="1" t="s">
        <v>1874</v>
      </c>
      <c r="J69" s="2" t="s">
        <v>1874</v>
      </c>
      <c r="K69" s="1" t="s">
        <v>2989</v>
      </c>
      <c r="L69" s="1" t="s">
        <v>147</v>
      </c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</row>
    <row r="70" spans="1:41" s="51" customFormat="1" hidden="1" x14ac:dyDescent="0.25">
      <c r="A70" s="1">
        <v>98</v>
      </c>
      <c r="B70" s="2">
        <v>46115</v>
      </c>
      <c r="C70" s="137" t="s">
        <v>3065</v>
      </c>
      <c r="D70" s="1" t="s">
        <v>3035</v>
      </c>
      <c r="E70" s="1" t="s">
        <v>3066</v>
      </c>
      <c r="F70" s="1" t="s">
        <v>3067</v>
      </c>
      <c r="G70" s="111">
        <v>9510</v>
      </c>
      <c r="H70" s="1">
        <v>9510</v>
      </c>
      <c r="I70" s="1" t="s">
        <v>1874</v>
      </c>
      <c r="J70" s="2">
        <v>46115</v>
      </c>
      <c r="K70" s="1" t="s">
        <v>2989</v>
      </c>
      <c r="L70" s="1" t="s">
        <v>147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</row>
    <row r="71" spans="1:41" s="201" customFormat="1" hidden="1" x14ac:dyDescent="0.25">
      <c r="A71" s="228">
        <v>99</v>
      </c>
      <c r="B71" s="229">
        <v>46115</v>
      </c>
      <c r="C71" s="228" t="s">
        <v>1644</v>
      </c>
      <c r="D71" s="228" t="s">
        <v>3019</v>
      </c>
      <c r="E71" s="228" t="s">
        <v>3068</v>
      </c>
      <c r="F71" s="228" t="s">
        <v>3028</v>
      </c>
      <c r="G71" s="230">
        <v>56100</v>
      </c>
      <c r="H71" s="228">
        <v>56100</v>
      </c>
      <c r="I71" s="228" t="s">
        <v>1874</v>
      </c>
      <c r="J71" s="229" t="s">
        <v>1874</v>
      </c>
      <c r="K71" s="228" t="s">
        <v>2989</v>
      </c>
      <c r="L71" s="228" t="s">
        <v>147</v>
      </c>
    </row>
    <row r="72" spans="1:41" s="51" customFormat="1" hidden="1" x14ac:dyDescent="0.25">
      <c r="A72" s="1">
        <v>100</v>
      </c>
      <c r="B72" s="2">
        <v>46116</v>
      </c>
      <c r="C72" s="1" t="s">
        <v>3065</v>
      </c>
      <c r="D72" s="1" t="s">
        <v>56</v>
      </c>
      <c r="E72" s="1" t="s">
        <v>1542</v>
      </c>
      <c r="F72" s="1" t="s">
        <v>6</v>
      </c>
      <c r="G72" s="111">
        <v>16500</v>
      </c>
      <c r="H72" s="1">
        <v>16500</v>
      </c>
      <c r="I72" s="1" t="s">
        <v>1874</v>
      </c>
      <c r="J72" s="2" t="s">
        <v>1874</v>
      </c>
      <c r="K72" s="1" t="s">
        <v>2989</v>
      </c>
      <c r="L72" s="228" t="s">
        <v>147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</row>
    <row r="73" spans="1:41" s="201" customFormat="1" hidden="1" x14ac:dyDescent="0.25">
      <c r="A73" s="228">
        <v>101</v>
      </c>
      <c r="B73" s="229">
        <v>46117</v>
      </c>
      <c r="C73" s="228" t="s">
        <v>1637</v>
      </c>
      <c r="D73" s="228" t="s">
        <v>3035</v>
      </c>
      <c r="E73" s="228" t="s">
        <v>6</v>
      </c>
      <c r="F73" s="228" t="s">
        <v>1314</v>
      </c>
      <c r="G73" s="230">
        <v>11220</v>
      </c>
      <c r="H73" s="228">
        <v>11220</v>
      </c>
      <c r="I73" s="228" t="s">
        <v>1874</v>
      </c>
      <c r="J73" s="229">
        <v>46118</v>
      </c>
      <c r="K73" s="228" t="s">
        <v>2989</v>
      </c>
      <c r="L73" s="228" t="s">
        <v>147</v>
      </c>
    </row>
    <row r="74" spans="1:41" s="51" customFormat="1" hidden="1" x14ac:dyDescent="0.25">
      <c r="A74" s="1">
        <v>102</v>
      </c>
      <c r="B74" s="2">
        <v>46118</v>
      </c>
      <c r="C74" s="2" t="s">
        <v>60</v>
      </c>
      <c r="D74" s="1" t="s">
        <v>3035</v>
      </c>
      <c r="E74" s="1" t="s">
        <v>6</v>
      </c>
      <c r="F74" s="1" t="s">
        <v>3069</v>
      </c>
      <c r="G74" s="111">
        <v>9900</v>
      </c>
      <c r="H74" s="1">
        <v>9900</v>
      </c>
      <c r="I74" s="1" t="s">
        <v>1874</v>
      </c>
      <c r="J74" s="2">
        <v>46118</v>
      </c>
      <c r="K74" s="1" t="s">
        <v>2989</v>
      </c>
      <c r="L74" s="228" t="s">
        <v>147</v>
      </c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</row>
    <row r="75" spans="1:41" s="51" customFormat="1" hidden="1" x14ac:dyDescent="0.25">
      <c r="A75" s="1">
        <v>103</v>
      </c>
      <c r="B75" s="2">
        <v>46119</v>
      </c>
      <c r="C75" s="2" t="s">
        <v>1644</v>
      </c>
      <c r="D75" s="1" t="s">
        <v>3035</v>
      </c>
      <c r="E75" s="1" t="s">
        <v>3083</v>
      </c>
      <c r="F75" s="1" t="s">
        <v>3084</v>
      </c>
      <c r="G75" s="111">
        <v>10560</v>
      </c>
      <c r="H75" s="1">
        <v>10560</v>
      </c>
      <c r="I75" s="1" t="s">
        <v>1874</v>
      </c>
      <c r="J75" s="2">
        <v>46121</v>
      </c>
      <c r="K75" s="1" t="s">
        <v>2989</v>
      </c>
      <c r="L75" s="228" t="s">
        <v>147</v>
      </c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</row>
    <row r="76" spans="1:41" s="51" customFormat="1" hidden="1" x14ac:dyDescent="0.25">
      <c r="A76" s="1">
        <v>104</v>
      </c>
      <c r="B76" s="2">
        <v>46120</v>
      </c>
      <c r="C76" s="2" t="s">
        <v>1635</v>
      </c>
      <c r="D76" s="1" t="s">
        <v>3035</v>
      </c>
      <c r="E76" s="1" t="s">
        <v>6</v>
      </c>
      <c r="F76" s="1" t="s">
        <v>3085</v>
      </c>
      <c r="G76" s="111">
        <v>13660</v>
      </c>
      <c r="H76" s="1">
        <v>13660</v>
      </c>
      <c r="I76" s="1" t="s">
        <v>1874</v>
      </c>
      <c r="J76" s="2">
        <v>46121</v>
      </c>
      <c r="K76" s="1" t="s">
        <v>2989</v>
      </c>
      <c r="L76" s="228" t="s">
        <v>147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</row>
    <row r="77" spans="1:41" s="51" customFormat="1" hidden="1" x14ac:dyDescent="0.25">
      <c r="A77" s="1">
        <v>105</v>
      </c>
      <c r="B77" s="2">
        <v>46121</v>
      </c>
      <c r="C77" s="2" t="s">
        <v>1641</v>
      </c>
      <c r="D77" s="1" t="s">
        <v>3035</v>
      </c>
      <c r="E77" s="1" t="s">
        <v>6</v>
      </c>
      <c r="F77" s="1" t="s">
        <v>1542</v>
      </c>
      <c r="G77" s="111">
        <v>10690</v>
      </c>
      <c r="H77" s="1">
        <v>10690</v>
      </c>
      <c r="I77" s="1" t="s">
        <v>1874</v>
      </c>
      <c r="J77" s="2">
        <v>46121</v>
      </c>
      <c r="K77" s="1" t="s">
        <v>2989</v>
      </c>
      <c r="L77" s="228" t="s">
        <v>147</v>
      </c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</row>
    <row r="78" spans="1:41" s="51" customFormat="1" hidden="1" x14ac:dyDescent="0.25">
      <c r="A78" s="1">
        <v>106</v>
      </c>
      <c r="B78" s="2">
        <v>46121</v>
      </c>
      <c r="C78" s="2" t="s">
        <v>60</v>
      </c>
      <c r="D78" s="1" t="s">
        <v>3140</v>
      </c>
      <c r="E78" s="1" t="s">
        <v>1542</v>
      </c>
      <c r="F78" s="1" t="s">
        <v>3086</v>
      </c>
      <c r="G78" s="111">
        <v>18760</v>
      </c>
      <c r="H78" s="1">
        <v>18760</v>
      </c>
      <c r="I78" s="1" t="s">
        <v>1874</v>
      </c>
      <c r="J78" s="2">
        <v>46123</v>
      </c>
      <c r="K78" s="1" t="s">
        <v>2989</v>
      </c>
      <c r="L78" s="228" t="s">
        <v>147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</row>
    <row r="79" spans="1:41" s="51" customFormat="1" hidden="1" x14ac:dyDescent="0.25">
      <c r="A79" s="1">
        <v>107</v>
      </c>
      <c r="B79" s="2">
        <v>46122</v>
      </c>
      <c r="C79" s="2" t="s">
        <v>1635</v>
      </c>
      <c r="D79" s="1" t="s">
        <v>3035</v>
      </c>
      <c r="E79" s="1" t="s">
        <v>3085</v>
      </c>
      <c r="F79" s="1" t="s">
        <v>2168</v>
      </c>
      <c r="G79" s="111">
        <v>18150</v>
      </c>
      <c r="H79" s="1">
        <v>20200</v>
      </c>
      <c r="I79" s="1" t="s">
        <v>1874</v>
      </c>
      <c r="J79" s="2">
        <v>46123</v>
      </c>
      <c r="K79" s="1" t="s">
        <v>2989</v>
      </c>
      <c r="L79" s="228" t="s">
        <v>147</v>
      </c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</row>
    <row r="80" spans="1:41" s="51" customFormat="1" hidden="1" x14ac:dyDescent="0.25">
      <c r="A80" s="1">
        <v>108</v>
      </c>
      <c r="B80" s="2">
        <v>46122</v>
      </c>
      <c r="C80" s="2" t="s">
        <v>1637</v>
      </c>
      <c r="D80" s="1" t="s">
        <v>3035</v>
      </c>
      <c r="E80" s="1" t="s">
        <v>1314</v>
      </c>
      <c r="F80" s="1" t="s">
        <v>3085</v>
      </c>
      <c r="G80" s="111">
        <v>17160</v>
      </c>
      <c r="H80" s="1">
        <v>17160</v>
      </c>
      <c r="I80" s="1" t="s">
        <v>1874</v>
      </c>
      <c r="J80" s="2">
        <v>46122</v>
      </c>
      <c r="K80" s="1" t="s">
        <v>2989</v>
      </c>
      <c r="L80" s="228" t="s">
        <v>147</v>
      </c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</row>
    <row r="81" spans="1:41" s="201" customFormat="1" hidden="1" x14ac:dyDescent="0.25">
      <c r="A81" s="228">
        <v>109</v>
      </c>
      <c r="B81" s="229">
        <v>46123</v>
      </c>
      <c r="C81" s="229" t="s">
        <v>1644</v>
      </c>
      <c r="D81" s="228" t="s">
        <v>3111</v>
      </c>
      <c r="E81" s="228" t="s">
        <v>3110</v>
      </c>
      <c r="F81" s="228" t="s">
        <v>3013</v>
      </c>
      <c r="G81" s="230">
        <v>24140</v>
      </c>
      <c r="H81" s="228">
        <v>24140</v>
      </c>
      <c r="I81" s="228" t="s">
        <v>1874</v>
      </c>
      <c r="J81" s="229">
        <v>46126</v>
      </c>
      <c r="K81" s="228" t="s">
        <v>2989</v>
      </c>
      <c r="L81" s="228" t="s">
        <v>147</v>
      </c>
    </row>
    <row r="82" spans="1:41" s="201" customFormat="1" hidden="1" x14ac:dyDescent="0.25">
      <c r="A82" s="228">
        <v>110</v>
      </c>
      <c r="B82" s="229">
        <v>46125</v>
      </c>
      <c r="C82" s="229" t="s">
        <v>3112</v>
      </c>
      <c r="D82" s="228" t="s">
        <v>3111</v>
      </c>
      <c r="E82" s="228" t="s">
        <v>3110</v>
      </c>
      <c r="F82" s="228" t="s">
        <v>3013</v>
      </c>
      <c r="G82" s="230">
        <v>25180</v>
      </c>
      <c r="H82" s="228">
        <v>25180</v>
      </c>
      <c r="I82" s="228" t="s">
        <v>1874</v>
      </c>
      <c r="J82" s="229">
        <v>46126</v>
      </c>
      <c r="K82" s="228" t="s">
        <v>2989</v>
      </c>
      <c r="L82" s="228" t="s">
        <v>147</v>
      </c>
    </row>
    <row r="83" spans="1:41" s="51" customFormat="1" hidden="1" x14ac:dyDescent="0.25">
      <c r="A83" s="1">
        <v>111</v>
      </c>
      <c r="B83" s="2">
        <v>46125</v>
      </c>
      <c r="C83" s="2" t="s">
        <v>1641</v>
      </c>
      <c r="D83" s="1" t="s">
        <v>3113</v>
      </c>
      <c r="E83" s="1" t="s">
        <v>1542</v>
      </c>
      <c r="F83" s="1" t="s">
        <v>2168</v>
      </c>
      <c r="G83" s="111">
        <v>28380</v>
      </c>
      <c r="H83" s="1">
        <v>28380</v>
      </c>
      <c r="I83" s="1" t="s">
        <v>1874</v>
      </c>
      <c r="J83" s="2" t="s">
        <v>1874</v>
      </c>
      <c r="K83" s="1" t="s">
        <v>2989</v>
      </c>
      <c r="L83" s="228" t="s">
        <v>147</v>
      </c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</row>
    <row r="84" spans="1:41" s="51" customFormat="1" hidden="1" x14ac:dyDescent="0.25">
      <c r="A84" s="1">
        <v>112</v>
      </c>
      <c r="B84" s="2">
        <v>46125</v>
      </c>
      <c r="C84" s="2" t="s">
        <v>1637</v>
      </c>
      <c r="D84" s="1" t="s">
        <v>3035</v>
      </c>
      <c r="E84" s="1" t="s">
        <v>3086</v>
      </c>
      <c r="F84" s="1" t="s">
        <v>158</v>
      </c>
      <c r="G84" s="111">
        <v>25090</v>
      </c>
      <c r="H84" s="1">
        <v>25090</v>
      </c>
      <c r="I84" s="1" t="s">
        <v>1874</v>
      </c>
      <c r="J84" s="2" t="s">
        <v>1874</v>
      </c>
      <c r="K84" s="1" t="s">
        <v>2989</v>
      </c>
      <c r="L84" s="228" t="s">
        <v>147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</row>
    <row r="85" spans="1:41" s="51" customFormat="1" hidden="1" x14ac:dyDescent="0.25">
      <c r="A85" s="1">
        <v>113</v>
      </c>
      <c r="B85" s="2">
        <v>46126</v>
      </c>
      <c r="C85" s="2" t="s">
        <v>3114</v>
      </c>
      <c r="D85" s="1" t="s">
        <v>3035</v>
      </c>
      <c r="E85" s="1" t="s">
        <v>3110</v>
      </c>
      <c r="F85" s="1" t="s">
        <v>2993</v>
      </c>
      <c r="G85" s="111">
        <v>13330</v>
      </c>
      <c r="H85" s="1">
        <v>13330</v>
      </c>
      <c r="I85" s="1" t="s">
        <v>1874</v>
      </c>
      <c r="J85" s="2" t="s">
        <v>1874</v>
      </c>
      <c r="K85" s="1" t="s">
        <v>2989</v>
      </c>
      <c r="L85" s="228" t="s">
        <v>147</v>
      </c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</row>
    <row r="86" spans="1:41" s="201" customFormat="1" hidden="1" x14ac:dyDescent="0.25">
      <c r="A86" s="228">
        <v>114</v>
      </c>
      <c r="B86" s="229">
        <v>46128</v>
      </c>
      <c r="C86" s="229" t="s">
        <v>1644</v>
      </c>
      <c r="D86" s="228" t="s">
        <v>3124</v>
      </c>
      <c r="E86" s="228" t="s">
        <v>3013</v>
      </c>
      <c r="F86" s="228" t="s">
        <v>1314</v>
      </c>
      <c r="G86" s="230">
        <v>58340</v>
      </c>
      <c r="H86" s="228">
        <v>58340</v>
      </c>
      <c r="I86" s="228" t="s">
        <v>1874</v>
      </c>
      <c r="J86" s="229" t="s">
        <v>1874</v>
      </c>
      <c r="K86" s="228" t="s">
        <v>2989</v>
      </c>
      <c r="L86" s="228" t="s">
        <v>147</v>
      </c>
    </row>
    <row r="87" spans="1:41" s="201" customFormat="1" hidden="1" x14ac:dyDescent="0.25">
      <c r="A87" s="228">
        <v>115</v>
      </c>
      <c r="B87" s="229">
        <v>46129</v>
      </c>
      <c r="C87" s="229" t="s">
        <v>3122</v>
      </c>
      <c r="D87" s="228" t="s">
        <v>3019</v>
      </c>
      <c r="E87" s="228" t="s">
        <v>3031</v>
      </c>
      <c r="F87" s="228" t="s">
        <v>1314</v>
      </c>
      <c r="G87" s="230">
        <v>59530</v>
      </c>
      <c r="H87" s="228">
        <v>59530</v>
      </c>
      <c r="I87" s="228" t="s">
        <v>1874</v>
      </c>
      <c r="J87" s="229" t="s">
        <v>1874</v>
      </c>
      <c r="K87" s="228" t="s">
        <v>2989</v>
      </c>
      <c r="L87" s="228" t="s">
        <v>147</v>
      </c>
    </row>
    <row r="88" spans="1:41" s="51" customFormat="1" hidden="1" x14ac:dyDescent="0.25">
      <c r="A88" s="1">
        <v>116</v>
      </c>
      <c r="B88" s="2">
        <v>46129</v>
      </c>
      <c r="C88" s="2" t="s">
        <v>2859</v>
      </c>
      <c r="D88" s="1" t="s">
        <v>3035</v>
      </c>
      <c r="E88" s="1" t="s">
        <v>3013</v>
      </c>
      <c r="F88" s="1" t="s">
        <v>1314</v>
      </c>
      <c r="G88" s="111">
        <v>64020</v>
      </c>
      <c r="H88" s="1">
        <v>64020</v>
      </c>
      <c r="I88" s="1" t="s">
        <v>1874</v>
      </c>
      <c r="J88" s="2" t="s">
        <v>1874</v>
      </c>
      <c r="K88" s="1" t="s">
        <v>2989</v>
      </c>
      <c r="L88" s="228" t="s">
        <v>147</v>
      </c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</row>
    <row r="89" spans="1:41" s="51" customFormat="1" hidden="1" x14ac:dyDescent="0.25">
      <c r="A89" s="1">
        <v>117</v>
      </c>
      <c r="B89" s="2">
        <v>46131</v>
      </c>
      <c r="C89" s="2" t="s">
        <v>60</v>
      </c>
      <c r="D89" s="1" t="s">
        <v>3035</v>
      </c>
      <c r="E89" s="1" t="s">
        <v>3086</v>
      </c>
      <c r="F89" s="1" t="s">
        <v>158</v>
      </c>
      <c r="G89" s="111">
        <v>26910</v>
      </c>
      <c r="H89" s="1">
        <v>26910</v>
      </c>
      <c r="I89" s="1" t="s">
        <v>1874</v>
      </c>
      <c r="J89" s="2" t="s">
        <v>1874</v>
      </c>
      <c r="K89" s="1" t="s">
        <v>2989</v>
      </c>
      <c r="L89" s="228" t="s">
        <v>147</v>
      </c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</row>
    <row r="90" spans="1:41" s="51" customFormat="1" hidden="1" x14ac:dyDescent="0.25">
      <c r="A90" s="1">
        <v>118</v>
      </c>
      <c r="B90" s="2">
        <v>46132</v>
      </c>
      <c r="C90" s="2" t="s">
        <v>3114</v>
      </c>
      <c r="D90" s="1" t="s">
        <v>3141</v>
      </c>
      <c r="E90" s="1" t="s">
        <v>3142</v>
      </c>
      <c r="F90" s="1" t="s">
        <v>3143</v>
      </c>
      <c r="G90" s="111">
        <v>29700</v>
      </c>
      <c r="H90" s="1">
        <v>29700</v>
      </c>
      <c r="I90" s="1" t="s">
        <v>1874</v>
      </c>
      <c r="J90" s="2" t="s">
        <v>1874</v>
      </c>
      <c r="K90" s="1" t="s">
        <v>2989</v>
      </c>
      <c r="L90" s="228" t="s">
        <v>147</v>
      </c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</row>
    <row r="91" spans="1:41" s="51" customFormat="1" hidden="1" x14ac:dyDescent="0.25">
      <c r="A91" s="1">
        <v>119</v>
      </c>
      <c r="B91" s="2">
        <v>46132</v>
      </c>
      <c r="C91" s="2" t="s">
        <v>1641</v>
      </c>
      <c r="D91" s="1" t="s">
        <v>3035</v>
      </c>
      <c r="E91" s="1" t="s">
        <v>2168</v>
      </c>
      <c r="F91" s="1" t="s">
        <v>3149</v>
      </c>
      <c r="G91" s="111">
        <v>50160</v>
      </c>
      <c r="H91" s="1">
        <v>50160</v>
      </c>
      <c r="I91" s="1" t="s">
        <v>1874</v>
      </c>
      <c r="J91" s="2" t="s">
        <v>1874</v>
      </c>
      <c r="K91" s="1" t="s">
        <v>2989</v>
      </c>
      <c r="L91" s="228" t="s">
        <v>147</v>
      </c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</row>
    <row r="92" spans="1:41" s="148" customFormat="1" hidden="1" x14ac:dyDescent="0.25">
      <c r="A92" s="205">
        <v>120</v>
      </c>
      <c r="B92" s="206">
        <v>46133</v>
      </c>
      <c r="C92" s="206" t="s">
        <v>1644</v>
      </c>
      <c r="D92" s="205" t="s">
        <v>3147</v>
      </c>
      <c r="E92" s="205" t="s">
        <v>1314</v>
      </c>
      <c r="F92" s="205" t="s">
        <v>3148</v>
      </c>
      <c r="G92" s="207">
        <v>9240</v>
      </c>
      <c r="H92" s="205">
        <v>8380</v>
      </c>
      <c r="I92" s="205">
        <v>860</v>
      </c>
      <c r="J92" s="206" t="s">
        <v>1874</v>
      </c>
      <c r="K92" s="205" t="s">
        <v>3015</v>
      </c>
      <c r="L92" s="205" t="s">
        <v>147</v>
      </c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</row>
    <row r="93" spans="1:41" s="148" customFormat="1" hidden="1" x14ac:dyDescent="0.25">
      <c r="A93" s="205">
        <v>121</v>
      </c>
      <c r="B93" s="206">
        <v>46134</v>
      </c>
      <c r="C93" s="206" t="s">
        <v>3122</v>
      </c>
      <c r="D93" s="205" t="s">
        <v>3147</v>
      </c>
      <c r="E93" s="205" t="s">
        <v>1314</v>
      </c>
      <c r="F93" s="205" t="s">
        <v>2451</v>
      </c>
      <c r="G93" s="207">
        <v>10560</v>
      </c>
      <c r="H93" s="205">
        <v>9700</v>
      </c>
      <c r="I93" s="205">
        <v>860</v>
      </c>
      <c r="J93" s="206" t="s">
        <v>1874</v>
      </c>
      <c r="K93" s="205" t="s">
        <v>3015</v>
      </c>
      <c r="L93" s="205" t="s">
        <v>147</v>
      </c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</row>
    <row r="94" spans="1:41" s="51" customFormat="1" hidden="1" x14ac:dyDescent="0.25">
      <c r="A94" s="1">
        <v>122</v>
      </c>
      <c r="B94" s="2">
        <v>46136</v>
      </c>
      <c r="C94" s="2" t="s">
        <v>1635</v>
      </c>
      <c r="D94" s="1" t="s">
        <v>3035</v>
      </c>
      <c r="E94" s="1" t="s">
        <v>158</v>
      </c>
      <c r="F94" s="1" t="s">
        <v>3180</v>
      </c>
      <c r="G94" s="111">
        <v>51810</v>
      </c>
      <c r="H94" s="1">
        <v>51810</v>
      </c>
      <c r="I94" s="1" t="s">
        <v>1874</v>
      </c>
      <c r="J94" s="2" t="s">
        <v>1874</v>
      </c>
      <c r="K94" s="1" t="s">
        <v>2989</v>
      </c>
      <c r="L94" s="228" t="s">
        <v>147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</row>
    <row r="95" spans="1:41" s="51" customFormat="1" hidden="1" x14ac:dyDescent="0.25">
      <c r="A95" s="1">
        <v>123</v>
      </c>
      <c r="B95" s="2">
        <v>46137</v>
      </c>
      <c r="C95" s="2" t="s">
        <v>1637</v>
      </c>
      <c r="D95" s="1" t="s">
        <v>3035</v>
      </c>
      <c r="E95" s="1" t="s">
        <v>41</v>
      </c>
      <c r="F95" s="1" t="s">
        <v>3180</v>
      </c>
      <c r="G95" s="111">
        <v>51810</v>
      </c>
      <c r="H95" s="1">
        <v>51810</v>
      </c>
      <c r="I95" s="1" t="s">
        <v>1874</v>
      </c>
      <c r="J95" s="2" t="s">
        <v>1874</v>
      </c>
      <c r="K95" s="1" t="s">
        <v>2989</v>
      </c>
      <c r="L95" s="228" t="s">
        <v>147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</row>
    <row r="96" spans="1:41" s="51" customFormat="1" hidden="1" x14ac:dyDescent="0.25">
      <c r="A96" s="1">
        <v>124</v>
      </c>
      <c r="B96" s="2">
        <v>46140</v>
      </c>
      <c r="C96" s="2" t="s">
        <v>2859</v>
      </c>
      <c r="D96" s="1" t="s">
        <v>3035</v>
      </c>
      <c r="E96" s="1" t="s">
        <v>3185</v>
      </c>
      <c r="F96" s="1" t="s">
        <v>3186</v>
      </c>
      <c r="G96" s="111">
        <v>73290</v>
      </c>
      <c r="H96" s="1">
        <v>73290</v>
      </c>
      <c r="I96" s="1" t="s">
        <v>1874</v>
      </c>
      <c r="J96" s="2">
        <v>46141</v>
      </c>
      <c r="K96" s="1" t="s">
        <v>2989</v>
      </c>
      <c r="L96" s="228" t="s">
        <v>147</v>
      </c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</row>
    <row r="97" spans="1:41" s="51" customFormat="1" hidden="1" x14ac:dyDescent="0.25">
      <c r="A97" s="1">
        <v>125</v>
      </c>
      <c r="B97" s="2">
        <v>46141</v>
      </c>
      <c r="C97" s="2" t="s">
        <v>3122</v>
      </c>
      <c r="D97" s="1" t="s">
        <v>3035</v>
      </c>
      <c r="E97" s="1" t="s">
        <v>2168</v>
      </c>
      <c r="F97" s="1" t="s">
        <v>3016</v>
      </c>
      <c r="G97" s="111">
        <v>50890</v>
      </c>
      <c r="H97" s="1">
        <v>50890</v>
      </c>
      <c r="I97" s="1" t="s">
        <v>1874</v>
      </c>
      <c r="J97" s="2">
        <v>46142</v>
      </c>
      <c r="K97" s="1" t="s">
        <v>2989</v>
      </c>
      <c r="L97" s="228" t="s">
        <v>147</v>
      </c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</row>
    <row r="98" spans="1:41" s="201" customFormat="1" hidden="1" x14ac:dyDescent="0.25">
      <c r="A98" s="228">
        <v>126</v>
      </c>
      <c r="B98" s="229">
        <v>46141</v>
      </c>
      <c r="C98" s="229" t="s">
        <v>3065</v>
      </c>
      <c r="D98" s="228" t="s">
        <v>3111</v>
      </c>
      <c r="E98" s="228" t="s">
        <v>3110</v>
      </c>
      <c r="F98" s="228" t="s">
        <v>3194</v>
      </c>
      <c r="G98" s="230">
        <v>34980</v>
      </c>
      <c r="H98" s="228">
        <v>34980</v>
      </c>
      <c r="I98" s="228" t="s">
        <v>1874</v>
      </c>
      <c r="J98" s="229" t="s">
        <v>1874</v>
      </c>
      <c r="K98" s="228" t="s">
        <v>2989</v>
      </c>
      <c r="L98" s="228" t="s">
        <v>147</v>
      </c>
    </row>
    <row r="99" spans="1:41" s="51" customFormat="1" hidden="1" x14ac:dyDescent="0.25">
      <c r="A99" s="1">
        <v>127</v>
      </c>
      <c r="B99" s="2">
        <v>46147</v>
      </c>
      <c r="C99" s="2" t="s">
        <v>3122</v>
      </c>
      <c r="D99" s="1" t="s">
        <v>3035</v>
      </c>
      <c r="E99" s="1" t="s">
        <v>3242</v>
      </c>
      <c r="F99" s="1" t="s">
        <v>3243</v>
      </c>
      <c r="G99" s="111">
        <v>16500</v>
      </c>
      <c r="H99" s="1">
        <v>16500</v>
      </c>
      <c r="I99" s="1" t="s">
        <v>1874</v>
      </c>
      <c r="J99" s="2">
        <v>46148</v>
      </c>
      <c r="K99" s="1" t="s">
        <v>2989</v>
      </c>
      <c r="L99" s="228" t="s">
        <v>147</v>
      </c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</row>
    <row r="100" spans="1:41" s="51" customFormat="1" hidden="1" x14ac:dyDescent="0.25">
      <c r="A100" s="1">
        <v>128</v>
      </c>
      <c r="B100" s="2">
        <v>46147</v>
      </c>
      <c r="C100" s="2" t="s">
        <v>2859</v>
      </c>
      <c r="D100" s="1" t="s">
        <v>3035</v>
      </c>
      <c r="E100" s="1" t="s">
        <v>3244</v>
      </c>
      <c r="F100" s="1" t="s">
        <v>3245</v>
      </c>
      <c r="G100" s="111">
        <v>14520</v>
      </c>
      <c r="H100" s="1">
        <v>14520</v>
      </c>
      <c r="I100" s="1" t="s">
        <v>1874</v>
      </c>
      <c r="J100" s="2">
        <v>46148</v>
      </c>
      <c r="K100" s="1" t="s">
        <v>2989</v>
      </c>
      <c r="L100" s="228" t="s">
        <v>147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</row>
    <row r="101" spans="1:41" s="201" customFormat="1" hidden="1" x14ac:dyDescent="0.25">
      <c r="A101" s="228">
        <v>129</v>
      </c>
      <c r="B101" s="229">
        <v>46147</v>
      </c>
      <c r="C101" s="229" t="s">
        <v>3065</v>
      </c>
      <c r="D101" s="228" t="s">
        <v>3019</v>
      </c>
      <c r="E101" s="228" t="s">
        <v>3246</v>
      </c>
      <c r="F101" s="228" t="s">
        <v>3185</v>
      </c>
      <c r="G101" s="230">
        <v>21450</v>
      </c>
      <c r="H101" s="228">
        <v>21450</v>
      </c>
      <c r="I101" s="228" t="s">
        <v>1874</v>
      </c>
      <c r="J101" s="229">
        <v>46148</v>
      </c>
      <c r="K101" s="228" t="s">
        <v>2989</v>
      </c>
      <c r="L101" s="228" t="s">
        <v>147</v>
      </c>
    </row>
    <row r="102" spans="1:41" s="201" customFormat="1" hidden="1" x14ac:dyDescent="0.25">
      <c r="A102" s="228">
        <v>130</v>
      </c>
      <c r="B102" s="229">
        <v>46147</v>
      </c>
      <c r="C102" s="229" t="s">
        <v>1644</v>
      </c>
      <c r="D102" s="228" t="s">
        <v>3111</v>
      </c>
      <c r="E102" s="228" t="s">
        <v>3110</v>
      </c>
      <c r="F102" s="228" t="s">
        <v>1537</v>
      </c>
      <c r="G102" s="230">
        <v>29240</v>
      </c>
      <c r="H102" s="228">
        <v>29240</v>
      </c>
      <c r="I102" s="228" t="s">
        <v>1874</v>
      </c>
      <c r="J102" s="229"/>
      <c r="K102" s="228" t="s">
        <v>2989</v>
      </c>
      <c r="L102" s="228" t="s">
        <v>147</v>
      </c>
    </row>
    <row r="103" spans="1:41" s="51" customFormat="1" hidden="1" x14ac:dyDescent="0.25">
      <c r="A103" s="1">
        <v>131</v>
      </c>
      <c r="B103" s="2">
        <v>46150</v>
      </c>
      <c r="C103" s="2" t="s">
        <v>2859</v>
      </c>
      <c r="D103" s="1" t="s">
        <v>3035</v>
      </c>
      <c r="E103" s="1" t="s">
        <v>3067</v>
      </c>
      <c r="F103" s="1" t="s">
        <v>2168</v>
      </c>
      <c r="G103" s="111">
        <v>27520</v>
      </c>
      <c r="H103" s="1">
        <v>27520</v>
      </c>
      <c r="I103" s="1" t="s">
        <v>1874</v>
      </c>
      <c r="J103" s="2"/>
      <c r="K103" s="1" t="s">
        <v>2989</v>
      </c>
      <c r="L103" s="228" t="s">
        <v>147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</row>
    <row r="104" spans="1:41" s="51" customFormat="1" hidden="1" x14ac:dyDescent="0.25">
      <c r="A104" s="1">
        <v>132</v>
      </c>
      <c r="B104" s="2">
        <v>46150</v>
      </c>
      <c r="C104" s="2" t="s">
        <v>3122</v>
      </c>
      <c r="D104" s="1" t="s">
        <v>3035</v>
      </c>
      <c r="E104" s="1" t="s">
        <v>3243</v>
      </c>
      <c r="F104" s="1" t="s">
        <v>2168</v>
      </c>
      <c r="G104" s="111">
        <v>17400</v>
      </c>
      <c r="H104" s="1">
        <v>17400</v>
      </c>
      <c r="I104" s="1" t="s">
        <v>1874</v>
      </c>
      <c r="J104" s="2" t="s">
        <v>1874</v>
      </c>
      <c r="K104" s="1" t="s">
        <v>2989</v>
      </c>
      <c r="L104" s="228" t="s">
        <v>147</v>
      </c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</row>
    <row r="105" spans="1:41" s="201" customFormat="1" hidden="1" x14ac:dyDescent="0.25">
      <c r="A105" s="228">
        <v>133</v>
      </c>
      <c r="B105" s="229">
        <v>46151</v>
      </c>
      <c r="C105" s="229" t="s">
        <v>1644</v>
      </c>
      <c r="D105" s="228" t="s">
        <v>3075</v>
      </c>
      <c r="E105" s="228" t="s">
        <v>2168</v>
      </c>
      <c r="F105" s="228" t="s">
        <v>1314</v>
      </c>
      <c r="G105" s="230">
        <v>59070</v>
      </c>
      <c r="H105" s="228">
        <v>59070</v>
      </c>
      <c r="I105" s="228" t="s">
        <v>1874</v>
      </c>
      <c r="J105" s="229" t="s">
        <v>1874</v>
      </c>
      <c r="K105" s="228" t="s">
        <v>2989</v>
      </c>
      <c r="L105" s="228" t="s">
        <v>147</v>
      </c>
    </row>
    <row r="106" spans="1:41" s="201" customFormat="1" hidden="1" x14ac:dyDescent="0.25">
      <c r="A106" s="228">
        <v>134</v>
      </c>
      <c r="B106" s="229">
        <v>46153</v>
      </c>
      <c r="C106" s="229" t="s">
        <v>3122</v>
      </c>
      <c r="D106" s="228" t="s">
        <v>3019</v>
      </c>
      <c r="E106" s="228" t="s">
        <v>3185</v>
      </c>
      <c r="F106" s="228" t="s">
        <v>6</v>
      </c>
      <c r="G106" s="230">
        <v>53790</v>
      </c>
      <c r="H106" s="228">
        <v>53790</v>
      </c>
      <c r="I106" s="228" t="s">
        <v>1874</v>
      </c>
      <c r="J106" s="229" t="s">
        <v>1874</v>
      </c>
      <c r="K106" s="228" t="s">
        <v>2989</v>
      </c>
      <c r="L106" s="228" t="s">
        <v>147</v>
      </c>
    </row>
    <row r="107" spans="1:41" s="201" customFormat="1" hidden="1" x14ac:dyDescent="0.25">
      <c r="A107" s="228">
        <v>135</v>
      </c>
      <c r="B107" s="229">
        <v>46156</v>
      </c>
      <c r="C107" s="229" t="s">
        <v>60</v>
      </c>
      <c r="D107" s="228" t="s">
        <v>3302</v>
      </c>
      <c r="E107" s="228" t="s">
        <v>3110</v>
      </c>
      <c r="F107" s="228" t="s">
        <v>3303</v>
      </c>
      <c r="G107" s="230">
        <v>24320</v>
      </c>
      <c r="H107" s="228">
        <v>24320</v>
      </c>
      <c r="I107" s="228" t="s">
        <v>1874</v>
      </c>
      <c r="J107" s="229" t="s">
        <v>1874</v>
      </c>
      <c r="K107" s="228" t="s">
        <v>2989</v>
      </c>
      <c r="L107" s="228" t="s">
        <v>147</v>
      </c>
    </row>
    <row r="108" spans="1:41" s="148" customFormat="1" hidden="1" x14ac:dyDescent="0.25">
      <c r="A108" s="205">
        <v>136</v>
      </c>
      <c r="B108" s="206">
        <v>46158</v>
      </c>
      <c r="C108" s="206" t="s">
        <v>1641</v>
      </c>
      <c r="D108" s="205" t="s">
        <v>3111</v>
      </c>
      <c r="E108" s="205" t="s">
        <v>3110</v>
      </c>
      <c r="F108" s="205" t="s">
        <v>3185</v>
      </c>
      <c r="G108" s="207">
        <v>28610</v>
      </c>
      <c r="H108" s="205">
        <v>25480</v>
      </c>
      <c r="I108" s="205">
        <v>3130</v>
      </c>
      <c r="J108" s="206" t="s">
        <v>1874</v>
      </c>
      <c r="K108" s="205" t="s">
        <v>3015</v>
      </c>
      <c r="L108" s="205" t="s">
        <v>147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</row>
    <row r="109" spans="1:41" s="51" customFormat="1" hidden="1" x14ac:dyDescent="0.25">
      <c r="A109" s="1">
        <v>137</v>
      </c>
      <c r="B109" s="2">
        <v>46158</v>
      </c>
      <c r="C109" s="2" t="s">
        <v>1644</v>
      </c>
      <c r="D109" s="1" t="s">
        <v>3035</v>
      </c>
      <c r="E109" s="1" t="s">
        <v>1314</v>
      </c>
      <c r="F109" s="1" t="s">
        <v>2168</v>
      </c>
      <c r="G109" s="111">
        <v>36040</v>
      </c>
      <c r="H109" s="1">
        <v>36040</v>
      </c>
      <c r="I109" s="1" t="s">
        <v>1874</v>
      </c>
      <c r="J109" s="2" t="s">
        <v>1874</v>
      </c>
      <c r="K109" s="1" t="s">
        <v>2989</v>
      </c>
      <c r="L109" s="228" t="s">
        <v>147</v>
      </c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</row>
    <row r="110" spans="1:41" s="201" customFormat="1" hidden="1" x14ac:dyDescent="0.25">
      <c r="A110" s="228">
        <v>138</v>
      </c>
      <c r="B110" s="229">
        <v>46159</v>
      </c>
      <c r="C110" s="229" t="s">
        <v>3304</v>
      </c>
      <c r="D110" s="228" t="s">
        <v>3075</v>
      </c>
      <c r="E110" s="228" t="s">
        <v>2168</v>
      </c>
      <c r="F110" s="228" t="s">
        <v>1314</v>
      </c>
      <c r="G110" s="230">
        <v>57420</v>
      </c>
      <c r="H110" s="228">
        <v>57420</v>
      </c>
      <c r="I110" s="228" t="s">
        <v>1874</v>
      </c>
      <c r="J110" s="229" t="s">
        <v>1874</v>
      </c>
      <c r="K110" s="228" t="s">
        <v>2989</v>
      </c>
      <c r="L110" s="228" t="s">
        <v>147</v>
      </c>
    </row>
    <row r="111" spans="1:41" s="51" customFormat="1" hidden="1" x14ac:dyDescent="0.25">
      <c r="A111" s="1">
        <v>139</v>
      </c>
      <c r="B111" s="2">
        <v>46160</v>
      </c>
      <c r="C111" s="2" t="s">
        <v>60</v>
      </c>
      <c r="D111" s="1" t="s">
        <v>3035</v>
      </c>
      <c r="E111" s="1" t="s">
        <v>3305</v>
      </c>
      <c r="F111" s="1" t="s">
        <v>6</v>
      </c>
      <c r="G111" s="111">
        <v>52870</v>
      </c>
      <c r="H111" s="1">
        <v>52870</v>
      </c>
      <c r="I111" s="1" t="s">
        <v>1874</v>
      </c>
      <c r="J111" s="2" t="s">
        <v>1874</v>
      </c>
      <c r="K111" s="1" t="s">
        <v>2989</v>
      </c>
      <c r="L111" s="228" t="s">
        <v>147</v>
      </c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</row>
    <row r="112" spans="1:41" s="51" customFormat="1" hidden="1" x14ac:dyDescent="0.25">
      <c r="A112" s="1">
        <v>140</v>
      </c>
      <c r="B112" s="2">
        <v>46162</v>
      </c>
      <c r="C112" s="2" t="s">
        <v>1641</v>
      </c>
      <c r="D112" s="1" t="s">
        <v>3035</v>
      </c>
      <c r="E112" s="1" t="s">
        <v>3306</v>
      </c>
      <c r="F112" s="1" t="s">
        <v>3185</v>
      </c>
      <c r="G112" s="111">
        <v>18830</v>
      </c>
      <c r="H112" s="1">
        <v>18830</v>
      </c>
      <c r="I112" s="1" t="s">
        <v>1874</v>
      </c>
      <c r="J112" s="2" t="s">
        <v>1874</v>
      </c>
      <c r="K112" s="1" t="s">
        <v>2989</v>
      </c>
      <c r="L112" s="228" t="s">
        <v>147</v>
      </c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</row>
    <row r="113" spans="1:41" s="201" customFormat="1" hidden="1" x14ac:dyDescent="0.25">
      <c r="A113" s="228">
        <v>141</v>
      </c>
      <c r="B113" s="229">
        <v>46162</v>
      </c>
      <c r="C113" s="229" t="s">
        <v>1644</v>
      </c>
      <c r="D113" s="228" t="s">
        <v>3035</v>
      </c>
      <c r="E113" s="228" t="s">
        <v>3185</v>
      </c>
      <c r="F113" s="228" t="s">
        <v>3307</v>
      </c>
      <c r="G113" s="230">
        <v>44070</v>
      </c>
      <c r="H113" s="228">
        <v>44070</v>
      </c>
      <c r="I113" s="228" t="s">
        <v>1874</v>
      </c>
      <c r="J113" s="229" t="s">
        <v>1874</v>
      </c>
      <c r="K113" s="228" t="s">
        <v>2989</v>
      </c>
      <c r="L113" s="228" t="s">
        <v>147</v>
      </c>
    </row>
    <row r="114" spans="1:41" s="201" customFormat="1" hidden="1" x14ac:dyDescent="0.25">
      <c r="A114" s="228">
        <v>142</v>
      </c>
      <c r="B114" s="229">
        <v>46164</v>
      </c>
      <c r="C114" s="229" t="s">
        <v>3065</v>
      </c>
      <c r="D114" s="228" t="s">
        <v>3308</v>
      </c>
      <c r="E114" s="228" t="s">
        <v>1314</v>
      </c>
      <c r="F114" s="228" t="s">
        <v>6</v>
      </c>
      <c r="G114" s="230">
        <v>8580</v>
      </c>
      <c r="H114" s="228">
        <v>8580</v>
      </c>
      <c r="I114" s="228" t="s">
        <v>1874</v>
      </c>
      <c r="J114" s="229" t="s">
        <v>1874</v>
      </c>
      <c r="K114" s="228" t="s">
        <v>2989</v>
      </c>
      <c r="L114" s="228" t="s">
        <v>147</v>
      </c>
    </row>
    <row r="115" spans="1:41" s="201" customFormat="1" hidden="1" x14ac:dyDescent="0.25">
      <c r="A115" s="228">
        <v>143</v>
      </c>
      <c r="B115" s="229">
        <v>46167</v>
      </c>
      <c r="C115" s="229" t="s">
        <v>60</v>
      </c>
      <c r="D115" s="228" t="s">
        <v>3035</v>
      </c>
      <c r="E115" s="228" t="s">
        <v>3309</v>
      </c>
      <c r="F115" s="228" t="s">
        <v>3310</v>
      </c>
      <c r="G115" s="230">
        <v>60090</v>
      </c>
      <c r="H115" s="228">
        <v>60090</v>
      </c>
      <c r="I115" s="228" t="s">
        <v>1874</v>
      </c>
      <c r="J115" s="229" t="s">
        <v>1874</v>
      </c>
      <c r="K115" s="228" t="s">
        <v>2989</v>
      </c>
      <c r="L115" s="228" t="s">
        <v>147</v>
      </c>
    </row>
    <row r="116" spans="1:41" s="201" customFormat="1" hidden="1" x14ac:dyDescent="0.25">
      <c r="A116" s="228">
        <v>144</v>
      </c>
      <c r="B116" s="229">
        <v>46168</v>
      </c>
      <c r="C116" s="229" t="s">
        <v>3114</v>
      </c>
      <c r="D116" s="228" t="s">
        <v>3019</v>
      </c>
      <c r="E116" s="228" t="s">
        <v>3311</v>
      </c>
      <c r="F116" s="228" t="s">
        <v>1542</v>
      </c>
      <c r="G116" s="230">
        <v>52140</v>
      </c>
      <c r="H116" s="228">
        <v>52140</v>
      </c>
      <c r="I116" s="228" t="s">
        <v>1874</v>
      </c>
      <c r="J116" s="229" t="s">
        <v>1874</v>
      </c>
      <c r="K116" s="228" t="s">
        <v>2989</v>
      </c>
      <c r="L116" s="228" t="s">
        <v>147</v>
      </c>
    </row>
    <row r="117" spans="1:41" s="148" customFormat="1" hidden="1" x14ac:dyDescent="0.25">
      <c r="A117" s="205">
        <v>145</v>
      </c>
      <c r="B117" s="206">
        <v>46169</v>
      </c>
      <c r="C117" s="206" t="s">
        <v>3065</v>
      </c>
      <c r="D117" s="205" t="s">
        <v>3312</v>
      </c>
      <c r="E117" s="205" t="s">
        <v>158</v>
      </c>
      <c r="F117" s="205" t="s">
        <v>3085</v>
      </c>
      <c r="G117" s="207">
        <v>47380</v>
      </c>
      <c r="H117" s="205">
        <v>42620</v>
      </c>
      <c r="I117" s="205">
        <v>4760</v>
      </c>
      <c r="J117" s="206" t="s">
        <v>1874</v>
      </c>
      <c r="K117" s="205" t="s">
        <v>3015</v>
      </c>
      <c r="L117" s="205" t="s">
        <v>147</v>
      </c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</row>
    <row r="118" spans="1:41" s="201" customFormat="1" hidden="1" x14ac:dyDescent="0.25">
      <c r="A118" s="228">
        <v>146</v>
      </c>
      <c r="B118" s="229">
        <v>46171</v>
      </c>
      <c r="C118" s="229" t="s">
        <v>3122</v>
      </c>
      <c r="D118" s="228" t="s">
        <v>3019</v>
      </c>
      <c r="E118" s="228" t="s">
        <v>3185</v>
      </c>
      <c r="F118" s="228" t="s">
        <v>1314</v>
      </c>
      <c r="G118" s="230">
        <v>56100</v>
      </c>
      <c r="H118" s="228">
        <v>56100</v>
      </c>
      <c r="I118" s="228" t="s">
        <v>1874</v>
      </c>
      <c r="J118" s="229" t="s">
        <v>1874</v>
      </c>
      <c r="K118" s="228" t="s">
        <v>2989</v>
      </c>
      <c r="L118" s="228" t="s">
        <v>147</v>
      </c>
    </row>
    <row r="119" spans="1:41" s="201" customFormat="1" hidden="1" x14ac:dyDescent="0.25">
      <c r="A119" s="228">
        <v>147</v>
      </c>
      <c r="B119" s="229">
        <v>46172</v>
      </c>
      <c r="C119" s="229" t="s">
        <v>1635</v>
      </c>
      <c r="D119" s="228" t="s">
        <v>3312</v>
      </c>
      <c r="E119" s="228" t="s">
        <v>3311</v>
      </c>
      <c r="F119" s="228" t="s">
        <v>1542</v>
      </c>
      <c r="G119" s="230">
        <v>60720</v>
      </c>
      <c r="H119" s="228">
        <v>60720</v>
      </c>
      <c r="I119" s="228" t="s">
        <v>1874</v>
      </c>
      <c r="J119" s="229" t="s">
        <v>1874</v>
      </c>
      <c r="K119" s="228" t="s">
        <v>2989</v>
      </c>
      <c r="L119" s="228" t="s">
        <v>147</v>
      </c>
    </row>
    <row r="120" spans="1:41" s="201" customFormat="1" hidden="1" x14ac:dyDescent="0.25">
      <c r="A120" s="228">
        <v>148</v>
      </c>
      <c r="B120" s="229">
        <v>46175</v>
      </c>
      <c r="C120" s="229" t="s">
        <v>3114</v>
      </c>
      <c r="D120" s="228" t="s">
        <v>3035</v>
      </c>
      <c r="E120" s="228" t="s">
        <v>1542</v>
      </c>
      <c r="F120" s="228" t="s">
        <v>6</v>
      </c>
      <c r="G120" s="230">
        <v>14420</v>
      </c>
      <c r="H120" s="228">
        <v>14420</v>
      </c>
      <c r="I120" s="228" t="s">
        <v>1874</v>
      </c>
      <c r="J120" s="229" t="s">
        <v>1874</v>
      </c>
      <c r="K120" s="228" t="s">
        <v>2989</v>
      </c>
      <c r="L120" s="228" t="s">
        <v>147</v>
      </c>
    </row>
    <row r="121" spans="1:41" s="201" customFormat="1" hidden="1" x14ac:dyDescent="0.25">
      <c r="A121" s="228">
        <v>149</v>
      </c>
      <c r="B121" s="229">
        <v>46175</v>
      </c>
      <c r="C121" s="229" t="s">
        <v>3122</v>
      </c>
      <c r="D121" s="228" t="s">
        <v>3035</v>
      </c>
      <c r="E121" s="228" t="s">
        <v>1314</v>
      </c>
      <c r="F121" s="228" t="s">
        <v>2168</v>
      </c>
      <c r="G121" s="230">
        <v>37950</v>
      </c>
      <c r="H121" s="228">
        <v>37950</v>
      </c>
      <c r="I121" s="228" t="s">
        <v>1874</v>
      </c>
      <c r="J121" s="229" t="s">
        <v>1874</v>
      </c>
      <c r="K121" s="228" t="s">
        <v>2989</v>
      </c>
      <c r="L121" s="228" t="s">
        <v>147</v>
      </c>
    </row>
    <row r="122" spans="1:41" s="201" customFormat="1" hidden="1" x14ac:dyDescent="0.25">
      <c r="A122" s="228">
        <v>150</v>
      </c>
      <c r="B122" s="229">
        <v>46176</v>
      </c>
      <c r="C122" s="229" t="s">
        <v>2859</v>
      </c>
      <c r="D122" s="228" t="s">
        <v>3019</v>
      </c>
      <c r="E122" s="228" t="s">
        <v>3185</v>
      </c>
      <c r="F122" s="228" t="s">
        <v>1314</v>
      </c>
      <c r="G122" s="230">
        <v>57220</v>
      </c>
      <c r="H122" s="228">
        <v>57220</v>
      </c>
      <c r="I122" s="228" t="s">
        <v>1874</v>
      </c>
      <c r="J122" s="229" t="s">
        <v>1874</v>
      </c>
      <c r="K122" s="228" t="s">
        <v>2989</v>
      </c>
      <c r="L122" s="228" t="s">
        <v>147</v>
      </c>
    </row>
    <row r="123" spans="1:41" s="201" customFormat="1" hidden="1" x14ac:dyDescent="0.25">
      <c r="A123" s="228">
        <v>151</v>
      </c>
      <c r="B123" s="229">
        <v>46178</v>
      </c>
      <c r="C123" s="229" t="s">
        <v>1635</v>
      </c>
      <c r="D123" s="228" t="s">
        <v>3019</v>
      </c>
      <c r="E123" s="228" t="s">
        <v>1542</v>
      </c>
      <c r="F123" s="228" t="s">
        <v>2168</v>
      </c>
      <c r="G123" s="230">
        <v>28380</v>
      </c>
      <c r="H123" s="228">
        <v>28380</v>
      </c>
      <c r="I123" s="228" t="s">
        <v>1874</v>
      </c>
      <c r="J123" s="229" t="s">
        <v>1874</v>
      </c>
      <c r="K123" s="228" t="s">
        <v>2989</v>
      </c>
      <c r="L123" s="228" t="s">
        <v>147</v>
      </c>
    </row>
    <row r="124" spans="1:41" s="51" customFormat="1" hidden="1" x14ac:dyDescent="0.25">
      <c r="A124" s="205">
        <v>152</v>
      </c>
      <c r="B124" s="206">
        <v>46178</v>
      </c>
      <c r="C124" s="206" t="s">
        <v>3114</v>
      </c>
      <c r="D124" s="205" t="s">
        <v>3111</v>
      </c>
      <c r="E124" s="205" t="s">
        <v>3110</v>
      </c>
      <c r="F124" s="205" t="s">
        <v>3303</v>
      </c>
      <c r="G124" s="207">
        <v>24750</v>
      </c>
      <c r="H124" s="205">
        <v>22770</v>
      </c>
      <c r="I124" s="205">
        <v>1980</v>
      </c>
      <c r="J124" s="206" t="s">
        <v>1874</v>
      </c>
      <c r="K124" s="205" t="s">
        <v>3015</v>
      </c>
      <c r="L124" s="205" t="s">
        <v>147</v>
      </c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</row>
    <row r="125" spans="1:41" s="201" customFormat="1" hidden="1" x14ac:dyDescent="0.25">
      <c r="A125" s="228">
        <v>153</v>
      </c>
      <c r="B125" s="229">
        <v>46180</v>
      </c>
      <c r="C125" s="229" t="s">
        <v>3065</v>
      </c>
      <c r="D125" s="228" t="s">
        <v>3035</v>
      </c>
      <c r="E125" s="228" t="s">
        <v>2168</v>
      </c>
      <c r="F125" s="228" t="s">
        <v>1314</v>
      </c>
      <c r="G125" s="230">
        <v>57620</v>
      </c>
      <c r="H125" s="228">
        <v>57620</v>
      </c>
      <c r="I125" s="228" t="s">
        <v>1874</v>
      </c>
      <c r="J125" s="229" t="s">
        <v>1874</v>
      </c>
      <c r="K125" s="228" t="s">
        <v>2989</v>
      </c>
      <c r="L125" s="228" t="s">
        <v>147</v>
      </c>
    </row>
    <row r="126" spans="1:41" s="201" customFormat="1" hidden="1" x14ac:dyDescent="0.25">
      <c r="A126" s="228">
        <v>154</v>
      </c>
      <c r="B126" s="229">
        <v>46181</v>
      </c>
      <c r="C126" s="229" t="s">
        <v>3114</v>
      </c>
      <c r="D126" s="230" t="s">
        <v>3035</v>
      </c>
      <c r="E126" s="228" t="s">
        <v>3377</v>
      </c>
      <c r="F126" s="228" t="s">
        <v>1314</v>
      </c>
      <c r="G126" s="230">
        <v>57880</v>
      </c>
      <c r="H126" s="228">
        <v>57880</v>
      </c>
      <c r="I126" s="228" t="s">
        <v>1874</v>
      </c>
      <c r="J126" s="229" t="s">
        <v>1874</v>
      </c>
      <c r="K126" s="228" t="s">
        <v>2989</v>
      </c>
      <c r="L126" s="228" t="s">
        <v>147</v>
      </c>
    </row>
    <row r="127" spans="1:41" s="51" customFormat="1" hidden="1" x14ac:dyDescent="0.25">
      <c r="A127" s="205">
        <v>155</v>
      </c>
      <c r="B127" s="206">
        <v>46182</v>
      </c>
      <c r="C127" s="206" t="s">
        <v>3122</v>
      </c>
      <c r="D127" s="205" t="s">
        <v>3075</v>
      </c>
      <c r="E127" s="205" t="s">
        <v>2168</v>
      </c>
      <c r="F127" s="205" t="s">
        <v>1314</v>
      </c>
      <c r="G127" s="207">
        <v>58080</v>
      </c>
      <c r="H127" s="205">
        <v>52270</v>
      </c>
      <c r="I127" s="205">
        <v>5810</v>
      </c>
      <c r="J127" s="206" t="s">
        <v>1874</v>
      </c>
      <c r="K127" s="205" t="s">
        <v>3015</v>
      </c>
      <c r="L127" s="205" t="s">
        <v>147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</row>
    <row r="128" spans="1:41" s="201" customFormat="1" hidden="1" x14ac:dyDescent="0.25">
      <c r="A128" s="228">
        <v>156</v>
      </c>
      <c r="B128" s="229">
        <v>46182</v>
      </c>
      <c r="C128" s="229" t="s">
        <v>1635</v>
      </c>
      <c r="D128" s="230" t="s">
        <v>3075</v>
      </c>
      <c r="E128" s="228" t="s">
        <v>2168</v>
      </c>
      <c r="F128" s="228" t="s">
        <v>1314</v>
      </c>
      <c r="G128" s="230">
        <v>58080</v>
      </c>
      <c r="H128" s="228">
        <v>58080</v>
      </c>
      <c r="I128" s="228" t="s">
        <v>1874</v>
      </c>
      <c r="J128" s="229" t="s">
        <v>1874</v>
      </c>
      <c r="K128" s="228" t="s">
        <v>2989</v>
      </c>
      <c r="L128" s="228" t="s">
        <v>147</v>
      </c>
    </row>
    <row r="129" spans="1:41" s="201" customFormat="1" hidden="1" x14ac:dyDescent="0.25">
      <c r="A129" s="228">
        <v>157</v>
      </c>
      <c r="B129" s="229">
        <v>46184</v>
      </c>
      <c r="C129" s="229" t="s">
        <v>1637</v>
      </c>
      <c r="D129" s="230" t="s">
        <v>3075</v>
      </c>
      <c r="E129" s="228" t="s">
        <v>2168</v>
      </c>
      <c r="F129" s="228" t="s">
        <v>1314</v>
      </c>
      <c r="G129" s="230">
        <v>56100</v>
      </c>
      <c r="H129" s="228">
        <v>56100</v>
      </c>
      <c r="I129" s="228" t="s">
        <v>1874</v>
      </c>
      <c r="J129" s="229" t="s">
        <v>1874</v>
      </c>
      <c r="K129" s="228" t="s">
        <v>2989</v>
      </c>
      <c r="L129" s="228" t="s">
        <v>147</v>
      </c>
    </row>
    <row r="130" spans="1:41" s="201" customFormat="1" hidden="1" x14ac:dyDescent="0.25">
      <c r="A130" s="228">
        <v>158</v>
      </c>
      <c r="B130" s="229">
        <v>46189</v>
      </c>
      <c r="C130" s="229" t="s">
        <v>2859</v>
      </c>
      <c r="D130" s="230" t="s">
        <v>3019</v>
      </c>
      <c r="E130" s="228" t="s">
        <v>2168</v>
      </c>
      <c r="F130" s="228" t="s">
        <v>3378</v>
      </c>
      <c r="G130" s="230">
        <v>46200</v>
      </c>
      <c r="H130" s="228">
        <v>46200</v>
      </c>
      <c r="I130" s="228" t="s">
        <v>1874</v>
      </c>
      <c r="J130" s="229" t="s">
        <v>1874</v>
      </c>
      <c r="K130" s="228" t="s">
        <v>2989</v>
      </c>
      <c r="L130" s="228" t="s">
        <v>147</v>
      </c>
    </row>
    <row r="131" spans="1:41" s="201" customFormat="1" hidden="1" x14ac:dyDescent="0.25">
      <c r="A131" s="228">
        <v>159</v>
      </c>
      <c r="B131" s="229">
        <v>46189</v>
      </c>
      <c r="C131" s="229" t="s">
        <v>1635</v>
      </c>
      <c r="D131" s="230" t="s">
        <v>3035</v>
      </c>
      <c r="E131" s="228" t="s">
        <v>1314</v>
      </c>
      <c r="F131" s="228" t="s">
        <v>3378</v>
      </c>
      <c r="G131" s="230">
        <v>17080</v>
      </c>
      <c r="H131" s="228">
        <v>17080</v>
      </c>
      <c r="I131" s="228" t="s">
        <v>1874</v>
      </c>
      <c r="J131" s="229" t="s">
        <v>1874</v>
      </c>
      <c r="K131" s="228" t="s">
        <v>2989</v>
      </c>
      <c r="L131" s="228" t="s">
        <v>147</v>
      </c>
    </row>
    <row r="132" spans="1:41" s="201" customFormat="1" hidden="1" x14ac:dyDescent="0.25">
      <c r="A132" s="228">
        <v>160</v>
      </c>
      <c r="B132" s="229">
        <v>46190</v>
      </c>
      <c r="C132" s="229" t="s">
        <v>3122</v>
      </c>
      <c r="D132" s="230" t="s">
        <v>3019</v>
      </c>
      <c r="E132" s="228" t="s">
        <v>3185</v>
      </c>
      <c r="F132" s="228" t="s">
        <v>3378</v>
      </c>
      <c r="G132" s="230">
        <v>46860</v>
      </c>
      <c r="H132" s="228">
        <v>46860</v>
      </c>
      <c r="I132" s="228" t="s">
        <v>1874</v>
      </c>
      <c r="J132" s="229" t="s">
        <v>1874</v>
      </c>
      <c r="K132" s="228" t="s">
        <v>2989</v>
      </c>
      <c r="L132" s="228" t="s">
        <v>147</v>
      </c>
    </row>
    <row r="133" spans="1:41" s="201" customFormat="1" hidden="1" x14ac:dyDescent="0.25">
      <c r="A133" s="228">
        <v>161</v>
      </c>
      <c r="B133" s="229">
        <v>46190</v>
      </c>
      <c r="C133" s="229" t="s">
        <v>1637</v>
      </c>
      <c r="D133" s="230" t="s">
        <v>3035</v>
      </c>
      <c r="E133" s="228" t="s">
        <v>1314</v>
      </c>
      <c r="F133" s="228" t="s">
        <v>3379</v>
      </c>
      <c r="G133" s="230">
        <v>25340</v>
      </c>
      <c r="H133" s="228">
        <v>25340</v>
      </c>
      <c r="I133" s="228" t="s">
        <v>1874</v>
      </c>
      <c r="J133" s="229" t="s">
        <v>1874</v>
      </c>
      <c r="K133" s="228" t="s">
        <v>2989</v>
      </c>
      <c r="L133" s="228" t="s">
        <v>147</v>
      </c>
    </row>
    <row r="134" spans="1:41" s="201" customFormat="1" hidden="1" x14ac:dyDescent="0.25">
      <c r="A134" s="228">
        <v>162</v>
      </c>
      <c r="B134" s="229">
        <v>46197</v>
      </c>
      <c r="C134" s="229" t="s">
        <v>1644</v>
      </c>
      <c r="D134" s="230" t="s">
        <v>3019</v>
      </c>
      <c r="E134" s="228" t="s">
        <v>2168</v>
      </c>
      <c r="F134" s="228" t="s">
        <v>1542</v>
      </c>
      <c r="G134" s="230">
        <v>51480</v>
      </c>
      <c r="H134" s="228">
        <v>51480</v>
      </c>
      <c r="I134" s="228" t="s">
        <v>1874</v>
      </c>
      <c r="J134" s="229" t="s">
        <v>1874</v>
      </c>
      <c r="K134" s="228" t="s">
        <v>2989</v>
      </c>
      <c r="L134" s="228" t="s">
        <v>147</v>
      </c>
    </row>
    <row r="135" spans="1:41" s="201" customFormat="1" hidden="1" x14ac:dyDescent="0.25">
      <c r="A135" s="228">
        <v>163</v>
      </c>
      <c r="B135" s="229">
        <v>46199</v>
      </c>
      <c r="C135" s="229" t="s">
        <v>2859</v>
      </c>
      <c r="D135" s="230" t="s">
        <v>3035</v>
      </c>
      <c r="E135" s="228" t="s">
        <v>2168</v>
      </c>
      <c r="F135" s="228" t="s">
        <v>3433</v>
      </c>
      <c r="G135" s="230">
        <v>57420</v>
      </c>
      <c r="H135" s="228">
        <v>57420</v>
      </c>
      <c r="I135" s="228" t="s">
        <v>1874</v>
      </c>
      <c r="J135" s="229" t="s">
        <v>1874</v>
      </c>
      <c r="K135" s="228" t="s">
        <v>2989</v>
      </c>
      <c r="L135" s="228" t="s">
        <v>147</v>
      </c>
    </row>
    <row r="136" spans="1:41" s="259" customFormat="1" hidden="1" x14ac:dyDescent="0.25">
      <c r="A136" s="256">
        <v>164</v>
      </c>
      <c r="B136" s="257">
        <v>46200</v>
      </c>
      <c r="C136" s="257" t="s">
        <v>38</v>
      </c>
      <c r="D136" s="258" t="s">
        <v>3035</v>
      </c>
      <c r="E136" s="256" t="s">
        <v>2168</v>
      </c>
      <c r="F136" s="256" t="s">
        <v>6</v>
      </c>
      <c r="G136" s="258">
        <v>40920</v>
      </c>
      <c r="H136" s="256">
        <v>40920</v>
      </c>
      <c r="I136" s="256" t="s">
        <v>1874</v>
      </c>
      <c r="J136" s="257"/>
      <c r="K136" s="256" t="s">
        <v>2989</v>
      </c>
      <c r="L136" s="228" t="s">
        <v>147</v>
      </c>
    </row>
    <row r="137" spans="1:41" s="201" customFormat="1" hidden="1" x14ac:dyDescent="0.25">
      <c r="A137" s="228">
        <v>165</v>
      </c>
      <c r="B137" s="229">
        <v>46200</v>
      </c>
      <c r="C137" s="229" t="s">
        <v>1644</v>
      </c>
      <c r="D137" s="230" t="s">
        <v>3019</v>
      </c>
      <c r="E137" s="228" t="s">
        <v>1542</v>
      </c>
      <c r="F137" s="228" t="s">
        <v>2168</v>
      </c>
      <c r="G137" s="230">
        <v>27720</v>
      </c>
      <c r="H137" s="228">
        <v>27720</v>
      </c>
      <c r="I137" s="228" t="s">
        <v>1874</v>
      </c>
      <c r="J137" s="229" t="s">
        <v>1874</v>
      </c>
      <c r="K137" s="228" t="s">
        <v>2989</v>
      </c>
      <c r="L137" s="228" t="s">
        <v>147</v>
      </c>
    </row>
    <row r="138" spans="1:41" s="201" customFormat="1" hidden="1" x14ac:dyDescent="0.25">
      <c r="A138" s="228">
        <v>166</v>
      </c>
      <c r="B138" s="229">
        <v>46202</v>
      </c>
      <c r="C138" s="229" t="s">
        <v>60</v>
      </c>
      <c r="D138" s="230" t="s">
        <v>3312</v>
      </c>
      <c r="E138" s="228" t="s">
        <v>3438</v>
      </c>
      <c r="F138" s="228" t="s">
        <v>1542</v>
      </c>
      <c r="G138" s="230">
        <v>51480</v>
      </c>
      <c r="H138" s="228">
        <v>51480</v>
      </c>
      <c r="I138" s="228" t="s">
        <v>1874</v>
      </c>
      <c r="J138" s="229" t="s">
        <v>1874</v>
      </c>
      <c r="K138" s="228" t="s">
        <v>2989</v>
      </c>
      <c r="L138" s="228" t="s">
        <v>147</v>
      </c>
    </row>
    <row r="139" spans="1:41" s="201" customFormat="1" hidden="1" x14ac:dyDescent="0.25">
      <c r="A139" s="228">
        <v>167</v>
      </c>
      <c r="B139" s="229">
        <v>46202</v>
      </c>
      <c r="C139" s="229" t="s">
        <v>1641</v>
      </c>
      <c r="D139" s="230" t="s">
        <v>3035</v>
      </c>
      <c r="E139" s="228" t="s">
        <v>6</v>
      </c>
      <c r="F139" s="228" t="s">
        <v>3439</v>
      </c>
      <c r="G139" s="230">
        <v>29700</v>
      </c>
      <c r="H139" s="228">
        <v>29700</v>
      </c>
      <c r="I139" s="228" t="s">
        <v>1874</v>
      </c>
      <c r="J139" s="229" t="s">
        <v>1874</v>
      </c>
      <c r="K139" s="228" t="s">
        <v>2989</v>
      </c>
      <c r="L139" s="228" t="s">
        <v>147</v>
      </c>
    </row>
    <row r="140" spans="1:41" s="201" customFormat="1" hidden="1" x14ac:dyDescent="0.25">
      <c r="A140" s="228">
        <v>168</v>
      </c>
      <c r="B140" s="229">
        <v>46207</v>
      </c>
      <c r="C140" s="229" t="s">
        <v>2859</v>
      </c>
      <c r="D140" s="230" t="s">
        <v>3035</v>
      </c>
      <c r="E140" s="228" t="s">
        <v>6</v>
      </c>
      <c r="F140" s="228" t="s">
        <v>2168</v>
      </c>
      <c r="G140" s="230">
        <v>29040</v>
      </c>
      <c r="H140" s="228">
        <v>29040</v>
      </c>
      <c r="I140" s="228" t="s">
        <v>1874</v>
      </c>
      <c r="J140" s="229"/>
      <c r="K140" s="228" t="s">
        <v>2989</v>
      </c>
      <c r="L140" s="228" t="s">
        <v>147</v>
      </c>
    </row>
    <row r="141" spans="1:41" s="201" customFormat="1" hidden="1" x14ac:dyDescent="0.25">
      <c r="A141" s="228">
        <v>169</v>
      </c>
      <c r="B141" s="229">
        <v>46207</v>
      </c>
      <c r="C141" s="229" t="s">
        <v>1637</v>
      </c>
      <c r="D141" s="230" t="s">
        <v>3075</v>
      </c>
      <c r="E141" s="228" t="s">
        <v>2168</v>
      </c>
      <c r="F141" s="228" t="s">
        <v>1314</v>
      </c>
      <c r="G141" s="230">
        <v>57420</v>
      </c>
      <c r="H141" s="228">
        <v>57420</v>
      </c>
      <c r="I141" s="228" t="s">
        <v>1874</v>
      </c>
      <c r="J141" s="229" t="s">
        <v>1874</v>
      </c>
      <c r="K141" s="228" t="s">
        <v>2989</v>
      </c>
      <c r="L141" s="228" t="s">
        <v>147</v>
      </c>
    </row>
    <row r="142" spans="1:41" s="201" customFormat="1" hidden="1" x14ac:dyDescent="0.25">
      <c r="A142" s="228">
        <v>170</v>
      </c>
      <c r="B142" s="229">
        <v>46207</v>
      </c>
      <c r="C142" s="229" t="s">
        <v>60</v>
      </c>
      <c r="D142" s="230" t="s">
        <v>3019</v>
      </c>
      <c r="E142" s="228" t="s">
        <v>1542</v>
      </c>
      <c r="F142" s="228" t="s">
        <v>2168</v>
      </c>
      <c r="G142" s="230">
        <v>27390</v>
      </c>
      <c r="H142" s="228">
        <v>27390</v>
      </c>
      <c r="I142" s="228" t="s">
        <v>1874</v>
      </c>
      <c r="J142" s="229" t="s">
        <v>1874</v>
      </c>
      <c r="K142" s="228" t="s">
        <v>2989</v>
      </c>
      <c r="L142" s="228" t="s">
        <v>147</v>
      </c>
    </row>
    <row r="143" spans="1:41" s="201" customFormat="1" hidden="1" x14ac:dyDescent="0.25">
      <c r="A143" s="228">
        <v>171</v>
      </c>
      <c r="B143" s="229">
        <v>46207</v>
      </c>
      <c r="C143" s="229" t="s">
        <v>1641</v>
      </c>
      <c r="D143" s="230" t="s">
        <v>3075</v>
      </c>
      <c r="E143" s="228" t="s">
        <v>2168</v>
      </c>
      <c r="F143" s="228" t="s">
        <v>1314</v>
      </c>
      <c r="G143" s="230">
        <v>57420</v>
      </c>
      <c r="H143" s="228">
        <v>57420</v>
      </c>
      <c r="I143" s="228" t="s">
        <v>1874</v>
      </c>
      <c r="J143" s="229" t="s">
        <v>1874</v>
      </c>
      <c r="K143" s="228" t="s">
        <v>2989</v>
      </c>
      <c r="L143" s="228" t="s">
        <v>147</v>
      </c>
    </row>
    <row r="144" spans="1:41" s="51" customFormat="1" hidden="1" x14ac:dyDescent="0.25">
      <c r="A144" s="205">
        <v>172</v>
      </c>
      <c r="B144" s="206">
        <v>46207</v>
      </c>
      <c r="C144" s="206" t="s">
        <v>3065</v>
      </c>
      <c r="D144" s="207" t="s">
        <v>3312</v>
      </c>
      <c r="E144" s="205" t="s">
        <v>2168</v>
      </c>
      <c r="F144" s="205" t="s">
        <v>6</v>
      </c>
      <c r="G144" s="207">
        <v>53790</v>
      </c>
      <c r="H144" s="205">
        <v>49620</v>
      </c>
      <c r="I144" s="205">
        <v>4170</v>
      </c>
      <c r="J144" s="206" t="s">
        <v>1874</v>
      </c>
      <c r="K144" s="205" t="s">
        <v>3015</v>
      </c>
      <c r="L144" s="205" t="s">
        <v>147</v>
      </c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</row>
    <row r="145" spans="1:41" s="51" customFormat="1" hidden="1" x14ac:dyDescent="0.25">
      <c r="A145" s="205">
        <v>173</v>
      </c>
      <c r="B145" s="206">
        <v>46207</v>
      </c>
      <c r="C145" s="206" t="s">
        <v>3122</v>
      </c>
      <c r="D145" s="207" t="s">
        <v>3111</v>
      </c>
      <c r="E145" s="205" t="s">
        <v>3110</v>
      </c>
      <c r="F145" s="205" t="s">
        <v>2168</v>
      </c>
      <c r="G145" s="207">
        <v>26400</v>
      </c>
      <c r="H145" s="205">
        <v>23500</v>
      </c>
      <c r="I145" s="205">
        <v>2640</v>
      </c>
      <c r="J145" s="206" t="s">
        <v>1874</v>
      </c>
      <c r="K145" s="205" t="s">
        <v>3015</v>
      </c>
      <c r="L145" s="205" t="s">
        <v>147</v>
      </c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</row>
    <row r="146" spans="1:41" s="51" customFormat="1" hidden="1" x14ac:dyDescent="0.25">
      <c r="A146" s="205">
        <v>174</v>
      </c>
      <c r="B146" s="206">
        <v>46212</v>
      </c>
      <c r="C146" s="206" t="s">
        <v>1637</v>
      </c>
      <c r="D146" s="207" t="s">
        <v>3308</v>
      </c>
      <c r="E146" s="205" t="s">
        <v>1314</v>
      </c>
      <c r="F146" s="205" t="s">
        <v>3378</v>
      </c>
      <c r="G146" s="207">
        <v>16500</v>
      </c>
      <c r="H146" s="205">
        <v>15840</v>
      </c>
      <c r="I146" s="205">
        <v>660</v>
      </c>
      <c r="J146" s="206" t="s">
        <v>1874</v>
      </c>
      <c r="K146" s="205" t="s">
        <v>3015</v>
      </c>
      <c r="L146" s="205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</row>
    <row r="147" spans="1:41" s="51" customFormat="1" hidden="1" x14ac:dyDescent="0.25">
      <c r="A147" s="205">
        <v>175</v>
      </c>
      <c r="B147" s="206">
        <v>46212</v>
      </c>
      <c r="C147" s="206" t="s">
        <v>1641</v>
      </c>
      <c r="D147" s="207" t="s">
        <v>3475</v>
      </c>
      <c r="E147" s="205" t="s">
        <v>1314</v>
      </c>
      <c r="F147" s="205" t="s">
        <v>3476</v>
      </c>
      <c r="G147" s="207">
        <v>22440</v>
      </c>
      <c r="H147" s="205">
        <v>20260</v>
      </c>
      <c r="I147" s="205">
        <v>1980</v>
      </c>
      <c r="J147" s="206" t="s">
        <v>1874</v>
      </c>
      <c r="K147" s="205" t="s">
        <v>3015</v>
      </c>
      <c r="L147" s="205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</row>
    <row r="148" spans="1:41" s="201" customFormat="1" hidden="1" x14ac:dyDescent="0.25">
      <c r="A148" s="228">
        <v>176</v>
      </c>
      <c r="B148" s="229">
        <v>46217</v>
      </c>
      <c r="C148" s="229" t="s">
        <v>2859</v>
      </c>
      <c r="D148" s="230" t="s">
        <v>3035</v>
      </c>
      <c r="E148" s="228" t="s">
        <v>6</v>
      </c>
      <c r="F148" s="228" t="s">
        <v>3243</v>
      </c>
      <c r="G148" s="230">
        <v>23300</v>
      </c>
      <c r="H148" s="228">
        <v>23300</v>
      </c>
      <c r="I148" s="228" t="s">
        <v>1874</v>
      </c>
      <c r="J148" s="229" t="s">
        <v>1874</v>
      </c>
      <c r="K148" s="228" t="s">
        <v>2989</v>
      </c>
      <c r="L148" s="228"/>
    </row>
    <row r="149" spans="1:41" s="51" customFormat="1" hidden="1" x14ac:dyDescent="0.25">
      <c r="A149" s="205">
        <v>177</v>
      </c>
      <c r="B149" s="206">
        <v>46217</v>
      </c>
      <c r="C149" s="206" t="s">
        <v>60</v>
      </c>
      <c r="D149" s="207" t="s">
        <v>3111</v>
      </c>
      <c r="E149" s="205" t="s">
        <v>3110</v>
      </c>
      <c r="F149" s="205" t="s">
        <v>2168</v>
      </c>
      <c r="G149" s="207">
        <v>26400</v>
      </c>
      <c r="H149" s="205">
        <v>22180</v>
      </c>
      <c r="I149" s="205">
        <v>4220</v>
      </c>
      <c r="J149" s="206" t="s">
        <v>1874</v>
      </c>
      <c r="K149" s="205" t="s">
        <v>3015</v>
      </c>
      <c r="L149" s="205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</row>
    <row r="150" spans="1:41" s="201" customFormat="1" hidden="1" x14ac:dyDescent="0.25">
      <c r="A150" s="228">
        <v>178</v>
      </c>
      <c r="B150" s="229">
        <v>46217</v>
      </c>
      <c r="C150" s="229" t="s">
        <v>1641</v>
      </c>
      <c r="D150" s="230" t="s">
        <v>3035</v>
      </c>
      <c r="E150" s="228" t="s">
        <v>3086</v>
      </c>
      <c r="F150" s="228" t="s">
        <v>2168</v>
      </c>
      <c r="G150" s="230">
        <v>17950</v>
      </c>
      <c r="H150" s="228">
        <v>17950</v>
      </c>
      <c r="I150" s="228" t="s">
        <v>1874</v>
      </c>
      <c r="J150" s="229" t="s">
        <v>1874</v>
      </c>
      <c r="K150" s="228" t="s">
        <v>2989</v>
      </c>
      <c r="L150" s="228"/>
    </row>
    <row r="151" spans="1:41" s="51" customFormat="1" hidden="1" x14ac:dyDescent="0.25">
      <c r="A151" s="205">
        <v>179</v>
      </c>
      <c r="B151" s="206">
        <v>46218</v>
      </c>
      <c r="C151" s="206" t="s">
        <v>1637</v>
      </c>
      <c r="D151" s="207" t="s">
        <v>3511</v>
      </c>
      <c r="E151" s="205" t="s">
        <v>3086</v>
      </c>
      <c r="F151" s="205" t="s">
        <v>3512</v>
      </c>
      <c r="G151" s="207">
        <v>22440</v>
      </c>
      <c r="H151" s="205">
        <v>20200</v>
      </c>
      <c r="I151" s="205">
        <v>2240</v>
      </c>
      <c r="J151" s="206" t="s">
        <v>1874</v>
      </c>
      <c r="K151" s="205" t="s">
        <v>3015</v>
      </c>
      <c r="L151" s="205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</row>
    <row r="152" spans="1:41" s="201" customFormat="1" hidden="1" x14ac:dyDescent="0.25">
      <c r="A152" s="228">
        <v>180</v>
      </c>
      <c r="B152" s="229">
        <v>46220</v>
      </c>
      <c r="C152" s="229" t="s">
        <v>2859</v>
      </c>
      <c r="D152" s="230" t="s">
        <v>3035</v>
      </c>
      <c r="E152" s="228" t="s">
        <v>3243</v>
      </c>
      <c r="F152" s="228" t="s">
        <v>1542</v>
      </c>
      <c r="G152" s="230">
        <v>43890</v>
      </c>
      <c r="H152" s="228">
        <v>43890</v>
      </c>
      <c r="I152" s="228" t="s">
        <v>1874</v>
      </c>
      <c r="J152" s="229" t="s">
        <v>1874</v>
      </c>
      <c r="K152" s="228" t="s">
        <v>2989</v>
      </c>
      <c r="L152" s="228"/>
    </row>
    <row r="153" spans="1:41" s="51" customFormat="1" hidden="1" x14ac:dyDescent="0.25">
      <c r="A153" s="205">
        <v>181</v>
      </c>
      <c r="B153" s="206">
        <v>46221</v>
      </c>
      <c r="C153" s="206" t="s">
        <v>1641</v>
      </c>
      <c r="D153" s="207" t="s">
        <v>3019</v>
      </c>
      <c r="E153" s="205" t="s">
        <v>3525</v>
      </c>
      <c r="F153" s="205" t="s">
        <v>3526</v>
      </c>
      <c r="G153" s="207">
        <v>49500</v>
      </c>
      <c r="H153" s="205">
        <v>43170</v>
      </c>
      <c r="I153" s="205">
        <v>7650</v>
      </c>
      <c r="J153" s="206" t="s">
        <v>1874</v>
      </c>
      <c r="K153" s="205" t="s">
        <v>3015</v>
      </c>
      <c r="L153" s="205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</row>
    <row r="154" spans="1:41" s="51" customFormat="1" hidden="1" x14ac:dyDescent="0.25">
      <c r="A154" s="205">
        <v>182</v>
      </c>
      <c r="B154" s="206">
        <v>46223</v>
      </c>
      <c r="C154" s="206" t="s">
        <v>1637</v>
      </c>
      <c r="D154" s="207" t="s">
        <v>3019</v>
      </c>
      <c r="E154" s="205" t="s">
        <v>3525</v>
      </c>
      <c r="F154" s="205" t="s">
        <v>3036</v>
      </c>
      <c r="G154" s="207">
        <v>42900</v>
      </c>
      <c r="H154" s="205">
        <v>36830</v>
      </c>
      <c r="I154" s="205">
        <v>6530</v>
      </c>
      <c r="J154" s="206" t="s">
        <v>1874</v>
      </c>
      <c r="K154" s="205" t="s">
        <v>3015</v>
      </c>
      <c r="L154" s="205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</row>
    <row r="155" spans="1:41" s="51" customFormat="1" hidden="1" x14ac:dyDescent="0.25">
      <c r="A155" s="205">
        <v>183</v>
      </c>
      <c r="B155" s="206">
        <v>46224</v>
      </c>
      <c r="C155" s="206" t="s">
        <v>3065</v>
      </c>
      <c r="D155" s="207" t="s">
        <v>3019</v>
      </c>
      <c r="E155" s="205" t="s">
        <v>3438</v>
      </c>
      <c r="F155" s="205" t="s">
        <v>3528</v>
      </c>
      <c r="G155" s="207">
        <v>44880</v>
      </c>
      <c r="H155" s="205">
        <v>38710</v>
      </c>
      <c r="I155" s="205">
        <v>6530</v>
      </c>
      <c r="J155" s="206" t="s">
        <v>1874</v>
      </c>
      <c r="K155" s="205" t="s">
        <v>3015</v>
      </c>
      <c r="L155" s="205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</row>
    <row r="156" spans="1:41" s="51" customFormat="1" hidden="1" x14ac:dyDescent="0.25">
      <c r="A156" s="205">
        <v>184</v>
      </c>
      <c r="B156" s="206">
        <v>46226</v>
      </c>
      <c r="C156" s="206" t="s">
        <v>3114</v>
      </c>
      <c r="D156" s="207" t="s">
        <v>3019</v>
      </c>
      <c r="E156" s="205" t="s">
        <v>3438</v>
      </c>
      <c r="F156" s="205" t="s">
        <v>3067</v>
      </c>
      <c r="G156" s="207">
        <v>50820</v>
      </c>
      <c r="H156" s="205">
        <v>43000</v>
      </c>
      <c r="I156" s="205">
        <v>7620</v>
      </c>
      <c r="J156" s="206" t="s">
        <v>1874</v>
      </c>
      <c r="K156" s="205" t="s">
        <v>3015</v>
      </c>
      <c r="L156" s="205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</row>
    <row r="157" spans="1:41" s="51" customFormat="1" hidden="1" x14ac:dyDescent="0.25">
      <c r="A157" s="205">
        <v>185</v>
      </c>
      <c r="B157" s="206">
        <v>46228</v>
      </c>
      <c r="C157" s="206" t="s">
        <v>3114</v>
      </c>
      <c r="D157" s="207" t="s">
        <v>3550</v>
      </c>
      <c r="E157" s="205" t="s">
        <v>3000</v>
      </c>
      <c r="F157" s="205" t="s">
        <v>6</v>
      </c>
      <c r="G157" s="207">
        <v>16500</v>
      </c>
      <c r="H157" s="205" t="s">
        <v>1874</v>
      </c>
      <c r="I157" s="205" t="s">
        <v>1874</v>
      </c>
      <c r="J157" s="206" t="s">
        <v>1874</v>
      </c>
      <c r="K157" s="205" t="s">
        <v>3195</v>
      </c>
      <c r="L157" s="205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</row>
    <row r="158" spans="1:41" s="51" customFormat="1" hidden="1" x14ac:dyDescent="0.25">
      <c r="A158" s="205">
        <v>186</v>
      </c>
      <c r="B158" s="206">
        <v>46230</v>
      </c>
      <c r="C158" s="206" t="s">
        <v>1637</v>
      </c>
      <c r="D158" s="207" t="s">
        <v>3511</v>
      </c>
      <c r="E158" s="205" t="s">
        <v>3086</v>
      </c>
      <c r="F158" s="205" t="s">
        <v>3549</v>
      </c>
      <c r="G158" s="207">
        <v>27720</v>
      </c>
      <c r="H158" s="205">
        <v>25080</v>
      </c>
      <c r="I158" s="205">
        <v>2640</v>
      </c>
      <c r="J158" s="206" t="s">
        <v>1874</v>
      </c>
      <c r="K158" s="205" t="s">
        <v>3015</v>
      </c>
      <c r="L158" s="205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</row>
    <row r="159" spans="1:41" s="51" customFormat="1" hidden="1" x14ac:dyDescent="0.25">
      <c r="A159" s="205">
        <v>187</v>
      </c>
      <c r="B159" s="206">
        <v>46232</v>
      </c>
      <c r="C159" s="206" t="s">
        <v>2859</v>
      </c>
      <c r="D159" s="207" t="s">
        <v>3111</v>
      </c>
      <c r="E159" s="205" t="s">
        <v>3110</v>
      </c>
      <c r="F159" s="205" t="s">
        <v>3013</v>
      </c>
      <c r="G159" s="207">
        <v>23100</v>
      </c>
      <c r="H159" s="205">
        <v>18810</v>
      </c>
      <c r="I159" s="205">
        <v>3060</v>
      </c>
      <c r="J159" s="206" t="s">
        <v>1874</v>
      </c>
      <c r="K159" s="205" t="s">
        <v>3015</v>
      </c>
      <c r="L159" s="205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</row>
    <row r="160" spans="1:41" hidden="1" x14ac:dyDescent="0.25">
      <c r="A160" s="205">
        <v>188</v>
      </c>
      <c r="B160" s="206">
        <v>46237</v>
      </c>
      <c r="C160" s="206" t="s">
        <v>1644</v>
      </c>
      <c r="D160" s="207" t="s">
        <v>3590</v>
      </c>
      <c r="E160" s="205" t="s">
        <v>6</v>
      </c>
      <c r="F160" s="205" t="s">
        <v>3589</v>
      </c>
      <c r="G160" s="207">
        <v>30360</v>
      </c>
      <c r="H160" s="205">
        <v>13200</v>
      </c>
      <c r="I160" s="205">
        <v>17160</v>
      </c>
      <c r="J160" s="206" t="s">
        <v>1874</v>
      </c>
      <c r="K160" s="205" t="s">
        <v>3015</v>
      </c>
      <c r="L160" s="205"/>
      <c r="M160" s="201"/>
    </row>
    <row r="161" spans="1:41" hidden="1" x14ac:dyDescent="0.25">
      <c r="A161" s="205">
        <v>189</v>
      </c>
      <c r="B161" s="206">
        <v>46237</v>
      </c>
      <c r="C161" s="206" t="s">
        <v>3114</v>
      </c>
      <c r="D161" s="207" t="s">
        <v>3019</v>
      </c>
      <c r="E161" s="205" t="s">
        <v>3013</v>
      </c>
      <c r="F161" s="205" t="s">
        <v>1542</v>
      </c>
      <c r="G161" s="207">
        <v>44620</v>
      </c>
      <c r="H161" s="205">
        <v>37890</v>
      </c>
      <c r="I161" s="205">
        <v>6730</v>
      </c>
      <c r="J161" s="206" t="s">
        <v>1874</v>
      </c>
      <c r="K161" s="205" t="s">
        <v>3015</v>
      </c>
      <c r="L161" s="205"/>
      <c r="M161" s="201"/>
    </row>
    <row r="162" spans="1:41" hidden="1" x14ac:dyDescent="0.25">
      <c r="A162" s="205">
        <v>190</v>
      </c>
      <c r="B162" s="206">
        <v>46238</v>
      </c>
      <c r="C162" s="206" t="s">
        <v>1635</v>
      </c>
      <c r="D162" s="207" t="s">
        <v>3312</v>
      </c>
      <c r="E162" s="205" t="s">
        <v>3438</v>
      </c>
      <c r="F162" s="205" t="s">
        <v>3085</v>
      </c>
      <c r="G162" s="207">
        <v>45540</v>
      </c>
      <c r="H162" s="205">
        <v>41090</v>
      </c>
      <c r="I162" s="205">
        <v>4450</v>
      </c>
      <c r="J162" s="206" t="s">
        <v>1874</v>
      </c>
      <c r="K162" s="205" t="s">
        <v>3015</v>
      </c>
      <c r="L162" s="205"/>
      <c r="M162" s="201"/>
    </row>
    <row r="163" spans="1:41" hidden="1" x14ac:dyDescent="0.25">
      <c r="A163" s="205">
        <v>191</v>
      </c>
      <c r="B163" s="206">
        <v>46238</v>
      </c>
      <c r="C163" s="206" t="s">
        <v>2859</v>
      </c>
      <c r="D163" s="207" t="s">
        <v>3019</v>
      </c>
      <c r="E163" s="205" t="s">
        <v>3438</v>
      </c>
      <c r="F163" s="205" t="s">
        <v>3067</v>
      </c>
      <c r="G163" s="207">
        <v>49170</v>
      </c>
      <c r="H163" s="205">
        <v>43000</v>
      </c>
      <c r="I163" s="205">
        <v>7590</v>
      </c>
      <c r="J163" s="206" t="s">
        <v>1874</v>
      </c>
      <c r="K163" s="205" t="s">
        <v>3015</v>
      </c>
      <c r="L163" s="205"/>
      <c r="M163" s="201"/>
    </row>
    <row r="164" spans="1:41" s="165" customFormat="1" hidden="1" x14ac:dyDescent="0.25">
      <c r="A164" s="228">
        <v>192</v>
      </c>
      <c r="B164" s="229">
        <v>46239</v>
      </c>
      <c r="C164" s="229" t="s">
        <v>1641</v>
      </c>
      <c r="D164" s="230" t="s">
        <v>3075</v>
      </c>
      <c r="E164" s="228" t="s">
        <v>3438</v>
      </c>
      <c r="F164" s="228" t="s">
        <v>1314</v>
      </c>
      <c r="G164" s="230">
        <v>52800</v>
      </c>
      <c r="H164" s="228">
        <v>52800</v>
      </c>
      <c r="I164" s="228" t="s">
        <v>1874</v>
      </c>
      <c r="J164" s="229" t="s">
        <v>1874</v>
      </c>
      <c r="K164" s="228" t="s">
        <v>2989</v>
      </c>
      <c r="L164" s="228"/>
      <c r="M164" s="201"/>
    </row>
    <row r="165" spans="1:41" s="165" customFormat="1" hidden="1" x14ac:dyDescent="0.25">
      <c r="A165" s="228">
        <v>193</v>
      </c>
      <c r="B165" s="229">
        <v>46240</v>
      </c>
      <c r="C165" s="229" t="s">
        <v>3065</v>
      </c>
      <c r="D165" s="230" t="s">
        <v>3035</v>
      </c>
      <c r="E165" s="228" t="s">
        <v>6</v>
      </c>
      <c r="F165" s="228" t="s">
        <v>2168</v>
      </c>
      <c r="G165" s="230">
        <v>29700</v>
      </c>
      <c r="H165" s="228">
        <v>29700</v>
      </c>
      <c r="I165" s="228" t="s">
        <v>1874</v>
      </c>
      <c r="J165" s="229" t="s">
        <v>1874</v>
      </c>
      <c r="K165" s="228" t="s">
        <v>2989</v>
      </c>
      <c r="L165" s="228"/>
      <c r="M165" s="201"/>
    </row>
    <row r="166" spans="1:41" hidden="1" x14ac:dyDescent="0.25">
      <c r="A166" s="205">
        <v>194</v>
      </c>
      <c r="B166" s="206">
        <v>46254</v>
      </c>
      <c r="C166" s="206" t="s">
        <v>1637</v>
      </c>
      <c r="D166" s="207" t="s">
        <v>3019</v>
      </c>
      <c r="E166" s="205" t="s">
        <v>3438</v>
      </c>
      <c r="F166" s="205" t="s">
        <v>3067</v>
      </c>
      <c r="G166" s="207">
        <v>49500</v>
      </c>
      <c r="H166" s="205">
        <v>42050</v>
      </c>
      <c r="I166" s="205">
        <v>7450</v>
      </c>
      <c r="J166" s="206" t="s">
        <v>1874</v>
      </c>
      <c r="K166" s="205" t="s">
        <v>3015</v>
      </c>
      <c r="L166" s="205"/>
      <c r="M166" s="201"/>
    </row>
    <row r="167" spans="1:41" hidden="1" x14ac:dyDescent="0.25">
      <c r="A167" s="205">
        <v>195</v>
      </c>
      <c r="B167" s="206">
        <v>46255</v>
      </c>
      <c r="C167" s="206" t="s">
        <v>2859</v>
      </c>
      <c r="D167" s="207" t="s">
        <v>3019</v>
      </c>
      <c r="E167" s="205" t="s">
        <v>3438</v>
      </c>
      <c r="F167" s="205" t="s">
        <v>1542</v>
      </c>
      <c r="G167" s="207">
        <v>49960</v>
      </c>
      <c r="H167" s="205">
        <v>42440</v>
      </c>
      <c r="I167" s="205">
        <v>7520</v>
      </c>
      <c r="J167" s="206" t="s">
        <v>1874</v>
      </c>
      <c r="K167" s="205" t="s">
        <v>3015</v>
      </c>
      <c r="L167" s="205"/>
      <c r="M167" s="201"/>
    </row>
    <row r="168" spans="1:41" hidden="1" x14ac:dyDescent="0.25">
      <c r="A168" s="205">
        <v>196</v>
      </c>
      <c r="B168" s="206">
        <v>46259</v>
      </c>
      <c r="C168" s="206" t="s">
        <v>3122</v>
      </c>
      <c r="D168" s="207" t="s">
        <v>3019</v>
      </c>
      <c r="E168" s="205" t="s">
        <v>3438</v>
      </c>
      <c r="F168" s="205" t="s">
        <v>1542</v>
      </c>
      <c r="G168" s="207">
        <v>49960</v>
      </c>
      <c r="H168" s="205">
        <v>42440</v>
      </c>
      <c r="I168" s="205">
        <v>7520</v>
      </c>
      <c r="J168" s="206" t="s">
        <v>1874</v>
      </c>
      <c r="K168" s="205" t="s">
        <v>3015</v>
      </c>
      <c r="L168" s="205"/>
      <c r="M168" s="201"/>
    </row>
    <row r="169" spans="1:41" hidden="1" x14ac:dyDescent="0.25">
      <c r="A169" s="205">
        <v>197</v>
      </c>
      <c r="B169" s="206">
        <v>46260</v>
      </c>
      <c r="C169" s="206" t="s">
        <v>1635</v>
      </c>
      <c r="D169" s="207" t="s">
        <v>3312</v>
      </c>
      <c r="E169" s="205" t="s">
        <v>3438</v>
      </c>
      <c r="F169" s="205" t="s">
        <v>1542</v>
      </c>
      <c r="G169" s="207">
        <v>46970</v>
      </c>
      <c r="H169" s="205">
        <v>41530</v>
      </c>
      <c r="I169" s="205">
        <v>5440</v>
      </c>
      <c r="J169" s="206" t="s">
        <v>1874</v>
      </c>
      <c r="K169" s="205" t="s">
        <v>3015</v>
      </c>
      <c r="L169" s="205"/>
      <c r="M169" s="201"/>
    </row>
    <row r="170" spans="1:41" hidden="1" x14ac:dyDescent="0.25">
      <c r="A170" s="205">
        <v>198</v>
      </c>
      <c r="B170" s="206">
        <v>46261</v>
      </c>
      <c r="C170" s="206" t="s">
        <v>1644</v>
      </c>
      <c r="D170" s="207" t="s">
        <v>3019</v>
      </c>
      <c r="E170" s="205" t="s">
        <v>3438</v>
      </c>
      <c r="F170" s="205" t="s">
        <v>1542</v>
      </c>
      <c r="G170" s="207">
        <v>49300</v>
      </c>
      <c r="H170" s="205">
        <v>41880</v>
      </c>
      <c r="I170" s="205">
        <v>7420</v>
      </c>
      <c r="J170" s="206" t="s">
        <v>1874</v>
      </c>
      <c r="K170" s="205" t="s">
        <v>3015</v>
      </c>
      <c r="L170" s="205"/>
      <c r="M170" s="201"/>
    </row>
    <row r="171" spans="1:41" hidden="1" x14ac:dyDescent="0.25">
      <c r="A171" s="205">
        <v>199</v>
      </c>
      <c r="B171" s="206">
        <v>46266</v>
      </c>
      <c r="C171" s="206" t="s">
        <v>1635</v>
      </c>
      <c r="D171" s="207" t="s">
        <v>3019</v>
      </c>
      <c r="E171" s="205" t="s">
        <v>1542</v>
      </c>
      <c r="F171" s="205" t="s">
        <v>6</v>
      </c>
      <c r="G171" s="207">
        <v>14520</v>
      </c>
      <c r="H171" s="205">
        <v>12340</v>
      </c>
      <c r="I171" s="205">
        <v>2180</v>
      </c>
      <c r="J171" s="206" t="s">
        <v>1874</v>
      </c>
      <c r="K171" s="205" t="s">
        <v>3015</v>
      </c>
      <c r="L171" s="205"/>
      <c r="M171" s="201"/>
    </row>
    <row r="172" spans="1:41" hidden="1" x14ac:dyDescent="0.25">
      <c r="A172" s="205">
        <v>200</v>
      </c>
      <c r="B172" s="206">
        <v>46268</v>
      </c>
      <c r="C172" s="206" t="s">
        <v>1644</v>
      </c>
      <c r="D172" s="207" t="s">
        <v>3035</v>
      </c>
      <c r="E172" s="205" t="s">
        <v>1542</v>
      </c>
      <c r="F172" s="205" t="s">
        <v>6</v>
      </c>
      <c r="G172" s="207">
        <v>13200</v>
      </c>
      <c r="H172" s="205" t="s">
        <v>1874</v>
      </c>
      <c r="I172" s="205" t="s">
        <v>1874</v>
      </c>
      <c r="J172" s="206" t="s">
        <v>1874</v>
      </c>
      <c r="K172" s="205" t="s">
        <v>3195</v>
      </c>
      <c r="L172" s="205"/>
      <c r="M172" s="201"/>
    </row>
    <row r="173" spans="1:41" x14ac:dyDescent="0.25">
      <c r="A173" s="148"/>
      <c r="B173" s="271"/>
      <c r="C173" s="271"/>
      <c r="D173" s="260"/>
      <c r="E173" s="148"/>
      <c r="F173" s="261"/>
      <c r="G173" s="262"/>
      <c r="H173" s="148"/>
      <c r="I173" s="148"/>
      <c r="J173" s="271"/>
      <c r="K173" s="148"/>
      <c r="L173" s="148"/>
      <c r="M173" s="201"/>
    </row>
    <row r="174" spans="1:41" x14ac:dyDescent="0.25">
      <c r="D174" s="51"/>
      <c r="E174" s="51"/>
      <c r="F174" s="143" t="s">
        <v>3042</v>
      </c>
      <c r="G174" s="143">
        <v>6780730</v>
      </c>
      <c r="H174" s="51"/>
    </row>
    <row r="175" spans="1:41" x14ac:dyDescent="0.25">
      <c r="F175" s="144" t="s">
        <v>3043</v>
      </c>
      <c r="G175" s="144">
        <v>160390</v>
      </c>
    </row>
    <row r="176" spans="1:41" x14ac:dyDescent="0.25">
      <c r="F176" s="143" t="s">
        <v>3195</v>
      </c>
      <c r="G176" s="143" t="s">
        <v>3704</v>
      </c>
      <c r="H176" s="165"/>
      <c r="I176" s="165"/>
      <c r="J176" s="165"/>
      <c r="K176" s="165"/>
      <c r="L176" s="165"/>
      <c r="AD176"/>
      <c r="AE176"/>
      <c r="AF176"/>
      <c r="AG176"/>
      <c r="AH176"/>
      <c r="AI176"/>
      <c r="AJ176"/>
      <c r="AK176"/>
      <c r="AL176"/>
      <c r="AM176"/>
      <c r="AN176"/>
      <c r="AO176"/>
    </row>
    <row r="177" spans="7:41" x14ac:dyDescent="0.25">
      <c r="G177" s="107"/>
      <c r="K177" s="165"/>
      <c r="L177" s="165"/>
      <c r="AN177"/>
      <c r="AO177"/>
    </row>
  </sheetData>
  <autoFilter ref="A1:M172" xr:uid="{676CE6CB-BB39-48BF-8072-87B741D21626}">
    <filterColumn colId="1">
      <filters>
        <dateGroupItem year="2025" month="4" dateTimeGrouping="month"/>
      </filters>
    </filterColumn>
    <filterColumn colId="3">
      <filters>
        <filter val="Customer 17"/>
        <filter val="Customer 16"/>
        <filter val="Customer 12"/>
        <filter val="Customer 21 HOWRAH ,2580"/>
        <filter val="Customer 05"/>
        <filter val="Customer 10"/>
        <filter val="Customer 10+ 05DAYS HALTING 7518"/>
        <filter val="Transporter 29"/>
        <filter val="Customer 18"/>
        <filter val="Customer 20"/>
        <filter val="Customer 02"/>
        <filter val="Customer 09"/>
        <filter val="Customer 13"/>
        <filter val="Customer 14"/>
        <filter val="Customer 06"/>
        <filter val="Customer 15"/>
        <filter val="Customer 22"/>
        <filter val="Transporter 33"/>
        <filter val="Customer 01"/>
        <filter val="Customer 08"/>
        <filter val="Customer 07"/>
        <filter val="Customer 19"/>
        <filter val="Transporter 4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40D4-36F0-4B82-853A-BDB572F93470}">
  <sheetPr>
    <tabColor rgb="FF92D050"/>
  </sheetPr>
  <dimension ref="A1:U177"/>
  <sheetViews>
    <sheetView topLeftCell="H129" workbookViewId="0">
      <selection activeCell="O144" sqref="O144"/>
    </sheetView>
  </sheetViews>
  <sheetFormatPr defaultRowHeight="15" outlineLevelCol="1" x14ac:dyDescent="0.25"/>
  <cols>
    <col min="1" max="4" width="16.7109375" customWidth="1"/>
    <col min="5" max="7" width="23.85546875" customWidth="1"/>
    <col min="8" max="14" width="16.7109375" customWidth="1"/>
    <col min="15" max="15" width="28.5703125" customWidth="1"/>
    <col min="16" max="16" width="28.5703125" hidden="1" customWidth="1" outlineLevel="1"/>
    <col min="17" max="17" width="9.140625" collapsed="1"/>
  </cols>
  <sheetData>
    <row r="1" spans="1:16" ht="17.25" x14ac:dyDescent="0.3">
      <c r="A1" s="297" t="s">
        <v>3807</v>
      </c>
    </row>
    <row r="2" spans="1:16" x14ac:dyDescent="0.25">
      <c r="A2" s="322" t="s">
        <v>3793</v>
      </c>
      <c r="B2" s="323">
        <f>SUMPRODUCT(--(MARKET[LOAD DATE]&lt;&gt;""))</f>
        <v>171</v>
      </c>
      <c r="C2" s="324"/>
      <c r="D2" s="322" t="s">
        <v>3840</v>
      </c>
      <c r="E2" s="325">
        <f>SUM(MARKET[RATE (₹)])</f>
        <v>6780690</v>
      </c>
      <c r="F2" s="324"/>
      <c r="G2" s="322" t="s">
        <v>3843</v>
      </c>
      <c r="H2" s="325">
        <f>IFERROR(AVERAGE(MARKET[RATE (₹)]),"")</f>
        <v>39653.1578947368</v>
      </c>
      <c r="J2" s="319" t="s">
        <v>3804</v>
      </c>
    </row>
    <row r="3" spans="1:16" x14ac:dyDescent="0.25">
      <c r="A3" s="322" t="s">
        <v>3794</v>
      </c>
      <c r="B3" s="327" t="str">
        <f>TEXT(MIN(MARKET[LOAD DATE]),"mmm yyyy")&amp;" to "&amp;TEXT(MAX(MARKET[LOAD DATE]),"mmm yyyy")</f>
        <v>Apr 2025 to Sep 2026</v>
      </c>
      <c r="C3" s="324"/>
      <c r="D3" s="322" t="s">
        <v>3841</v>
      </c>
      <c r="E3" s="325">
        <f>SUM(MARKET[ADVANCE RECEIVED (₹)])</f>
        <v>6558710</v>
      </c>
      <c r="F3" s="324"/>
      <c r="G3" s="322" t="s">
        <v>3844</v>
      </c>
      <c r="H3" s="328">
        <f>IFERROR(AVERAGE(MARKET[DAYS TO RECEIVE]),"")</f>
        <v>7.0625</v>
      </c>
      <c r="J3" s="320" t="s">
        <v>3805</v>
      </c>
    </row>
    <row r="4" spans="1:16" x14ac:dyDescent="0.25">
      <c r="A4" s="322" t="s">
        <v>3839</v>
      </c>
      <c r="B4" s="323">
        <f>SUMPRODUCT((MARKET[CUSTOMER NAME]&lt;&gt;"")/COUNTIF(MARKET[CUSTOMER NAME],MARKET[CUSTOMER NAME]&amp;""))</f>
        <v>24</v>
      </c>
      <c r="C4" s="324"/>
      <c r="D4" s="322" t="s">
        <v>3842</v>
      </c>
      <c r="E4" s="325">
        <f>SUM(MARKET[BALANCE DUE (₹)])</f>
        <v>192280</v>
      </c>
      <c r="F4" s="324"/>
      <c r="G4" s="322" t="s">
        <v>3845</v>
      </c>
      <c r="H4" s="323">
        <f>COUNTIF(MARKET[LOAD DATE],"&gt;0")-COUNTIF(MARKET[POD STATUS],"DONE")</f>
        <v>27</v>
      </c>
      <c r="J4" s="321" t="s">
        <v>3846</v>
      </c>
    </row>
    <row r="6" spans="1:16" ht="33.950000000000003" customHeight="1" x14ac:dyDescent="0.25">
      <c r="A6" s="301" t="s">
        <v>16</v>
      </c>
      <c r="B6" s="301" t="s">
        <v>2979</v>
      </c>
      <c r="C6" s="301" t="s">
        <v>3707</v>
      </c>
      <c r="D6" s="301" t="s">
        <v>0</v>
      </c>
      <c r="E6" s="301" t="s">
        <v>3808</v>
      </c>
      <c r="F6" s="301" t="s">
        <v>3809</v>
      </c>
      <c r="G6" s="301" t="s">
        <v>3810</v>
      </c>
      <c r="H6" s="302" t="s">
        <v>3811</v>
      </c>
      <c r="I6" s="302" t="s">
        <v>3812</v>
      </c>
      <c r="J6" s="302" t="s">
        <v>3813</v>
      </c>
      <c r="K6" s="302" t="s">
        <v>2986</v>
      </c>
      <c r="L6" s="302" t="s">
        <v>3814</v>
      </c>
      <c r="M6" s="303" t="s">
        <v>3815</v>
      </c>
      <c r="N6" s="303" t="s">
        <v>3816</v>
      </c>
      <c r="O6" s="303" t="s">
        <v>3725</v>
      </c>
      <c r="P6" s="306" t="s">
        <v>3817</v>
      </c>
    </row>
    <row r="7" spans="1:16" x14ac:dyDescent="0.25">
      <c r="A7" s="307">
        <f>IF($B7="","",ROW()-6)</f>
        <v>1</v>
      </c>
      <c r="B7" s="308">
        <v>45756</v>
      </c>
      <c r="C7" s="309">
        <f>IF($B7="","",EOMONTH($B7,-1)+1)</f>
        <v>45748</v>
      </c>
      <c r="D7" s="310" t="s">
        <v>1637</v>
      </c>
      <c r="E7" s="316" t="s">
        <v>3818</v>
      </c>
      <c r="F7" s="316" t="s">
        <v>1808</v>
      </c>
      <c r="G7" s="316" t="s">
        <v>6</v>
      </c>
      <c r="H7" s="312">
        <v>54450</v>
      </c>
      <c r="I7" s="312">
        <v>54450</v>
      </c>
      <c r="J7" s="313">
        <f>IF(OR($H7="",$I7=""),"",$H7-$I7)</f>
        <v>0</v>
      </c>
      <c r="K7" s="308">
        <v>45761</v>
      </c>
      <c r="L7" s="315">
        <f>IF(OR($B7="",$K7=""),"",$K7-$B7)</f>
        <v>5</v>
      </c>
      <c r="M7" s="310" t="s">
        <v>147</v>
      </c>
      <c r="N7" s="310"/>
      <c r="O7" s="316" t="s">
        <v>3819</v>
      </c>
      <c r="P7" s="316" t="s">
        <v>147</v>
      </c>
    </row>
    <row r="8" spans="1:16" x14ac:dyDescent="0.25">
      <c r="A8" s="307">
        <f t="shared" ref="A8:A71" si="0">IF($B8="","",ROW()-6)</f>
        <v>2</v>
      </c>
      <c r="B8" s="308">
        <v>45765</v>
      </c>
      <c r="C8" s="309">
        <f t="shared" ref="C8:C71" si="1">IF($B8="","",EOMONTH($B8,-1)+1)</f>
        <v>45748</v>
      </c>
      <c r="D8" s="310" t="s">
        <v>1644</v>
      </c>
      <c r="E8" s="316" t="s">
        <v>2990</v>
      </c>
      <c r="F8" s="316" t="s">
        <v>41</v>
      </c>
      <c r="G8" s="316" t="s">
        <v>1542</v>
      </c>
      <c r="H8" s="312">
        <v>49500</v>
      </c>
      <c r="I8" s="312">
        <v>49500</v>
      </c>
      <c r="J8" s="313">
        <f t="shared" ref="J8:J71" si="2">IF(OR($H8="",$I8=""),"",$H8-$I8)</f>
        <v>0</v>
      </c>
      <c r="K8" s="308">
        <v>45768</v>
      </c>
      <c r="L8" s="315">
        <f t="shared" ref="L8:L71" si="3">IF(OR($B8="",$K8=""),"",$K8-$B8)</f>
        <v>3</v>
      </c>
      <c r="M8" s="310" t="s">
        <v>147</v>
      </c>
      <c r="N8" s="310"/>
      <c r="O8" s="316" t="s">
        <v>3819</v>
      </c>
      <c r="P8" s="316" t="s">
        <v>147</v>
      </c>
    </row>
    <row r="9" spans="1:16" x14ac:dyDescent="0.25">
      <c r="A9" s="307">
        <f t="shared" si="0"/>
        <v>3</v>
      </c>
      <c r="B9" s="308">
        <v>45768</v>
      </c>
      <c r="C9" s="309">
        <f t="shared" si="1"/>
        <v>45748</v>
      </c>
      <c r="D9" s="310" t="s">
        <v>1635</v>
      </c>
      <c r="E9" s="316" t="s">
        <v>2990</v>
      </c>
      <c r="F9" s="316" t="s">
        <v>2991</v>
      </c>
      <c r="G9" s="316" t="s">
        <v>1816</v>
      </c>
      <c r="H9" s="312">
        <v>57420</v>
      </c>
      <c r="I9" s="312">
        <v>57420</v>
      </c>
      <c r="J9" s="313">
        <f t="shared" si="2"/>
        <v>0</v>
      </c>
      <c r="K9" s="308">
        <v>45772</v>
      </c>
      <c r="L9" s="315">
        <f t="shared" si="3"/>
        <v>4</v>
      </c>
      <c r="M9" s="310" t="s">
        <v>147</v>
      </c>
      <c r="N9" s="310"/>
      <c r="O9" s="316" t="s">
        <v>3819</v>
      </c>
      <c r="P9" s="316" t="s">
        <v>147</v>
      </c>
    </row>
    <row r="10" spans="1:16" x14ac:dyDescent="0.25">
      <c r="A10" s="307">
        <f t="shared" si="0"/>
        <v>4</v>
      </c>
      <c r="B10" s="308">
        <v>45772</v>
      </c>
      <c r="C10" s="309">
        <f t="shared" si="1"/>
        <v>45748</v>
      </c>
      <c r="D10" s="310" t="s">
        <v>1637</v>
      </c>
      <c r="E10" s="316" t="s">
        <v>3818</v>
      </c>
      <c r="F10" s="316" t="s">
        <v>1808</v>
      </c>
      <c r="G10" s="316" t="s">
        <v>2365</v>
      </c>
      <c r="H10" s="312">
        <v>49500</v>
      </c>
      <c r="I10" s="312">
        <v>49500</v>
      </c>
      <c r="J10" s="313">
        <f t="shared" si="2"/>
        <v>0</v>
      </c>
      <c r="K10" s="308">
        <v>45776</v>
      </c>
      <c r="L10" s="315">
        <f t="shared" si="3"/>
        <v>4</v>
      </c>
      <c r="M10" s="310" t="s">
        <v>147</v>
      </c>
      <c r="N10" s="310"/>
      <c r="O10" s="316" t="s">
        <v>3819</v>
      </c>
      <c r="P10" s="316" t="s">
        <v>147</v>
      </c>
    </row>
    <row r="11" spans="1:16" x14ac:dyDescent="0.25">
      <c r="A11" s="307">
        <f t="shared" si="0"/>
        <v>5</v>
      </c>
      <c r="B11" s="308">
        <v>45772</v>
      </c>
      <c r="C11" s="309">
        <f t="shared" si="1"/>
        <v>45748</v>
      </c>
      <c r="D11" s="310" t="s">
        <v>1644</v>
      </c>
      <c r="E11" s="316" t="s">
        <v>3818</v>
      </c>
      <c r="F11" s="316" t="s">
        <v>41</v>
      </c>
      <c r="G11" s="316" t="s">
        <v>2365</v>
      </c>
      <c r="H11" s="312">
        <v>49830</v>
      </c>
      <c r="I11" s="312">
        <v>49830</v>
      </c>
      <c r="J11" s="313">
        <f t="shared" si="2"/>
        <v>0</v>
      </c>
      <c r="K11" s="308">
        <v>45778</v>
      </c>
      <c r="L11" s="315">
        <f t="shared" si="3"/>
        <v>6</v>
      </c>
      <c r="M11" s="310" t="s">
        <v>147</v>
      </c>
      <c r="N11" s="310"/>
      <c r="O11" s="316" t="s">
        <v>3819</v>
      </c>
      <c r="P11" s="316" t="s">
        <v>147</v>
      </c>
    </row>
    <row r="12" spans="1:16" x14ac:dyDescent="0.25">
      <c r="A12" s="307">
        <f t="shared" si="0"/>
        <v>6</v>
      </c>
      <c r="B12" s="308">
        <v>45773</v>
      </c>
      <c r="C12" s="309">
        <f t="shared" si="1"/>
        <v>45748</v>
      </c>
      <c r="D12" s="310" t="s">
        <v>60</v>
      </c>
      <c r="E12" s="316" t="s">
        <v>2990</v>
      </c>
      <c r="F12" s="316" t="s">
        <v>2992</v>
      </c>
      <c r="G12" s="316" t="s">
        <v>2993</v>
      </c>
      <c r="H12" s="312">
        <v>54580</v>
      </c>
      <c r="I12" s="312">
        <v>54580</v>
      </c>
      <c r="J12" s="313">
        <f t="shared" si="2"/>
        <v>0</v>
      </c>
      <c r="K12" s="308">
        <v>45775</v>
      </c>
      <c r="L12" s="315">
        <f t="shared" si="3"/>
        <v>2</v>
      </c>
      <c r="M12" s="310" t="s">
        <v>147</v>
      </c>
      <c r="N12" s="310"/>
      <c r="O12" s="316" t="s">
        <v>3819</v>
      </c>
      <c r="P12" s="316" t="s">
        <v>147</v>
      </c>
    </row>
    <row r="13" spans="1:16" x14ac:dyDescent="0.25">
      <c r="A13" s="307">
        <f t="shared" si="0"/>
        <v>7</v>
      </c>
      <c r="B13" s="308">
        <v>45782</v>
      </c>
      <c r="C13" s="309">
        <f t="shared" si="1"/>
        <v>45778</v>
      </c>
      <c r="D13" s="310" t="s">
        <v>1644</v>
      </c>
      <c r="E13" s="316" t="s">
        <v>3818</v>
      </c>
      <c r="F13" s="316" t="s">
        <v>1808</v>
      </c>
      <c r="G13" s="316" t="s">
        <v>2365</v>
      </c>
      <c r="H13" s="312">
        <v>50490</v>
      </c>
      <c r="I13" s="312">
        <v>50490</v>
      </c>
      <c r="J13" s="313">
        <f t="shared" si="2"/>
        <v>0</v>
      </c>
      <c r="K13" s="308">
        <v>45792</v>
      </c>
      <c r="L13" s="315">
        <f t="shared" si="3"/>
        <v>10</v>
      </c>
      <c r="M13" s="310" t="s">
        <v>147</v>
      </c>
      <c r="N13" s="310"/>
      <c r="O13" s="316" t="s">
        <v>3819</v>
      </c>
      <c r="P13" s="316" t="s">
        <v>147</v>
      </c>
    </row>
    <row r="14" spans="1:16" x14ac:dyDescent="0.25">
      <c r="A14" s="307">
        <f t="shared" si="0"/>
        <v>8</v>
      </c>
      <c r="B14" s="308">
        <v>45782</v>
      </c>
      <c r="C14" s="309">
        <f t="shared" si="1"/>
        <v>45778</v>
      </c>
      <c r="D14" s="310" t="s">
        <v>1637</v>
      </c>
      <c r="E14" s="316" t="s">
        <v>2990</v>
      </c>
      <c r="F14" s="316" t="s">
        <v>2992</v>
      </c>
      <c r="G14" s="316" t="s">
        <v>2994</v>
      </c>
      <c r="H14" s="312">
        <v>56100</v>
      </c>
      <c r="I14" s="312">
        <v>56100</v>
      </c>
      <c r="J14" s="313">
        <f t="shared" si="2"/>
        <v>0</v>
      </c>
      <c r="K14" s="308">
        <v>45783</v>
      </c>
      <c r="L14" s="315">
        <f t="shared" si="3"/>
        <v>1</v>
      </c>
      <c r="M14" s="310" t="s">
        <v>147</v>
      </c>
      <c r="N14" s="310"/>
      <c r="O14" s="316" t="s">
        <v>3819</v>
      </c>
      <c r="P14" s="316" t="s">
        <v>147</v>
      </c>
    </row>
    <row r="15" spans="1:16" x14ac:dyDescent="0.25">
      <c r="A15" s="307">
        <f t="shared" si="0"/>
        <v>9</v>
      </c>
      <c r="B15" s="308">
        <v>45784</v>
      </c>
      <c r="C15" s="309">
        <f t="shared" si="1"/>
        <v>45778</v>
      </c>
      <c r="D15" s="310" t="s">
        <v>1635</v>
      </c>
      <c r="E15" s="316" t="s">
        <v>3818</v>
      </c>
      <c r="F15" s="316" t="s">
        <v>1808</v>
      </c>
      <c r="G15" s="316" t="s">
        <v>6</v>
      </c>
      <c r="H15" s="312">
        <v>54450</v>
      </c>
      <c r="I15" s="312">
        <v>54450</v>
      </c>
      <c r="J15" s="313">
        <f t="shared" si="2"/>
        <v>0</v>
      </c>
      <c r="K15" s="308">
        <v>45784</v>
      </c>
      <c r="L15" s="315">
        <f t="shared" si="3"/>
        <v>0</v>
      </c>
      <c r="M15" s="310" t="s">
        <v>147</v>
      </c>
      <c r="N15" s="310"/>
      <c r="O15" s="316" t="s">
        <v>3819</v>
      </c>
      <c r="P15" s="316" t="s">
        <v>147</v>
      </c>
    </row>
    <row r="16" spans="1:16" x14ac:dyDescent="0.25">
      <c r="A16" s="307">
        <f t="shared" si="0"/>
        <v>10</v>
      </c>
      <c r="B16" s="308">
        <v>45793</v>
      </c>
      <c r="C16" s="309">
        <f t="shared" si="1"/>
        <v>45778</v>
      </c>
      <c r="D16" s="310" t="s">
        <v>1635</v>
      </c>
      <c r="E16" s="316" t="s">
        <v>2350</v>
      </c>
      <c r="F16" s="316" t="s">
        <v>440</v>
      </c>
      <c r="G16" s="316" t="s">
        <v>1093</v>
      </c>
      <c r="H16" s="312">
        <v>9900</v>
      </c>
      <c r="I16" s="312">
        <v>9900</v>
      </c>
      <c r="J16" s="313">
        <f t="shared" si="2"/>
        <v>0</v>
      </c>
      <c r="K16" s="308">
        <v>45840</v>
      </c>
      <c r="L16" s="315">
        <f t="shared" si="3"/>
        <v>47</v>
      </c>
      <c r="M16" s="310" t="s">
        <v>147</v>
      </c>
      <c r="N16" s="310"/>
      <c r="O16" s="316" t="s">
        <v>3819</v>
      </c>
      <c r="P16" s="316" t="s">
        <v>147</v>
      </c>
    </row>
    <row r="17" spans="1:16" x14ac:dyDescent="0.25">
      <c r="A17" s="307">
        <f t="shared" si="0"/>
        <v>11</v>
      </c>
      <c r="B17" s="308">
        <v>45796</v>
      </c>
      <c r="C17" s="309">
        <f t="shared" si="1"/>
        <v>45778</v>
      </c>
      <c r="D17" s="310" t="s">
        <v>1637</v>
      </c>
      <c r="E17" s="316" t="s">
        <v>2990</v>
      </c>
      <c r="F17" s="316" t="s">
        <v>2995</v>
      </c>
      <c r="G17" s="316" t="s">
        <v>2996</v>
      </c>
      <c r="H17" s="312">
        <v>56100</v>
      </c>
      <c r="I17" s="312">
        <v>56100</v>
      </c>
      <c r="J17" s="313">
        <f t="shared" si="2"/>
        <v>0</v>
      </c>
      <c r="K17" s="308">
        <v>45798</v>
      </c>
      <c r="L17" s="315">
        <f t="shared" si="3"/>
        <v>2</v>
      </c>
      <c r="M17" s="310" t="s">
        <v>147</v>
      </c>
      <c r="N17" s="310"/>
      <c r="O17" s="316" t="s">
        <v>3819</v>
      </c>
      <c r="P17" s="316" t="s">
        <v>147</v>
      </c>
    </row>
    <row r="18" spans="1:16" x14ac:dyDescent="0.25">
      <c r="A18" s="307">
        <f t="shared" si="0"/>
        <v>12</v>
      </c>
      <c r="B18" s="308">
        <v>45813</v>
      </c>
      <c r="C18" s="309">
        <f t="shared" si="1"/>
        <v>45809</v>
      </c>
      <c r="D18" s="310" t="s">
        <v>1644</v>
      </c>
      <c r="E18" s="316" t="s">
        <v>2517</v>
      </c>
      <c r="F18" s="316" t="s">
        <v>440</v>
      </c>
      <c r="G18" s="316" t="s">
        <v>2997</v>
      </c>
      <c r="H18" s="312">
        <v>14520</v>
      </c>
      <c r="I18" s="312">
        <v>14520</v>
      </c>
      <c r="J18" s="313">
        <f t="shared" si="2"/>
        <v>0</v>
      </c>
      <c r="K18" s="308">
        <v>45819</v>
      </c>
      <c r="L18" s="315">
        <f t="shared" si="3"/>
        <v>6</v>
      </c>
      <c r="M18" s="310" t="s">
        <v>147</v>
      </c>
      <c r="N18" s="310"/>
      <c r="O18" s="316" t="s">
        <v>3819</v>
      </c>
      <c r="P18" s="316" t="s">
        <v>147</v>
      </c>
    </row>
    <row r="19" spans="1:16" x14ac:dyDescent="0.25">
      <c r="A19" s="307">
        <f t="shared" si="0"/>
        <v>13</v>
      </c>
      <c r="B19" s="308">
        <v>45814</v>
      </c>
      <c r="C19" s="309">
        <f t="shared" si="1"/>
        <v>45809</v>
      </c>
      <c r="D19" s="310" t="s">
        <v>1637</v>
      </c>
      <c r="E19" s="316" t="s">
        <v>2990</v>
      </c>
      <c r="F19" s="316" t="s">
        <v>2998</v>
      </c>
      <c r="G19" s="316" t="s">
        <v>2365</v>
      </c>
      <c r="H19" s="312">
        <v>54780</v>
      </c>
      <c r="I19" s="312">
        <v>54780</v>
      </c>
      <c r="J19" s="313">
        <f t="shared" si="2"/>
        <v>0</v>
      </c>
      <c r="K19" s="308">
        <v>45814</v>
      </c>
      <c r="L19" s="315">
        <f t="shared" si="3"/>
        <v>0</v>
      </c>
      <c r="M19" s="310" t="s">
        <v>147</v>
      </c>
      <c r="N19" s="310"/>
      <c r="O19" s="316" t="s">
        <v>3819</v>
      </c>
      <c r="P19" s="316" t="s">
        <v>147</v>
      </c>
    </row>
    <row r="20" spans="1:16" x14ac:dyDescent="0.25">
      <c r="A20" s="307">
        <f t="shared" si="0"/>
        <v>14</v>
      </c>
      <c r="B20" s="308">
        <v>45817</v>
      </c>
      <c r="C20" s="309">
        <f t="shared" si="1"/>
        <v>45809</v>
      </c>
      <c r="D20" s="310" t="s">
        <v>1637</v>
      </c>
      <c r="E20" s="316" t="s">
        <v>3820</v>
      </c>
      <c r="F20" s="316" t="s">
        <v>3000</v>
      </c>
      <c r="G20" s="316" t="s">
        <v>6</v>
      </c>
      <c r="H20" s="312">
        <v>16500</v>
      </c>
      <c r="I20" s="312">
        <v>16500</v>
      </c>
      <c r="J20" s="313">
        <f t="shared" si="2"/>
        <v>0</v>
      </c>
      <c r="K20" s="308">
        <v>45819</v>
      </c>
      <c r="L20" s="315">
        <f t="shared" si="3"/>
        <v>2</v>
      </c>
      <c r="M20" s="310" t="s">
        <v>147</v>
      </c>
      <c r="N20" s="310"/>
      <c r="O20" s="316" t="s">
        <v>3819</v>
      </c>
      <c r="P20" s="316" t="s">
        <v>147</v>
      </c>
    </row>
    <row r="21" spans="1:16" x14ac:dyDescent="0.25">
      <c r="A21" s="307">
        <f t="shared" si="0"/>
        <v>15</v>
      </c>
      <c r="B21" s="308">
        <v>45836</v>
      </c>
      <c r="C21" s="309">
        <f t="shared" si="1"/>
        <v>45809</v>
      </c>
      <c r="D21" s="310" t="s">
        <v>1644</v>
      </c>
      <c r="E21" s="316" t="s">
        <v>2517</v>
      </c>
      <c r="F21" s="316" t="s">
        <v>440</v>
      </c>
      <c r="G21" s="316" t="s">
        <v>3001</v>
      </c>
      <c r="H21" s="312">
        <v>56100</v>
      </c>
      <c r="I21" s="312">
        <v>56100</v>
      </c>
      <c r="J21" s="313">
        <f t="shared" si="2"/>
        <v>0</v>
      </c>
      <c r="K21" s="308">
        <v>45884</v>
      </c>
      <c r="L21" s="315">
        <f t="shared" si="3"/>
        <v>48</v>
      </c>
      <c r="M21" s="310" t="s">
        <v>147</v>
      </c>
      <c r="N21" s="310"/>
      <c r="O21" s="316" t="s">
        <v>3819</v>
      </c>
      <c r="P21" s="316" t="s">
        <v>147</v>
      </c>
    </row>
    <row r="22" spans="1:16" x14ac:dyDescent="0.25">
      <c r="A22" s="307">
        <f t="shared" si="0"/>
        <v>16</v>
      </c>
      <c r="B22" s="308">
        <v>45841</v>
      </c>
      <c r="C22" s="309">
        <f t="shared" si="1"/>
        <v>45839</v>
      </c>
      <c r="D22" s="310" t="s">
        <v>60</v>
      </c>
      <c r="E22" s="316" t="s">
        <v>2990</v>
      </c>
      <c r="F22" s="316" t="s">
        <v>3002</v>
      </c>
      <c r="G22" s="316" t="s">
        <v>3003</v>
      </c>
      <c r="H22" s="312">
        <v>49500</v>
      </c>
      <c r="I22" s="312">
        <v>49500</v>
      </c>
      <c r="J22" s="313">
        <f t="shared" si="2"/>
        <v>0</v>
      </c>
      <c r="K22" s="308">
        <v>45843</v>
      </c>
      <c r="L22" s="315">
        <f t="shared" si="3"/>
        <v>2</v>
      </c>
      <c r="M22" s="310" t="s">
        <v>147</v>
      </c>
      <c r="N22" s="310"/>
      <c r="O22" s="316" t="s">
        <v>3819</v>
      </c>
      <c r="P22" s="316" t="s">
        <v>147</v>
      </c>
    </row>
    <row r="23" spans="1:16" x14ac:dyDescent="0.25">
      <c r="A23" s="307">
        <f t="shared" si="0"/>
        <v>17</v>
      </c>
      <c r="B23" s="308">
        <v>45844</v>
      </c>
      <c r="C23" s="309">
        <f t="shared" si="1"/>
        <v>45839</v>
      </c>
      <c r="D23" s="310" t="s">
        <v>60</v>
      </c>
      <c r="E23" s="316" t="s">
        <v>3004</v>
      </c>
      <c r="F23" s="316" t="s">
        <v>3005</v>
      </c>
      <c r="G23" s="316" t="s">
        <v>3006</v>
      </c>
      <c r="H23" s="312">
        <v>6600</v>
      </c>
      <c r="I23" s="312">
        <v>6600</v>
      </c>
      <c r="J23" s="313">
        <f t="shared" si="2"/>
        <v>0</v>
      </c>
      <c r="K23" s="308">
        <v>45844</v>
      </c>
      <c r="L23" s="315">
        <f t="shared" si="3"/>
        <v>0</v>
      </c>
      <c r="M23" s="310" t="s">
        <v>147</v>
      </c>
      <c r="N23" s="310"/>
      <c r="O23" s="316" t="s">
        <v>3819</v>
      </c>
      <c r="P23" s="316" t="s">
        <v>147</v>
      </c>
    </row>
    <row r="24" spans="1:16" x14ac:dyDescent="0.25">
      <c r="A24" s="307">
        <f t="shared" si="0"/>
        <v>18</v>
      </c>
      <c r="B24" s="308">
        <v>45841</v>
      </c>
      <c r="C24" s="309">
        <f t="shared" si="1"/>
        <v>45839</v>
      </c>
      <c r="D24" s="310" t="s">
        <v>1641</v>
      </c>
      <c r="E24" s="316" t="s">
        <v>2990</v>
      </c>
      <c r="F24" s="316" t="s">
        <v>3007</v>
      </c>
      <c r="G24" s="316" t="s">
        <v>1314</v>
      </c>
      <c r="H24" s="312">
        <v>58080</v>
      </c>
      <c r="I24" s="312">
        <v>58080</v>
      </c>
      <c r="J24" s="313">
        <f t="shared" si="2"/>
        <v>0</v>
      </c>
      <c r="K24" s="308">
        <v>45843</v>
      </c>
      <c r="L24" s="315">
        <f t="shared" si="3"/>
        <v>2</v>
      </c>
      <c r="M24" s="310" t="s">
        <v>147</v>
      </c>
      <c r="N24" s="310"/>
      <c r="O24" s="316" t="s">
        <v>3819</v>
      </c>
      <c r="P24" s="316" t="s">
        <v>147</v>
      </c>
    </row>
    <row r="25" spans="1:16" x14ac:dyDescent="0.25">
      <c r="A25" s="307">
        <f t="shared" si="0"/>
        <v>19</v>
      </c>
      <c r="B25" s="308">
        <v>45843</v>
      </c>
      <c r="C25" s="309">
        <f t="shared" si="1"/>
        <v>45839</v>
      </c>
      <c r="D25" s="310" t="s">
        <v>1637</v>
      </c>
      <c r="E25" s="316" t="s">
        <v>3818</v>
      </c>
      <c r="F25" s="316" t="s">
        <v>1808</v>
      </c>
      <c r="G25" s="316" t="s">
        <v>6</v>
      </c>
      <c r="H25" s="312">
        <v>52470</v>
      </c>
      <c r="I25" s="312">
        <v>52470</v>
      </c>
      <c r="J25" s="313">
        <f t="shared" si="2"/>
        <v>0</v>
      </c>
      <c r="K25" s="308">
        <v>45846</v>
      </c>
      <c r="L25" s="315">
        <f t="shared" si="3"/>
        <v>3</v>
      </c>
      <c r="M25" s="310" t="s">
        <v>147</v>
      </c>
      <c r="N25" s="310"/>
      <c r="O25" s="316" t="s">
        <v>3819</v>
      </c>
      <c r="P25" s="316" t="s">
        <v>147</v>
      </c>
    </row>
    <row r="26" spans="1:16" x14ac:dyDescent="0.25">
      <c r="A26" s="307">
        <f t="shared" si="0"/>
        <v>20</v>
      </c>
      <c r="B26" s="308">
        <v>45851</v>
      </c>
      <c r="C26" s="309">
        <f t="shared" si="1"/>
        <v>45839</v>
      </c>
      <c r="D26" s="310" t="s">
        <v>1635</v>
      </c>
      <c r="E26" s="316" t="s">
        <v>3821</v>
      </c>
      <c r="F26" s="316" t="s">
        <v>3010</v>
      </c>
      <c r="G26" s="316" t="s">
        <v>6</v>
      </c>
      <c r="H26" s="312">
        <v>59400</v>
      </c>
      <c r="I26" s="312">
        <v>59400</v>
      </c>
      <c r="J26" s="313">
        <f t="shared" si="2"/>
        <v>0</v>
      </c>
      <c r="K26" s="308">
        <v>45930</v>
      </c>
      <c r="L26" s="315">
        <f t="shared" si="3"/>
        <v>79</v>
      </c>
      <c r="M26" s="310" t="s">
        <v>147</v>
      </c>
      <c r="N26" s="310"/>
      <c r="O26" s="316" t="s">
        <v>3819</v>
      </c>
      <c r="P26" s="316" t="s">
        <v>147</v>
      </c>
    </row>
    <row r="27" spans="1:16" x14ac:dyDescent="0.25">
      <c r="A27" s="307">
        <f t="shared" si="0"/>
        <v>21</v>
      </c>
      <c r="B27" s="308">
        <v>45860</v>
      </c>
      <c r="C27" s="309">
        <f t="shared" si="1"/>
        <v>45839</v>
      </c>
      <c r="D27" s="310" t="s">
        <v>1635</v>
      </c>
      <c r="E27" s="316" t="s">
        <v>3818</v>
      </c>
      <c r="F27" s="316" t="s">
        <v>1808</v>
      </c>
      <c r="G27" s="316" t="s">
        <v>2365</v>
      </c>
      <c r="H27" s="312">
        <v>48840</v>
      </c>
      <c r="I27" s="312">
        <v>48840</v>
      </c>
      <c r="J27" s="313">
        <f t="shared" si="2"/>
        <v>0</v>
      </c>
      <c r="K27" s="308">
        <v>45863</v>
      </c>
      <c r="L27" s="315">
        <f t="shared" si="3"/>
        <v>3</v>
      </c>
      <c r="M27" s="310" t="s">
        <v>147</v>
      </c>
      <c r="N27" s="310"/>
      <c r="O27" s="316" t="s">
        <v>3819</v>
      </c>
      <c r="P27" s="316" t="s">
        <v>147</v>
      </c>
    </row>
    <row r="28" spans="1:16" x14ac:dyDescent="0.25">
      <c r="A28" s="307">
        <f t="shared" si="0"/>
        <v>22</v>
      </c>
      <c r="B28" s="308">
        <v>45876</v>
      </c>
      <c r="C28" s="309">
        <f t="shared" si="1"/>
        <v>45870</v>
      </c>
      <c r="D28" s="310" t="s">
        <v>1637</v>
      </c>
      <c r="E28" s="316" t="s">
        <v>3818</v>
      </c>
      <c r="F28" s="316" t="s">
        <v>1808</v>
      </c>
      <c r="G28" s="316" t="s">
        <v>6</v>
      </c>
      <c r="H28" s="312">
        <v>49500</v>
      </c>
      <c r="I28" s="312">
        <v>49500</v>
      </c>
      <c r="J28" s="313">
        <f t="shared" si="2"/>
        <v>0</v>
      </c>
      <c r="K28" s="308"/>
      <c r="L28" s="315" t="str">
        <f t="shared" si="3"/>
        <v/>
      </c>
      <c r="M28" s="310" t="s">
        <v>147</v>
      </c>
      <c r="N28" s="310"/>
      <c r="O28" s="316" t="s">
        <v>3819</v>
      </c>
      <c r="P28" s="316" t="s">
        <v>147</v>
      </c>
    </row>
    <row r="29" spans="1:16" x14ac:dyDescent="0.25">
      <c r="A29" s="307">
        <f t="shared" si="0"/>
        <v>23</v>
      </c>
      <c r="B29" s="308">
        <v>45883</v>
      </c>
      <c r="C29" s="309">
        <f t="shared" si="1"/>
        <v>45870</v>
      </c>
      <c r="D29" s="310" t="s">
        <v>60</v>
      </c>
      <c r="E29" s="316" t="s">
        <v>2990</v>
      </c>
      <c r="F29" s="316" t="s">
        <v>3011</v>
      </c>
      <c r="G29" s="316" t="s">
        <v>1314</v>
      </c>
      <c r="H29" s="312">
        <v>52800</v>
      </c>
      <c r="I29" s="312">
        <v>52800</v>
      </c>
      <c r="J29" s="313">
        <f t="shared" si="2"/>
        <v>0</v>
      </c>
      <c r="K29" s="308">
        <v>45885</v>
      </c>
      <c r="L29" s="315">
        <f t="shared" si="3"/>
        <v>2</v>
      </c>
      <c r="M29" s="310" t="s">
        <v>147</v>
      </c>
      <c r="N29" s="310"/>
      <c r="O29" s="316" t="s">
        <v>3819</v>
      </c>
      <c r="P29" s="316" t="s">
        <v>147</v>
      </c>
    </row>
    <row r="30" spans="1:16" x14ac:dyDescent="0.25">
      <c r="A30" s="307">
        <f t="shared" si="0"/>
        <v>24</v>
      </c>
      <c r="B30" s="308">
        <v>45886</v>
      </c>
      <c r="C30" s="309">
        <f t="shared" si="1"/>
        <v>45870</v>
      </c>
      <c r="D30" s="310" t="s">
        <v>1641</v>
      </c>
      <c r="E30" s="316" t="s">
        <v>2990</v>
      </c>
      <c r="F30" s="316" t="s">
        <v>3011</v>
      </c>
      <c r="G30" s="316" t="s">
        <v>1314</v>
      </c>
      <c r="H30" s="312">
        <v>52800</v>
      </c>
      <c r="I30" s="312">
        <v>52800</v>
      </c>
      <c r="J30" s="313">
        <f t="shared" si="2"/>
        <v>0</v>
      </c>
      <c r="K30" s="308">
        <v>45890</v>
      </c>
      <c r="L30" s="315">
        <f t="shared" si="3"/>
        <v>4</v>
      </c>
      <c r="M30" s="310" t="s">
        <v>147</v>
      </c>
      <c r="N30" s="310"/>
      <c r="O30" s="316" t="s">
        <v>3819</v>
      </c>
      <c r="P30" s="316" t="s">
        <v>147</v>
      </c>
    </row>
    <row r="31" spans="1:16" x14ac:dyDescent="0.25">
      <c r="A31" s="307">
        <f t="shared" si="0"/>
        <v>25</v>
      </c>
      <c r="B31" s="308">
        <v>45887</v>
      </c>
      <c r="C31" s="309">
        <f t="shared" si="1"/>
        <v>45870</v>
      </c>
      <c r="D31" s="310" t="s">
        <v>1637</v>
      </c>
      <c r="E31" s="316" t="s">
        <v>2990</v>
      </c>
      <c r="F31" s="316" t="s">
        <v>3011</v>
      </c>
      <c r="G31" s="316" t="s">
        <v>1314</v>
      </c>
      <c r="H31" s="312">
        <v>52800</v>
      </c>
      <c r="I31" s="312">
        <v>5280</v>
      </c>
      <c r="J31" s="313">
        <f t="shared" si="2"/>
        <v>47520</v>
      </c>
      <c r="K31" s="308">
        <v>45890</v>
      </c>
      <c r="L31" s="315">
        <f t="shared" si="3"/>
        <v>3</v>
      </c>
      <c r="M31" s="310" t="s">
        <v>147</v>
      </c>
      <c r="N31" s="310"/>
      <c r="O31" s="316" t="s">
        <v>3819</v>
      </c>
      <c r="P31" s="316" t="s">
        <v>147</v>
      </c>
    </row>
    <row r="32" spans="1:16" x14ac:dyDescent="0.25">
      <c r="A32" s="307">
        <f t="shared" si="0"/>
        <v>26</v>
      </c>
      <c r="B32" s="308">
        <v>45891</v>
      </c>
      <c r="C32" s="309">
        <f t="shared" si="1"/>
        <v>45870</v>
      </c>
      <c r="D32" s="310" t="s">
        <v>1644</v>
      </c>
      <c r="E32" s="316" t="s">
        <v>2990</v>
      </c>
      <c r="F32" s="316" t="s">
        <v>45</v>
      </c>
      <c r="G32" s="316" t="s">
        <v>1542</v>
      </c>
      <c r="H32" s="312">
        <v>48180</v>
      </c>
      <c r="I32" s="312">
        <v>48180</v>
      </c>
      <c r="J32" s="313">
        <f t="shared" si="2"/>
        <v>0</v>
      </c>
      <c r="K32" s="308"/>
      <c r="L32" s="315" t="str">
        <f t="shared" si="3"/>
        <v/>
      </c>
      <c r="M32" s="310" t="s">
        <v>147</v>
      </c>
      <c r="N32" s="310"/>
      <c r="O32" s="316" t="s">
        <v>3819</v>
      </c>
      <c r="P32" s="316" t="s">
        <v>147</v>
      </c>
    </row>
    <row r="33" spans="1:16" x14ac:dyDescent="0.25">
      <c r="A33" s="307">
        <f t="shared" si="0"/>
        <v>27</v>
      </c>
      <c r="B33" s="308">
        <v>45892</v>
      </c>
      <c r="C33" s="309">
        <f t="shared" si="1"/>
        <v>45870</v>
      </c>
      <c r="D33" s="310" t="s">
        <v>3012</v>
      </c>
      <c r="E33" s="316" t="s">
        <v>3818</v>
      </c>
      <c r="F33" s="316" t="s">
        <v>1808</v>
      </c>
      <c r="G33" s="316" t="s">
        <v>6</v>
      </c>
      <c r="H33" s="312">
        <v>49170</v>
      </c>
      <c r="I33" s="312">
        <v>49170</v>
      </c>
      <c r="J33" s="313">
        <f t="shared" si="2"/>
        <v>0</v>
      </c>
      <c r="K33" s="308"/>
      <c r="L33" s="315" t="str">
        <f t="shared" si="3"/>
        <v/>
      </c>
      <c r="M33" s="310" t="s">
        <v>147</v>
      </c>
      <c r="N33" s="310"/>
      <c r="O33" s="316" t="s">
        <v>3819</v>
      </c>
      <c r="P33" s="316" t="s">
        <v>147</v>
      </c>
    </row>
    <row r="34" spans="1:16" x14ac:dyDescent="0.25">
      <c r="A34" s="307">
        <f t="shared" si="0"/>
        <v>28</v>
      </c>
      <c r="B34" s="308">
        <v>45894</v>
      </c>
      <c r="C34" s="309">
        <f t="shared" si="1"/>
        <v>45870</v>
      </c>
      <c r="D34" s="310" t="s">
        <v>2336</v>
      </c>
      <c r="E34" s="316" t="s">
        <v>3818</v>
      </c>
      <c r="F34" s="316" t="s">
        <v>3013</v>
      </c>
      <c r="G34" s="316" t="s">
        <v>1542</v>
      </c>
      <c r="H34" s="312">
        <v>46860</v>
      </c>
      <c r="I34" s="312">
        <v>46860</v>
      </c>
      <c r="J34" s="313">
        <f t="shared" si="2"/>
        <v>0</v>
      </c>
      <c r="K34" s="308"/>
      <c r="L34" s="315" t="str">
        <f t="shared" si="3"/>
        <v/>
      </c>
      <c r="M34" s="310" t="s">
        <v>147</v>
      </c>
      <c r="N34" s="310"/>
      <c r="O34" s="316" t="s">
        <v>3819</v>
      </c>
      <c r="P34" s="316" t="s">
        <v>147</v>
      </c>
    </row>
    <row r="35" spans="1:16" x14ac:dyDescent="0.25">
      <c r="A35" s="307">
        <f t="shared" si="0"/>
        <v>29</v>
      </c>
      <c r="B35" s="308">
        <v>45904</v>
      </c>
      <c r="C35" s="309">
        <f t="shared" si="1"/>
        <v>45901</v>
      </c>
      <c r="D35" s="310" t="s">
        <v>1641</v>
      </c>
      <c r="E35" s="316" t="s">
        <v>2990</v>
      </c>
      <c r="F35" s="316" t="s">
        <v>3011</v>
      </c>
      <c r="G35" s="316" t="s">
        <v>1314</v>
      </c>
      <c r="H35" s="312">
        <v>54120</v>
      </c>
      <c r="I35" s="312">
        <v>54120</v>
      </c>
      <c r="J35" s="313">
        <f t="shared" si="2"/>
        <v>0</v>
      </c>
      <c r="K35" s="308">
        <v>46000</v>
      </c>
      <c r="L35" s="315">
        <f t="shared" si="3"/>
        <v>96</v>
      </c>
      <c r="M35" s="310" t="s">
        <v>147</v>
      </c>
      <c r="N35" s="310"/>
      <c r="O35" s="316" t="s">
        <v>3819</v>
      </c>
      <c r="P35" s="316" t="s">
        <v>147</v>
      </c>
    </row>
    <row r="36" spans="1:16" x14ac:dyDescent="0.25">
      <c r="A36" s="307">
        <f t="shared" si="0"/>
        <v>30</v>
      </c>
      <c r="B36" s="308">
        <v>45910</v>
      </c>
      <c r="C36" s="309">
        <f t="shared" si="1"/>
        <v>45901</v>
      </c>
      <c r="D36" s="310" t="s">
        <v>1644</v>
      </c>
      <c r="E36" s="316" t="s">
        <v>2990</v>
      </c>
      <c r="F36" s="316" t="s">
        <v>3011</v>
      </c>
      <c r="G36" s="316" t="s">
        <v>1314</v>
      </c>
      <c r="H36" s="312">
        <v>54120</v>
      </c>
      <c r="I36" s="312">
        <v>54120</v>
      </c>
      <c r="J36" s="313">
        <f t="shared" si="2"/>
        <v>0</v>
      </c>
      <c r="K36" s="308"/>
      <c r="L36" s="315" t="str">
        <f t="shared" si="3"/>
        <v/>
      </c>
      <c r="M36" s="310" t="s">
        <v>147</v>
      </c>
      <c r="N36" s="310"/>
      <c r="O36" s="316" t="s">
        <v>3819</v>
      </c>
      <c r="P36" s="316" t="s">
        <v>147</v>
      </c>
    </row>
    <row r="37" spans="1:16" x14ac:dyDescent="0.25">
      <c r="A37" s="307">
        <f t="shared" si="0"/>
        <v>31</v>
      </c>
      <c r="B37" s="308">
        <v>45915</v>
      </c>
      <c r="C37" s="309">
        <f t="shared" si="1"/>
        <v>45901</v>
      </c>
      <c r="D37" s="310" t="s">
        <v>1637</v>
      </c>
      <c r="E37" s="316" t="s">
        <v>3818</v>
      </c>
      <c r="F37" s="316" t="s">
        <v>3010</v>
      </c>
      <c r="G37" s="316" t="s">
        <v>1542</v>
      </c>
      <c r="H37" s="312">
        <v>47520</v>
      </c>
      <c r="I37" s="312">
        <v>47520</v>
      </c>
      <c r="J37" s="313">
        <f t="shared" si="2"/>
        <v>0</v>
      </c>
      <c r="K37" s="308"/>
      <c r="L37" s="315" t="str">
        <f t="shared" si="3"/>
        <v/>
      </c>
      <c r="M37" s="310" t="s">
        <v>147</v>
      </c>
      <c r="N37" s="310"/>
      <c r="O37" s="316" t="s">
        <v>3819</v>
      </c>
      <c r="P37" s="316" t="s">
        <v>147</v>
      </c>
    </row>
    <row r="38" spans="1:16" x14ac:dyDescent="0.25">
      <c r="A38" s="307">
        <f t="shared" si="0"/>
        <v>32</v>
      </c>
      <c r="B38" s="308">
        <v>45917</v>
      </c>
      <c r="C38" s="309">
        <f t="shared" si="1"/>
        <v>45901</v>
      </c>
      <c r="D38" s="310" t="s">
        <v>1641</v>
      </c>
      <c r="E38" s="316" t="s">
        <v>2990</v>
      </c>
      <c r="F38" s="316" t="s">
        <v>3011</v>
      </c>
      <c r="G38" s="316" t="s">
        <v>1314</v>
      </c>
      <c r="H38" s="312">
        <v>54120</v>
      </c>
      <c r="I38" s="312">
        <v>54120</v>
      </c>
      <c r="J38" s="313">
        <f t="shared" si="2"/>
        <v>0</v>
      </c>
      <c r="K38" s="308"/>
      <c r="L38" s="315" t="str">
        <f t="shared" si="3"/>
        <v/>
      </c>
      <c r="M38" s="310" t="s">
        <v>147</v>
      </c>
      <c r="N38" s="310"/>
      <c r="O38" s="316" t="s">
        <v>3819</v>
      </c>
      <c r="P38" s="316" t="s">
        <v>147</v>
      </c>
    </row>
    <row r="39" spans="1:16" x14ac:dyDescent="0.25">
      <c r="A39" s="307">
        <f t="shared" si="0"/>
        <v>33</v>
      </c>
      <c r="B39" s="308">
        <v>45920</v>
      </c>
      <c r="C39" s="309">
        <f t="shared" si="1"/>
        <v>45901</v>
      </c>
      <c r="D39" s="310" t="s">
        <v>2336</v>
      </c>
      <c r="E39" s="316" t="s">
        <v>3818</v>
      </c>
      <c r="F39" s="316" t="s">
        <v>1808</v>
      </c>
      <c r="G39" s="316" t="s">
        <v>2365</v>
      </c>
      <c r="H39" s="312">
        <v>48510</v>
      </c>
      <c r="I39" s="312">
        <v>48510</v>
      </c>
      <c r="J39" s="313">
        <f t="shared" si="2"/>
        <v>0</v>
      </c>
      <c r="K39" s="308"/>
      <c r="L39" s="315" t="str">
        <f t="shared" si="3"/>
        <v/>
      </c>
      <c r="M39" s="310" t="s">
        <v>147</v>
      </c>
      <c r="N39" s="310"/>
      <c r="O39" s="316" t="s">
        <v>3819</v>
      </c>
      <c r="P39" s="316" t="s">
        <v>147</v>
      </c>
    </row>
    <row r="40" spans="1:16" x14ac:dyDescent="0.25">
      <c r="A40" s="307">
        <f t="shared" si="0"/>
        <v>34</v>
      </c>
      <c r="B40" s="308">
        <v>45926</v>
      </c>
      <c r="C40" s="309">
        <f t="shared" si="1"/>
        <v>45901</v>
      </c>
      <c r="D40" s="310" t="s">
        <v>2336</v>
      </c>
      <c r="E40" s="316" t="s">
        <v>56</v>
      </c>
      <c r="F40" s="316" t="s">
        <v>1542</v>
      </c>
      <c r="G40" s="316" t="s">
        <v>6</v>
      </c>
      <c r="H40" s="312">
        <v>16500</v>
      </c>
      <c r="I40" s="312">
        <v>16500</v>
      </c>
      <c r="J40" s="313">
        <f t="shared" si="2"/>
        <v>0</v>
      </c>
      <c r="K40" s="308">
        <v>45940</v>
      </c>
      <c r="L40" s="315">
        <f t="shared" si="3"/>
        <v>14</v>
      </c>
      <c r="M40" s="310" t="s">
        <v>147</v>
      </c>
      <c r="N40" s="310"/>
      <c r="O40" s="316" t="s">
        <v>3819</v>
      </c>
      <c r="P40" s="316" t="s">
        <v>147</v>
      </c>
    </row>
    <row r="41" spans="1:16" x14ac:dyDescent="0.25">
      <c r="A41" s="307">
        <f t="shared" si="0"/>
        <v>35</v>
      </c>
      <c r="B41" s="308">
        <v>45954</v>
      </c>
      <c r="C41" s="309">
        <f t="shared" si="1"/>
        <v>45931</v>
      </c>
      <c r="D41" s="310" t="s">
        <v>1637</v>
      </c>
      <c r="E41" s="316" t="s">
        <v>2990</v>
      </c>
      <c r="F41" s="316" t="s">
        <v>3011</v>
      </c>
      <c r="G41" s="316" t="s">
        <v>3016</v>
      </c>
      <c r="H41" s="312">
        <v>50160</v>
      </c>
      <c r="I41" s="312">
        <v>50160</v>
      </c>
      <c r="J41" s="313">
        <f t="shared" si="2"/>
        <v>0</v>
      </c>
      <c r="K41" s="308"/>
      <c r="L41" s="315" t="str">
        <f t="shared" si="3"/>
        <v/>
      </c>
      <c r="M41" s="310" t="s">
        <v>147</v>
      </c>
      <c r="N41" s="310"/>
      <c r="O41" s="316" t="s">
        <v>3819</v>
      </c>
      <c r="P41" s="316" t="s">
        <v>147</v>
      </c>
    </row>
    <row r="42" spans="1:16" x14ac:dyDescent="0.25">
      <c r="A42" s="307">
        <f t="shared" si="0"/>
        <v>36</v>
      </c>
      <c r="B42" s="308">
        <v>45958</v>
      </c>
      <c r="C42" s="309">
        <f t="shared" si="1"/>
        <v>45931</v>
      </c>
      <c r="D42" s="310" t="s">
        <v>1644</v>
      </c>
      <c r="E42" s="316" t="s">
        <v>2990</v>
      </c>
      <c r="F42" s="316" t="s">
        <v>3011</v>
      </c>
      <c r="G42" s="316" t="s">
        <v>3016</v>
      </c>
      <c r="H42" s="312">
        <v>47520</v>
      </c>
      <c r="I42" s="312">
        <v>47520</v>
      </c>
      <c r="J42" s="313">
        <f t="shared" si="2"/>
        <v>0</v>
      </c>
      <c r="K42" s="308"/>
      <c r="L42" s="315" t="str">
        <f t="shared" si="3"/>
        <v/>
      </c>
      <c r="M42" s="310" t="s">
        <v>147</v>
      </c>
      <c r="N42" s="310"/>
      <c r="O42" s="316" t="s">
        <v>3819</v>
      </c>
      <c r="P42" s="316" t="s">
        <v>147</v>
      </c>
    </row>
    <row r="43" spans="1:16" x14ac:dyDescent="0.25">
      <c r="A43" s="307">
        <f t="shared" si="0"/>
        <v>37</v>
      </c>
      <c r="B43" s="308">
        <v>45965</v>
      </c>
      <c r="C43" s="309">
        <f t="shared" si="1"/>
        <v>45962</v>
      </c>
      <c r="D43" s="310" t="s">
        <v>1635</v>
      </c>
      <c r="E43" s="316" t="s">
        <v>3818</v>
      </c>
      <c r="F43" s="316" t="s">
        <v>1808</v>
      </c>
      <c r="G43" s="316" t="s">
        <v>6</v>
      </c>
      <c r="H43" s="312">
        <v>50160</v>
      </c>
      <c r="I43" s="312">
        <v>50160</v>
      </c>
      <c r="J43" s="313">
        <f t="shared" si="2"/>
        <v>0</v>
      </c>
      <c r="K43" s="308">
        <v>45967</v>
      </c>
      <c r="L43" s="315">
        <f t="shared" si="3"/>
        <v>2</v>
      </c>
      <c r="M43" s="310" t="s">
        <v>147</v>
      </c>
      <c r="N43" s="310"/>
      <c r="O43" s="316" t="s">
        <v>3819</v>
      </c>
      <c r="P43" s="316" t="s">
        <v>147</v>
      </c>
    </row>
    <row r="44" spans="1:16" x14ac:dyDescent="0.25">
      <c r="A44" s="307">
        <f t="shared" si="0"/>
        <v>38</v>
      </c>
      <c r="B44" s="308">
        <v>45965</v>
      </c>
      <c r="C44" s="309">
        <f t="shared" si="1"/>
        <v>45962</v>
      </c>
      <c r="D44" s="310" t="s">
        <v>1637</v>
      </c>
      <c r="E44" s="316" t="s">
        <v>3818</v>
      </c>
      <c r="F44" s="316" t="s">
        <v>1808</v>
      </c>
      <c r="G44" s="316" t="s">
        <v>2365</v>
      </c>
      <c r="H44" s="312">
        <v>48840</v>
      </c>
      <c r="I44" s="312">
        <v>48840</v>
      </c>
      <c r="J44" s="313">
        <f t="shared" si="2"/>
        <v>0</v>
      </c>
      <c r="K44" s="308">
        <v>45979</v>
      </c>
      <c r="L44" s="315">
        <f t="shared" si="3"/>
        <v>14</v>
      </c>
      <c r="M44" s="310" t="s">
        <v>147</v>
      </c>
      <c r="N44" s="310"/>
      <c r="O44" s="316" t="s">
        <v>3819</v>
      </c>
      <c r="P44" s="316" t="s">
        <v>147</v>
      </c>
    </row>
    <row r="45" spans="1:16" x14ac:dyDescent="0.25">
      <c r="A45" s="307">
        <f t="shared" si="0"/>
        <v>39</v>
      </c>
      <c r="B45" s="308">
        <v>45968</v>
      </c>
      <c r="C45" s="309">
        <f t="shared" si="1"/>
        <v>45962</v>
      </c>
      <c r="D45" s="310" t="s">
        <v>1644</v>
      </c>
      <c r="E45" s="316" t="s">
        <v>2990</v>
      </c>
      <c r="F45" s="316" t="s">
        <v>158</v>
      </c>
      <c r="G45" s="316" t="s">
        <v>1542</v>
      </c>
      <c r="H45" s="312">
        <v>49500</v>
      </c>
      <c r="I45" s="312">
        <v>49500</v>
      </c>
      <c r="J45" s="313">
        <f t="shared" si="2"/>
        <v>0</v>
      </c>
      <c r="K45" s="308"/>
      <c r="L45" s="315" t="str">
        <f t="shared" si="3"/>
        <v/>
      </c>
      <c r="M45" s="310" t="s">
        <v>147</v>
      </c>
      <c r="N45" s="310"/>
      <c r="O45" s="316" t="s">
        <v>3819</v>
      </c>
      <c r="P45" s="316" t="s">
        <v>147</v>
      </c>
    </row>
    <row r="46" spans="1:16" x14ac:dyDescent="0.25">
      <c r="A46" s="307">
        <f t="shared" si="0"/>
        <v>40</v>
      </c>
      <c r="B46" s="308">
        <v>45968</v>
      </c>
      <c r="C46" s="309">
        <f t="shared" si="1"/>
        <v>45962</v>
      </c>
      <c r="D46" s="310" t="s">
        <v>1641</v>
      </c>
      <c r="E46" s="316" t="s">
        <v>2990</v>
      </c>
      <c r="F46" s="316" t="s">
        <v>3017</v>
      </c>
      <c r="G46" s="316" t="s">
        <v>2365</v>
      </c>
      <c r="H46" s="312">
        <v>49500</v>
      </c>
      <c r="I46" s="312">
        <v>49500</v>
      </c>
      <c r="J46" s="313">
        <f t="shared" si="2"/>
        <v>0</v>
      </c>
      <c r="K46" s="308"/>
      <c r="L46" s="315" t="str">
        <f t="shared" si="3"/>
        <v/>
      </c>
      <c r="M46" s="310" t="s">
        <v>147</v>
      </c>
      <c r="N46" s="310"/>
      <c r="O46" s="316" t="s">
        <v>3819</v>
      </c>
      <c r="P46" s="316" t="s">
        <v>147</v>
      </c>
    </row>
    <row r="47" spans="1:16" x14ac:dyDescent="0.25">
      <c r="A47" s="307">
        <f t="shared" si="0"/>
        <v>41</v>
      </c>
      <c r="B47" s="308">
        <v>45977</v>
      </c>
      <c r="C47" s="309">
        <f t="shared" si="1"/>
        <v>45962</v>
      </c>
      <c r="D47" s="310" t="s">
        <v>1644</v>
      </c>
      <c r="E47" s="316" t="s">
        <v>3018</v>
      </c>
      <c r="F47" s="316" t="s">
        <v>394</v>
      </c>
      <c r="G47" s="316" t="s">
        <v>1542</v>
      </c>
      <c r="H47" s="312">
        <v>51500</v>
      </c>
      <c r="I47" s="312">
        <v>51500</v>
      </c>
      <c r="J47" s="313">
        <f t="shared" si="2"/>
        <v>0</v>
      </c>
      <c r="K47" s="308">
        <v>45979</v>
      </c>
      <c r="L47" s="315">
        <f t="shared" si="3"/>
        <v>2</v>
      </c>
      <c r="M47" s="310" t="s">
        <v>147</v>
      </c>
      <c r="N47" s="310"/>
      <c r="O47" s="316" t="s">
        <v>3819</v>
      </c>
      <c r="P47" s="316" t="s">
        <v>147</v>
      </c>
    </row>
    <row r="48" spans="1:16" x14ac:dyDescent="0.25">
      <c r="A48" s="307">
        <f t="shared" si="0"/>
        <v>42</v>
      </c>
      <c r="B48" s="308">
        <v>45979</v>
      </c>
      <c r="C48" s="309">
        <f t="shared" si="1"/>
        <v>45962</v>
      </c>
      <c r="D48" s="310" t="s">
        <v>1641</v>
      </c>
      <c r="E48" s="316" t="s">
        <v>3018</v>
      </c>
      <c r="F48" s="316" t="s">
        <v>3010</v>
      </c>
      <c r="G48" s="316" t="s">
        <v>6</v>
      </c>
      <c r="H48" s="312">
        <v>55620</v>
      </c>
      <c r="I48" s="312">
        <v>55620</v>
      </c>
      <c r="J48" s="313">
        <f t="shared" si="2"/>
        <v>0</v>
      </c>
      <c r="K48" s="308">
        <v>45979</v>
      </c>
      <c r="L48" s="315">
        <f t="shared" si="3"/>
        <v>0</v>
      </c>
      <c r="M48" s="310" t="s">
        <v>147</v>
      </c>
      <c r="N48" s="310"/>
      <c r="O48" s="316" t="s">
        <v>3819</v>
      </c>
      <c r="P48" s="316" t="s">
        <v>147</v>
      </c>
    </row>
    <row r="49" spans="1:21" x14ac:dyDescent="0.25">
      <c r="A49" s="307">
        <f t="shared" si="0"/>
        <v>43</v>
      </c>
      <c r="B49" s="308">
        <v>45979</v>
      </c>
      <c r="C49" s="309">
        <f t="shared" si="1"/>
        <v>45962</v>
      </c>
      <c r="D49" s="310" t="s">
        <v>60</v>
      </c>
      <c r="E49" s="316" t="s">
        <v>3018</v>
      </c>
      <c r="F49" s="316" t="s">
        <v>3010</v>
      </c>
      <c r="G49" s="316" t="s">
        <v>6</v>
      </c>
      <c r="H49" s="312">
        <v>55620</v>
      </c>
      <c r="I49" s="312">
        <v>55620</v>
      </c>
      <c r="J49" s="313">
        <f t="shared" si="2"/>
        <v>0</v>
      </c>
      <c r="K49" s="308">
        <v>45979</v>
      </c>
      <c r="L49" s="315">
        <f t="shared" si="3"/>
        <v>0</v>
      </c>
      <c r="M49" s="310" t="s">
        <v>147</v>
      </c>
      <c r="N49" s="310"/>
      <c r="O49" s="316" t="s">
        <v>3819</v>
      </c>
      <c r="P49" s="316" t="s">
        <v>147</v>
      </c>
    </row>
    <row r="50" spans="1:21" x14ac:dyDescent="0.25">
      <c r="A50" s="307">
        <f t="shared" si="0"/>
        <v>44</v>
      </c>
      <c r="B50" s="308">
        <v>45989</v>
      </c>
      <c r="C50" s="309">
        <f t="shared" si="1"/>
        <v>45962</v>
      </c>
      <c r="D50" s="310" t="s">
        <v>1644</v>
      </c>
      <c r="E50" s="316" t="s">
        <v>3018</v>
      </c>
      <c r="F50" s="316" t="s">
        <v>41</v>
      </c>
      <c r="G50" s="316" t="s">
        <v>1542</v>
      </c>
      <c r="H50" s="312">
        <v>54780</v>
      </c>
      <c r="I50" s="312">
        <v>54780</v>
      </c>
      <c r="J50" s="313">
        <f t="shared" si="2"/>
        <v>0</v>
      </c>
      <c r="K50" s="308"/>
      <c r="L50" s="315" t="str">
        <f t="shared" si="3"/>
        <v/>
      </c>
      <c r="M50" s="310" t="s">
        <v>147</v>
      </c>
      <c r="N50" s="310"/>
      <c r="O50" s="316" t="s">
        <v>3819</v>
      </c>
      <c r="P50" s="316" t="s">
        <v>147</v>
      </c>
    </row>
    <row r="51" spans="1:21" x14ac:dyDescent="0.25">
      <c r="A51" s="307">
        <f t="shared" si="0"/>
        <v>45</v>
      </c>
      <c r="B51" s="308">
        <v>45991</v>
      </c>
      <c r="C51" s="309">
        <f t="shared" si="1"/>
        <v>45962</v>
      </c>
      <c r="D51" s="310" t="s">
        <v>1641</v>
      </c>
      <c r="E51" s="316" t="s">
        <v>3018</v>
      </c>
      <c r="F51" s="316" t="s">
        <v>41</v>
      </c>
      <c r="G51" s="316" t="s">
        <v>1542</v>
      </c>
      <c r="H51" s="312">
        <v>54780</v>
      </c>
      <c r="I51" s="312">
        <v>54780</v>
      </c>
      <c r="J51" s="313">
        <f t="shared" si="2"/>
        <v>0</v>
      </c>
      <c r="K51" s="308"/>
      <c r="L51" s="315" t="str">
        <f t="shared" si="3"/>
        <v/>
      </c>
      <c r="M51" s="310" t="s">
        <v>147</v>
      </c>
      <c r="N51" s="310"/>
      <c r="O51" s="316" t="s">
        <v>3819</v>
      </c>
      <c r="P51" s="316" t="s">
        <v>147</v>
      </c>
    </row>
    <row r="52" spans="1:21" x14ac:dyDescent="0.25">
      <c r="A52" s="307">
        <f t="shared" si="0"/>
        <v>46</v>
      </c>
      <c r="B52" s="308">
        <v>45991</v>
      </c>
      <c r="C52" s="309">
        <f t="shared" si="1"/>
        <v>45962</v>
      </c>
      <c r="D52" s="310" t="s">
        <v>1635</v>
      </c>
      <c r="E52" s="316" t="s">
        <v>3018</v>
      </c>
      <c r="F52" s="316" t="s">
        <v>3010</v>
      </c>
      <c r="G52" s="316" t="s">
        <v>2365</v>
      </c>
      <c r="H52" s="312">
        <v>51480</v>
      </c>
      <c r="I52" s="312">
        <v>51480</v>
      </c>
      <c r="J52" s="313">
        <f t="shared" si="2"/>
        <v>0</v>
      </c>
      <c r="K52" s="308"/>
      <c r="L52" s="315" t="str">
        <f t="shared" si="3"/>
        <v/>
      </c>
      <c r="M52" s="310" t="s">
        <v>147</v>
      </c>
      <c r="N52" s="310"/>
      <c r="O52" s="316" t="s">
        <v>3819</v>
      </c>
      <c r="P52" s="316" t="s">
        <v>147</v>
      </c>
    </row>
    <row r="53" spans="1:21" x14ac:dyDescent="0.25">
      <c r="A53" s="307">
        <f t="shared" si="0"/>
        <v>47</v>
      </c>
      <c r="B53" s="308">
        <v>46001</v>
      </c>
      <c r="C53" s="309">
        <f t="shared" si="1"/>
        <v>45992</v>
      </c>
      <c r="D53" s="310" t="s">
        <v>1635</v>
      </c>
      <c r="E53" s="316" t="s">
        <v>3018</v>
      </c>
      <c r="F53" s="316" t="s">
        <v>369</v>
      </c>
      <c r="G53" s="316" t="s">
        <v>6</v>
      </c>
      <c r="H53" s="312">
        <v>52600</v>
      </c>
      <c r="I53" s="312">
        <v>52600</v>
      </c>
      <c r="J53" s="313">
        <f t="shared" si="2"/>
        <v>0</v>
      </c>
      <c r="K53" s="308"/>
      <c r="L53" s="315" t="str">
        <f t="shared" si="3"/>
        <v/>
      </c>
      <c r="M53" s="310" t="s">
        <v>147</v>
      </c>
      <c r="N53" s="310"/>
      <c r="O53" s="316" t="s">
        <v>3819</v>
      </c>
      <c r="P53" s="316" t="s">
        <v>147</v>
      </c>
    </row>
    <row r="54" spans="1:21" x14ac:dyDescent="0.25">
      <c r="A54" s="307">
        <f t="shared" si="0"/>
        <v>48</v>
      </c>
      <c r="B54" s="308">
        <v>46024</v>
      </c>
      <c r="C54" s="309">
        <f t="shared" si="1"/>
        <v>46023</v>
      </c>
      <c r="D54" s="310" t="s">
        <v>1637</v>
      </c>
      <c r="E54" s="316" t="s">
        <v>3019</v>
      </c>
      <c r="F54" s="316" t="s">
        <v>3020</v>
      </c>
      <c r="G54" s="316" t="s">
        <v>3021</v>
      </c>
      <c r="H54" s="312">
        <v>52000</v>
      </c>
      <c r="I54" s="312">
        <v>44320</v>
      </c>
      <c r="J54" s="313">
        <f t="shared" si="2"/>
        <v>7680</v>
      </c>
      <c r="K54" s="308"/>
      <c r="L54" s="315" t="str">
        <f t="shared" si="3"/>
        <v/>
      </c>
      <c r="M54" s="310" t="s">
        <v>147</v>
      </c>
      <c r="N54" s="310" t="s">
        <v>3822</v>
      </c>
      <c r="O54" s="316" t="s">
        <v>3819</v>
      </c>
      <c r="P54" s="316" t="s">
        <v>3022</v>
      </c>
      <c r="U54" t="s">
        <v>3904</v>
      </c>
    </row>
    <row r="55" spans="1:21" x14ac:dyDescent="0.25">
      <c r="A55" s="307">
        <f t="shared" si="0"/>
        <v>49</v>
      </c>
      <c r="B55" s="308">
        <v>46028</v>
      </c>
      <c r="C55" s="309">
        <f t="shared" si="1"/>
        <v>46023</v>
      </c>
      <c r="D55" s="310" t="s">
        <v>1637</v>
      </c>
      <c r="E55" s="316" t="s">
        <v>56</v>
      </c>
      <c r="F55" s="316" t="s">
        <v>1542</v>
      </c>
      <c r="G55" s="316" t="s">
        <v>6</v>
      </c>
      <c r="H55" s="312">
        <v>16500</v>
      </c>
      <c r="I55" s="312">
        <v>16500</v>
      </c>
      <c r="J55" s="313">
        <f t="shared" si="2"/>
        <v>0</v>
      </c>
      <c r="K55" s="308">
        <v>46042</v>
      </c>
      <c r="L55" s="315">
        <f t="shared" si="3"/>
        <v>14</v>
      </c>
      <c r="M55" s="310" t="s">
        <v>147</v>
      </c>
      <c r="N55" s="310" t="s">
        <v>3823</v>
      </c>
      <c r="O55" s="316" t="s">
        <v>3819</v>
      </c>
      <c r="P55" s="316" t="s">
        <v>3023</v>
      </c>
    </row>
    <row r="56" spans="1:21" x14ac:dyDescent="0.25">
      <c r="A56" s="307">
        <f t="shared" si="0"/>
        <v>50</v>
      </c>
      <c r="B56" s="308">
        <v>46039</v>
      </c>
      <c r="C56" s="309">
        <f t="shared" si="1"/>
        <v>46023</v>
      </c>
      <c r="D56" s="310" t="s">
        <v>60</v>
      </c>
      <c r="E56" s="316" t="s">
        <v>3019</v>
      </c>
      <c r="F56" s="316" t="s">
        <v>2995</v>
      </c>
      <c r="G56" s="316" t="s">
        <v>3024</v>
      </c>
      <c r="H56" s="312">
        <v>51480</v>
      </c>
      <c r="I56" s="312">
        <v>51480</v>
      </c>
      <c r="J56" s="313">
        <f t="shared" si="2"/>
        <v>0</v>
      </c>
      <c r="K56" s="308">
        <v>46039</v>
      </c>
      <c r="L56" s="315">
        <f t="shared" si="3"/>
        <v>0</v>
      </c>
      <c r="M56" s="310" t="s">
        <v>147</v>
      </c>
      <c r="N56" s="310" t="s">
        <v>3824</v>
      </c>
      <c r="O56" s="316" t="s">
        <v>3819</v>
      </c>
      <c r="P56" s="316" t="s">
        <v>3025</v>
      </c>
    </row>
    <row r="57" spans="1:21" x14ac:dyDescent="0.25">
      <c r="A57" s="307">
        <f t="shared" si="0"/>
        <v>51</v>
      </c>
      <c r="B57" s="308">
        <v>46041</v>
      </c>
      <c r="C57" s="309">
        <f t="shared" si="1"/>
        <v>46023</v>
      </c>
      <c r="D57" s="310" t="s">
        <v>1644</v>
      </c>
      <c r="E57" s="316" t="s">
        <v>3019</v>
      </c>
      <c r="F57" s="316" t="s">
        <v>3026</v>
      </c>
      <c r="G57" s="316" t="s">
        <v>3027</v>
      </c>
      <c r="H57" s="312">
        <v>51480</v>
      </c>
      <c r="I57" s="312">
        <v>51480</v>
      </c>
      <c r="J57" s="313">
        <f t="shared" si="2"/>
        <v>0</v>
      </c>
      <c r="K57" s="308">
        <v>46041</v>
      </c>
      <c r="L57" s="315">
        <f t="shared" si="3"/>
        <v>0</v>
      </c>
      <c r="M57" s="310" t="s">
        <v>147</v>
      </c>
      <c r="N57" s="310" t="s">
        <v>3824</v>
      </c>
      <c r="O57" s="316" t="s">
        <v>3819</v>
      </c>
      <c r="P57" s="316" t="s">
        <v>3025</v>
      </c>
    </row>
    <row r="58" spans="1:21" x14ac:dyDescent="0.25">
      <c r="A58" s="307">
        <f t="shared" si="0"/>
        <v>52</v>
      </c>
      <c r="B58" s="308">
        <v>46041</v>
      </c>
      <c r="C58" s="309">
        <f t="shared" si="1"/>
        <v>46023</v>
      </c>
      <c r="D58" s="310" t="s">
        <v>1641</v>
      </c>
      <c r="E58" s="316" t="s">
        <v>3019</v>
      </c>
      <c r="F58" s="316" t="s">
        <v>3011</v>
      </c>
      <c r="G58" s="316" t="s">
        <v>3027</v>
      </c>
      <c r="H58" s="312">
        <v>50820</v>
      </c>
      <c r="I58" s="312">
        <v>50820</v>
      </c>
      <c r="J58" s="313">
        <f t="shared" si="2"/>
        <v>0</v>
      </c>
      <c r="K58" s="308">
        <v>46041</v>
      </c>
      <c r="L58" s="315">
        <f t="shared" si="3"/>
        <v>0</v>
      </c>
      <c r="M58" s="310" t="s">
        <v>147</v>
      </c>
      <c r="N58" s="310" t="s">
        <v>3824</v>
      </c>
      <c r="O58" s="316" t="s">
        <v>3819</v>
      </c>
      <c r="P58" s="316" t="s">
        <v>3025</v>
      </c>
    </row>
    <row r="59" spans="1:21" x14ac:dyDescent="0.25">
      <c r="A59" s="307">
        <f t="shared" si="0"/>
        <v>53</v>
      </c>
      <c r="B59" s="308">
        <v>46041</v>
      </c>
      <c r="C59" s="309">
        <f t="shared" si="1"/>
        <v>46023</v>
      </c>
      <c r="D59" s="310" t="s">
        <v>1635</v>
      </c>
      <c r="E59" s="316" t="s">
        <v>3019</v>
      </c>
      <c r="F59" s="316" t="s">
        <v>2995</v>
      </c>
      <c r="G59" s="316" t="s">
        <v>3028</v>
      </c>
      <c r="H59" s="312">
        <v>51480</v>
      </c>
      <c r="I59" s="312">
        <v>51480</v>
      </c>
      <c r="J59" s="313">
        <f t="shared" si="2"/>
        <v>0</v>
      </c>
      <c r="K59" s="308">
        <v>46041</v>
      </c>
      <c r="L59" s="315">
        <f t="shared" si="3"/>
        <v>0</v>
      </c>
      <c r="M59" s="310" t="s">
        <v>147</v>
      </c>
      <c r="N59" s="310" t="s">
        <v>3824</v>
      </c>
      <c r="O59" s="316" t="s">
        <v>3819</v>
      </c>
      <c r="P59" s="316" t="s">
        <v>3025</v>
      </c>
    </row>
    <row r="60" spans="1:21" x14ac:dyDescent="0.25">
      <c r="A60" s="307">
        <f t="shared" si="0"/>
        <v>54</v>
      </c>
      <c r="B60" s="308">
        <v>46068</v>
      </c>
      <c r="C60" s="309">
        <f t="shared" si="1"/>
        <v>46054</v>
      </c>
      <c r="D60" s="310" t="s">
        <v>1637</v>
      </c>
      <c r="E60" s="316" t="s">
        <v>3019</v>
      </c>
      <c r="F60" s="316" t="s">
        <v>3029</v>
      </c>
      <c r="G60" s="316" t="s">
        <v>3030</v>
      </c>
      <c r="H60" s="312">
        <v>51680</v>
      </c>
      <c r="I60" s="312">
        <v>51680</v>
      </c>
      <c r="J60" s="313">
        <f t="shared" si="2"/>
        <v>0</v>
      </c>
      <c r="K60" s="308">
        <v>46071</v>
      </c>
      <c r="L60" s="315">
        <f t="shared" si="3"/>
        <v>3</v>
      </c>
      <c r="M60" s="310" t="s">
        <v>147</v>
      </c>
      <c r="N60" s="310"/>
      <c r="O60" s="316" t="s">
        <v>3819</v>
      </c>
      <c r="P60" s="316" t="s">
        <v>147</v>
      </c>
    </row>
    <row r="61" spans="1:21" x14ac:dyDescent="0.25">
      <c r="A61" s="307">
        <f t="shared" si="0"/>
        <v>55</v>
      </c>
      <c r="B61" s="308">
        <v>46041</v>
      </c>
      <c r="C61" s="309">
        <f t="shared" si="1"/>
        <v>46023</v>
      </c>
      <c r="D61" s="310" t="s">
        <v>1644</v>
      </c>
      <c r="E61" s="316" t="s">
        <v>3019</v>
      </c>
      <c r="F61" s="316" t="s">
        <v>3011</v>
      </c>
      <c r="G61" s="316" t="s">
        <v>1314</v>
      </c>
      <c r="H61" s="312">
        <v>51410</v>
      </c>
      <c r="I61" s="312">
        <v>51410</v>
      </c>
      <c r="J61" s="313">
        <f t="shared" si="2"/>
        <v>0</v>
      </c>
      <c r="K61" s="308">
        <v>46073</v>
      </c>
      <c r="L61" s="315">
        <f t="shared" si="3"/>
        <v>32</v>
      </c>
      <c r="M61" s="310" t="s">
        <v>147</v>
      </c>
      <c r="N61" s="310"/>
      <c r="O61" s="316" t="s">
        <v>3819</v>
      </c>
      <c r="P61" s="316" t="s">
        <v>147</v>
      </c>
    </row>
    <row r="62" spans="1:21" x14ac:dyDescent="0.25">
      <c r="A62" s="307">
        <f t="shared" si="0"/>
        <v>56</v>
      </c>
      <c r="B62" s="308">
        <v>46079</v>
      </c>
      <c r="C62" s="309">
        <f t="shared" si="1"/>
        <v>46054</v>
      </c>
      <c r="D62" s="310" t="s">
        <v>1637</v>
      </c>
      <c r="E62" s="316" t="s">
        <v>3019</v>
      </c>
      <c r="F62" s="316" t="s">
        <v>3031</v>
      </c>
      <c r="G62" s="316" t="s">
        <v>1542</v>
      </c>
      <c r="H62" s="312">
        <v>53920</v>
      </c>
      <c r="I62" s="312">
        <v>53920</v>
      </c>
      <c r="J62" s="313">
        <f t="shared" si="2"/>
        <v>0</v>
      </c>
      <c r="K62" s="308">
        <v>46079</v>
      </c>
      <c r="L62" s="315">
        <f t="shared" si="3"/>
        <v>0</v>
      </c>
      <c r="M62" s="310" t="s">
        <v>147</v>
      </c>
      <c r="N62" s="310"/>
      <c r="O62" s="316" t="s">
        <v>3819</v>
      </c>
      <c r="P62" s="316" t="s">
        <v>147</v>
      </c>
    </row>
    <row r="63" spans="1:21" x14ac:dyDescent="0.25">
      <c r="A63" s="307">
        <f t="shared" si="0"/>
        <v>57</v>
      </c>
      <c r="B63" s="308">
        <v>46084</v>
      </c>
      <c r="C63" s="309">
        <f t="shared" si="1"/>
        <v>46082</v>
      </c>
      <c r="D63" s="310" t="s">
        <v>1637</v>
      </c>
      <c r="E63" s="316" t="s">
        <v>56</v>
      </c>
      <c r="F63" s="316" t="s">
        <v>1542</v>
      </c>
      <c r="G63" s="316" t="s">
        <v>6</v>
      </c>
      <c r="H63" s="312">
        <v>9900</v>
      </c>
      <c r="I63" s="312">
        <v>9900</v>
      </c>
      <c r="J63" s="313">
        <f t="shared" si="2"/>
        <v>0</v>
      </c>
      <c r="K63" s="308">
        <v>46097</v>
      </c>
      <c r="L63" s="315">
        <f t="shared" si="3"/>
        <v>13</v>
      </c>
      <c r="M63" s="310" t="s">
        <v>147</v>
      </c>
      <c r="N63" s="310" t="s">
        <v>3032</v>
      </c>
      <c r="O63" s="316" t="s">
        <v>3819</v>
      </c>
      <c r="P63" s="316" t="s">
        <v>3032</v>
      </c>
    </row>
    <row r="64" spans="1:21" x14ac:dyDescent="0.25">
      <c r="A64" s="307">
        <f t="shared" si="0"/>
        <v>58</v>
      </c>
      <c r="B64" s="308">
        <v>46092</v>
      </c>
      <c r="C64" s="309">
        <f t="shared" si="1"/>
        <v>46082</v>
      </c>
      <c r="D64" s="310" t="s">
        <v>1637</v>
      </c>
      <c r="E64" s="316" t="s">
        <v>3019</v>
      </c>
      <c r="F64" s="316" t="s">
        <v>3033</v>
      </c>
      <c r="G64" s="316" t="s">
        <v>1542</v>
      </c>
      <c r="H64" s="312">
        <v>50490</v>
      </c>
      <c r="I64" s="312">
        <v>50490</v>
      </c>
      <c r="J64" s="313">
        <f t="shared" si="2"/>
        <v>0</v>
      </c>
      <c r="K64" s="308">
        <v>46094</v>
      </c>
      <c r="L64" s="315">
        <f t="shared" si="3"/>
        <v>2</v>
      </c>
      <c r="M64" s="310" t="s">
        <v>147</v>
      </c>
      <c r="N64" s="310"/>
      <c r="O64" s="316" t="s">
        <v>3819</v>
      </c>
      <c r="P64" s="316" t="s">
        <v>147</v>
      </c>
    </row>
    <row r="65" spans="1:16" x14ac:dyDescent="0.25">
      <c r="A65" s="307">
        <f t="shared" si="0"/>
        <v>59</v>
      </c>
      <c r="B65" s="308">
        <v>46096</v>
      </c>
      <c r="C65" s="309">
        <f t="shared" si="1"/>
        <v>46082</v>
      </c>
      <c r="D65" s="310" t="s">
        <v>1641</v>
      </c>
      <c r="E65" s="316" t="s">
        <v>3019</v>
      </c>
      <c r="F65" s="316" t="s">
        <v>3031</v>
      </c>
      <c r="G65" s="316" t="s">
        <v>2996</v>
      </c>
      <c r="H65" s="312">
        <v>46200</v>
      </c>
      <c r="I65" s="312">
        <v>46200</v>
      </c>
      <c r="J65" s="313">
        <f t="shared" si="2"/>
        <v>0</v>
      </c>
      <c r="K65" s="308">
        <v>46099</v>
      </c>
      <c r="L65" s="315">
        <f t="shared" si="3"/>
        <v>3</v>
      </c>
      <c r="M65" s="310" t="s">
        <v>147</v>
      </c>
      <c r="N65" s="310"/>
      <c r="O65" s="316" t="s">
        <v>3819</v>
      </c>
      <c r="P65" s="316" t="s">
        <v>147</v>
      </c>
    </row>
    <row r="66" spans="1:16" x14ac:dyDescent="0.25">
      <c r="A66" s="307">
        <f t="shared" si="0"/>
        <v>60</v>
      </c>
      <c r="B66" s="308">
        <v>46101</v>
      </c>
      <c r="C66" s="309">
        <f t="shared" si="1"/>
        <v>46082</v>
      </c>
      <c r="D66" s="310" t="s">
        <v>1635</v>
      </c>
      <c r="E66" s="316" t="s">
        <v>3035</v>
      </c>
      <c r="F66" s="316" t="s">
        <v>3031</v>
      </c>
      <c r="G66" s="316" t="s">
        <v>1542</v>
      </c>
      <c r="H66" s="312">
        <v>50120</v>
      </c>
      <c r="I66" s="312">
        <v>50120</v>
      </c>
      <c r="J66" s="313">
        <f t="shared" si="2"/>
        <v>0</v>
      </c>
      <c r="K66" s="308">
        <v>46102</v>
      </c>
      <c r="L66" s="315">
        <f t="shared" si="3"/>
        <v>1</v>
      </c>
      <c r="M66" s="310" t="s">
        <v>147</v>
      </c>
      <c r="N66" s="310"/>
      <c r="O66" s="316" t="s">
        <v>3819</v>
      </c>
      <c r="P66" s="316" t="s">
        <v>147</v>
      </c>
    </row>
    <row r="67" spans="1:16" x14ac:dyDescent="0.25">
      <c r="A67" s="307">
        <f t="shared" si="0"/>
        <v>61</v>
      </c>
      <c r="B67" s="308">
        <v>46102</v>
      </c>
      <c r="C67" s="309">
        <f t="shared" si="1"/>
        <v>46082</v>
      </c>
      <c r="D67" s="310" t="s">
        <v>1644</v>
      </c>
      <c r="E67" s="316" t="s">
        <v>3019</v>
      </c>
      <c r="F67" s="316" t="s">
        <v>3031</v>
      </c>
      <c r="G67" s="316" t="s">
        <v>1314</v>
      </c>
      <c r="H67" s="312">
        <v>54780</v>
      </c>
      <c r="I67" s="312">
        <v>54780</v>
      </c>
      <c r="J67" s="313">
        <f t="shared" si="2"/>
        <v>0</v>
      </c>
      <c r="K67" s="308">
        <v>46103</v>
      </c>
      <c r="L67" s="315">
        <f t="shared" si="3"/>
        <v>1</v>
      </c>
      <c r="M67" s="310" t="s">
        <v>147</v>
      </c>
      <c r="N67" s="310"/>
      <c r="O67" s="316" t="s">
        <v>3819</v>
      </c>
      <c r="P67" s="316" t="s">
        <v>147</v>
      </c>
    </row>
    <row r="68" spans="1:16" x14ac:dyDescent="0.25">
      <c r="A68" s="307">
        <f t="shared" si="0"/>
        <v>62</v>
      </c>
      <c r="B68" s="308">
        <v>46102</v>
      </c>
      <c r="C68" s="309">
        <f t="shared" si="1"/>
        <v>46082</v>
      </c>
      <c r="D68" s="310" t="s">
        <v>1637</v>
      </c>
      <c r="E68" s="316" t="s">
        <v>3035</v>
      </c>
      <c r="F68" s="316" t="s">
        <v>3010</v>
      </c>
      <c r="G68" s="316" t="s">
        <v>3036</v>
      </c>
      <c r="H68" s="312">
        <v>43760</v>
      </c>
      <c r="I68" s="312">
        <v>43760</v>
      </c>
      <c r="J68" s="313">
        <f t="shared" si="2"/>
        <v>0</v>
      </c>
      <c r="K68" s="308">
        <v>46103</v>
      </c>
      <c r="L68" s="315">
        <f t="shared" si="3"/>
        <v>1</v>
      </c>
      <c r="M68" s="310" t="s">
        <v>147</v>
      </c>
      <c r="N68" s="310"/>
      <c r="O68" s="316" t="s">
        <v>3819</v>
      </c>
      <c r="P68" s="316" t="s">
        <v>147</v>
      </c>
    </row>
    <row r="69" spans="1:16" x14ac:dyDescent="0.25">
      <c r="A69" s="307">
        <f t="shared" si="0"/>
        <v>63</v>
      </c>
      <c r="B69" s="308">
        <v>46104</v>
      </c>
      <c r="C69" s="309">
        <f t="shared" si="1"/>
        <v>46082</v>
      </c>
      <c r="D69" s="310" t="s">
        <v>1637</v>
      </c>
      <c r="E69" s="316" t="s">
        <v>3035</v>
      </c>
      <c r="F69" s="316" t="s">
        <v>3037</v>
      </c>
      <c r="G69" s="316" t="s">
        <v>6</v>
      </c>
      <c r="H69" s="312">
        <v>13980</v>
      </c>
      <c r="I69" s="312">
        <v>13980</v>
      </c>
      <c r="J69" s="313">
        <f t="shared" si="2"/>
        <v>0</v>
      </c>
      <c r="K69" s="308"/>
      <c r="L69" s="315" t="str">
        <f t="shared" si="3"/>
        <v/>
      </c>
      <c r="M69" s="310" t="s">
        <v>147</v>
      </c>
      <c r="N69" s="310"/>
      <c r="O69" s="316" t="s">
        <v>3819</v>
      </c>
      <c r="P69" s="316" t="s">
        <v>147</v>
      </c>
    </row>
    <row r="70" spans="1:16" x14ac:dyDescent="0.25">
      <c r="A70" s="307">
        <f t="shared" si="0"/>
        <v>64</v>
      </c>
      <c r="B70" s="308">
        <v>46105</v>
      </c>
      <c r="C70" s="309">
        <f t="shared" si="1"/>
        <v>46082</v>
      </c>
      <c r="D70" s="310" t="s">
        <v>1635</v>
      </c>
      <c r="E70" s="316" t="s">
        <v>3035</v>
      </c>
      <c r="F70" s="316" t="s">
        <v>3038</v>
      </c>
      <c r="G70" s="316" t="s">
        <v>6</v>
      </c>
      <c r="H70" s="312">
        <v>13970</v>
      </c>
      <c r="I70" s="312">
        <v>13970</v>
      </c>
      <c r="J70" s="313">
        <f t="shared" si="2"/>
        <v>0</v>
      </c>
      <c r="K70" s="308">
        <v>46105</v>
      </c>
      <c r="L70" s="315">
        <f t="shared" si="3"/>
        <v>0</v>
      </c>
      <c r="M70" s="310" t="s">
        <v>147</v>
      </c>
      <c r="N70" s="310"/>
      <c r="O70" s="316" t="s">
        <v>3819</v>
      </c>
      <c r="P70" s="316" t="s">
        <v>147</v>
      </c>
    </row>
    <row r="71" spans="1:16" x14ac:dyDescent="0.25">
      <c r="A71" s="307">
        <f t="shared" si="0"/>
        <v>65</v>
      </c>
      <c r="B71" s="308">
        <v>46107</v>
      </c>
      <c r="C71" s="309">
        <f t="shared" si="1"/>
        <v>46082</v>
      </c>
      <c r="D71" s="310" t="s">
        <v>1644</v>
      </c>
      <c r="E71" s="316" t="s">
        <v>3035</v>
      </c>
      <c r="F71" s="316" t="s">
        <v>3039</v>
      </c>
      <c r="G71" s="316" t="s">
        <v>1542</v>
      </c>
      <c r="H71" s="312">
        <v>13970</v>
      </c>
      <c r="I71" s="312">
        <v>13970</v>
      </c>
      <c r="J71" s="313">
        <f t="shared" si="2"/>
        <v>0</v>
      </c>
      <c r="K71" s="308">
        <v>46107</v>
      </c>
      <c r="L71" s="315">
        <f t="shared" si="3"/>
        <v>0</v>
      </c>
      <c r="M71" s="310" t="s">
        <v>147</v>
      </c>
      <c r="N71" s="310"/>
      <c r="O71" s="316" t="s">
        <v>3819</v>
      </c>
      <c r="P71" s="316" t="s">
        <v>147</v>
      </c>
    </row>
    <row r="72" spans="1:16" x14ac:dyDescent="0.25">
      <c r="A72" s="307">
        <f t="shared" ref="A72:A135" si="4">IF($B72="","",ROW()-6)</f>
        <v>66</v>
      </c>
      <c r="B72" s="308">
        <v>46107</v>
      </c>
      <c r="C72" s="309">
        <f t="shared" ref="C72:C135" si="5">IF($B72="","",EOMONTH($B72,-1)+1)</f>
        <v>46082</v>
      </c>
      <c r="D72" s="310" t="s">
        <v>1637</v>
      </c>
      <c r="E72" s="316" t="s">
        <v>3035</v>
      </c>
      <c r="F72" s="316" t="s">
        <v>6</v>
      </c>
      <c r="G72" s="316" t="s">
        <v>2996</v>
      </c>
      <c r="H72" s="312">
        <v>12340</v>
      </c>
      <c r="I72" s="312">
        <v>12340</v>
      </c>
      <c r="J72" s="313">
        <f t="shared" ref="J72:J135" si="6">IF(OR($H72="",$I72=""),"",$H72-$I72)</f>
        <v>0</v>
      </c>
      <c r="K72" s="308"/>
      <c r="L72" s="315" t="str">
        <f t="shared" ref="L72:L135" si="7">IF(OR($B72="",$K72=""),"",$K72-$B72)</f>
        <v/>
      </c>
      <c r="M72" s="310" t="s">
        <v>147</v>
      </c>
      <c r="N72" s="310"/>
      <c r="O72" s="316" t="s">
        <v>3819</v>
      </c>
      <c r="P72" s="316" t="s">
        <v>147</v>
      </c>
    </row>
    <row r="73" spans="1:16" x14ac:dyDescent="0.25">
      <c r="A73" s="307">
        <f t="shared" si="4"/>
        <v>67</v>
      </c>
      <c r="B73" s="308">
        <v>46108</v>
      </c>
      <c r="C73" s="309">
        <f t="shared" si="5"/>
        <v>46082</v>
      </c>
      <c r="D73" s="310" t="s">
        <v>60</v>
      </c>
      <c r="E73" s="316" t="s">
        <v>3019</v>
      </c>
      <c r="F73" s="316" t="s">
        <v>3031</v>
      </c>
      <c r="G73" s="316" t="s">
        <v>1314</v>
      </c>
      <c r="H73" s="312">
        <v>54780</v>
      </c>
      <c r="I73" s="312">
        <v>54780</v>
      </c>
      <c r="J73" s="313">
        <f t="shared" si="6"/>
        <v>0</v>
      </c>
      <c r="K73" s="308">
        <v>46108</v>
      </c>
      <c r="L73" s="315">
        <f t="shared" si="7"/>
        <v>0</v>
      </c>
      <c r="M73" s="310" t="s">
        <v>147</v>
      </c>
      <c r="N73" s="310"/>
      <c r="O73" s="316" t="s">
        <v>3819</v>
      </c>
      <c r="P73" s="316" t="s">
        <v>147</v>
      </c>
    </row>
    <row r="74" spans="1:16" x14ac:dyDescent="0.25">
      <c r="A74" s="307">
        <f t="shared" si="4"/>
        <v>68</v>
      </c>
      <c r="B74" s="308">
        <v>46114</v>
      </c>
      <c r="C74" s="309">
        <f t="shared" si="5"/>
        <v>46113</v>
      </c>
      <c r="D74" s="310" t="s">
        <v>60</v>
      </c>
      <c r="E74" s="316" t="s">
        <v>3035</v>
      </c>
      <c r="F74" s="316" t="s">
        <v>3040</v>
      </c>
      <c r="G74" s="316" t="s">
        <v>3041</v>
      </c>
      <c r="H74" s="312">
        <v>11150</v>
      </c>
      <c r="I74" s="312">
        <v>11150</v>
      </c>
      <c r="J74" s="313">
        <f t="shared" si="6"/>
        <v>0</v>
      </c>
      <c r="K74" s="308"/>
      <c r="L74" s="315" t="str">
        <f t="shared" si="7"/>
        <v/>
      </c>
      <c r="M74" s="310" t="s">
        <v>147</v>
      </c>
      <c r="N74" s="310"/>
      <c r="O74" s="316" t="s">
        <v>3819</v>
      </c>
      <c r="P74" s="316" t="s">
        <v>147</v>
      </c>
    </row>
    <row r="75" spans="1:16" x14ac:dyDescent="0.25">
      <c r="A75" s="307">
        <f t="shared" si="4"/>
        <v>69</v>
      </c>
      <c r="B75" s="308">
        <v>46115</v>
      </c>
      <c r="C75" s="309">
        <f t="shared" si="5"/>
        <v>46113</v>
      </c>
      <c r="D75" s="310" t="s">
        <v>3065</v>
      </c>
      <c r="E75" s="316" t="s">
        <v>3035</v>
      </c>
      <c r="F75" s="316" t="s">
        <v>3066</v>
      </c>
      <c r="G75" s="316" t="s">
        <v>3067</v>
      </c>
      <c r="H75" s="312">
        <v>9510</v>
      </c>
      <c r="I75" s="312">
        <v>9510</v>
      </c>
      <c r="J75" s="313">
        <f t="shared" si="6"/>
        <v>0</v>
      </c>
      <c r="K75" s="308">
        <v>46115</v>
      </c>
      <c r="L75" s="315">
        <f t="shared" si="7"/>
        <v>0</v>
      </c>
      <c r="M75" s="310" t="s">
        <v>147</v>
      </c>
      <c r="N75" s="310"/>
      <c r="O75" s="316" t="s">
        <v>3819</v>
      </c>
      <c r="P75" s="316" t="s">
        <v>147</v>
      </c>
    </row>
    <row r="76" spans="1:16" x14ac:dyDescent="0.25">
      <c r="A76" s="307">
        <f t="shared" si="4"/>
        <v>70</v>
      </c>
      <c r="B76" s="308">
        <v>46115</v>
      </c>
      <c r="C76" s="309">
        <f t="shared" si="5"/>
        <v>46113</v>
      </c>
      <c r="D76" s="310" t="s">
        <v>1644</v>
      </c>
      <c r="E76" s="316" t="s">
        <v>3019</v>
      </c>
      <c r="F76" s="316" t="s">
        <v>3068</v>
      </c>
      <c r="G76" s="316" t="s">
        <v>3028</v>
      </c>
      <c r="H76" s="312">
        <v>56100</v>
      </c>
      <c r="I76" s="312">
        <v>56100</v>
      </c>
      <c r="J76" s="313">
        <f t="shared" si="6"/>
        <v>0</v>
      </c>
      <c r="K76" s="308"/>
      <c r="L76" s="315" t="str">
        <f t="shared" si="7"/>
        <v/>
      </c>
      <c r="M76" s="310" t="s">
        <v>147</v>
      </c>
      <c r="N76" s="310"/>
      <c r="O76" s="316" t="s">
        <v>3819</v>
      </c>
      <c r="P76" s="316" t="s">
        <v>147</v>
      </c>
    </row>
    <row r="77" spans="1:16" x14ac:dyDescent="0.25">
      <c r="A77" s="307">
        <f t="shared" si="4"/>
        <v>71</v>
      </c>
      <c r="B77" s="308">
        <v>46116</v>
      </c>
      <c r="C77" s="309">
        <f t="shared" si="5"/>
        <v>46113</v>
      </c>
      <c r="D77" s="310" t="s">
        <v>3065</v>
      </c>
      <c r="E77" s="316" t="s">
        <v>56</v>
      </c>
      <c r="F77" s="316" t="s">
        <v>1542</v>
      </c>
      <c r="G77" s="316" t="s">
        <v>6</v>
      </c>
      <c r="H77" s="312">
        <v>16500</v>
      </c>
      <c r="I77" s="312">
        <v>16500</v>
      </c>
      <c r="J77" s="313">
        <f t="shared" si="6"/>
        <v>0</v>
      </c>
      <c r="K77" s="308"/>
      <c r="L77" s="315" t="str">
        <f t="shared" si="7"/>
        <v/>
      </c>
      <c r="M77" s="310" t="s">
        <v>147</v>
      </c>
      <c r="N77" s="310"/>
      <c r="O77" s="316" t="s">
        <v>3819</v>
      </c>
      <c r="P77" s="316" t="s">
        <v>147</v>
      </c>
    </row>
    <row r="78" spans="1:16" x14ac:dyDescent="0.25">
      <c r="A78" s="307">
        <f t="shared" si="4"/>
        <v>72</v>
      </c>
      <c r="B78" s="308">
        <v>46117</v>
      </c>
      <c r="C78" s="309">
        <f t="shared" si="5"/>
        <v>46113</v>
      </c>
      <c r="D78" s="310" t="s">
        <v>1637</v>
      </c>
      <c r="E78" s="316" t="s">
        <v>3035</v>
      </c>
      <c r="F78" s="316" t="s">
        <v>6</v>
      </c>
      <c r="G78" s="316" t="s">
        <v>1314</v>
      </c>
      <c r="H78" s="312">
        <v>11220</v>
      </c>
      <c r="I78" s="312">
        <v>11220</v>
      </c>
      <c r="J78" s="313">
        <f t="shared" si="6"/>
        <v>0</v>
      </c>
      <c r="K78" s="308">
        <v>46118</v>
      </c>
      <c r="L78" s="315">
        <f t="shared" si="7"/>
        <v>1</v>
      </c>
      <c r="M78" s="310" t="s">
        <v>147</v>
      </c>
      <c r="N78" s="310"/>
      <c r="O78" s="316" t="s">
        <v>3819</v>
      </c>
      <c r="P78" s="316" t="s">
        <v>147</v>
      </c>
    </row>
    <row r="79" spans="1:16" x14ac:dyDescent="0.25">
      <c r="A79" s="307">
        <f t="shared" si="4"/>
        <v>73</v>
      </c>
      <c r="B79" s="308">
        <v>46118</v>
      </c>
      <c r="C79" s="309">
        <f t="shared" si="5"/>
        <v>46113</v>
      </c>
      <c r="D79" s="310" t="s">
        <v>60</v>
      </c>
      <c r="E79" s="316" t="s">
        <v>3035</v>
      </c>
      <c r="F79" s="316" t="s">
        <v>6</v>
      </c>
      <c r="G79" s="316" t="s">
        <v>3069</v>
      </c>
      <c r="H79" s="312">
        <v>9900</v>
      </c>
      <c r="I79" s="312">
        <v>9900</v>
      </c>
      <c r="J79" s="313">
        <f t="shared" si="6"/>
        <v>0</v>
      </c>
      <c r="K79" s="308">
        <v>46118</v>
      </c>
      <c r="L79" s="315">
        <f t="shared" si="7"/>
        <v>0</v>
      </c>
      <c r="M79" s="310" t="s">
        <v>147</v>
      </c>
      <c r="N79" s="310"/>
      <c r="O79" s="316" t="s">
        <v>3819</v>
      </c>
      <c r="P79" s="316" t="s">
        <v>147</v>
      </c>
    </row>
    <row r="80" spans="1:16" x14ac:dyDescent="0.25">
      <c r="A80" s="307">
        <f t="shared" si="4"/>
        <v>74</v>
      </c>
      <c r="B80" s="308">
        <v>46119</v>
      </c>
      <c r="C80" s="309">
        <f t="shared" si="5"/>
        <v>46113</v>
      </c>
      <c r="D80" s="310" t="s">
        <v>1644</v>
      </c>
      <c r="E80" s="316" t="s">
        <v>3035</v>
      </c>
      <c r="F80" s="316" t="s">
        <v>3083</v>
      </c>
      <c r="G80" s="316" t="s">
        <v>3084</v>
      </c>
      <c r="H80" s="312">
        <v>10560</v>
      </c>
      <c r="I80" s="312">
        <v>10560</v>
      </c>
      <c r="J80" s="313">
        <f t="shared" si="6"/>
        <v>0</v>
      </c>
      <c r="K80" s="308">
        <v>46121</v>
      </c>
      <c r="L80" s="315">
        <f t="shared" si="7"/>
        <v>2</v>
      </c>
      <c r="M80" s="310" t="s">
        <v>147</v>
      </c>
      <c r="N80" s="310"/>
      <c r="O80" s="316" t="s">
        <v>3819</v>
      </c>
      <c r="P80" s="316" t="s">
        <v>147</v>
      </c>
    </row>
    <row r="81" spans="1:16" x14ac:dyDescent="0.25">
      <c r="A81" s="307">
        <f t="shared" si="4"/>
        <v>75</v>
      </c>
      <c r="B81" s="308">
        <v>46120</v>
      </c>
      <c r="C81" s="309">
        <f t="shared" si="5"/>
        <v>46113</v>
      </c>
      <c r="D81" s="310" t="s">
        <v>1635</v>
      </c>
      <c r="E81" s="316" t="s">
        <v>3035</v>
      </c>
      <c r="F81" s="316" t="s">
        <v>6</v>
      </c>
      <c r="G81" s="316" t="s">
        <v>3085</v>
      </c>
      <c r="H81" s="312">
        <v>13660</v>
      </c>
      <c r="I81" s="312">
        <v>13660</v>
      </c>
      <c r="J81" s="313">
        <f t="shared" si="6"/>
        <v>0</v>
      </c>
      <c r="K81" s="308">
        <v>46121</v>
      </c>
      <c r="L81" s="315">
        <f t="shared" si="7"/>
        <v>1</v>
      </c>
      <c r="M81" s="310" t="s">
        <v>147</v>
      </c>
      <c r="N81" s="310"/>
      <c r="O81" s="316" t="s">
        <v>3819</v>
      </c>
      <c r="P81" s="316" t="s">
        <v>147</v>
      </c>
    </row>
    <row r="82" spans="1:16" x14ac:dyDescent="0.25">
      <c r="A82" s="307">
        <f t="shared" si="4"/>
        <v>76</v>
      </c>
      <c r="B82" s="308">
        <v>46121</v>
      </c>
      <c r="C82" s="309">
        <f t="shared" si="5"/>
        <v>46113</v>
      </c>
      <c r="D82" s="310" t="s">
        <v>1641</v>
      </c>
      <c r="E82" s="316" t="s">
        <v>3035</v>
      </c>
      <c r="F82" s="316" t="s">
        <v>6</v>
      </c>
      <c r="G82" s="316" t="s">
        <v>1542</v>
      </c>
      <c r="H82" s="312">
        <v>10690</v>
      </c>
      <c r="I82" s="312">
        <v>10690</v>
      </c>
      <c r="J82" s="313">
        <f t="shared" si="6"/>
        <v>0</v>
      </c>
      <c r="K82" s="308">
        <v>46121</v>
      </c>
      <c r="L82" s="315">
        <f t="shared" si="7"/>
        <v>0</v>
      </c>
      <c r="M82" s="310" t="s">
        <v>147</v>
      </c>
      <c r="N82" s="310"/>
      <c r="O82" s="316" t="s">
        <v>3819</v>
      </c>
      <c r="P82" s="316" t="s">
        <v>147</v>
      </c>
    </row>
    <row r="83" spans="1:16" x14ac:dyDescent="0.25">
      <c r="A83" s="307">
        <f t="shared" si="4"/>
        <v>77</v>
      </c>
      <c r="B83" s="308">
        <v>46121</v>
      </c>
      <c r="C83" s="309">
        <f t="shared" si="5"/>
        <v>46113</v>
      </c>
      <c r="D83" s="310" t="s">
        <v>60</v>
      </c>
      <c r="E83" s="316" t="s">
        <v>3140</v>
      </c>
      <c r="F83" s="316" t="s">
        <v>1542</v>
      </c>
      <c r="G83" s="316" t="s">
        <v>3086</v>
      </c>
      <c r="H83" s="312">
        <v>18760</v>
      </c>
      <c r="I83" s="312">
        <v>18760</v>
      </c>
      <c r="J83" s="313">
        <f t="shared" si="6"/>
        <v>0</v>
      </c>
      <c r="K83" s="308">
        <v>46123</v>
      </c>
      <c r="L83" s="315">
        <f t="shared" si="7"/>
        <v>2</v>
      </c>
      <c r="M83" s="310" t="s">
        <v>147</v>
      </c>
      <c r="N83" s="310"/>
      <c r="O83" s="316" t="s">
        <v>3819</v>
      </c>
      <c r="P83" s="316" t="s">
        <v>147</v>
      </c>
    </row>
    <row r="84" spans="1:16" x14ac:dyDescent="0.25">
      <c r="A84" s="307">
        <f t="shared" si="4"/>
        <v>78</v>
      </c>
      <c r="B84" s="308">
        <v>46122</v>
      </c>
      <c r="C84" s="309">
        <f t="shared" si="5"/>
        <v>46113</v>
      </c>
      <c r="D84" s="310" t="s">
        <v>1635</v>
      </c>
      <c r="E84" s="316" t="s">
        <v>3035</v>
      </c>
      <c r="F84" s="316" t="s">
        <v>3085</v>
      </c>
      <c r="G84" s="316" t="s">
        <v>2168</v>
      </c>
      <c r="H84" s="312">
        <v>18150</v>
      </c>
      <c r="I84" s="312">
        <v>20200</v>
      </c>
      <c r="J84" s="313">
        <f t="shared" si="6"/>
        <v>-2050</v>
      </c>
      <c r="K84" s="308">
        <v>46123</v>
      </c>
      <c r="L84" s="315">
        <f t="shared" si="7"/>
        <v>1</v>
      </c>
      <c r="M84" s="310" t="s">
        <v>147</v>
      </c>
      <c r="N84" s="310"/>
      <c r="O84" s="316" t="s">
        <v>3819</v>
      </c>
      <c r="P84" s="316" t="s">
        <v>147</v>
      </c>
    </row>
    <row r="85" spans="1:16" x14ac:dyDescent="0.25">
      <c r="A85" s="307">
        <f t="shared" si="4"/>
        <v>79</v>
      </c>
      <c r="B85" s="308">
        <v>46122</v>
      </c>
      <c r="C85" s="309">
        <f t="shared" si="5"/>
        <v>46113</v>
      </c>
      <c r="D85" s="310" t="s">
        <v>1637</v>
      </c>
      <c r="E85" s="316" t="s">
        <v>3035</v>
      </c>
      <c r="F85" s="316" t="s">
        <v>1314</v>
      </c>
      <c r="G85" s="316" t="s">
        <v>3085</v>
      </c>
      <c r="H85" s="312">
        <v>17160</v>
      </c>
      <c r="I85" s="312">
        <v>17160</v>
      </c>
      <c r="J85" s="313">
        <f t="shared" si="6"/>
        <v>0</v>
      </c>
      <c r="K85" s="308">
        <v>46122</v>
      </c>
      <c r="L85" s="315">
        <f t="shared" si="7"/>
        <v>0</v>
      </c>
      <c r="M85" s="310" t="s">
        <v>147</v>
      </c>
      <c r="N85" s="310"/>
      <c r="O85" s="316" t="s">
        <v>3819</v>
      </c>
      <c r="P85" s="316" t="s">
        <v>147</v>
      </c>
    </row>
    <row r="86" spans="1:16" x14ac:dyDescent="0.25">
      <c r="A86" s="307">
        <f t="shared" si="4"/>
        <v>80</v>
      </c>
      <c r="B86" s="308">
        <v>46123</v>
      </c>
      <c r="C86" s="309">
        <f t="shared" si="5"/>
        <v>46113</v>
      </c>
      <c r="D86" s="310" t="s">
        <v>1644</v>
      </c>
      <c r="E86" s="316" t="s">
        <v>3557</v>
      </c>
      <c r="F86" s="316" t="s">
        <v>2451</v>
      </c>
      <c r="G86" s="316" t="s">
        <v>3013</v>
      </c>
      <c r="H86" s="312">
        <v>24140</v>
      </c>
      <c r="I86" s="312">
        <v>24140</v>
      </c>
      <c r="J86" s="313">
        <f t="shared" si="6"/>
        <v>0</v>
      </c>
      <c r="K86" s="308">
        <v>46126</v>
      </c>
      <c r="L86" s="315">
        <f t="shared" si="7"/>
        <v>3</v>
      </c>
      <c r="M86" s="310" t="s">
        <v>147</v>
      </c>
      <c r="N86" s="310"/>
      <c r="O86" s="316" t="s">
        <v>3819</v>
      </c>
      <c r="P86" s="316" t="s">
        <v>147</v>
      </c>
    </row>
    <row r="87" spans="1:16" x14ac:dyDescent="0.25">
      <c r="A87" s="307">
        <f t="shared" si="4"/>
        <v>81</v>
      </c>
      <c r="B87" s="308">
        <v>46125</v>
      </c>
      <c r="C87" s="309">
        <f t="shared" si="5"/>
        <v>46113</v>
      </c>
      <c r="D87" s="310" t="s">
        <v>3112</v>
      </c>
      <c r="E87" s="316" t="s">
        <v>3557</v>
      </c>
      <c r="F87" s="316" t="s">
        <v>2451</v>
      </c>
      <c r="G87" s="316" t="s">
        <v>3013</v>
      </c>
      <c r="H87" s="312">
        <v>25180</v>
      </c>
      <c r="I87" s="312">
        <v>25180</v>
      </c>
      <c r="J87" s="313">
        <f t="shared" si="6"/>
        <v>0</v>
      </c>
      <c r="K87" s="308">
        <v>46126</v>
      </c>
      <c r="L87" s="315">
        <f t="shared" si="7"/>
        <v>1</v>
      </c>
      <c r="M87" s="310" t="s">
        <v>147</v>
      </c>
      <c r="N87" s="310"/>
      <c r="O87" s="316" t="s">
        <v>3819</v>
      </c>
      <c r="P87" s="316" t="s">
        <v>147</v>
      </c>
    </row>
    <row r="88" spans="1:16" x14ac:dyDescent="0.25">
      <c r="A88" s="307">
        <f t="shared" si="4"/>
        <v>82</v>
      </c>
      <c r="B88" s="308">
        <v>46125</v>
      </c>
      <c r="C88" s="309">
        <f t="shared" si="5"/>
        <v>46113</v>
      </c>
      <c r="D88" s="310" t="s">
        <v>1641</v>
      </c>
      <c r="E88" s="316" t="s">
        <v>3113</v>
      </c>
      <c r="F88" s="316" t="s">
        <v>1542</v>
      </c>
      <c r="G88" s="316" t="s">
        <v>2168</v>
      </c>
      <c r="H88" s="312">
        <v>28380</v>
      </c>
      <c r="I88" s="312">
        <v>28380</v>
      </c>
      <c r="J88" s="313">
        <f t="shared" si="6"/>
        <v>0</v>
      </c>
      <c r="K88" s="308"/>
      <c r="L88" s="315" t="str">
        <f t="shared" si="7"/>
        <v/>
      </c>
      <c r="M88" s="310" t="s">
        <v>147</v>
      </c>
      <c r="N88" s="310"/>
      <c r="O88" s="316" t="s">
        <v>3819</v>
      </c>
      <c r="P88" s="316" t="s">
        <v>147</v>
      </c>
    </row>
    <row r="89" spans="1:16" x14ac:dyDescent="0.25">
      <c r="A89" s="307">
        <f t="shared" si="4"/>
        <v>83</v>
      </c>
      <c r="B89" s="308">
        <v>46125</v>
      </c>
      <c r="C89" s="309">
        <f t="shared" si="5"/>
        <v>46113</v>
      </c>
      <c r="D89" s="310" t="s">
        <v>1637</v>
      </c>
      <c r="E89" s="316" t="s">
        <v>3035</v>
      </c>
      <c r="F89" s="316" t="s">
        <v>3086</v>
      </c>
      <c r="G89" s="316" t="s">
        <v>158</v>
      </c>
      <c r="H89" s="312">
        <v>25090</v>
      </c>
      <c r="I89" s="312">
        <v>25090</v>
      </c>
      <c r="J89" s="313">
        <f t="shared" si="6"/>
        <v>0</v>
      </c>
      <c r="K89" s="308"/>
      <c r="L89" s="315" t="str">
        <f t="shared" si="7"/>
        <v/>
      </c>
      <c r="M89" s="310" t="s">
        <v>147</v>
      </c>
      <c r="N89" s="310"/>
      <c r="O89" s="316" t="s">
        <v>3819</v>
      </c>
      <c r="P89" s="316" t="s">
        <v>147</v>
      </c>
    </row>
    <row r="90" spans="1:16" x14ac:dyDescent="0.25">
      <c r="A90" s="307">
        <f t="shared" si="4"/>
        <v>84</v>
      </c>
      <c r="B90" s="308">
        <v>46126</v>
      </c>
      <c r="C90" s="309">
        <f t="shared" si="5"/>
        <v>46113</v>
      </c>
      <c r="D90" s="310" t="s">
        <v>3114</v>
      </c>
      <c r="E90" s="316" t="s">
        <v>3035</v>
      </c>
      <c r="F90" s="316" t="s">
        <v>2451</v>
      </c>
      <c r="G90" s="316" t="s">
        <v>2993</v>
      </c>
      <c r="H90" s="312">
        <v>13330</v>
      </c>
      <c r="I90" s="312">
        <v>13330</v>
      </c>
      <c r="J90" s="313">
        <f t="shared" si="6"/>
        <v>0</v>
      </c>
      <c r="K90" s="308"/>
      <c r="L90" s="315" t="str">
        <f t="shared" si="7"/>
        <v/>
      </c>
      <c r="M90" s="310" t="s">
        <v>147</v>
      </c>
      <c r="N90" s="310"/>
      <c r="O90" s="316" t="s">
        <v>3819</v>
      </c>
      <c r="P90" s="316" t="s">
        <v>147</v>
      </c>
    </row>
    <row r="91" spans="1:16" x14ac:dyDescent="0.25">
      <c r="A91" s="307">
        <f t="shared" si="4"/>
        <v>85</v>
      </c>
      <c r="B91" s="308">
        <v>46128</v>
      </c>
      <c r="C91" s="309">
        <f t="shared" si="5"/>
        <v>46113</v>
      </c>
      <c r="D91" s="310" t="s">
        <v>1644</v>
      </c>
      <c r="E91" s="316" t="s">
        <v>3019</v>
      </c>
      <c r="F91" s="316" t="s">
        <v>3013</v>
      </c>
      <c r="G91" s="316" t="s">
        <v>1314</v>
      </c>
      <c r="H91" s="312">
        <v>58340</v>
      </c>
      <c r="I91" s="312">
        <v>58340</v>
      </c>
      <c r="J91" s="313">
        <f t="shared" si="6"/>
        <v>0</v>
      </c>
      <c r="K91" s="308"/>
      <c r="L91" s="315" t="str">
        <f t="shared" si="7"/>
        <v/>
      </c>
      <c r="M91" s="310" t="s">
        <v>147</v>
      </c>
      <c r="N91" s="310"/>
      <c r="O91" s="316" t="s">
        <v>3819</v>
      </c>
      <c r="P91" s="316" t="s">
        <v>147</v>
      </c>
    </row>
    <row r="92" spans="1:16" x14ac:dyDescent="0.25">
      <c r="A92" s="307">
        <f t="shared" si="4"/>
        <v>86</v>
      </c>
      <c r="B92" s="308">
        <v>46129</v>
      </c>
      <c r="C92" s="309">
        <f t="shared" si="5"/>
        <v>46113</v>
      </c>
      <c r="D92" s="310" t="s">
        <v>3122</v>
      </c>
      <c r="E92" s="316" t="s">
        <v>3019</v>
      </c>
      <c r="F92" s="316" t="s">
        <v>3031</v>
      </c>
      <c r="G92" s="316" t="s">
        <v>1314</v>
      </c>
      <c r="H92" s="312">
        <v>59530</v>
      </c>
      <c r="I92" s="312">
        <v>59530</v>
      </c>
      <c r="J92" s="313">
        <f t="shared" si="6"/>
        <v>0</v>
      </c>
      <c r="K92" s="308"/>
      <c r="L92" s="315" t="str">
        <f t="shared" si="7"/>
        <v/>
      </c>
      <c r="M92" s="310" t="s">
        <v>147</v>
      </c>
      <c r="N92" s="310"/>
      <c r="O92" s="316" t="s">
        <v>3819</v>
      </c>
      <c r="P92" s="316" t="s">
        <v>147</v>
      </c>
    </row>
    <row r="93" spans="1:16" x14ac:dyDescent="0.25">
      <c r="A93" s="307">
        <f t="shared" si="4"/>
        <v>87</v>
      </c>
      <c r="B93" s="308">
        <v>46129</v>
      </c>
      <c r="C93" s="309">
        <f t="shared" si="5"/>
        <v>46113</v>
      </c>
      <c r="D93" s="310" t="s">
        <v>2859</v>
      </c>
      <c r="E93" s="316" t="s">
        <v>3035</v>
      </c>
      <c r="F93" s="316" t="s">
        <v>3013</v>
      </c>
      <c r="G93" s="316" t="s">
        <v>1314</v>
      </c>
      <c r="H93" s="312">
        <v>64020</v>
      </c>
      <c r="I93" s="312">
        <v>64020</v>
      </c>
      <c r="J93" s="313">
        <f t="shared" si="6"/>
        <v>0</v>
      </c>
      <c r="K93" s="308"/>
      <c r="L93" s="315" t="str">
        <f t="shared" si="7"/>
        <v/>
      </c>
      <c r="M93" s="310" t="s">
        <v>147</v>
      </c>
      <c r="N93" s="310"/>
      <c r="O93" s="316" t="s">
        <v>3819</v>
      </c>
      <c r="P93" s="316" t="s">
        <v>147</v>
      </c>
    </row>
    <row r="94" spans="1:16" x14ac:dyDescent="0.25">
      <c r="A94" s="307">
        <f t="shared" si="4"/>
        <v>88</v>
      </c>
      <c r="B94" s="308">
        <v>46131</v>
      </c>
      <c r="C94" s="309">
        <f t="shared" si="5"/>
        <v>46113</v>
      </c>
      <c r="D94" s="310" t="s">
        <v>60</v>
      </c>
      <c r="E94" s="316" t="s">
        <v>3035</v>
      </c>
      <c r="F94" s="316" t="s">
        <v>3086</v>
      </c>
      <c r="G94" s="316" t="s">
        <v>158</v>
      </c>
      <c r="H94" s="312">
        <v>26910</v>
      </c>
      <c r="I94" s="312">
        <v>26910</v>
      </c>
      <c r="J94" s="313">
        <f t="shared" si="6"/>
        <v>0</v>
      </c>
      <c r="K94" s="308"/>
      <c r="L94" s="315" t="str">
        <f t="shared" si="7"/>
        <v/>
      </c>
      <c r="M94" s="310" t="s">
        <v>147</v>
      </c>
      <c r="N94" s="310"/>
      <c r="O94" s="316" t="s">
        <v>3819</v>
      </c>
      <c r="P94" s="316" t="s">
        <v>147</v>
      </c>
    </row>
    <row r="95" spans="1:16" x14ac:dyDescent="0.25">
      <c r="A95" s="307">
        <f t="shared" si="4"/>
        <v>89</v>
      </c>
      <c r="B95" s="308">
        <v>46132</v>
      </c>
      <c r="C95" s="309">
        <f t="shared" si="5"/>
        <v>46113</v>
      </c>
      <c r="D95" s="310" t="s">
        <v>3114</v>
      </c>
      <c r="E95" s="316" t="s">
        <v>3825</v>
      </c>
      <c r="F95" s="316" t="s">
        <v>3016</v>
      </c>
      <c r="G95" s="316" t="s">
        <v>3143</v>
      </c>
      <c r="H95" s="312">
        <v>29700</v>
      </c>
      <c r="I95" s="312">
        <v>29700</v>
      </c>
      <c r="J95" s="313">
        <f t="shared" si="6"/>
        <v>0</v>
      </c>
      <c r="K95" s="308"/>
      <c r="L95" s="315" t="str">
        <f t="shared" si="7"/>
        <v/>
      </c>
      <c r="M95" s="310" t="s">
        <v>147</v>
      </c>
      <c r="N95" s="310"/>
      <c r="O95" s="316" t="s">
        <v>3819</v>
      </c>
      <c r="P95" s="316" t="s">
        <v>147</v>
      </c>
    </row>
    <row r="96" spans="1:16" x14ac:dyDescent="0.25">
      <c r="A96" s="307">
        <f t="shared" si="4"/>
        <v>90</v>
      </c>
      <c r="B96" s="308">
        <v>46132</v>
      </c>
      <c r="C96" s="309">
        <f t="shared" si="5"/>
        <v>46113</v>
      </c>
      <c r="D96" s="310" t="s">
        <v>1641</v>
      </c>
      <c r="E96" s="316" t="s">
        <v>3035</v>
      </c>
      <c r="F96" s="316" t="s">
        <v>2168</v>
      </c>
      <c r="G96" s="316" t="s">
        <v>3149</v>
      </c>
      <c r="H96" s="312">
        <v>50160</v>
      </c>
      <c r="I96" s="312">
        <v>50160</v>
      </c>
      <c r="J96" s="313">
        <f t="shared" si="6"/>
        <v>0</v>
      </c>
      <c r="K96" s="308"/>
      <c r="L96" s="315" t="str">
        <f t="shared" si="7"/>
        <v/>
      </c>
      <c r="M96" s="310" t="s">
        <v>147</v>
      </c>
      <c r="N96" s="310"/>
      <c r="O96" s="316" t="s">
        <v>3819</v>
      </c>
      <c r="P96" s="316" t="s">
        <v>147</v>
      </c>
    </row>
    <row r="97" spans="1:16" x14ac:dyDescent="0.25">
      <c r="A97" s="307">
        <f t="shared" si="4"/>
        <v>91</v>
      </c>
      <c r="B97" s="308">
        <v>46133</v>
      </c>
      <c r="C97" s="309">
        <f t="shared" si="5"/>
        <v>46113</v>
      </c>
      <c r="D97" s="310" t="s">
        <v>1644</v>
      </c>
      <c r="E97" s="316" t="s">
        <v>3147</v>
      </c>
      <c r="F97" s="316" t="s">
        <v>1314</v>
      </c>
      <c r="G97" s="316" t="s">
        <v>3826</v>
      </c>
      <c r="H97" s="312">
        <v>9240</v>
      </c>
      <c r="I97" s="312">
        <v>8380</v>
      </c>
      <c r="J97" s="313">
        <f t="shared" si="6"/>
        <v>860</v>
      </c>
      <c r="K97" s="308"/>
      <c r="L97" s="315" t="str">
        <f t="shared" si="7"/>
        <v/>
      </c>
      <c r="M97" s="310" t="s">
        <v>147</v>
      </c>
      <c r="N97" s="310"/>
      <c r="O97" s="316" t="s">
        <v>3827</v>
      </c>
      <c r="P97" s="316" t="s">
        <v>147</v>
      </c>
    </row>
    <row r="98" spans="1:16" x14ac:dyDescent="0.25">
      <c r="A98" s="307">
        <f t="shared" si="4"/>
        <v>92</v>
      </c>
      <c r="B98" s="308">
        <v>46134</v>
      </c>
      <c r="C98" s="309">
        <f t="shared" si="5"/>
        <v>46113</v>
      </c>
      <c r="D98" s="310" t="s">
        <v>3122</v>
      </c>
      <c r="E98" s="316" t="s">
        <v>3147</v>
      </c>
      <c r="F98" s="316" t="s">
        <v>1314</v>
      </c>
      <c r="G98" s="316" t="s">
        <v>2451</v>
      </c>
      <c r="H98" s="312">
        <v>10560</v>
      </c>
      <c r="I98" s="312">
        <v>9700</v>
      </c>
      <c r="J98" s="313">
        <f t="shared" si="6"/>
        <v>860</v>
      </c>
      <c r="K98" s="308"/>
      <c r="L98" s="315" t="str">
        <f t="shared" si="7"/>
        <v/>
      </c>
      <c r="M98" s="310" t="s">
        <v>147</v>
      </c>
      <c r="N98" s="310"/>
      <c r="O98" s="316" t="s">
        <v>3827</v>
      </c>
      <c r="P98" s="316" t="s">
        <v>147</v>
      </c>
    </row>
    <row r="99" spans="1:16" x14ac:dyDescent="0.25">
      <c r="A99" s="307">
        <f t="shared" si="4"/>
        <v>93</v>
      </c>
      <c r="B99" s="308">
        <v>46136</v>
      </c>
      <c r="C99" s="309">
        <f t="shared" si="5"/>
        <v>46113</v>
      </c>
      <c r="D99" s="310" t="s">
        <v>1635</v>
      </c>
      <c r="E99" s="316" t="s">
        <v>3035</v>
      </c>
      <c r="F99" s="316" t="s">
        <v>158</v>
      </c>
      <c r="G99" s="316" t="s">
        <v>3828</v>
      </c>
      <c r="H99" s="312">
        <v>51810</v>
      </c>
      <c r="I99" s="312">
        <v>51810</v>
      </c>
      <c r="J99" s="313">
        <f t="shared" si="6"/>
        <v>0</v>
      </c>
      <c r="K99" s="308"/>
      <c r="L99" s="315" t="str">
        <f t="shared" si="7"/>
        <v/>
      </c>
      <c r="M99" s="310" t="s">
        <v>147</v>
      </c>
      <c r="N99" s="310"/>
      <c r="O99" s="316" t="s">
        <v>3819</v>
      </c>
      <c r="P99" s="316" t="s">
        <v>147</v>
      </c>
    </row>
    <row r="100" spans="1:16" x14ac:dyDescent="0.25">
      <c r="A100" s="307">
        <f t="shared" si="4"/>
        <v>94</v>
      </c>
      <c r="B100" s="308">
        <v>46137</v>
      </c>
      <c r="C100" s="309">
        <f t="shared" si="5"/>
        <v>46113</v>
      </c>
      <c r="D100" s="310" t="s">
        <v>1637</v>
      </c>
      <c r="E100" s="316" t="s">
        <v>3035</v>
      </c>
      <c r="F100" s="316" t="s">
        <v>41</v>
      </c>
      <c r="G100" s="316" t="s">
        <v>3828</v>
      </c>
      <c r="H100" s="312">
        <v>51810</v>
      </c>
      <c r="I100" s="312">
        <v>51810</v>
      </c>
      <c r="J100" s="313">
        <f t="shared" si="6"/>
        <v>0</v>
      </c>
      <c r="K100" s="308"/>
      <c r="L100" s="315" t="str">
        <f t="shared" si="7"/>
        <v/>
      </c>
      <c r="M100" s="310" t="s">
        <v>147</v>
      </c>
      <c r="N100" s="310"/>
      <c r="O100" s="316" t="s">
        <v>3819</v>
      </c>
      <c r="P100" s="316" t="s">
        <v>147</v>
      </c>
    </row>
    <row r="101" spans="1:16" x14ac:dyDescent="0.25">
      <c r="A101" s="307">
        <f t="shared" si="4"/>
        <v>95</v>
      </c>
      <c r="B101" s="308">
        <v>46140</v>
      </c>
      <c r="C101" s="309">
        <f t="shared" si="5"/>
        <v>46113</v>
      </c>
      <c r="D101" s="310" t="s">
        <v>2859</v>
      </c>
      <c r="E101" s="316" t="s">
        <v>3035</v>
      </c>
      <c r="F101" s="316" t="s">
        <v>2168</v>
      </c>
      <c r="G101" s="316" t="s">
        <v>3186</v>
      </c>
      <c r="H101" s="312">
        <v>73290</v>
      </c>
      <c r="I101" s="312">
        <v>73290</v>
      </c>
      <c r="J101" s="313">
        <f t="shared" si="6"/>
        <v>0</v>
      </c>
      <c r="K101" s="308">
        <v>46141</v>
      </c>
      <c r="L101" s="315">
        <f t="shared" si="7"/>
        <v>1</v>
      </c>
      <c r="M101" s="310" t="s">
        <v>147</v>
      </c>
      <c r="N101" s="310"/>
      <c r="O101" s="316" t="s">
        <v>3819</v>
      </c>
      <c r="P101" s="316" t="s">
        <v>147</v>
      </c>
    </row>
    <row r="102" spans="1:16" x14ac:dyDescent="0.25">
      <c r="A102" s="307">
        <f t="shared" si="4"/>
        <v>96</v>
      </c>
      <c r="B102" s="308">
        <v>46141</v>
      </c>
      <c r="C102" s="309">
        <f t="shared" si="5"/>
        <v>46113</v>
      </c>
      <c r="D102" s="310" t="s">
        <v>3122</v>
      </c>
      <c r="E102" s="316" t="s">
        <v>3035</v>
      </c>
      <c r="F102" s="316" t="s">
        <v>2168</v>
      </c>
      <c r="G102" s="316" t="s">
        <v>3016</v>
      </c>
      <c r="H102" s="312">
        <v>50890</v>
      </c>
      <c r="I102" s="312">
        <v>50890</v>
      </c>
      <c r="J102" s="313">
        <f t="shared" si="6"/>
        <v>0</v>
      </c>
      <c r="K102" s="308">
        <v>46142</v>
      </c>
      <c r="L102" s="315">
        <f t="shared" si="7"/>
        <v>1</v>
      </c>
      <c r="M102" s="310" t="s">
        <v>147</v>
      </c>
      <c r="N102" s="310"/>
      <c r="O102" s="316" t="s">
        <v>3819</v>
      </c>
      <c r="P102" s="316" t="s">
        <v>147</v>
      </c>
    </row>
    <row r="103" spans="1:16" x14ac:dyDescent="0.25">
      <c r="A103" s="307">
        <f t="shared" si="4"/>
        <v>97</v>
      </c>
      <c r="B103" s="308">
        <v>46141</v>
      </c>
      <c r="C103" s="309">
        <f t="shared" si="5"/>
        <v>46113</v>
      </c>
      <c r="D103" s="310" t="s">
        <v>3065</v>
      </c>
      <c r="E103" s="316" t="s">
        <v>3557</v>
      </c>
      <c r="F103" s="316" t="s">
        <v>2451</v>
      </c>
      <c r="G103" s="316" t="s">
        <v>3194</v>
      </c>
      <c r="H103" s="312">
        <v>34980</v>
      </c>
      <c r="I103" s="312">
        <v>34980</v>
      </c>
      <c r="J103" s="313">
        <f t="shared" si="6"/>
        <v>0</v>
      </c>
      <c r="K103" s="308"/>
      <c r="L103" s="315" t="str">
        <f t="shared" si="7"/>
        <v/>
      </c>
      <c r="M103" s="310" t="s">
        <v>147</v>
      </c>
      <c r="N103" s="310"/>
      <c r="O103" s="316" t="s">
        <v>3819</v>
      </c>
      <c r="P103" s="316" t="s">
        <v>147</v>
      </c>
    </row>
    <row r="104" spans="1:16" x14ac:dyDescent="0.25">
      <c r="A104" s="307">
        <f t="shared" si="4"/>
        <v>98</v>
      </c>
      <c r="B104" s="308">
        <v>46147</v>
      </c>
      <c r="C104" s="309">
        <f t="shared" si="5"/>
        <v>46143</v>
      </c>
      <c r="D104" s="310" t="s">
        <v>3122</v>
      </c>
      <c r="E104" s="316" t="s">
        <v>3035</v>
      </c>
      <c r="F104" s="316" t="s">
        <v>3829</v>
      </c>
      <c r="G104" s="316" t="s">
        <v>3243</v>
      </c>
      <c r="H104" s="312">
        <v>16500</v>
      </c>
      <c r="I104" s="312">
        <v>16500</v>
      </c>
      <c r="J104" s="313">
        <f t="shared" si="6"/>
        <v>0</v>
      </c>
      <c r="K104" s="308">
        <v>46148</v>
      </c>
      <c r="L104" s="315">
        <f t="shared" si="7"/>
        <v>1</v>
      </c>
      <c r="M104" s="310" t="s">
        <v>147</v>
      </c>
      <c r="N104" s="310"/>
      <c r="O104" s="316" t="s">
        <v>3819</v>
      </c>
      <c r="P104" s="316" t="s">
        <v>147</v>
      </c>
    </row>
    <row r="105" spans="1:16" x14ac:dyDescent="0.25">
      <c r="A105" s="307">
        <f t="shared" si="4"/>
        <v>99</v>
      </c>
      <c r="B105" s="308">
        <v>46147</v>
      </c>
      <c r="C105" s="309">
        <f t="shared" si="5"/>
        <v>46143</v>
      </c>
      <c r="D105" s="310" t="s">
        <v>2859</v>
      </c>
      <c r="E105" s="316" t="s">
        <v>3035</v>
      </c>
      <c r="F105" s="316" t="s">
        <v>3186</v>
      </c>
      <c r="G105" s="316" t="s">
        <v>3830</v>
      </c>
      <c r="H105" s="312">
        <v>14520</v>
      </c>
      <c r="I105" s="312">
        <v>14520</v>
      </c>
      <c r="J105" s="313">
        <f t="shared" si="6"/>
        <v>0</v>
      </c>
      <c r="K105" s="308">
        <v>46148</v>
      </c>
      <c r="L105" s="315">
        <f t="shared" si="7"/>
        <v>1</v>
      </c>
      <c r="M105" s="310" t="s">
        <v>147</v>
      </c>
      <c r="N105" s="310"/>
      <c r="O105" s="316" t="s">
        <v>3819</v>
      </c>
      <c r="P105" s="316" t="s">
        <v>147</v>
      </c>
    </row>
    <row r="106" spans="1:16" x14ac:dyDescent="0.25">
      <c r="A106" s="307">
        <f t="shared" si="4"/>
        <v>100</v>
      </c>
      <c r="B106" s="308">
        <v>46147</v>
      </c>
      <c r="C106" s="309">
        <f t="shared" si="5"/>
        <v>46143</v>
      </c>
      <c r="D106" s="310" t="s">
        <v>3065</v>
      </c>
      <c r="E106" s="316" t="s">
        <v>3019</v>
      </c>
      <c r="F106" s="316" t="s">
        <v>3246</v>
      </c>
      <c r="G106" s="316" t="s">
        <v>2168</v>
      </c>
      <c r="H106" s="312">
        <v>21450</v>
      </c>
      <c r="I106" s="312">
        <v>21450</v>
      </c>
      <c r="J106" s="313">
        <f t="shared" si="6"/>
        <v>0</v>
      </c>
      <c r="K106" s="308">
        <v>46148</v>
      </c>
      <c r="L106" s="315">
        <f t="shared" si="7"/>
        <v>1</v>
      </c>
      <c r="M106" s="310" t="s">
        <v>147</v>
      </c>
      <c r="N106" s="310"/>
      <c r="O106" s="316" t="s">
        <v>3819</v>
      </c>
      <c r="P106" s="316" t="s">
        <v>147</v>
      </c>
    </row>
    <row r="107" spans="1:16" x14ac:dyDescent="0.25">
      <c r="A107" s="307">
        <f t="shared" si="4"/>
        <v>101</v>
      </c>
      <c r="B107" s="308">
        <v>46147</v>
      </c>
      <c r="C107" s="309">
        <f t="shared" si="5"/>
        <v>46143</v>
      </c>
      <c r="D107" s="310" t="s">
        <v>1644</v>
      </c>
      <c r="E107" s="316" t="s">
        <v>3557</v>
      </c>
      <c r="F107" s="316" t="s">
        <v>2451</v>
      </c>
      <c r="G107" s="316" t="s">
        <v>1537</v>
      </c>
      <c r="H107" s="312">
        <v>29240</v>
      </c>
      <c r="I107" s="312">
        <v>29240</v>
      </c>
      <c r="J107" s="313">
        <f t="shared" si="6"/>
        <v>0</v>
      </c>
      <c r="K107" s="308"/>
      <c r="L107" s="315" t="str">
        <f t="shared" si="7"/>
        <v/>
      </c>
      <c r="M107" s="310" t="s">
        <v>147</v>
      </c>
      <c r="N107" s="310"/>
      <c r="O107" s="316" t="s">
        <v>3819</v>
      </c>
      <c r="P107" s="316" t="s">
        <v>147</v>
      </c>
    </row>
    <row r="108" spans="1:16" x14ac:dyDescent="0.25">
      <c r="A108" s="307">
        <f t="shared" si="4"/>
        <v>102</v>
      </c>
      <c r="B108" s="308">
        <v>46150</v>
      </c>
      <c r="C108" s="309">
        <f t="shared" si="5"/>
        <v>46143</v>
      </c>
      <c r="D108" s="310" t="s">
        <v>2859</v>
      </c>
      <c r="E108" s="316" t="s">
        <v>3035</v>
      </c>
      <c r="F108" s="316" t="s">
        <v>3067</v>
      </c>
      <c r="G108" s="316" t="s">
        <v>2168</v>
      </c>
      <c r="H108" s="312">
        <v>27520</v>
      </c>
      <c r="I108" s="312">
        <v>27520</v>
      </c>
      <c r="J108" s="313">
        <f t="shared" si="6"/>
        <v>0</v>
      </c>
      <c r="K108" s="308"/>
      <c r="L108" s="315" t="str">
        <f t="shared" si="7"/>
        <v/>
      </c>
      <c r="M108" s="310" t="s">
        <v>147</v>
      </c>
      <c r="N108" s="310"/>
      <c r="O108" s="316" t="s">
        <v>3819</v>
      </c>
      <c r="P108" s="316" t="s">
        <v>147</v>
      </c>
    </row>
    <row r="109" spans="1:16" x14ac:dyDescent="0.25">
      <c r="A109" s="307">
        <f t="shared" si="4"/>
        <v>103</v>
      </c>
      <c r="B109" s="308">
        <v>46150</v>
      </c>
      <c r="C109" s="309">
        <f t="shared" si="5"/>
        <v>46143</v>
      </c>
      <c r="D109" s="310" t="s">
        <v>3122</v>
      </c>
      <c r="E109" s="316" t="s">
        <v>3035</v>
      </c>
      <c r="F109" s="316" t="s">
        <v>3243</v>
      </c>
      <c r="G109" s="316" t="s">
        <v>2168</v>
      </c>
      <c r="H109" s="312">
        <v>17400</v>
      </c>
      <c r="I109" s="312">
        <v>17400</v>
      </c>
      <c r="J109" s="313">
        <f t="shared" si="6"/>
        <v>0</v>
      </c>
      <c r="K109" s="308"/>
      <c r="L109" s="315" t="str">
        <f t="shared" si="7"/>
        <v/>
      </c>
      <c r="M109" s="310" t="s">
        <v>147</v>
      </c>
      <c r="N109" s="310"/>
      <c r="O109" s="316" t="s">
        <v>3819</v>
      </c>
      <c r="P109" s="316" t="s">
        <v>147</v>
      </c>
    </row>
    <row r="110" spans="1:16" x14ac:dyDescent="0.25">
      <c r="A110" s="307">
        <f t="shared" si="4"/>
        <v>104</v>
      </c>
      <c r="B110" s="308">
        <v>46151</v>
      </c>
      <c r="C110" s="309">
        <f t="shared" si="5"/>
        <v>46143</v>
      </c>
      <c r="D110" s="310" t="s">
        <v>1644</v>
      </c>
      <c r="E110" s="316" t="s">
        <v>3781</v>
      </c>
      <c r="F110" s="316" t="s">
        <v>2168</v>
      </c>
      <c r="G110" s="316" t="s">
        <v>1314</v>
      </c>
      <c r="H110" s="312">
        <v>59070</v>
      </c>
      <c r="I110" s="312">
        <v>59070</v>
      </c>
      <c r="J110" s="313">
        <f t="shared" si="6"/>
        <v>0</v>
      </c>
      <c r="K110" s="308"/>
      <c r="L110" s="315" t="str">
        <f t="shared" si="7"/>
        <v/>
      </c>
      <c r="M110" s="310" t="s">
        <v>147</v>
      </c>
      <c r="N110" s="310"/>
      <c r="O110" s="316" t="s">
        <v>3819</v>
      </c>
      <c r="P110" s="316" t="s">
        <v>147</v>
      </c>
    </row>
    <row r="111" spans="1:16" x14ac:dyDescent="0.25">
      <c r="A111" s="307">
        <f t="shared" si="4"/>
        <v>105</v>
      </c>
      <c r="B111" s="308">
        <v>46153</v>
      </c>
      <c r="C111" s="309">
        <f t="shared" si="5"/>
        <v>46143</v>
      </c>
      <c r="D111" s="310" t="s">
        <v>3122</v>
      </c>
      <c r="E111" s="316" t="s">
        <v>3019</v>
      </c>
      <c r="F111" s="316" t="s">
        <v>2168</v>
      </c>
      <c r="G111" s="316" t="s">
        <v>6</v>
      </c>
      <c r="H111" s="312">
        <v>53790</v>
      </c>
      <c r="I111" s="312">
        <v>53790</v>
      </c>
      <c r="J111" s="313">
        <f t="shared" si="6"/>
        <v>0</v>
      </c>
      <c r="K111" s="308"/>
      <c r="L111" s="315" t="str">
        <f t="shared" si="7"/>
        <v/>
      </c>
      <c r="M111" s="310" t="s">
        <v>147</v>
      </c>
      <c r="N111" s="310"/>
      <c r="O111" s="316" t="s">
        <v>3819</v>
      </c>
      <c r="P111" s="316" t="s">
        <v>147</v>
      </c>
    </row>
    <row r="112" spans="1:16" x14ac:dyDescent="0.25">
      <c r="A112" s="307">
        <f t="shared" si="4"/>
        <v>106</v>
      </c>
      <c r="B112" s="308">
        <v>46156</v>
      </c>
      <c r="C112" s="309">
        <f t="shared" si="5"/>
        <v>46143</v>
      </c>
      <c r="D112" s="310" t="s">
        <v>60</v>
      </c>
      <c r="E112" s="316" t="s">
        <v>3831</v>
      </c>
      <c r="F112" s="316" t="s">
        <v>2451</v>
      </c>
      <c r="G112" s="316" t="s">
        <v>3305</v>
      </c>
      <c r="H112" s="312">
        <v>24320</v>
      </c>
      <c r="I112" s="312">
        <v>24320</v>
      </c>
      <c r="J112" s="313">
        <f t="shared" si="6"/>
        <v>0</v>
      </c>
      <c r="K112" s="308"/>
      <c r="L112" s="315" t="str">
        <f t="shared" si="7"/>
        <v/>
      </c>
      <c r="M112" s="310" t="s">
        <v>147</v>
      </c>
      <c r="N112" s="310"/>
      <c r="O112" s="316" t="s">
        <v>3819</v>
      </c>
      <c r="P112" s="316" t="s">
        <v>147</v>
      </c>
    </row>
    <row r="113" spans="1:16" x14ac:dyDescent="0.25">
      <c r="A113" s="307">
        <f t="shared" si="4"/>
        <v>107</v>
      </c>
      <c r="B113" s="308">
        <v>46158</v>
      </c>
      <c r="C113" s="309">
        <f t="shared" si="5"/>
        <v>46143</v>
      </c>
      <c r="D113" s="310" t="s">
        <v>1641</v>
      </c>
      <c r="E113" s="316" t="s">
        <v>3557</v>
      </c>
      <c r="F113" s="316" t="s">
        <v>2451</v>
      </c>
      <c r="G113" s="316" t="s">
        <v>2168</v>
      </c>
      <c r="H113" s="312">
        <v>28610</v>
      </c>
      <c r="I113" s="312">
        <v>25480</v>
      </c>
      <c r="J113" s="313">
        <f t="shared" si="6"/>
        <v>3130</v>
      </c>
      <c r="K113" s="308"/>
      <c r="L113" s="315" t="str">
        <f t="shared" si="7"/>
        <v/>
      </c>
      <c r="M113" s="310" t="s">
        <v>147</v>
      </c>
      <c r="N113" s="310"/>
      <c r="O113" s="316" t="s">
        <v>3827</v>
      </c>
      <c r="P113" s="316" t="s">
        <v>147</v>
      </c>
    </row>
    <row r="114" spans="1:16" x14ac:dyDescent="0.25">
      <c r="A114" s="307">
        <f t="shared" si="4"/>
        <v>108</v>
      </c>
      <c r="B114" s="308">
        <v>46158</v>
      </c>
      <c r="C114" s="309">
        <f t="shared" si="5"/>
        <v>46143</v>
      </c>
      <c r="D114" s="310" t="s">
        <v>1644</v>
      </c>
      <c r="E114" s="316" t="s">
        <v>3035</v>
      </c>
      <c r="F114" s="316" t="s">
        <v>1314</v>
      </c>
      <c r="G114" s="316" t="s">
        <v>2168</v>
      </c>
      <c r="H114" s="312">
        <v>36040</v>
      </c>
      <c r="I114" s="312">
        <v>36040</v>
      </c>
      <c r="J114" s="313">
        <f t="shared" si="6"/>
        <v>0</v>
      </c>
      <c r="K114" s="308"/>
      <c r="L114" s="315" t="str">
        <f t="shared" si="7"/>
        <v/>
      </c>
      <c r="M114" s="310" t="s">
        <v>147</v>
      </c>
      <c r="N114" s="310"/>
      <c r="O114" s="316" t="s">
        <v>3819</v>
      </c>
      <c r="P114" s="316" t="s">
        <v>147</v>
      </c>
    </row>
    <row r="115" spans="1:16" x14ac:dyDescent="0.25">
      <c r="A115" s="307">
        <f t="shared" si="4"/>
        <v>109</v>
      </c>
      <c r="B115" s="308">
        <v>46159</v>
      </c>
      <c r="C115" s="309">
        <f t="shared" si="5"/>
        <v>46143</v>
      </c>
      <c r="D115" s="310" t="s">
        <v>3304</v>
      </c>
      <c r="E115" s="316" t="s">
        <v>3781</v>
      </c>
      <c r="F115" s="316" t="s">
        <v>2168</v>
      </c>
      <c r="G115" s="316" t="s">
        <v>1314</v>
      </c>
      <c r="H115" s="312">
        <v>57420</v>
      </c>
      <c r="I115" s="312">
        <v>57420</v>
      </c>
      <c r="J115" s="313">
        <f t="shared" si="6"/>
        <v>0</v>
      </c>
      <c r="K115" s="308"/>
      <c r="L115" s="315" t="str">
        <f t="shared" si="7"/>
        <v/>
      </c>
      <c r="M115" s="310" t="s">
        <v>147</v>
      </c>
      <c r="N115" s="310"/>
      <c r="O115" s="316" t="s">
        <v>3819</v>
      </c>
      <c r="P115" s="316" t="s">
        <v>147</v>
      </c>
    </row>
    <row r="116" spans="1:16" x14ac:dyDescent="0.25">
      <c r="A116" s="307">
        <f t="shared" si="4"/>
        <v>110</v>
      </c>
      <c r="B116" s="308">
        <v>46160</v>
      </c>
      <c r="C116" s="309">
        <f t="shared" si="5"/>
        <v>46143</v>
      </c>
      <c r="D116" s="310" t="s">
        <v>60</v>
      </c>
      <c r="E116" s="316" t="s">
        <v>3035</v>
      </c>
      <c r="F116" s="316" t="s">
        <v>3305</v>
      </c>
      <c r="G116" s="316" t="s">
        <v>6</v>
      </c>
      <c r="H116" s="312">
        <v>52870</v>
      </c>
      <c r="I116" s="312">
        <v>52870</v>
      </c>
      <c r="J116" s="313">
        <f t="shared" si="6"/>
        <v>0</v>
      </c>
      <c r="K116" s="308"/>
      <c r="L116" s="315" t="str">
        <f t="shared" si="7"/>
        <v/>
      </c>
      <c r="M116" s="310" t="s">
        <v>147</v>
      </c>
      <c r="N116" s="310"/>
      <c r="O116" s="316" t="s">
        <v>3819</v>
      </c>
      <c r="P116" s="316" t="s">
        <v>147</v>
      </c>
    </row>
    <row r="117" spans="1:16" x14ac:dyDescent="0.25">
      <c r="A117" s="307">
        <f t="shared" si="4"/>
        <v>111</v>
      </c>
      <c r="B117" s="308">
        <v>46162</v>
      </c>
      <c r="C117" s="309">
        <f t="shared" si="5"/>
        <v>46143</v>
      </c>
      <c r="D117" s="310" t="s">
        <v>1641</v>
      </c>
      <c r="E117" s="316" t="s">
        <v>3035</v>
      </c>
      <c r="F117" s="316" t="s">
        <v>3832</v>
      </c>
      <c r="G117" s="316" t="s">
        <v>2168</v>
      </c>
      <c r="H117" s="312">
        <v>18830</v>
      </c>
      <c r="I117" s="312">
        <v>18830</v>
      </c>
      <c r="J117" s="313">
        <f t="shared" si="6"/>
        <v>0</v>
      </c>
      <c r="K117" s="308"/>
      <c r="L117" s="315" t="str">
        <f t="shared" si="7"/>
        <v/>
      </c>
      <c r="M117" s="310" t="s">
        <v>147</v>
      </c>
      <c r="N117" s="310"/>
      <c r="O117" s="316" t="s">
        <v>3819</v>
      </c>
      <c r="P117" s="316" t="s">
        <v>147</v>
      </c>
    </row>
    <row r="118" spans="1:16" x14ac:dyDescent="0.25">
      <c r="A118" s="307">
        <f t="shared" si="4"/>
        <v>112</v>
      </c>
      <c r="B118" s="308">
        <v>46162</v>
      </c>
      <c r="C118" s="309">
        <f t="shared" si="5"/>
        <v>46143</v>
      </c>
      <c r="D118" s="310" t="s">
        <v>1644</v>
      </c>
      <c r="E118" s="316" t="s">
        <v>3035</v>
      </c>
      <c r="F118" s="316" t="s">
        <v>2168</v>
      </c>
      <c r="G118" s="316" t="s">
        <v>3036</v>
      </c>
      <c r="H118" s="312">
        <v>44070</v>
      </c>
      <c r="I118" s="312">
        <v>44070</v>
      </c>
      <c r="J118" s="313">
        <f t="shared" si="6"/>
        <v>0</v>
      </c>
      <c r="K118" s="308"/>
      <c r="L118" s="315" t="str">
        <f t="shared" si="7"/>
        <v/>
      </c>
      <c r="M118" s="310" t="s">
        <v>147</v>
      </c>
      <c r="N118" s="310"/>
      <c r="O118" s="316" t="s">
        <v>3819</v>
      </c>
      <c r="P118" s="316" t="s">
        <v>147</v>
      </c>
    </row>
    <row r="119" spans="1:16" x14ac:dyDescent="0.25">
      <c r="A119" s="307">
        <f t="shared" si="4"/>
        <v>113</v>
      </c>
      <c r="B119" s="308">
        <v>46164</v>
      </c>
      <c r="C119" s="309">
        <f t="shared" si="5"/>
        <v>46143</v>
      </c>
      <c r="D119" s="310" t="s">
        <v>3065</v>
      </c>
      <c r="E119" s="316" t="s">
        <v>3833</v>
      </c>
      <c r="F119" s="316" t="s">
        <v>1314</v>
      </c>
      <c r="G119" s="316" t="s">
        <v>6</v>
      </c>
      <c r="H119" s="312">
        <v>8580</v>
      </c>
      <c r="I119" s="312">
        <v>8580</v>
      </c>
      <c r="J119" s="313">
        <f t="shared" si="6"/>
        <v>0</v>
      </c>
      <c r="K119" s="308"/>
      <c r="L119" s="315" t="str">
        <f t="shared" si="7"/>
        <v/>
      </c>
      <c r="M119" s="310" t="s">
        <v>147</v>
      </c>
      <c r="N119" s="310"/>
      <c r="O119" s="316" t="s">
        <v>3819</v>
      </c>
      <c r="P119" s="316" t="s">
        <v>147</v>
      </c>
    </row>
    <row r="120" spans="1:16" x14ac:dyDescent="0.25">
      <c r="A120" s="307">
        <f t="shared" si="4"/>
        <v>114</v>
      </c>
      <c r="B120" s="308">
        <v>46167</v>
      </c>
      <c r="C120" s="309">
        <f t="shared" si="5"/>
        <v>46143</v>
      </c>
      <c r="D120" s="310" t="s">
        <v>60</v>
      </c>
      <c r="E120" s="316" t="s">
        <v>3035</v>
      </c>
      <c r="F120" s="316" t="s">
        <v>3309</v>
      </c>
      <c r="G120" s="316" t="s">
        <v>3310</v>
      </c>
      <c r="H120" s="312">
        <v>60090</v>
      </c>
      <c r="I120" s="312">
        <v>60090</v>
      </c>
      <c r="J120" s="313">
        <f t="shared" si="6"/>
        <v>0</v>
      </c>
      <c r="K120" s="308"/>
      <c r="L120" s="315" t="str">
        <f t="shared" si="7"/>
        <v/>
      </c>
      <c r="M120" s="310" t="s">
        <v>147</v>
      </c>
      <c r="N120" s="310"/>
      <c r="O120" s="316" t="s">
        <v>3819</v>
      </c>
      <c r="P120" s="316" t="s">
        <v>147</v>
      </c>
    </row>
    <row r="121" spans="1:16" x14ac:dyDescent="0.25">
      <c r="A121" s="307">
        <f t="shared" si="4"/>
        <v>115</v>
      </c>
      <c r="B121" s="308">
        <v>46168</v>
      </c>
      <c r="C121" s="309">
        <f t="shared" si="5"/>
        <v>46143</v>
      </c>
      <c r="D121" s="310" t="s">
        <v>3114</v>
      </c>
      <c r="E121" s="316" t="s">
        <v>3019</v>
      </c>
      <c r="F121" s="316" t="s">
        <v>3834</v>
      </c>
      <c r="G121" s="316" t="s">
        <v>1542</v>
      </c>
      <c r="H121" s="312">
        <v>52140</v>
      </c>
      <c r="I121" s="312">
        <v>52140</v>
      </c>
      <c r="J121" s="313">
        <f t="shared" si="6"/>
        <v>0</v>
      </c>
      <c r="K121" s="308"/>
      <c r="L121" s="315" t="str">
        <f t="shared" si="7"/>
        <v/>
      </c>
      <c r="M121" s="310" t="s">
        <v>147</v>
      </c>
      <c r="N121" s="310"/>
      <c r="O121" s="316" t="s">
        <v>3819</v>
      </c>
      <c r="P121" s="316" t="s">
        <v>147</v>
      </c>
    </row>
    <row r="122" spans="1:16" x14ac:dyDescent="0.25">
      <c r="A122" s="307">
        <f t="shared" si="4"/>
        <v>116</v>
      </c>
      <c r="B122" s="308">
        <v>46169</v>
      </c>
      <c r="C122" s="309">
        <f t="shared" si="5"/>
        <v>46143</v>
      </c>
      <c r="D122" s="310" t="s">
        <v>3065</v>
      </c>
      <c r="E122" s="316" t="s">
        <v>3312</v>
      </c>
      <c r="F122" s="316" t="s">
        <v>158</v>
      </c>
      <c r="G122" s="316" t="s">
        <v>3085</v>
      </c>
      <c r="H122" s="312">
        <v>47380</v>
      </c>
      <c r="I122" s="312">
        <v>42620</v>
      </c>
      <c r="J122" s="313">
        <f t="shared" si="6"/>
        <v>4760</v>
      </c>
      <c r="K122" s="308"/>
      <c r="L122" s="315" t="str">
        <f t="shared" si="7"/>
        <v/>
      </c>
      <c r="M122" s="310" t="s">
        <v>147</v>
      </c>
      <c r="N122" s="310"/>
      <c r="O122" s="316" t="s">
        <v>3827</v>
      </c>
      <c r="P122" s="316" t="s">
        <v>147</v>
      </c>
    </row>
    <row r="123" spans="1:16" x14ac:dyDescent="0.25">
      <c r="A123" s="307">
        <f t="shared" si="4"/>
        <v>117</v>
      </c>
      <c r="B123" s="308">
        <v>46171</v>
      </c>
      <c r="C123" s="309">
        <f t="shared" si="5"/>
        <v>46143</v>
      </c>
      <c r="D123" s="310" t="s">
        <v>3122</v>
      </c>
      <c r="E123" s="316" t="s">
        <v>3019</v>
      </c>
      <c r="F123" s="316" t="s">
        <v>2168</v>
      </c>
      <c r="G123" s="316" t="s">
        <v>1314</v>
      </c>
      <c r="H123" s="312">
        <v>56100</v>
      </c>
      <c r="I123" s="312">
        <v>56100</v>
      </c>
      <c r="J123" s="313">
        <f t="shared" si="6"/>
        <v>0</v>
      </c>
      <c r="K123" s="308"/>
      <c r="L123" s="315" t="str">
        <f t="shared" si="7"/>
        <v/>
      </c>
      <c r="M123" s="310" t="s">
        <v>147</v>
      </c>
      <c r="N123" s="310"/>
      <c r="O123" s="316" t="s">
        <v>3819</v>
      </c>
      <c r="P123" s="316" t="s">
        <v>147</v>
      </c>
    </row>
    <row r="124" spans="1:16" x14ac:dyDescent="0.25">
      <c r="A124" s="307">
        <f t="shared" si="4"/>
        <v>118</v>
      </c>
      <c r="B124" s="308">
        <v>46172</v>
      </c>
      <c r="C124" s="309">
        <f t="shared" si="5"/>
        <v>46143</v>
      </c>
      <c r="D124" s="310" t="s">
        <v>1635</v>
      </c>
      <c r="E124" s="316" t="s">
        <v>3312</v>
      </c>
      <c r="F124" s="316" t="s">
        <v>3834</v>
      </c>
      <c r="G124" s="316" t="s">
        <v>1542</v>
      </c>
      <c r="H124" s="312">
        <v>60720</v>
      </c>
      <c r="I124" s="312">
        <v>60720</v>
      </c>
      <c r="J124" s="313">
        <f t="shared" si="6"/>
        <v>0</v>
      </c>
      <c r="K124" s="308"/>
      <c r="L124" s="315" t="str">
        <f t="shared" si="7"/>
        <v/>
      </c>
      <c r="M124" s="310" t="s">
        <v>147</v>
      </c>
      <c r="N124" s="310"/>
      <c r="O124" s="316" t="s">
        <v>3819</v>
      </c>
      <c r="P124" s="316" t="s">
        <v>147</v>
      </c>
    </row>
    <row r="125" spans="1:16" x14ac:dyDescent="0.25">
      <c r="A125" s="307">
        <f t="shared" si="4"/>
        <v>119</v>
      </c>
      <c r="B125" s="308">
        <v>46175</v>
      </c>
      <c r="C125" s="309">
        <f t="shared" si="5"/>
        <v>46174</v>
      </c>
      <c r="D125" s="310" t="s">
        <v>3114</v>
      </c>
      <c r="E125" s="316" t="s">
        <v>3035</v>
      </c>
      <c r="F125" s="316" t="s">
        <v>1542</v>
      </c>
      <c r="G125" s="316" t="s">
        <v>6</v>
      </c>
      <c r="H125" s="312">
        <v>14420</v>
      </c>
      <c r="I125" s="312">
        <v>14420</v>
      </c>
      <c r="J125" s="313">
        <f t="shared" si="6"/>
        <v>0</v>
      </c>
      <c r="K125" s="308"/>
      <c r="L125" s="315" t="str">
        <f t="shared" si="7"/>
        <v/>
      </c>
      <c r="M125" s="310" t="s">
        <v>147</v>
      </c>
      <c r="N125" s="310"/>
      <c r="O125" s="316" t="s">
        <v>3819</v>
      </c>
      <c r="P125" s="316" t="s">
        <v>147</v>
      </c>
    </row>
    <row r="126" spans="1:16" x14ac:dyDescent="0.25">
      <c r="A126" s="307">
        <f t="shared" si="4"/>
        <v>120</v>
      </c>
      <c r="B126" s="308">
        <v>46175</v>
      </c>
      <c r="C126" s="309">
        <f t="shared" si="5"/>
        <v>46174</v>
      </c>
      <c r="D126" s="310" t="s">
        <v>3122</v>
      </c>
      <c r="E126" s="316" t="s">
        <v>3035</v>
      </c>
      <c r="F126" s="316" t="s">
        <v>1314</v>
      </c>
      <c r="G126" s="316" t="s">
        <v>2168</v>
      </c>
      <c r="H126" s="312">
        <v>37950</v>
      </c>
      <c r="I126" s="312">
        <v>37950</v>
      </c>
      <c r="J126" s="313">
        <f t="shared" si="6"/>
        <v>0</v>
      </c>
      <c r="K126" s="308"/>
      <c r="L126" s="315" t="str">
        <f t="shared" si="7"/>
        <v/>
      </c>
      <c r="M126" s="310" t="s">
        <v>147</v>
      </c>
      <c r="N126" s="310"/>
      <c r="O126" s="316" t="s">
        <v>3819</v>
      </c>
      <c r="P126" s="316" t="s">
        <v>147</v>
      </c>
    </row>
    <row r="127" spans="1:16" x14ac:dyDescent="0.25">
      <c r="A127" s="307">
        <f t="shared" si="4"/>
        <v>121</v>
      </c>
      <c r="B127" s="308">
        <v>46176</v>
      </c>
      <c r="C127" s="309">
        <f t="shared" si="5"/>
        <v>46174</v>
      </c>
      <c r="D127" s="310" t="s">
        <v>2859</v>
      </c>
      <c r="E127" s="316" t="s">
        <v>3019</v>
      </c>
      <c r="F127" s="316" t="s">
        <v>2168</v>
      </c>
      <c r="G127" s="316" t="s">
        <v>1314</v>
      </c>
      <c r="H127" s="312">
        <v>57220</v>
      </c>
      <c r="I127" s="312">
        <v>57220</v>
      </c>
      <c r="J127" s="313">
        <f t="shared" si="6"/>
        <v>0</v>
      </c>
      <c r="K127" s="308"/>
      <c r="L127" s="315" t="str">
        <f t="shared" si="7"/>
        <v/>
      </c>
      <c r="M127" s="310" t="s">
        <v>147</v>
      </c>
      <c r="N127" s="310"/>
      <c r="O127" s="316" t="s">
        <v>3819</v>
      </c>
      <c r="P127" s="316" t="s">
        <v>147</v>
      </c>
    </row>
    <row r="128" spans="1:16" x14ac:dyDescent="0.25">
      <c r="A128" s="307">
        <f t="shared" si="4"/>
        <v>122</v>
      </c>
      <c r="B128" s="308">
        <v>46178</v>
      </c>
      <c r="C128" s="309">
        <f t="shared" si="5"/>
        <v>46174</v>
      </c>
      <c r="D128" s="310" t="s">
        <v>1635</v>
      </c>
      <c r="E128" s="316" t="s">
        <v>3019</v>
      </c>
      <c r="F128" s="316" t="s">
        <v>1542</v>
      </c>
      <c r="G128" s="316" t="s">
        <v>2168</v>
      </c>
      <c r="H128" s="312">
        <v>28380</v>
      </c>
      <c r="I128" s="312">
        <v>28380</v>
      </c>
      <c r="J128" s="313">
        <f t="shared" si="6"/>
        <v>0</v>
      </c>
      <c r="K128" s="308"/>
      <c r="L128" s="315" t="str">
        <f t="shared" si="7"/>
        <v/>
      </c>
      <c r="M128" s="310" t="s">
        <v>147</v>
      </c>
      <c r="N128" s="310"/>
      <c r="O128" s="316" t="s">
        <v>3819</v>
      </c>
      <c r="P128" s="316" t="s">
        <v>147</v>
      </c>
    </row>
    <row r="129" spans="1:16" x14ac:dyDescent="0.25">
      <c r="A129" s="307">
        <f t="shared" si="4"/>
        <v>123</v>
      </c>
      <c r="B129" s="308">
        <v>46178</v>
      </c>
      <c r="C129" s="309">
        <f t="shared" si="5"/>
        <v>46174</v>
      </c>
      <c r="D129" s="310" t="s">
        <v>3114</v>
      </c>
      <c r="E129" s="316" t="s">
        <v>3557</v>
      </c>
      <c r="F129" s="316" t="s">
        <v>2451</v>
      </c>
      <c r="G129" s="316" t="s">
        <v>3305</v>
      </c>
      <c r="H129" s="312">
        <v>24750</v>
      </c>
      <c r="I129" s="312">
        <v>22770</v>
      </c>
      <c r="J129" s="313">
        <f t="shared" si="6"/>
        <v>1980</v>
      </c>
      <c r="K129" s="308"/>
      <c r="L129" s="315" t="str">
        <f t="shared" si="7"/>
        <v/>
      </c>
      <c r="M129" s="310" t="s">
        <v>147</v>
      </c>
      <c r="N129" s="310"/>
      <c r="O129" s="316" t="s">
        <v>3827</v>
      </c>
      <c r="P129" s="316" t="s">
        <v>147</v>
      </c>
    </row>
    <row r="130" spans="1:16" x14ac:dyDescent="0.25">
      <c r="A130" s="307">
        <f t="shared" si="4"/>
        <v>124</v>
      </c>
      <c r="B130" s="308">
        <v>46180</v>
      </c>
      <c r="C130" s="309">
        <f t="shared" si="5"/>
        <v>46174</v>
      </c>
      <c r="D130" s="310" t="s">
        <v>3065</v>
      </c>
      <c r="E130" s="316" t="s">
        <v>3035</v>
      </c>
      <c r="F130" s="316" t="s">
        <v>2168</v>
      </c>
      <c r="G130" s="316" t="s">
        <v>1314</v>
      </c>
      <c r="H130" s="312">
        <v>57620</v>
      </c>
      <c r="I130" s="312">
        <v>57620</v>
      </c>
      <c r="J130" s="313">
        <f t="shared" si="6"/>
        <v>0</v>
      </c>
      <c r="K130" s="308"/>
      <c r="L130" s="315" t="str">
        <f t="shared" si="7"/>
        <v/>
      </c>
      <c r="M130" s="310" t="s">
        <v>147</v>
      </c>
      <c r="N130" s="310"/>
      <c r="O130" s="316" t="s">
        <v>3819</v>
      </c>
      <c r="P130" s="316" t="s">
        <v>147</v>
      </c>
    </row>
    <row r="131" spans="1:16" x14ac:dyDescent="0.25">
      <c r="A131" s="307">
        <f t="shared" si="4"/>
        <v>125</v>
      </c>
      <c r="B131" s="308">
        <v>46181</v>
      </c>
      <c r="C131" s="309">
        <f t="shared" si="5"/>
        <v>46174</v>
      </c>
      <c r="D131" s="310" t="s">
        <v>3114</v>
      </c>
      <c r="E131" s="316" t="s">
        <v>3035</v>
      </c>
      <c r="F131" s="316" t="s">
        <v>3835</v>
      </c>
      <c r="G131" s="316" t="s">
        <v>1314</v>
      </c>
      <c r="H131" s="312">
        <v>57880</v>
      </c>
      <c r="I131" s="312">
        <v>57880</v>
      </c>
      <c r="J131" s="313">
        <f t="shared" si="6"/>
        <v>0</v>
      </c>
      <c r="K131" s="308"/>
      <c r="L131" s="315" t="str">
        <f t="shared" si="7"/>
        <v/>
      </c>
      <c r="M131" s="310" t="s">
        <v>147</v>
      </c>
      <c r="N131" s="310"/>
      <c r="O131" s="316" t="s">
        <v>3819</v>
      </c>
      <c r="P131" s="316" t="s">
        <v>147</v>
      </c>
    </row>
    <row r="132" spans="1:16" x14ac:dyDescent="0.25">
      <c r="A132" s="307">
        <f t="shared" si="4"/>
        <v>126</v>
      </c>
      <c r="B132" s="308">
        <v>46182</v>
      </c>
      <c r="C132" s="309">
        <f t="shared" si="5"/>
        <v>46174</v>
      </c>
      <c r="D132" s="310" t="s">
        <v>3122</v>
      </c>
      <c r="E132" s="316" t="s">
        <v>3781</v>
      </c>
      <c r="F132" s="316" t="s">
        <v>2168</v>
      </c>
      <c r="G132" s="316" t="s">
        <v>1314</v>
      </c>
      <c r="H132" s="312">
        <v>58080</v>
      </c>
      <c r="I132" s="312">
        <v>52270</v>
      </c>
      <c r="J132" s="313">
        <f t="shared" si="6"/>
        <v>5810</v>
      </c>
      <c r="K132" s="308"/>
      <c r="L132" s="315" t="str">
        <f t="shared" si="7"/>
        <v/>
      </c>
      <c r="M132" s="310" t="s">
        <v>147</v>
      </c>
      <c r="N132" s="310"/>
      <c r="O132" s="316" t="s">
        <v>3827</v>
      </c>
      <c r="P132" s="316" t="s">
        <v>147</v>
      </c>
    </row>
    <row r="133" spans="1:16" x14ac:dyDescent="0.25">
      <c r="A133" s="307">
        <f t="shared" si="4"/>
        <v>127</v>
      </c>
      <c r="B133" s="308">
        <v>46182</v>
      </c>
      <c r="C133" s="309">
        <f t="shared" si="5"/>
        <v>46174</v>
      </c>
      <c r="D133" s="310" t="s">
        <v>1635</v>
      </c>
      <c r="E133" s="316" t="s">
        <v>3781</v>
      </c>
      <c r="F133" s="316" t="s">
        <v>2168</v>
      </c>
      <c r="G133" s="316" t="s">
        <v>1314</v>
      </c>
      <c r="H133" s="312">
        <v>58080</v>
      </c>
      <c r="I133" s="312">
        <v>58080</v>
      </c>
      <c r="J133" s="313">
        <f t="shared" si="6"/>
        <v>0</v>
      </c>
      <c r="K133" s="308"/>
      <c r="L133" s="315" t="str">
        <f t="shared" si="7"/>
        <v/>
      </c>
      <c r="M133" s="310" t="s">
        <v>147</v>
      </c>
      <c r="N133" s="310"/>
      <c r="O133" s="316" t="s">
        <v>3819</v>
      </c>
      <c r="P133" s="316" t="s">
        <v>147</v>
      </c>
    </row>
    <row r="134" spans="1:16" x14ac:dyDescent="0.25">
      <c r="A134" s="307">
        <f t="shared" si="4"/>
        <v>128</v>
      </c>
      <c r="B134" s="308">
        <v>46184</v>
      </c>
      <c r="C134" s="309">
        <f t="shared" si="5"/>
        <v>46174</v>
      </c>
      <c r="D134" s="310" t="s">
        <v>1637</v>
      </c>
      <c r="E134" s="316" t="s">
        <v>3781</v>
      </c>
      <c r="F134" s="316" t="s">
        <v>2168</v>
      </c>
      <c r="G134" s="316" t="s">
        <v>1314</v>
      </c>
      <c r="H134" s="312">
        <v>56100</v>
      </c>
      <c r="I134" s="312">
        <v>56100</v>
      </c>
      <c r="J134" s="313">
        <f t="shared" si="6"/>
        <v>0</v>
      </c>
      <c r="K134" s="308"/>
      <c r="L134" s="315" t="str">
        <f t="shared" si="7"/>
        <v/>
      </c>
      <c r="M134" s="310" t="s">
        <v>147</v>
      </c>
      <c r="N134" s="310"/>
      <c r="O134" s="316" t="s">
        <v>3819</v>
      </c>
      <c r="P134" s="316" t="s">
        <v>147</v>
      </c>
    </row>
    <row r="135" spans="1:16" x14ac:dyDescent="0.25">
      <c r="A135" s="307">
        <f t="shared" si="4"/>
        <v>129</v>
      </c>
      <c r="B135" s="308">
        <v>46189</v>
      </c>
      <c r="C135" s="309">
        <f t="shared" si="5"/>
        <v>46174</v>
      </c>
      <c r="D135" s="310" t="s">
        <v>2859</v>
      </c>
      <c r="E135" s="316" t="s">
        <v>3019</v>
      </c>
      <c r="F135" s="316" t="s">
        <v>2168</v>
      </c>
      <c r="G135" s="316" t="s">
        <v>3085</v>
      </c>
      <c r="H135" s="312">
        <v>46200</v>
      </c>
      <c r="I135" s="312">
        <v>46200</v>
      </c>
      <c r="J135" s="313">
        <f t="shared" si="6"/>
        <v>0</v>
      </c>
      <c r="K135" s="308"/>
      <c r="L135" s="315" t="str">
        <f t="shared" si="7"/>
        <v/>
      </c>
      <c r="M135" s="310" t="s">
        <v>147</v>
      </c>
      <c r="N135" s="310"/>
      <c r="O135" s="316" t="s">
        <v>3819</v>
      </c>
      <c r="P135" s="316" t="s">
        <v>147</v>
      </c>
    </row>
    <row r="136" spans="1:16" x14ac:dyDescent="0.25">
      <c r="A136" s="307">
        <f t="shared" ref="A136:A177" si="8">IF($B136="","",ROW()-6)</f>
        <v>130</v>
      </c>
      <c r="B136" s="308">
        <v>46189</v>
      </c>
      <c r="C136" s="309">
        <f t="shared" ref="C136:C177" si="9">IF($B136="","",EOMONTH($B136,-1)+1)</f>
        <v>46174</v>
      </c>
      <c r="D136" s="310" t="s">
        <v>1635</v>
      </c>
      <c r="E136" s="316" t="s">
        <v>3035</v>
      </c>
      <c r="F136" s="316" t="s">
        <v>1314</v>
      </c>
      <c r="G136" s="316" t="s">
        <v>3085</v>
      </c>
      <c r="H136" s="312">
        <v>17080</v>
      </c>
      <c r="I136" s="312">
        <v>17080</v>
      </c>
      <c r="J136" s="313">
        <f t="shared" ref="J136:J177" si="10">IF(OR($H136="",$I136=""),"",$H136-$I136)</f>
        <v>0</v>
      </c>
      <c r="K136" s="308"/>
      <c r="L136" s="315" t="str">
        <f t="shared" ref="L136:L177" si="11">IF(OR($B136="",$K136=""),"",$K136-$B136)</f>
        <v/>
      </c>
      <c r="M136" s="310" t="s">
        <v>147</v>
      </c>
      <c r="N136" s="310"/>
      <c r="O136" s="316" t="s">
        <v>3819</v>
      </c>
      <c r="P136" s="316" t="s">
        <v>147</v>
      </c>
    </row>
    <row r="137" spans="1:16" x14ac:dyDescent="0.25">
      <c r="A137" s="307">
        <f t="shared" si="8"/>
        <v>131</v>
      </c>
      <c r="B137" s="308">
        <v>46190</v>
      </c>
      <c r="C137" s="309">
        <f t="shared" si="9"/>
        <v>46174</v>
      </c>
      <c r="D137" s="310" t="s">
        <v>3122</v>
      </c>
      <c r="E137" s="316" t="s">
        <v>3019</v>
      </c>
      <c r="F137" s="316" t="s">
        <v>2168</v>
      </c>
      <c r="G137" s="316" t="s">
        <v>3085</v>
      </c>
      <c r="H137" s="312">
        <v>46860</v>
      </c>
      <c r="I137" s="312">
        <v>46860</v>
      </c>
      <c r="J137" s="313">
        <f t="shared" si="10"/>
        <v>0</v>
      </c>
      <c r="K137" s="308"/>
      <c r="L137" s="315" t="str">
        <f t="shared" si="11"/>
        <v/>
      </c>
      <c r="M137" s="310" t="s">
        <v>147</v>
      </c>
      <c r="N137" s="310"/>
      <c r="O137" s="316" t="s">
        <v>3819</v>
      </c>
      <c r="P137" s="316" t="s">
        <v>147</v>
      </c>
    </row>
    <row r="138" spans="1:16" x14ac:dyDescent="0.25">
      <c r="A138" s="307">
        <f t="shared" si="8"/>
        <v>132</v>
      </c>
      <c r="B138" s="308">
        <v>46190</v>
      </c>
      <c r="C138" s="309">
        <f t="shared" si="9"/>
        <v>46174</v>
      </c>
      <c r="D138" s="310" t="s">
        <v>1637</v>
      </c>
      <c r="E138" s="316" t="s">
        <v>3035</v>
      </c>
      <c r="F138" s="316" t="s">
        <v>1314</v>
      </c>
      <c r="G138" s="316" t="s">
        <v>3379</v>
      </c>
      <c r="H138" s="312">
        <v>25340</v>
      </c>
      <c r="I138" s="312">
        <v>25340</v>
      </c>
      <c r="J138" s="313">
        <f t="shared" si="10"/>
        <v>0</v>
      </c>
      <c r="K138" s="308"/>
      <c r="L138" s="315" t="str">
        <f t="shared" si="11"/>
        <v/>
      </c>
      <c r="M138" s="310" t="s">
        <v>147</v>
      </c>
      <c r="N138" s="310"/>
      <c r="O138" s="316" t="s">
        <v>3819</v>
      </c>
      <c r="P138" s="316" t="s">
        <v>147</v>
      </c>
    </row>
    <row r="139" spans="1:16" x14ac:dyDescent="0.25">
      <c r="A139" s="307">
        <f t="shared" si="8"/>
        <v>133</v>
      </c>
      <c r="B139" s="308">
        <v>46197</v>
      </c>
      <c r="C139" s="309">
        <f t="shared" si="9"/>
        <v>46174</v>
      </c>
      <c r="D139" s="310" t="s">
        <v>1644</v>
      </c>
      <c r="E139" s="316" t="s">
        <v>3019</v>
      </c>
      <c r="F139" s="316" t="s">
        <v>2168</v>
      </c>
      <c r="G139" s="316" t="s">
        <v>1542</v>
      </c>
      <c r="H139" s="312">
        <v>51480</v>
      </c>
      <c r="I139" s="312">
        <v>51480</v>
      </c>
      <c r="J139" s="313">
        <f t="shared" si="10"/>
        <v>0</v>
      </c>
      <c r="K139" s="308"/>
      <c r="L139" s="315" t="str">
        <f t="shared" si="11"/>
        <v/>
      </c>
      <c r="M139" s="310" t="s">
        <v>147</v>
      </c>
      <c r="N139" s="310"/>
      <c r="O139" s="316" t="s">
        <v>3819</v>
      </c>
      <c r="P139" s="316" t="s">
        <v>147</v>
      </c>
    </row>
    <row r="140" spans="1:16" x14ac:dyDescent="0.25">
      <c r="A140" s="307">
        <f t="shared" si="8"/>
        <v>134</v>
      </c>
      <c r="B140" s="308">
        <v>46199</v>
      </c>
      <c r="C140" s="309">
        <f t="shared" si="9"/>
        <v>46174</v>
      </c>
      <c r="D140" s="310" t="s">
        <v>2859</v>
      </c>
      <c r="E140" s="316" t="s">
        <v>3035</v>
      </c>
      <c r="F140" s="316" t="s">
        <v>2168</v>
      </c>
      <c r="G140" s="316" t="s">
        <v>3433</v>
      </c>
      <c r="H140" s="312">
        <v>57420</v>
      </c>
      <c r="I140" s="312">
        <v>57420</v>
      </c>
      <c r="J140" s="313">
        <f t="shared" si="10"/>
        <v>0</v>
      </c>
      <c r="K140" s="308"/>
      <c r="L140" s="315" t="str">
        <f t="shared" si="11"/>
        <v/>
      </c>
      <c r="M140" s="310" t="s">
        <v>147</v>
      </c>
      <c r="N140" s="310"/>
      <c r="O140" s="316" t="s">
        <v>3819</v>
      </c>
      <c r="P140" s="316" t="s">
        <v>147</v>
      </c>
    </row>
    <row r="141" spans="1:16" x14ac:dyDescent="0.25">
      <c r="A141" s="307">
        <f t="shared" si="8"/>
        <v>135</v>
      </c>
      <c r="B141" s="308">
        <v>46200</v>
      </c>
      <c r="C141" s="309">
        <f t="shared" si="9"/>
        <v>46174</v>
      </c>
      <c r="D141" s="310" t="s">
        <v>38</v>
      </c>
      <c r="E141" s="316" t="s">
        <v>3035</v>
      </c>
      <c r="F141" s="316" t="s">
        <v>2168</v>
      </c>
      <c r="G141" s="316" t="s">
        <v>6</v>
      </c>
      <c r="H141" s="312">
        <v>40920</v>
      </c>
      <c r="I141" s="312">
        <v>40920</v>
      </c>
      <c r="J141" s="313">
        <f t="shared" si="10"/>
        <v>0</v>
      </c>
      <c r="K141" s="308"/>
      <c r="L141" s="315" t="str">
        <f t="shared" si="11"/>
        <v/>
      </c>
      <c r="M141" s="310" t="s">
        <v>147</v>
      </c>
      <c r="N141" s="310"/>
      <c r="O141" s="316" t="s">
        <v>3819</v>
      </c>
      <c r="P141" s="316" t="s">
        <v>147</v>
      </c>
    </row>
    <row r="142" spans="1:16" x14ac:dyDescent="0.25">
      <c r="A142" s="307">
        <f t="shared" si="8"/>
        <v>136</v>
      </c>
      <c r="B142" s="308">
        <v>46200</v>
      </c>
      <c r="C142" s="309">
        <f t="shared" si="9"/>
        <v>46174</v>
      </c>
      <c r="D142" s="310" t="s">
        <v>1644</v>
      </c>
      <c r="E142" s="316" t="s">
        <v>3019</v>
      </c>
      <c r="F142" s="316" t="s">
        <v>1542</v>
      </c>
      <c r="G142" s="316" t="s">
        <v>2168</v>
      </c>
      <c r="H142" s="312">
        <v>27720</v>
      </c>
      <c r="I142" s="312">
        <v>27720</v>
      </c>
      <c r="J142" s="313">
        <f t="shared" si="10"/>
        <v>0</v>
      </c>
      <c r="K142" s="308"/>
      <c r="L142" s="315" t="str">
        <f t="shared" si="11"/>
        <v/>
      </c>
      <c r="M142" s="310" t="s">
        <v>147</v>
      </c>
      <c r="N142" s="310"/>
      <c r="O142" s="316" t="s">
        <v>3819</v>
      </c>
      <c r="P142" s="316" t="s">
        <v>147</v>
      </c>
    </row>
    <row r="143" spans="1:16" x14ac:dyDescent="0.25">
      <c r="A143" s="307">
        <f t="shared" si="8"/>
        <v>137</v>
      </c>
      <c r="B143" s="308">
        <v>46202</v>
      </c>
      <c r="C143" s="309">
        <f t="shared" si="9"/>
        <v>46174</v>
      </c>
      <c r="D143" s="310" t="s">
        <v>60</v>
      </c>
      <c r="E143" s="316" t="s">
        <v>3312</v>
      </c>
      <c r="F143" s="316" t="s">
        <v>3438</v>
      </c>
      <c r="G143" s="316" t="s">
        <v>1542</v>
      </c>
      <c r="H143" s="312">
        <v>51480</v>
      </c>
      <c r="I143" s="312">
        <v>51480</v>
      </c>
      <c r="J143" s="313">
        <f t="shared" si="10"/>
        <v>0</v>
      </c>
      <c r="K143" s="308"/>
      <c r="L143" s="315" t="str">
        <f t="shared" si="11"/>
        <v/>
      </c>
      <c r="M143" s="310" t="s">
        <v>147</v>
      </c>
      <c r="N143" s="310"/>
      <c r="O143" s="316" t="s">
        <v>3819</v>
      </c>
      <c r="P143" s="316" t="s">
        <v>147</v>
      </c>
    </row>
    <row r="144" spans="1:16" x14ac:dyDescent="0.25">
      <c r="A144" s="307">
        <f t="shared" si="8"/>
        <v>138</v>
      </c>
      <c r="B144" s="308">
        <v>46202</v>
      </c>
      <c r="C144" s="309">
        <f t="shared" si="9"/>
        <v>46174</v>
      </c>
      <c r="D144" s="310" t="s">
        <v>1641</v>
      </c>
      <c r="E144" s="316" t="s">
        <v>3035</v>
      </c>
      <c r="F144" s="316" t="s">
        <v>6</v>
      </c>
      <c r="G144" s="316" t="s">
        <v>3439</v>
      </c>
      <c r="H144" s="312">
        <v>29700</v>
      </c>
      <c r="I144" s="312">
        <v>29700</v>
      </c>
      <c r="J144" s="313">
        <f t="shared" si="10"/>
        <v>0</v>
      </c>
      <c r="K144" s="308"/>
      <c r="L144" s="315" t="str">
        <f t="shared" si="11"/>
        <v/>
      </c>
      <c r="M144" s="310" t="s">
        <v>147</v>
      </c>
      <c r="N144" s="310"/>
      <c r="O144" s="316" t="s">
        <v>3819</v>
      </c>
      <c r="P144" s="316" t="s">
        <v>147</v>
      </c>
    </row>
    <row r="145" spans="1:16" x14ac:dyDescent="0.25">
      <c r="A145" s="307">
        <f t="shared" si="8"/>
        <v>139</v>
      </c>
      <c r="B145" s="308">
        <v>46207</v>
      </c>
      <c r="C145" s="309">
        <f t="shared" si="9"/>
        <v>46204</v>
      </c>
      <c r="D145" s="310" t="s">
        <v>2859</v>
      </c>
      <c r="E145" s="316" t="s">
        <v>3035</v>
      </c>
      <c r="F145" s="316" t="s">
        <v>6</v>
      </c>
      <c r="G145" s="316" t="s">
        <v>2168</v>
      </c>
      <c r="H145" s="312">
        <v>29040</v>
      </c>
      <c r="I145" s="312">
        <v>29040</v>
      </c>
      <c r="J145" s="313">
        <f t="shared" si="10"/>
        <v>0</v>
      </c>
      <c r="K145" s="308"/>
      <c r="L145" s="315" t="str">
        <f t="shared" si="11"/>
        <v/>
      </c>
      <c r="M145" s="310" t="s">
        <v>147</v>
      </c>
      <c r="N145" s="310"/>
      <c r="O145" s="316" t="s">
        <v>3819</v>
      </c>
      <c r="P145" s="316" t="s">
        <v>147</v>
      </c>
    </row>
    <row r="146" spans="1:16" x14ac:dyDescent="0.25">
      <c r="A146" s="307">
        <f t="shared" si="8"/>
        <v>140</v>
      </c>
      <c r="B146" s="308">
        <v>46207</v>
      </c>
      <c r="C146" s="309">
        <f t="shared" si="9"/>
        <v>46204</v>
      </c>
      <c r="D146" s="310" t="s">
        <v>1637</v>
      </c>
      <c r="E146" s="316" t="s">
        <v>3781</v>
      </c>
      <c r="F146" s="316" t="s">
        <v>2168</v>
      </c>
      <c r="G146" s="316" t="s">
        <v>1314</v>
      </c>
      <c r="H146" s="312">
        <v>57420</v>
      </c>
      <c r="I146" s="312">
        <v>57420</v>
      </c>
      <c r="J146" s="313">
        <f t="shared" si="10"/>
        <v>0</v>
      </c>
      <c r="K146" s="308"/>
      <c r="L146" s="315" t="str">
        <f t="shared" si="11"/>
        <v/>
      </c>
      <c r="M146" s="310" t="s">
        <v>147</v>
      </c>
      <c r="N146" s="310"/>
      <c r="O146" s="316" t="s">
        <v>3819</v>
      </c>
      <c r="P146" s="316" t="s">
        <v>147</v>
      </c>
    </row>
    <row r="147" spans="1:16" x14ac:dyDescent="0.25">
      <c r="A147" s="307">
        <f t="shared" si="8"/>
        <v>141</v>
      </c>
      <c r="B147" s="308">
        <v>46207</v>
      </c>
      <c r="C147" s="309">
        <f t="shared" si="9"/>
        <v>46204</v>
      </c>
      <c r="D147" s="310" t="s">
        <v>60</v>
      </c>
      <c r="E147" s="316" t="s">
        <v>3019</v>
      </c>
      <c r="F147" s="316" t="s">
        <v>1542</v>
      </c>
      <c r="G147" s="316" t="s">
        <v>2168</v>
      </c>
      <c r="H147" s="312">
        <v>27390</v>
      </c>
      <c r="I147" s="312">
        <v>27390</v>
      </c>
      <c r="J147" s="313">
        <f t="shared" si="10"/>
        <v>0</v>
      </c>
      <c r="K147" s="308"/>
      <c r="L147" s="315" t="str">
        <f t="shared" si="11"/>
        <v/>
      </c>
      <c r="M147" s="310" t="s">
        <v>147</v>
      </c>
      <c r="N147" s="310"/>
      <c r="O147" s="316" t="s">
        <v>3819</v>
      </c>
      <c r="P147" s="316" t="s">
        <v>147</v>
      </c>
    </row>
    <row r="148" spans="1:16" x14ac:dyDescent="0.25">
      <c r="A148" s="307">
        <f t="shared" si="8"/>
        <v>142</v>
      </c>
      <c r="B148" s="308">
        <v>46207</v>
      </c>
      <c r="C148" s="309">
        <f t="shared" si="9"/>
        <v>46204</v>
      </c>
      <c r="D148" s="310" t="s">
        <v>1641</v>
      </c>
      <c r="E148" s="316" t="s">
        <v>3781</v>
      </c>
      <c r="F148" s="316" t="s">
        <v>2168</v>
      </c>
      <c r="G148" s="316" t="s">
        <v>1314</v>
      </c>
      <c r="H148" s="312">
        <v>57420</v>
      </c>
      <c r="I148" s="312">
        <v>57420</v>
      </c>
      <c r="J148" s="313">
        <f t="shared" si="10"/>
        <v>0</v>
      </c>
      <c r="K148" s="308"/>
      <c r="L148" s="315" t="str">
        <f t="shared" si="11"/>
        <v/>
      </c>
      <c r="M148" s="310" t="s">
        <v>147</v>
      </c>
      <c r="N148" s="310"/>
      <c r="O148" s="316" t="s">
        <v>3819</v>
      </c>
      <c r="P148" s="316" t="s">
        <v>147</v>
      </c>
    </row>
    <row r="149" spans="1:16" x14ac:dyDescent="0.25">
      <c r="A149" s="307">
        <f t="shared" si="8"/>
        <v>143</v>
      </c>
      <c r="B149" s="308">
        <v>46207</v>
      </c>
      <c r="C149" s="309">
        <f t="shared" si="9"/>
        <v>46204</v>
      </c>
      <c r="D149" s="310" t="s">
        <v>3065</v>
      </c>
      <c r="E149" s="316" t="s">
        <v>3312</v>
      </c>
      <c r="F149" s="316" t="s">
        <v>2168</v>
      </c>
      <c r="G149" s="316" t="s">
        <v>6</v>
      </c>
      <c r="H149" s="312">
        <v>53790</v>
      </c>
      <c r="I149" s="312">
        <v>49620</v>
      </c>
      <c r="J149" s="313">
        <f t="shared" si="10"/>
        <v>4170</v>
      </c>
      <c r="K149" s="308"/>
      <c r="L149" s="315" t="str">
        <f t="shared" si="11"/>
        <v/>
      </c>
      <c r="M149" s="310" t="s">
        <v>147</v>
      </c>
      <c r="N149" s="310"/>
      <c r="O149" s="316" t="s">
        <v>3827</v>
      </c>
      <c r="P149" s="316" t="s">
        <v>147</v>
      </c>
    </row>
    <row r="150" spans="1:16" x14ac:dyDescent="0.25">
      <c r="A150" s="307">
        <f t="shared" si="8"/>
        <v>144</v>
      </c>
      <c r="B150" s="308">
        <v>46207</v>
      </c>
      <c r="C150" s="309">
        <f t="shared" si="9"/>
        <v>46204</v>
      </c>
      <c r="D150" s="310" t="s">
        <v>3122</v>
      </c>
      <c r="E150" s="316" t="s">
        <v>3557</v>
      </c>
      <c r="F150" s="316" t="s">
        <v>2451</v>
      </c>
      <c r="G150" s="316" t="s">
        <v>2168</v>
      </c>
      <c r="H150" s="312">
        <v>26400</v>
      </c>
      <c r="I150" s="312">
        <v>23500</v>
      </c>
      <c r="J150" s="313">
        <f t="shared" si="10"/>
        <v>2900</v>
      </c>
      <c r="K150" s="308"/>
      <c r="L150" s="315" t="str">
        <f t="shared" si="11"/>
        <v/>
      </c>
      <c r="M150" s="310" t="s">
        <v>147</v>
      </c>
      <c r="N150" s="310"/>
      <c r="O150" s="316" t="s">
        <v>3827</v>
      </c>
      <c r="P150" s="316" t="s">
        <v>147</v>
      </c>
    </row>
    <row r="151" spans="1:16" x14ac:dyDescent="0.25">
      <c r="A151" s="307">
        <f t="shared" si="8"/>
        <v>145</v>
      </c>
      <c r="B151" s="308">
        <v>46212</v>
      </c>
      <c r="C151" s="309">
        <f t="shared" si="9"/>
        <v>46204</v>
      </c>
      <c r="D151" s="310" t="s">
        <v>1637</v>
      </c>
      <c r="E151" s="316" t="s">
        <v>3833</v>
      </c>
      <c r="F151" s="316" t="s">
        <v>1314</v>
      </c>
      <c r="G151" s="316" t="s">
        <v>3085</v>
      </c>
      <c r="H151" s="312">
        <v>16500</v>
      </c>
      <c r="I151" s="312">
        <v>15840</v>
      </c>
      <c r="J151" s="313">
        <f t="shared" si="10"/>
        <v>660</v>
      </c>
      <c r="K151" s="308"/>
      <c r="L151" s="315" t="str">
        <f t="shared" si="11"/>
        <v/>
      </c>
      <c r="M151" s="310"/>
      <c r="N151" s="310"/>
      <c r="O151" s="316" t="s">
        <v>3827</v>
      </c>
      <c r="P151" s="316"/>
    </row>
    <row r="152" spans="1:16" x14ac:dyDescent="0.25">
      <c r="A152" s="307">
        <f t="shared" si="8"/>
        <v>146</v>
      </c>
      <c r="B152" s="308">
        <v>46212</v>
      </c>
      <c r="C152" s="309">
        <f t="shared" si="9"/>
        <v>46204</v>
      </c>
      <c r="D152" s="310" t="s">
        <v>1641</v>
      </c>
      <c r="E152" s="316" t="s">
        <v>3475</v>
      </c>
      <c r="F152" s="316" t="s">
        <v>1314</v>
      </c>
      <c r="G152" s="316" t="s">
        <v>3476</v>
      </c>
      <c r="H152" s="312">
        <v>22440</v>
      </c>
      <c r="I152" s="312">
        <v>20260</v>
      </c>
      <c r="J152" s="313">
        <f t="shared" si="10"/>
        <v>2180</v>
      </c>
      <c r="K152" s="308"/>
      <c r="L152" s="315" t="str">
        <f t="shared" si="11"/>
        <v/>
      </c>
      <c r="M152" s="310"/>
      <c r="N152" s="310"/>
      <c r="O152" s="316" t="s">
        <v>3827</v>
      </c>
      <c r="P152" s="316"/>
    </row>
    <row r="153" spans="1:16" x14ac:dyDescent="0.25">
      <c r="A153" s="307">
        <f t="shared" si="8"/>
        <v>147</v>
      </c>
      <c r="B153" s="308">
        <v>46217</v>
      </c>
      <c r="C153" s="309">
        <f t="shared" si="9"/>
        <v>46204</v>
      </c>
      <c r="D153" s="310" t="s">
        <v>2859</v>
      </c>
      <c r="E153" s="316" t="s">
        <v>3035</v>
      </c>
      <c r="F153" s="316" t="s">
        <v>6</v>
      </c>
      <c r="G153" s="316" t="s">
        <v>3243</v>
      </c>
      <c r="H153" s="312">
        <v>23300</v>
      </c>
      <c r="I153" s="312">
        <v>23300</v>
      </c>
      <c r="J153" s="313">
        <f t="shared" si="10"/>
        <v>0</v>
      </c>
      <c r="K153" s="308"/>
      <c r="L153" s="315" t="str">
        <f t="shared" si="11"/>
        <v/>
      </c>
      <c r="M153" s="310"/>
      <c r="N153" s="310"/>
      <c r="O153" s="316" t="s">
        <v>3819</v>
      </c>
      <c r="P153" s="316"/>
    </row>
    <row r="154" spans="1:16" x14ac:dyDescent="0.25">
      <c r="A154" s="307">
        <f t="shared" si="8"/>
        <v>148</v>
      </c>
      <c r="B154" s="308">
        <v>46217</v>
      </c>
      <c r="C154" s="309">
        <f t="shared" si="9"/>
        <v>46204</v>
      </c>
      <c r="D154" s="310" t="s">
        <v>60</v>
      </c>
      <c r="E154" s="316" t="s">
        <v>3557</v>
      </c>
      <c r="F154" s="316" t="s">
        <v>2451</v>
      </c>
      <c r="G154" s="316" t="s">
        <v>2168</v>
      </c>
      <c r="H154" s="312">
        <v>26400</v>
      </c>
      <c r="I154" s="312">
        <v>22180</v>
      </c>
      <c r="J154" s="313">
        <f t="shared" si="10"/>
        <v>4220</v>
      </c>
      <c r="K154" s="308"/>
      <c r="L154" s="315" t="str">
        <f t="shared" si="11"/>
        <v/>
      </c>
      <c r="M154" s="310"/>
      <c r="N154" s="310"/>
      <c r="O154" s="316" t="s">
        <v>3827</v>
      </c>
      <c r="P154" s="316"/>
    </row>
    <row r="155" spans="1:16" x14ac:dyDescent="0.25">
      <c r="A155" s="307">
        <f t="shared" si="8"/>
        <v>149</v>
      </c>
      <c r="B155" s="308">
        <v>46217</v>
      </c>
      <c r="C155" s="309">
        <f t="shared" si="9"/>
        <v>46204</v>
      </c>
      <c r="D155" s="310" t="s">
        <v>1641</v>
      </c>
      <c r="E155" s="316" t="s">
        <v>3035</v>
      </c>
      <c r="F155" s="316" t="s">
        <v>3086</v>
      </c>
      <c r="G155" s="316" t="s">
        <v>2168</v>
      </c>
      <c r="H155" s="312">
        <v>17950</v>
      </c>
      <c r="I155" s="312">
        <v>17950</v>
      </c>
      <c r="J155" s="313">
        <f t="shared" si="10"/>
        <v>0</v>
      </c>
      <c r="K155" s="308"/>
      <c r="L155" s="315" t="str">
        <f t="shared" si="11"/>
        <v/>
      </c>
      <c r="M155" s="310"/>
      <c r="N155" s="310"/>
      <c r="O155" s="316" t="s">
        <v>3819</v>
      </c>
      <c r="P155" s="316"/>
    </row>
    <row r="156" spans="1:16" x14ac:dyDescent="0.25">
      <c r="A156" s="307">
        <f t="shared" si="8"/>
        <v>150</v>
      </c>
      <c r="B156" s="308">
        <v>46218</v>
      </c>
      <c r="C156" s="309">
        <f t="shared" si="9"/>
        <v>46204</v>
      </c>
      <c r="D156" s="310" t="s">
        <v>1637</v>
      </c>
      <c r="E156" s="316" t="s">
        <v>3836</v>
      </c>
      <c r="F156" s="316" t="s">
        <v>3086</v>
      </c>
      <c r="G156" s="316" t="s">
        <v>3837</v>
      </c>
      <c r="H156" s="312">
        <v>22440</v>
      </c>
      <c r="I156" s="312">
        <v>20200</v>
      </c>
      <c r="J156" s="313">
        <f t="shared" si="10"/>
        <v>2240</v>
      </c>
      <c r="K156" s="308"/>
      <c r="L156" s="315" t="str">
        <f t="shared" si="11"/>
        <v/>
      </c>
      <c r="M156" s="310"/>
      <c r="N156" s="310"/>
      <c r="O156" s="316" t="s">
        <v>3827</v>
      </c>
      <c r="P156" s="316"/>
    </row>
    <row r="157" spans="1:16" x14ac:dyDescent="0.25">
      <c r="A157" s="307">
        <f t="shared" si="8"/>
        <v>151</v>
      </c>
      <c r="B157" s="308">
        <v>46220</v>
      </c>
      <c r="C157" s="309">
        <f t="shared" si="9"/>
        <v>46204</v>
      </c>
      <c r="D157" s="310" t="s">
        <v>2859</v>
      </c>
      <c r="E157" s="316" t="s">
        <v>3035</v>
      </c>
      <c r="F157" s="316" t="s">
        <v>3243</v>
      </c>
      <c r="G157" s="316" t="s">
        <v>1542</v>
      </c>
      <c r="H157" s="312">
        <v>43890</v>
      </c>
      <c r="I157" s="312">
        <v>43890</v>
      </c>
      <c r="J157" s="313">
        <f t="shared" si="10"/>
        <v>0</v>
      </c>
      <c r="K157" s="308"/>
      <c r="L157" s="315" t="str">
        <f t="shared" si="11"/>
        <v/>
      </c>
      <c r="M157" s="310"/>
      <c r="N157" s="310"/>
      <c r="O157" s="316" t="s">
        <v>3819</v>
      </c>
      <c r="P157" s="316"/>
    </row>
    <row r="158" spans="1:16" x14ac:dyDescent="0.25">
      <c r="A158" s="307">
        <f t="shared" si="8"/>
        <v>152</v>
      </c>
      <c r="B158" s="308">
        <v>46221</v>
      </c>
      <c r="C158" s="309">
        <f t="shared" si="9"/>
        <v>46204</v>
      </c>
      <c r="D158" s="310" t="s">
        <v>1641</v>
      </c>
      <c r="E158" s="316" t="s">
        <v>3019</v>
      </c>
      <c r="F158" s="316" t="s">
        <v>3525</v>
      </c>
      <c r="G158" s="316" t="s">
        <v>3526</v>
      </c>
      <c r="H158" s="312">
        <v>49500</v>
      </c>
      <c r="I158" s="312">
        <v>43170</v>
      </c>
      <c r="J158" s="313">
        <f t="shared" si="10"/>
        <v>6330</v>
      </c>
      <c r="K158" s="308"/>
      <c r="L158" s="315" t="str">
        <f t="shared" si="11"/>
        <v/>
      </c>
      <c r="M158" s="310"/>
      <c r="N158" s="310"/>
      <c r="O158" s="316" t="s">
        <v>3827</v>
      </c>
      <c r="P158" s="316"/>
    </row>
    <row r="159" spans="1:16" x14ac:dyDescent="0.25">
      <c r="A159" s="307">
        <f t="shared" si="8"/>
        <v>153</v>
      </c>
      <c r="B159" s="308">
        <v>46223</v>
      </c>
      <c r="C159" s="309">
        <f t="shared" si="9"/>
        <v>46204</v>
      </c>
      <c r="D159" s="310" t="s">
        <v>1637</v>
      </c>
      <c r="E159" s="316" t="s">
        <v>3019</v>
      </c>
      <c r="F159" s="316" t="s">
        <v>3525</v>
      </c>
      <c r="G159" s="316" t="s">
        <v>3036</v>
      </c>
      <c r="H159" s="312">
        <v>42900</v>
      </c>
      <c r="I159" s="312">
        <v>36830</v>
      </c>
      <c r="J159" s="313">
        <f t="shared" si="10"/>
        <v>6070</v>
      </c>
      <c r="K159" s="308"/>
      <c r="L159" s="315" t="str">
        <f t="shared" si="11"/>
        <v/>
      </c>
      <c r="M159" s="310"/>
      <c r="N159" s="310"/>
      <c r="O159" s="316" t="s">
        <v>3827</v>
      </c>
      <c r="P159" s="316"/>
    </row>
    <row r="160" spans="1:16" x14ac:dyDescent="0.25">
      <c r="A160" s="307">
        <f t="shared" si="8"/>
        <v>154</v>
      </c>
      <c r="B160" s="308">
        <v>46224</v>
      </c>
      <c r="C160" s="309">
        <f t="shared" si="9"/>
        <v>46204</v>
      </c>
      <c r="D160" s="310" t="s">
        <v>3065</v>
      </c>
      <c r="E160" s="316" t="s">
        <v>3019</v>
      </c>
      <c r="F160" s="316" t="s">
        <v>3438</v>
      </c>
      <c r="G160" s="316" t="s">
        <v>3006</v>
      </c>
      <c r="H160" s="312">
        <v>44880</v>
      </c>
      <c r="I160" s="312">
        <v>38710</v>
      </c>
      <c r="J160" s="313">
        <f t="shared" si="10"/>
        <v>6170</v>
      </c>
      <c r="K160" s="308"/>
      <c r="L160" s="315" t="str">
        <f t="shared" si="11"/>
        <v/>
      </c>
      <c r="M160" s="310"/>
      <c r="N160" s="310"/>
      <c r="O160" s="316" t="s">
        <v>3827</v>
      </c>
      <c r="P160" s="316"/>
    </row>
    <row r="161" spans="1:16" x14ac:dyDescent="0.25">
      <c r="A161" s="307">
        <f t="shared" si="8"/>
        <v>155</v>
      </c>
      <c r="B161" s="308">
        <v>46226</v>
      </c>
      <c r="C161" s="309">
        <f t="shared" si="9"/>
        <v>46204</v>
      </c>
      <c r="D161" s="310" t="s">
        <v>3114</v>
      </c>
      <c r="E161" s="316" t="s">
        <v>3019</v>
      </c>
      <c r="F161" s="316" t="s">
        <v>3438</v>
      </c>
      <c r="G161" s="316" t="s">
        <v>3067</v>
      </c>
      <c r="H161" s="312">
        <v>50820</v>
      </c>
      <c r="I161" s="312">
        <v>43000</v>
      </c>
      <c r="J161" s="313">
        <f t="shared" si="10"/>
        <v>7820</v>
      </c>
      <c r="K161" s="308"/>
      <c r="L161" s="315" t="str">
        <f t="shared" si="11"/>
        <v/>
      </c>
      <c r="M161" s="310"/>
      <c r="N161" s="310"/>
      <c r="O161" s="316" t="s">
        <v>3827</v>
      </c>
      <c r="P161" s="316"/>
    </row>
    <row r="162" spans="1:16" x14ac:dyDescent="0.25">
      <c r="A162" s="307">
        <f t="shared" si="8"/>
        <v>156</v>
      </c>
      <c r="B162" s="308">
        <v>46228</v>
      </c>
      <c r="C162" s="309">
        <f t="shared" si="9"/>
        <v>46204</v>
      </c>
      <c r="D162" s="310" t="s">
        <v>3114</v>
      </c>
      <c r="E162" s="316" t="s">
        <v>3550</v>
      </c>
      <c r="F162" s="316" t="s">
        <v>3000</v>
      </c>
      <c r="G162" s="316" t="s">
        <v>6</v>
      </c>
      <c r="H162" s="312">
        <v>16500</v>
      </c>
      <c r="I162" s="312"/>
      <c r="J162" s="313" t="str">
        <f t="shared" si="10"/>
        <v/>
      </c>
      <c r="K162" s="308"/>
      <c r="L162" s="315" t="str">
        <f t="shared" si="11"/>
        <v/>
      </c>
      <c r="M162" s="310"/>
      <c r="N162" s="310"/>
      <c r="O162" s="316" t="s">
        <v>3195</v>
      </c>
      <c r="P162" s="316"/>
    </row>
    <row r="163" spans="1:16" x14ac:dyDescent="0.25">
      <c r="A163" s="307">
        <f t="shared" si="8"/>
        <v>157</v>
      </c>
      <c r="B163" s="308">
        <v>46230</v>
      </c>
      <c r="C163" s="309">
        <f t="shared" si="9"/>
        <v>46204</v>
      </c>
      <c r="D163" s="310" t="s">
        <v>1637</v>
      </c>
      <c r="E163" s="316" t="s">
        <v>3836</v>
      </c>
      <c r="F163" s="316" t="s">
        <v>3086</v>
      </c>
      <c r="G163" s="316" t="s">
        <v>3549</v>
      </c>
      <c r="H163" s="312">
        <v>27720</v>
      </c>
      <c r="I163" s="312">
        <v>25080</v>
      </c>
      <c r="J163" s="313">
        <f t="shared" si="10"/>
        <v>2640</v>
      </c>
      <c r="K163" s="308"/>
      <c r="L163" s="315" t="str">
        <f t="shared" si="11"/>
        <v/>
      </c>
      <c r="M163" s="310"/>
      <c r="N163" s="310"/>
      <c r="O163" s="316" t="s">
        <v>3827</v>
      </c>
      <c r="P163" s="316"/>
    </row>
    <row r="164" spans="1:16" x14ac:dyDescent="0.25">
      <c r="A164" s="307">
        <f t="shared" si="8"/>
        <v>158</v>
      </c>
      <c r="B164" s="308">
        <v>46232</v>
      </c>
      <c r="C164" s="309">
        <f t="shared" si="9"/>
        <v>46204</v>
      </c>
      <c r="D164" s="310" t="s">
        <v>2859</v>
      </c>
      <c r="E164" s="316" t="s">
        <v>3557</v>
      </c>
      <c r="F164" s="316" t="s">
        <v>2451</v>
      </c>
      <c r="G164" s="316" t="s">
        <v>3013</v>
      </c>
      <c r="H164" s="312">
        <v>23100</v>
      </c>
      <c r="I164" s="312">
        <v>18810</v>
      </c>
      <c r="J164" s="313">
        <f t="shared" si="10"/>
        <v>4290</v>
      </c>
      <c r="K164" s="308"/>
      <c r="L164" s="315" t="str">
        <f t="shared" si="11"/>
        <v/>
      </c>
      <c r="M164" s="310"/>
      <c r="N164" s="310"/>
      <c r="O164" s="316" t="s">
        <v>3827</v>
      </c>
      <c r="P164" s="316"/>
    </row>
    <row r="165" spans="1:16" x14ac:dyDescent="0.25">
      <c r="A165" s="307">
        <f t="shared" si="8"/>
        <v>159</v>
      </c>
      <c r="B165" s="308">
        <v>46237</v>
      </c>
      <c r="C165" s="309">
        <f t="shared" si="9"/>
        <v>46235</v>
      </c>
      <c r="D165" s="310" t="s">
        <v>1644</v>
      </c>
      <c r="E165" s="316" t="s">
        <v>3590</v>
      </c>
      <c r="F165" s="316" t="s">
        <v>6</v>
      </c>
      <c r="G165" s="316" t="s">
        <v>3838</v>
      </c>
      <c r="H165" s="312">
        <v>30360</v>
      </c>
      <c r="I165" s="312">
        <v>13200</v>
      </c>
      <c r="J165" s="313">
        <f t="shared" si="10"/>
        <v>17160</v>
      </c>
      <c r="K165" s="308"/>
      <c r="L165" s="315" t="str">
        <f t="shared" si="11"/>
        <v/>
      </c>
      <c r="M165" s="310"/>
      <c r="N165" s="310"/>
      <c r="O165" s="316" t="s">
        <v>3827</v>
      </c>
      <c r="P165" s="316"/>
    </row>
    <row r="166" spans="1:16" x14ac:dyDescent="0.25">
      <c r="A166" s="307">
        <f t="shared" si="8"/>
        <v>160</v>
      </c>
      <c r="B166" s="308">
        <v>46237</v>
      </c>
      <c r="C166" s="309">
        <f t="shared" si="9"/>
        <v>46235</v>
      </c>
      <c r="D166" s="310" t="s">
        <v>3114</v>
      </c>
      <c r="E166" s="316" t="s">
        <v>3019</v>
      </c>
      <c r="F166" s="316" t="s">
        <v>3013</v>
      </c>
      <c r="G166" s="316" t="s">
        <v>1542</v>
      </c>
      <c r="H166" s="312">
        <v>44620</v>
      </c>
      <c r="I166" s="312">
        <v>37890</v>
      </c>
      <c r="J166" s="313">
        <f t="shared" si="10"/>
        <v>6730</v>
      </c>
      <c r="K166" s="308"/>
      <c r="L166" s="315" t="str">
        <f t="shared" si="11"/>
        <v/>
      </c>
      <c r="M166" s="310"/>
      <c r="N166" s="310"/>
      <c r="O166" s="316" t="s">
        <v>3827</v>
      </c>
      <c r="P166" s="316"/>
    </row>
    <row r="167" spans="1:16" x14ac:dyDescent="0.25">
      <c r="A167" s="307">
        <f t="shared" si="8"/>
        <v>161</v>
      </c>
      <c r="B167" s="308">
        <v>46238</v>
      </c>
      <c r="C167" s="309">
        <f t="shared" si="9"/>
        <v>46235</v>
      </c>
      <c r="D167" s="310" t="s">
        <v>1635</v>
      </c>
      <c r="E167" s="316" t="s">
        <v>3312</v>
      </c>
      <c r="F167" s="316" t="s">
        <v>3438</v>
      </c>
      <c r="G167" s="316" t="s">
        <v>3085</v>
      </c>
      <c r="H167" s="312">
        <v>45540</v>
      </c>
      <c r="I167" s="312">
        <v>41090</v>
      </c>
      <c r="J167" s="313">
        <f t="shared" si="10"/>
        <v>4450</v>
      </c>
      <c r="K167" s="308"/>
      <c r="L167" s="315" t="str">
        <f t="shared" si="11"/>
        <v/>
      </c>
      <c r="M167" s="310"/>
      <c r="N167" s="310"/>
      <c r="O167" s="316" t="s">
        <v>3827</v>
      </c>
      <c r="P167" s="316"/>
    </row>
    <row r="168" spans="1:16" x14ac:dyDescent="0.25">
      <c r="A168" s="307">
        <f t="shared" si="8"/>
        <v>162</v>
      </c>
      <c r="B168" s="308">
        <v>46238</v>
      </c>
      <c r="C168" s="309">
        <f t="shared" si="9"/>
        <v>46235</v>
      </c>
      <c r="D168" s="310" t="s">
        <v>2859</v>
      </c>
      <c r="E168" s="316" t="s">
        <v>3019</v>
      </c>
      <c r="F168" s="316" t="s">
        <v>3438</v>
      </c>
      <c r="G168" s="316" t="s">
        <v>3067</v>
      </c>
      <c r="H168" s="312">
        <v>49170</v>
      </c>
      <c r="I168" s="312">
        <v>43000</v>
      </c>
      <c r="J168" s="313">
        <f t="shared" si="10"/>
        <v>6170</v>
      </c>
      <c r="K168" s="308"/>
      <c r="L168" s="315" t="str">
        <f t="shared" si="11"/>
        <v/>
      </c>
      <c r="M168" s="310"/>
      <c r="N168" s="310"/>
      <c r="O168" s="316" t="s">
        <v>3827</v>
      </c>
      <c r="P168" s="316"/>
    </row>
    <row r="169" spans="1:16" x14ac:dyDescent="0.25">
      <c r="A169" s="307">
        <f t="shared" si="8"/>
        <v>163</v>
      </c>
      <c r="B169" s="308">
        <v>46239</v>
      </c>
      <c r="C169" s="309">
        <f t="shared" si="9"/>
        <v>46235</v>
      </c>
      <c r="D169" s="310" t="s">
        <v>1641</v>
      </c>
      <c r="E169" s="316" t="s">
        <v>3781</v>
      </c>
      <c r="F169" s="316" t="s">
        <v>3438</v>
      </c>
      <c r="G169" s="316" t="s">
        <v>1314</v>
      </c>
      <c r="H169" s="312">
        <v>52800</v>
      </c>
      <c r="I169" s="312">
        <v>52800</v>
      </c>
      <c r="J169" s="313">
        <f t="shared" si="10"/>
        <v>0</v>
      </c>
      <c r="K169" s="308"/>
      <c r="L169" s="315" t="str">
        <f t="shared" si="11"/>
        <v/>
      </c>
      <c r="M169" s="310"/>
      <c r="N169" s="310"/>
      <c r="O169" s="316" t="s">
        <v>3819</v>
      </c>
      <c r="P169" s="316"/>
    </row>
    <row r="170" spans="1:16" x14ac:dyDescent="0.25">
      <c r="A170" s="307">
        <f t="shared" si="8"/>
        <v>164</v>
      </c>
      <c r="B170" s="308">
        <v>46240</v>
      </c>
      <c r="C170" s="309">
        <f t="shared" si="9"/>
        <v>46235</v>
      </c>
      <c r="D170" s="310" t="s">
        <v>3065</v>
      </c>
      <c r="E170" s="316" t="s">
        <v>3035</v>
      </c>
      <c r="F170" s="316" t="s">
        <v>6</v>
      </c>
      <c r="G170" s="316" t="s">
        <v>2168</v>
      </c>
      <c r="H170" s="312">
        <v>29700</v>
      </c>
      <c r="I170" s="312">
        <v>29700</v>
      </c>
      <c r="J170" s="313">
        <f t="shared" si="10"/>
        <v>0</v>
      </c>
      <c r="K170" s="308"/>
      <c r="L170" s="315" t="str">
        <f t="shared" si="11"/>
        <v/>
      </c>
      <c r="M170" s="310"/>
      <c r="N170" s="310"/>
      <c r="O170" s="316" t="s">
        <v>3819</v>
      </c>
      <c r="P170" s="316"/>
    </row>
    <row r="171" spans="1:16" x14ac:dyDescent="0.25">
      <c r="A171" s="307">
        <f t="shared" si="8"/>
        <v>165</v>
      </c>
      <c r="B171" s="308">
        <v>46254</v>
      </c>
      <c r="C171" s="309">
        <f t="shared" si="9"/>
        <v>46235</v>
      </c>
      <c r="D171" s="310" t="s">
        <v>1637</v>
      </c>
      <c r="E171" s="316" t="s">
        <v>3019</v>
      </c>
      <c r="F171" s="316" t="s">
        <v>3438</v>
      </c>
      <c r="G171" s="316" t="s">
        <v>3067</v>
      </c>
      <c r="H171" s="312">
        <v>49500</v>
      </c>
      <c r="I171" s="312">
        <v>42050</v>
      </c>
      <c r="J171" s="313">
        <f t="shared" si="10"/>
        <v>7450</v>
      </c>
      <c r="K171" s="308"/>
      <c r="L171" s="315" t="str">
        <f t="shared" si="11"/>
        <v/>
      </c>
      <c r="M171" s="310"/>
      <c r="N171" s="310"/>
      <c r="O171" s="316" t="s">
        <v>3827</v>
      </c>
      <c r="P171" s="316"/>
    </row>
    <row r="172" spans="1:16" x14ac:dyDescent="0.25">
      <c r="A172" s="307">
        <f t="shared" si="8"/>
        <v>166</v>
      </c>
      <c r="B172" s="308">
        <v>46255</v>
      </c>
      <c r="C172" s="309">
        <f t="shared" si="9"/>
        <v>46235</v>
      </c>
      <c r="D172" s="310" t="s">
        <v>2859</v>
      </c>
      <c r="E172" s="316" t="s">
        <v>3019</v>
      </c>
      <c r="F172" s="316" t="s">
        <v>3438</v>
      </c>
      <c r="G172" s="316" t="s">
        <v>1542</v>
      </c>
      <c r="H172" s="312">
        <v>49960</v>
      </c>
      <c r="I172" s="312">
        <v>42440</v>
      </c>
      <c r="J172" s="313">
        <f t="shared" si="10"/>
        <v>7520</v>
      </c>
      <c r="K172" s="308"/>
      <c r="L172" s="315" t="str">
        <f t="shared" si="11"/>
        <v/>
      </c>
      <c r="M172" s="310"/>
      <c r="N172" s="310"/>
      <c r="O172" s="316" t="s">
        <v>3827</v>
      </c>
      <c r="P172" s="316"/>
    </row>
    <row r="173" spans="1:16" x14ac:dyDescent="0.25">
      <c r="A173" s="307">
        <f t="shared" si="8"/>
        <v>167</v>
      </c>
      <c r="B173" s="308">
        <v>46259</v>
      </c>
      <c r="C173" s="309">
        <f t="shared" si="9"/>
        <v>46235</v>
      </c>
      <c r="D173" s="310" t="s">
        <v>3122</v>
      </c>
      <c r="E173" s="316" t="s">
        <v>3019</v>
      </c>
      <c r="F173" s="316" t="s">
        <v>3438</v>
      </c>
      <c r="G173" s="316" t="s">
        <v>1542</v>
      </c>
      <c r="H173" s="312">
        <v>49960</v>
      </c>
      <c r="I173" s="312">
        <v>42440</v>
      </c>
      <c r="J173" s="313">
        <f t="shared" si="10"/>
        <v>7520</v>
      </c>
      <c r="K173" s="308"/>
      <c r="L173" s="315" t="str">
        <f t="shared" si="11"/>
        <v/>
      </c>
      <c r="M173" s="310"/>
      <c r="N173" s="310"/>
      <c r="O173" s="316" t="s">
        <v>3827</v>
      </c>
      <c r="P173" s="316"/>
    </row>
    <row r="174" spans="1:16" x14ac:dyDescent="0.25">
      <c r="A174" s="307">
        <f t="shared" si="8"/>
        <v>168</v>
      </c>
      <c r="B174" s="308">
        <v>46260</v>
      </c>
      <c r="C174" s="309">
        <f t="shared" si="9"/>
        <v>46235</v>
      </c>
      <c r="D174" s="310" t="s">
        <v>1635</v>
      </c>
      <c r="E174" s="316" t="s">
        <v>3312</v>
      </c>
      <c r="F174" s="316" t="s">
        <v>3438</v>
      </c>
      <c r="G174" s="316" t="s">
        <v>1542</v>
      </c>
      <c r="H174" s="312">
        <v>46970</v>
      </c>
      <c r="I174" s="312">
        <v>41530</v>
      </c>
      <c r="J174" s="313">
        <f t="shared" si="10"/>
        <v>5440</v>
      </c>
      <c r="K174" s="308"/>
      <c r="L174" s="315" t="str">
        <f t="shared" si="11"/>
        <v/>
      </c>
      <c r="M174" s="310"/>
      <c r="N174" s="310"/>
      <c r="O174" s="316" t="s">
        <v>3827</v>
      </c>
      <c r="P174" s="316"/>
    </row>
    <row r="175" spans="1:16" x14ac:dyDescent="0.25">
      <c r="A175" s="307">
        <f t="shared" si="8"/>
        <v>169</v>
      </c>
      <c r="B175" s="308">
        <v>46261</v>
      </c>
      <c r="C175" s="309">
        <f t="shared" si="9"/>
        <v>46235</v>
      </c>
      <c r="D175" s="310" t="s">
        <v>1644</v>
      </c>
      <c r="E175" s="316" t="s">
        <v>3019</v>
      </c>
      <c r="F175" s="316" t="s">
        <v>3438</v>
      </c>
      <c r="G175" s="316" t="s">
        <v>1542</v>
      </c>
      <c r="H175" s="312">
        <v>49300</v>
      </c>
      <c r="I175" s="312">
        <v>41880</v>
      </c>
      <c r="J175" s="313">
        <f t="shared" si="10"/>
        <v>7420</v>
      </c>
      <c r="K175" s="308"/>
      <c r="L175" s="315" t="str">
        <f t="shared" si="11"/>
        <v/>
      </c>
      <c r="M175" s="310"/>
      <c r="N175" s="310"/>
      <c r="O175" s="316" t="s">
        <v>3827</v>
      </c>
      <c r="P175" s="316"/>
    </row>
    <row r="176" spans="1:16" x14ac:dyDescent="0.25">
      <c r="A176" s="307">
        <f t="shared" si="8"/>
        <v>170</v>
      </c>
      <c r="B176" s="308">
        <v>46266</v>
      </c>
      <c r="C176" s="309">
        <f t="shared" si="9"/>
        <v>46266</v>
      </c>
      <c r="D176" s="310" t="s">
        <v>1635</v>
      </c>
      <c r="E176" s="316" t="s">
        <v>3019</v>
      </c>
      <c r="F176" s="316" t="s">
        <v>1542</v>
      </c>
      <c r="G176" s="316" t="s">
        <v>6</v>
      </c>
      <c r="H176" s="312">
        <v>14520</v>
      </c>
      <c r="I176" s="312">
        <v>12340</v>
      </c>
      <c r="J176" s="313">
        <f t="shared" si="10"/>
        <v>2180</v>
      </c>
      <c r="K176" s="308"/>
      <c r="L176" s="315" t="str">
        <f t="shared" si="11"/>
        <v/>
      </c>
      <c r="M176" s="310"/>
      <c r="N176" s="310"/>
      <c r="O176" s="316" t="s">
        <v>3827</v>
      </c>
      <c r="P176" s="316"/>
    </row>
    <row r="177" spans="1:16" x14ac:dyDescent="0.25">
      <c r="A177" s="307">
        <f t="shared" si="8"/>
        <v>171</v>
      </c>
      <c r="B177" s="308">
        <v>46268</v>
      </c>
      <c r="C177" s="309">
        <f t="shared" si="9"/>
        <v>46266</v>
      </c>
      <c r="D177" s="310" t="s">
        <v>1644</v>
      </c>
      <c r="E177" s="316" t="s">
        <v>3035</v>
      </c>
      <c r="F177" s="316" t="s">
        <v>1542</v>
      </c>
      <c r="G177" s="316" t="s">
        <v>6</v>
      </c>
      <c r="H177" s="312">
        <v>13200</v>
      </c>
      <c r="I177" s="312"/>
      <c r="J177" s="313" t="str">
        <f t="shared" si="10"/>
        <v/>
      </c>
      <c r="K177" s="308"/>
      <c r="L177" s="315" t="str">
        <f t="shared" si="11"/>
        <v/>
      </c>
      <c r="M177" s="310"/>
      <c r="N177" s="310"/>
      <c r="O177" s="316" t="s">
        <v>3195</v>
      </c>
      <c r="P177" s="316"/>
    </row>
  </sheetData>
  <conditionalFormatting sqref="O7:O177">
    <cfRule type="containsText" dxfId="3" priority="1" operator="containsText" text="ALL FREIGHT CLEAR">
      <formula>NOT(ISERROR(SEARCH("ALL FREIGHT CLEAR",O7)))</formula>
    </cfRule>
  </conditionalFormatting>
  <conditionalFormatting sqref="O7:O177">
    <cfRule type="containsText" dxfId="2" priority="2" operator="containsText" text="BALANCE PENDING">
      <formula>NOT(ISERROR(SEARCH("BALANCE PENDING",O7)))</formula>
    </cfRule>
  </conditionalFormatting>
  <conditionalFormatting sqref="O7:O177">
    <cfRule type="expression" dxfId="1" priority="3">
      <formula>AND($O7&lt;&gt;"",ISERROR(SEARCH("ALL FREIGHT CLEAR",$O7)),ISERROR(SEARCH("BALANCE PENDING",$O7)))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CB7D-766E-4E24-9B6D-D23F0B0DD24C}">
  <dimension ref="A1:J29"/>
  <sheetViews>
    <sheetView workbookViewId="0">
      <selection activeCell="C13" sqref="C13"/>
    </sheetView>
  </sheetViews>
  <sheetFormatPr defaultRowHeight="15" x14ac:dyDescent="0.25"/>
  <cols>
    <col min="1" max="1" width="10.28515625" customWidth="1"/>
    <col min="2" max="2" width="15.7109375" customWidth="1"/>
    <col min="3" max="3" width="17.28515625" customWidth="1"/>
    <col min="4" max="4" width="14.7109375" customWidth="1"/>
    <col min="5" max="5" width="12.140625" customWidth="1"/>
    <col min="10" max="10" width="11" bestFit="1" customWidth="1"/>
  </cols>
  <sheetData>
    <row r="1" spans="1:9" ht="15.75" x14ac:dyDescent="0.25">
      <c r="A1" s="113" t="s">
        <v>2964</v>
      </c>
      <c r="B1" s="113" t="s">
        <v>48</v>
      </c>
      <c r="C1" s="113" t="s">
        <v>3044</v>
      </c>
      <c r="D1" s="113" t="s">
        <v>3045</v>
      </c>
      <c r="E1" s="113" t="s">
        <v>3046</v>
      </c>
    </row>
    <row r="2" spans="1:9" x14ac:dyDescent="0.25">
      <c r="A2" s="1">
        <v>2024</v>
      </c>
      <c r="B2" s="1" t="s">
        <v>49</v>
      </c>
      <c r="C2" s="1">
        <v>533290</v>
      </c>
      <c r="D2" s="1" t="s">
        <v>1874</v>
      </c>
      <c r="E2" s="1">
        <v>533290</v>
      </c>
    </row>
    <row r="3" spans="1:9" x14ac:dyDescent="0.25">
      <c r="A3" s="1">
        <v>2024</v>
      </c>
      <c r="B3" s="1" t="s">
        <v>3047</v>
      </c>
      <c r="C3" s="1">
        <v>1108630</v>
      </c>
      <c r="D3" s="1" t="s">
        <v>1874</v>
      </c>
      <c r="E3" s="1">
        <v>1108630</v>
      </c>
    </row>
    <row r="4" spans="1:9" x14ac:dyDescent="0.25">
      <c r="A4" s="1">
        <v>2024</v>
      </c>
      <c r="B4" s="1" t="s">
        <v>3048</v>
      </c>
      <c r="C4" s="1">
        <v>1799760</v>
      </c>
      <c r="D4" s="1" t="s">
        <v>1874</v>
      </c>
      <c r="E4" s="1">
        <v>1799760</v>
      </c>
      <c r="I4">
        <f>C13+D13</f>
        <v>3179890</v>
      </c>
    </row>
    <row r="5" spans="1:9" x14ac:dyDescent="0.25">
      <c r="A5" s="1">
        <v>2024</v>
      </c>
      <c r="B5" s="1" t="s">
        <v>3049</v>
      </c>
      <c r="C5" s="1">
        <v>2398070</v>
      </c>
      <c r="D5" s="1" t="s">
        <v>1874</v>
      </c>
      <c r="E5" s="1">
        <v>2398070</v>
      </c>
    </row>
    <row r="6" spans="1:9" x14ac:dyDescent="0.25">
      <c r="A6" s="1">
        <v>2024</v>
      </c>
      <c r="B6" s="1" t="s">
        <v>3050</v>
      </c>
      <c r="C6" s="1">
        <v>2439320</v>
      </c>
      <c r="D6" s="1" t="s">
        <v>1874</v>
      </c>
      <c r="E6" s="1">
        <v>2439320</v>
      </c>
    </row>
    <row r="7" spans="1:9" x14ac:dyDescent="0.25">
      <c r="A7" s="1">
        <v>2024</v>
      </c>
      <c r="B7" s="1" t="s">
        <v>3051</v>
      </c>
      <c r="C7" s="1">
        <v>2415418</v>
      </c>
      <c r="D7" s="1" t="s">
        <v>1874</v>
      </c>
      <c r="E7" s="1">
        <v>2415418</v>
      </c>
    </row>
    <row r="8" spans="1:9" x14ac:dyDescent="0.25">
      <c r="A8" s="1">
        <v>2024</v>
      </c>
      <c r="B8" s="1" t="s">
        <v>3052</v>
      </c>
      <c r="C8" s="1">
        <v>2566952</v>
      </c>
      <c r="D8" s="1" t="s">
        <v>1874</v>
      </c>
      <c r="E8" s="1">
        <v>2566952</v>
      </c>
    </row>
    <row r="9" spans="1:9" x14ac:dyDescent="0.25">
      <c r="A9" s="1">
        <v>2024</v>
      </c>
      <c r="B9" s="1" t="s">
        <v>3053</v>
      </c>
      <c r="C9" s="1">
        <v>3341365</v>
      </c>
      <c r="D9" s="1" t="s">
        <v>1874</v>
      </c>
      <c r="E9" s="1">
        <v>3341365</v>
      </c>
    </row>
    <row r="10" spans="1:9" x14ac:dyDescent="0.25">
      <c r="A10" s="1">
        <v>2025</v>
      </c>
      <c r="B10" s="1" t="s">
        <v>3054</v>
      </c>
      <c r="C10" s="1">
        <v>3913110</v>
      </c>
      <c r="D10" s="1" t="s">
        <v>1874</v>
      </c>
      <c r="E10" s="1">
        <v>3913110</v>
      </c>
    </row>
    <row r="11" spans="1:9" x14ac:dyDescent="0.25">
      <c r="A11" s="1">
        <v>2025</v>
      </c>
      <c r="B11" s="1" t="s">
        <v>3055</v>
      </c>
      <c r="C11" s="1">
        <v>3083750</v>
      </c>
      <c r="D11" s="1" t="s">
        <v>1874</v>
      </c>
      <c r="E11" s="1">
        <v>3083750</v>
      </c>
    </row>
    <row r="12" spans="1:9" x14ac:dyDescent="0.25">
      <c r="A12" s="1">
        <v>2025</v>
      </c>
      <c r="B12" s="1" t="s">
        <v>3056</v>
      </c>
      <c r="C12" s="1">
        <v>2744440</v>
      </c>
      <c r="D12" s="1" t="s">
        <v>1874</v>
      </c>
      <c r="E12" s="1">
        <v>2744440</v>
      </c>
    </row>
    <row r="13" spans="1:9" x14ac:dyDescent="0.25">
      <c r="A13" s="1">
        <v>2025</v>
      </c>
      <c r="B13" s="1" t="s">
        <v>3057</v>
      </c>
      <c r="C13" s="1">
        <v>2864610</v>
      </c>
      <c r="D13" s="1">
        <v>315280</v>
      </c>
      <c r="E13" s="1">
        <v>2611317</v>
      </c>
    </row>
    <row r="14" spans="1:9" x14ac:dyDescent="0.25">
      <c r="A14" s="1">
        <v>2025</v>
      </c>
      <c r="B14" s="1" t="s">
        <v>3058</v>
      </c>
      <c r="C14" s="1">
        <v>2298580</v>
      </c>
      <c r="D14" s="1">
        <v>227040</v>
      </c>
      <c r="E14" s="1">
        <v>2525620</v>
      </c>
    </row>
    <row r="15" spans="1:9" x14ac:dyDescent="0.25">
      <c r="A15" s="1">
        <v>2025</v>
      </c>
      <c r="B15" s="1" t="s">
        <v>3047</v>
      </c>
      <c r="C15" s="1">
        <v>2801910</v>
      </c>
      <c r="D15" s="1">
        <v>141900</v>
      </c>
      <c r="E15" s="1">
        <v>2943810</v>
      </c>
    </row>
    <row r="16" spans="1:9" x14ac:dyDescent="0.25">
      <c r="A16" s="1">
        <v>2025</v>
      </c>
      <c r="B16" s="1" t="s">
        <v>3059</v>
      </c>
      <c r="C16" s="1">
        <v>2780820</v>
      </c>
      <c r="D16" s="1">
        <v>274890</v>
      </c>
      <c r="E16" s="1">
        <v>3055710</v>
      </c>
    </row>
    <row r="17" spans="1:10" x14ac:dyDescent="0.25">
      <c r="A17" s="1">
        <v>2025</v>
      </c>
      <c r="B17" s="1" t="s">
        <v>3060</v>
      </c>
      <c r="C17" s="1">
        <v>2169720</v>
      </c>
      <c r="D17" s="1">
        <v>352110</v>
      </c>
      <c r="E17" s="1">
        <v>2521830</v>
      </c>
    </row>
    <row r="18" spans="1:10" x14ac:dyDescent="0.25">
      <c r="A18" s="1">
        <v>2025</v>
      </c>
      <c r="B18" s="1" t="s">
        <v>3061</v>
      </c>
      <c r="C18" s="1">
        <v>2798000</v>
      </c>
      <c r="D18" s="1">
        <v>274890</v>
      </c>
      <c r="E18" s="1">
        <v>3072863</v>
      </c>
    </row>
    <row r="19" spans="1:10" x14ac:dyDescent="0.25">
      <c r="A19" s="1">
        <v>2025</v>
      </c>
      <c r="B19" s="1" t="s">
        <v>3051</v>
      </c>
      <c r="C19" s="1">
        <v>2172550</v>
      </c>
      <c r="D19" s="1">
        <v>97680</v>
      </c>
      <c r="E19" s="1">
        <v>2270230</v>
      </c>
    </row>
    <row r="20" spans="1:10" x14ac:dyDescent="0.25">
      <c r="A20" s="1">
        <v>2025</v>
      </c>
      <c r="B20" s="1" t="s">
        <v>3052</v>
      </c>
      <c r="C20" s="1">
        <v>2473630</v>
      </c>
      <c r="D20" s="1">
        <v>521780</v>
      </c>
      <c r="E20" s="1">
        <v>2995410</v>
      </c>
    </row>
    <row r="21" spans="1:10" x14ac:dyDescent="0.25">
      <c r="A21" s="1">
        <v>2025</v>
      </c>
      <c r="B21" s="1" t="s">
        <v>3062</v>
      </c>
      <c r="C21" s="1">
        <v>2612615</v>
      </c>
      <c r="D21" s="1">
        <v>52600</v>
      </c>
      <c r="E21" s="1">
        <v>2665215</v>
      </c>
    </row>
    <row r="22" spans="1:10" x14ac:dyDescent="0.25">
      <c r="A22" s="1">
        <v>2026</v>
      </c>
      <c r="B22" s="1" t="s">
        <v>3054</v>
      </c>
      <c r="C22" s="1">
        <v>2164039</v>
      </c>
      <c r="D22" s="1">
        <v>376848</v>
      </c>
      <c r="E22" s="1">
        <v>2540887</v>
      </c>
      <c r="J22" s="239"/>
    </row>
    <row r="23" spans="1:10" x14ac:dyDescent="0.25">
      <c r="A23" s="1">
        <v>2026</v>
      </c>
      <c r="B23" s="1" t="s">
        <v>3055</v>
      </c>
      <c r="C23" s="1">
        <v>2255700</v>
      </c>
      <c r="D23" s="1">
        <v>53922</v>
      </c>
      <c r="E23" s="1">
        <v>2309622</v>
      </c>
    </row>
    <row r="24" spans="1:10" x14ac:dyDescent="0.25">
      <c r="A24" s="1">
        <v>2026</v>
      </c>
      <c r="B24" s="1" t="s">
        <v>3056</v>
      </c>
      <c r="C24" s="1">
        <v>1857550</v>
      </c>
      <c r="D24" s="1">
        <v>364290</v>
      </c>
      <c r="E24" s="1">
        <v>2221840</v>
      </c>
    </row>
    <row r="25" spans="1:10" x14ac:dyDescent="0.25">
      <c r="A25" s="1">
        <v>2026</v>
      </c>
      <c r="B25" s="1" t="s">
        <v>3057</v>
      </c>
      <c r="C25" s="1">
        <v>3109650</v>
      </c>
      <c r="D25" s="1">
        <v>892748</v>
      </c>
      <c r="E25" s="1">
        <v>4002398</v>
      </c>
    </row>
    <row r="26" spans="1:10" x14ac:dyDescent="0.25">
      <c r="A26" s="1">
        <v>2026</v>
      </c>
      <c r="B26" s="1" t="s">
        <v>49</v>
      </c>
      <c r="C26" s="1">
        <v>4030660</v>
      </c>
      <c r="D26" s="1">
        <v>786660</v>
      </c>
      <c r="E26" s="1">
        <v>4817320</v>
      </c>
    </row>
    <row r="27" spans="1:10" x14ac:dyDescent="0.25">
      <c r="A27" s="1">
        <v>2026</v>
      </c>
      <c r="B27" s="1" t="s">
        <v>3047</v>
      </c>
      <c r="C27" s="1">
        <v>4130360</v>
      </c>
      <c r="D27" s="1">
        <v>845340</v>
      </c>
      <c r="E27" s="1">
        <v>4975700</v>
      </c>
    </row>
    <row r="28" spans="1:10" x14ac:dyDescent="0.25">
      <c r="A28" s="1">
        <v>2026</v>
      </c>
      <c r="B28" s="1" t="s">
        <v>3048</v>
      </c>
      <c r="C28" s="1">
        <v>4370242</v>
      </c>
      <c r="D28" s="1">
        <v>706200</v>
      </c>
      <c r="E28" s="1">
        <v>5076442</v>
      </c>
      <c r="H28" s="51"/>
    </row>
    <row r="29" spans="1:10" x14ac:dyDescent="0.25">
      <c r="A29" s="1">
        <v>2026</v>
      </c>
      <c r="B29" s="1" t="s">
        <v>3060</v>
      </c>
      <c r="C29" s="1">
        <v>4109890</v>
      </c>
      <c r="D29" s="1">
        <v>497880</v>
      </c>
      <c r="E29" s="1">
        <v>4595108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EB56-9AB5-4857-9B12-396DE6002E05}">
  <sheetPr>
    <tabColor rgb="FFFF0000"/>
  </sheetPr>
  <dimension ref="A1:I60"/>
  <sheetViews>
    <sheetView topLeftCell="A7" zoomScale="107" workbookViewId="0">
      <selection activeCell="K10" sqref="K10"/>
    </sheetView>
  </sheetViews>
  <sheetFormatPr defaultRowHeight="15" x14ac:dyDescent="0.25"/>
  <cols>
    <col min="1" max="9" width="18.140625" customWidth="1"/>
  </cols>
  <sheetData>
    <row r="1" spans="1:9" ht="17.25" x14ac:dyDescent="0.3">
      <c r="A1" s="297" t="s">
        <v>3847</v>
      </c>
    </row>
    <row r="2" spans="1:9" x14ac:dyDescent="0.25">
      <c r="A2" s="337" t="s">
        <v>3906</v>
      </c>
    </row>
    <row r="3" spans="1:9" ht="33.950000000000003" customHeight="1" x14ac:dyDescent="0.25">
      <c r="A3" s="329" t="s">
        <v>3707</v>
      </c>
      <c r="B3" s="329" t="s">
        <v>3848</v>
      </c>
      <c r="C3" s="329" t="s">
        <v>3849</v>
      </c>
      <c r="D3" s="329" t="s">
        <v>3850</v>
      </c>
      <c r="E3" s="329" t="s">
        <v>3851</v>
      </c>
      <c r="F3" s="329" t="s">
        <v>3852</v>
      </c>
      <c r="G3" s="329" t="s">
        <v>3853</v>
      </c>
      <c r="H3" s="329" t="s">
        <v>3854</v>
      </c>
      <c r="I3" s="329" t="s">
        <v>3855</v>
      </c>
    </row>
    <row r="4" spans="1:9" x14ac:dyDescent="0.25">
      <c r="A4" s="330">
        <f>DATE(2024,5,1)</f>
        <v>45413</v>
      </c>
      <c r="B4" s="331">
        <f>COUNTIFS(AUBURN[MONTH],$A4)</f>
        <v>12</v>
      </c>
      <c r="C4" s="313">
        <f>SUMIFS(AUBURN[BILLING RATE (₹)],AUBURN[MONTH],$A4)</f>
        <v>533290</v>
      </c>
      <c r="D4" s="313">
        <f>SUMIFS(AUBURN[LORRY RATE (₹)],AUBURN[MONTH],$A4)</f>
        <v>412770</v>
      </c>
      <c r="E4" s="313">
        <f>$C4-$D4</f>
        <v>120520</v>
      </c>
      <c r="F4" s="332">
        <f>IFERROR($E4/$C4,"")</f>
        <v>0.225993361960659</v>
      </c>
      <c r="G4" s="331">
        <f>COUNTIFS(MARKET[MONTH],$A4)</f>
        <v>0</v>
      </c>
      <c r="H4" s="313">
        <f>SUMIFS(MARKET[RATE (₹)],MARKET[MONTH],$A4)</f>
        <v>0</v>
      </c>
      <c r="I4" s="313">
        <f>$C4+$H4</f>
        <v>533290</v>
      </c>
    </row>
    <row r="5" spans="1:9" x14ac:dyDescent="0.25">
      <c r="A5" s="333">
        <f>EOMONTH(A4,0)+1</f>
        <v>45444</v>
      </c>
      <c r="B5" s="334">
        <f>COUNTIFS(AUBURN[MONTH],$A5)</f>
        <v>20</v>
      </c>
      <c r="C5" s="335">
        <f>SUMIFS(AUBURN[BILLING RATE (₹)],AUBURN[MONTH],$A5)</f>
        <v>1108630</v>
      </c>
      <c r="D5" s="335">
        <f>SUMIFS(AUBURN[LORRY RATE (₹)],AUBURN[MONTH],$A5)</f>
        <v>836590</v>
      </c>
      <c r="E5" s="335">
        <f t="shared" ref="E5:E59" si="0">$C5-$D5</f>
        <v>272040</v>
      </c>
      <c r="F5" s="336">
        <f t="shared" ref="F5:F59" si="1">IFERROR($E5/$C5,"")</f>
        <v>0.245383942343252</v>
      </c>
      <c r="G5" s="334">
        <f>COUNTIFS(MARKET[MONTH],$A5)</f>
        <v>0</v>
      </c>
      <c r="H5" s="335">
        <f>SUMIFS(MARKET[RATE (₹)],MARKET[MONTH],$A5)</f>
        <v>0</v>
      </c>
      <c r="I5" s="335">
        <f t="shared" ref="I5:I59" si="2">$C5+$H5</f>
        <v>1108630</v>
      </c>
    </row>
    <row r="6" spans="1:9" x14ac:dyDescent="0.25">
      <c r="A6" s="330">
        <f t="shared" ref="A6:A59" si="3">EOMONTH(A5,0)+1</f>
        <v>45474</v>
      </c>
      <c r="B6" s="331">
        <f>COUNTIFS(AUBURN[MONTH],$A6)</f>
        <v>33</v>
      </c>
      <c r="C6" s="313">
        <f>SUMIFS(AUBURN[BILLING RATE (₹)],AUBURN[MONTH],$A6)</f>
        <v>1799760</v>
      </c>
      <c r="D6" s="313">
        <f>SUMIFS(AUBURN[LORRY RATE (₹)],AUBURN[MONTH],$A6)</f>
        <v>1236520</v>
      </c>
      <c r="E6" s="313">
        <f t="shared" si="0"/>
        <v>563240</v>
      </c>
      <c r="F6" s="332">
        <f t="shared" si="1"/>
        <v>0.312952838156199</v>
      </c>
      <c r="G6" s="331">
        <f>COUNTIFS(MARKET[MONTH],$A6)</f>
        <v>0</v>
      </c>
      <c r="H6" s="313">
        <f>SUMIFS(MARKET[RATE (₹)],MARKET[MONTH],$A6)</f>
        <v>0</v>
      </c>
      <c r="I6" s="313">
        <f t="shared" si="2"/>
        <v>1799760</v>
      </c>
    </row>
    <row r="7" spans="1:9" x14ac:dyDescent="0.25">
      <c r="A7" s="333">
        <f t="shared" si="3"/>
        <v>45505</v>
      </c>
      <c r="B7" s="334">
        <f>COUNTIFS(AUBURN[MONTH],$A7)</f>
        <v>36</v>
      </c>
      <c r="C7" s="335">
        <f>SUMIFS(AUBURN[BILLING RATE (₹)],AUBURN[MONTH],$A7)</f>
        <v>2398070</v>
      </c>
      <c r="D7" s="335">
        <f>SUMIFS(AUBURN[LORRY RATE (₹)],AUBURN[MONTH],$A7)</f>
        <v>1653210</v>
      </c>
      <c r="E7" s="335">
        <f t="shared" si="0"/>
        <v>744860</v>
      </c>
      <c r="F7" s="336">
        <f t="shared" si="1"/>
        <v>0.310608114025028</v>
      </c>
      <c r="G7" s="334">
        <f>COUNTIFS(MARKET[MONTH],$A7)</f>
        <v>0</v>
      </c>
      <c r="H7" s="335">
        <f>SUMIFS(MARKET[RATE (₹)],MARKET[MONTH],$A7)</f>
        <v>0</v>
      </c>
      <c r="I7" s="335">
        <f t="shared" si="2"/>
        <v>2398070</v>
      </c>
    </row>
    <row r="8" spans="1:9" x14ac:dyDescent="0.25">
      <c r="A8" s="330">
        <f t="shared" si="3"/>
        <v>45536</v>
      </c>
      <c r="B8" s="331">
        <f>COUNTIFS(AUBURN[MONTH],$A8)</f>
        <v>42</v>
      </c>
      <c r="C8" s="313">
        <f>SUMIFS(AUBURN[BILLING RATE (₹)],AUBURN[MONTH],$A8)</f>
        <v>2439320</v>
      </c>
      <c r="D8" s="313">
        <f>SUMIFS(AUBURN[LORRY RATE (₹)],AUBURN[MONTH],$A8)</f>
        <v>1656270</v>
      </c>
      <c r="E8" s="313">
        <f t="shared" si="0"/>
        <v>783050</v>
      </c>
      <c r="F8" s="332">
        <f t="shared" si="1"/>
        <v>0.321011593394881</v>
      </c>
      <c r="G8" s="331">
        <f>COUNTIFS(MARKET[MONTH],$A8)</f>
        <v>0</v>
      </c>
      <c r="H8" s="313">
        <f>SUMIFS(MARKET[RATE (₹)],MARKET[MONTH],$A8)</f>
        <v>0</v>
      </c>
      <c r="I8" s="313">
        <f t="shared" si="2"/>
        <v>2439320</v>
      </c>
    </row>
    <row r="9" spans="1:9" x14ac:dyDescent="0.25">
      <c r="A9" s="333">
        <f t="shared" si="3"/>
        <v>45566</v>
      </c>
      <c r="B9" s="334">
        <f>COUNTIFS(AUBURN[MONTH],$A9)</f>
        <v>46</v>
      </c>
      <c r="C9" s="335">
        <f>SUMIFS(AUBURN[BILLING RATE (₹)],AUBURN[MONTH],$A9)</f>
        <v>2489130</v>
      </c>
      <c r="D9" s="335">
        <f>SUMIFS(AUBURN[LORRY RATE (₹)],AUBURN[MONTH],$A9)</f>
        <v>1719650</v>
      </c>
      <c r="E9" s="335">
        <f t="shared" si="0"/>
        <v>769480</v>
      </c>
      <c r="F9" s="336">
        <f t="shared" si="1"/>
        <v>0.309136123866572</v>
      </c>
      <c r="G9" s="334">
        <f>COUNTIFS(MARKET[MONTH],$A9)</f>
        <v>0</v>
      </c>
      <c r="H9" s="335">
        <f>SUMIFS(MARKET[RATE (₹)],MARKET[MONTH],$A9)</f>
        <v>0</v>
      </c>
      <c r="I9" s="335">
        <f t="shared" si="2"/>
        <v>2489130</v>
      </c>
    </row>
    <row r="10" spans="1:9" x14ac:dyDescent="0.25">
      <c r="A10" s="330">
        <f t="shared" si="3"/>
        <v>45597</v>
      </c>
      <c r="B10" s="331">
        <f>COUNTIFS(AUBURN[MONTH],$A10)</f>
        <v>45</v>
      </c>
      <c r="C10" s="313">
        <f>SUMIFS(AUBURN[BILLING RATE (₹)],AUBURN[MONTH],$A10)</f>
        <v>2493240</v>
      </c>
      <c r="D10" s="313">
        <f>SUMIFS(AUBURN[LORRY RATE (₹)],AUBURN[MONTH],$A10)</f>
        <v>1732700</v>
      </c>
      <c r="E10" s="313">
        <f t="shared" si="0"/>
        <v>760540</v>
      </c>
      <c r="F10" s="332">
        <f t="shared" si="1"/>
        <v>0.305040830405416</v>
      </c>
      <c r="G10" s="331">
        <f>COUNTIFS(MARKET[MONTH],$A10)</f>
        <v>0</v>
      </c>
      <c r="H10" s="313">
        <f>SUMIFS(MARKET[RATE (₹)],MARKET[MONTH],$A10)</f>
        <v>0</v>
      </c>
      <c r="I10" s="313">
        <f t="shared" si="2"/>
        <v>2493240</v>
      </c>
    </row>
    <row r="11" spans="1:9" x14ac:dyDescent="0.25">
      <c r="A11" s="333">
        <f t="shared" si="3"/>
        <v>45627</v>
      </c>
      <c r="B11" s="334">
        <f>COUNTIFS(AUBURN[MONTH],$A11)</f>
        <v>54</v>
      </c>
      <c r="C11" s="335">
        <f>SUMIFS(AUBURN[BILLING RATE (₹)],AUBURN[MONTH],$A11)</f>
        <v>3305770</v>
      </c>
      <c r="D11" s="335">
        <f>SUMIFS(AUBURN[LORRY RATE (₹)],AUBURN[MONTH],$A11)</f>
        <v>2390200</v>
      </c>
      <c r="E11" s="335">
        <f t="shared" si="0"/>
        <v>915570</v>
      </c>
      <c r="F11" s="336">
        <f t="shared" si="1"/>
        <v>0.276961192097454</v>
      </c>
      <c r="G11" s="334">
        <f>COUNTIFS(MARKET[MONTH],$A11)</f>
        <v>0</v>
      </c>
      <c r="H11" s="335">
        <f>SUMIFS(MARKET[RATE (₹)],MARKET[MONTH],$A11)</f>
        <v>0</v>
      </c>
      <c r="I11" s="335">
        <f t="shared" si="2"/>
        <v>3305770</v>
      </c>
    </row>
    <row r="12" spans="1:9" x14ac:dyDescent="0.25">
      <c r="A12" s="330">
        <f t="shared" si="3"/>
        <v>45658</v>
      </c>
      <c r="B12" s="331">
        <f>COUNTIFS(AUBURN[MONTH],$A12)</f>
        <v>58</v>
      </c>
      <c r="C12" s="313">
        <f>SUMIFS(AUBURN[BILLING RATE (₹)],AUBURN[MONTH],$A12)</f>
        <v>3913110</v>
      </c>
      <c r="D12" s="313">
        <f>SUMIFS(AUBURN[LORRY RATE (₹)],AUBURN[MONTH],$A12)</f>
        <v>2949440</v>
      </c>
      <c r="E12" s="313">
        <f t="shared" si="0"/>
        <v>963670</v>
      </c>
      <c r="F12" s="332">
        <f t="shared" si="1"/>
        <v>0.246267035682616</v>
      </c>
      <c r="G12" s="331">
        <f>COUNTIFS(MARKET[MONTH],$A12)</f>
        <v>0</v>
      </c>
      <c r="H12" s="313">
        <f>SUMIFS(MARKET[RATE (₹)],MARKET[MONTH],$A12)</f>
        <v>0</v>
      </c>
      <c r="I12" s="313">
        <f t="shared" si="2"/>
        <v>3913110</v>
      </c>
    </row>
    <row r="13" spans="1:9" x14ac:dyDescent="0.25">
      <c r="A13" s="333">
        <f t="shared" si="3"/>
        <v>45689</v>
      </c>
      <c r="B13" s="334">
        <f>COUNTIFS(AUBURN[MONTH],$A13)</f>
        <v>55</v>
      </c>
      <c r="C13" s="335">
        <f>SUMIFS(AUBURN[BILLING RATE (₹)],AUBURN[MONTH],$A13)</f>
        <v>3083750</v>
      </c>
      <c r="D13" s="335">
        <f>SUMIFS(AUBURN[LORRY RATE (₹)],AUBURN[MONTH],$A13)</f>
        <v>2187260</v>
      </c>
      <c r="E13" s="335">
        <f t="shared" si="0"/>
        <v>896490</v>
      </c>
      <c r="F13" s="336">
        <f t="shared" si="1"/>
        <v>0.290714227807053</v>
      </c>
      <c r="G13" s="334">
        <f>COUNTIFS(MARKET[MONTH],$A13)</f>
        <v>0</v>
      </c>
      <c r="H13" s="335">
        <f>SUMIFS(MARKET[RATE (₹)],MARKET[MONTH],$A13)</f>
        <v>0</v>
      </c>
      <c r="I13" s="335">
        <f t="shared" si="2"/>
        <v>3083750</v>
      </c>
    </row>
    <row r="14" spans="1:9" x14ac:dyDescent="0.25">
      <c r="A14" s="330">
        <f t="shared" si="3"/>
        <v>45717</v>
      </c>
      <c r="B14" s="331">
        <f>COUNTIFS(AUBURN[MONTH],$A14)</f>
        <v>46</v>
      </c>
      <c r="C14" s="313">
        <f>SUMIFS(AUBURN[BILLING RATE (₹)],AUBURN[MONTH],$A14)</f>
        <v>2744440</v>
      </c>
      <c r="D14" s="313">
        <f>SUMIFS(AUBURN[LORRY RATE (₹)],AUBURN[MONTH],$A14)</f>
        <v>1867850</v>
      </c>
      <c r="E14" s="313">
        <f t="shared" si="0"/>
        <v>876590</v>
      </c>
      <c r="F14" s="332">
        <f t="shared" si="1"/>
        <v>0.319405780414219</v>
      </c>
      <c r="G14" s="331">
        <f>COUNTIFS(MARKET[MONTH],$A14)</f>
        <v>0</v>
      </c>
      <c r="H14" s="313">
        <f>SUMIFS(MARKET[RATE (₹)],MARKET[MONTH],$A14)</f>
        <v>0</v>
      </c>
      <c r="I14" s="313">
        <f t="shared" si="2"/>
        <v>2744440</v>
      </c>
    </row>
    <row r="15" spans="1:9" x14ac:dyDescent="0.25">
      <c r="A15" s="333">
        <f t="shared" si="3"/>
        <v>45748</v>
      </c>
      <c r="B15" s="334">
        <f>COUNTIFS(AUBURN[MONTH],$A15)</f>
        <v>46</v>
      </c>
      <c r="C15" s="335">
        <f>SUMIFS(AUBURN[BILLING RATE (₹)],AUBURN[MONTH],$A15)</f>
        <v>2852010</v>
      </c>
      <c r="D15" s="335">
        <f>SUMIFS(AUBURN[LORRY RATE (₹)],AUBURN[MONTH],$A15)</f>
        <v>1876090</v>
      </c>
      <c r="E15" s="335">
        <f t="shared" si="0"/>
        <v>975920</v>
      </c>
      <c r="F15" s="336">
        <f t="shared" si="1"/>
        <v>0.342186738475672</v>
      </c>
      <c r="G15" s="334">
        <f>COUNTIFS(MARKET[MONTH],$A15)</f>
        <v>6</v>
      </c>
      <c r="H15" s="335">
        <f>SUMIFS(MARKET[RATE (₹)],MARKET[MONTH],$A15)</f>
        <v>315280</v>
      </c>
      <c r="I15" s="335">
        <f t="shared" si="2"/>
        <v>3167290</v>
      </c>
    </row>
    <row r="16" spans="1:9" x14ac:dyDescent="0.25">
      <c r="A16" s="330">
        <f t="shared" si="3"/>
        <v>45778</v>
      </c>
      <c r="B16" s="331">
        <f>COUNTIFS(AUBURN[MONTH],$A16)</f>
        <v>40</v>
      </c>
      <c r="C16" s="313">
        <f>SUMIFS(AUBURN[BILLING RATE (₹)],AUBURN[MONTH],$A16)</f>
        <v>2298580</v>
      </c>
      <c r="D16" s="313">
        <f>SUMIFS(AUBURN[LORRY RATE (₹)],AUBURN[MONTH],$A16)</f>
        <v>1429090</v>
      </c>
      <c r="E16" s="313">
        <f t="shared" si="0"/>
        <v>869490</v>
      </c>
      <c r="F16" s="332">
        <f t="shared" si="1"/>
        <v>0.378272672693576</v>
      </c>
      <c r="G16" s="331">
        <f>COUNTIFS(MARKET[MONTH],$A16)</f>
        <v>5</v>
      </c>
      <c r="H16" s="313">
        <f>SUMIFS(MARKET[RATE (₹)],MARKET[MONTH],$A16)</f>
        <v>227040</v>
      </c>
      <c r="I16" s="313">
        <f t="shared" si="2"/>
        <v>2525620</v>
      </c>
    </row>
    <row r="17" spans="1:9" x14ac:dyDescent="0.25">
      <c r="A17" s="333">
        <f t="shared" si="3"/>
        <v>45809</v>
      </c>
      <c r="B17" s="334">
        <f>COUNTIFS(AUBURN[MONTH],$A17)</f>
        <v>43</v>
      </c>
      <c r="C17" s="335">
        <f>SUMIFS(AUBURN[BILLING RATE (₹)],AUBURN[MONTH],$A17)</f>
        <v>2801910</v>
      </c>
      <c r="D17" s="335">
        <f>SUMIFS(AUBURN[LORRY RATE (₹)],AUBURN[MONTH],$A17)</f>
        <v>1647100</v>
      </c>
      <c r="E17" s="335">
        <f t="shared" si="0"/>
        <v>1154810</v>
      </c>
      <c r="F17" s="336">
        <f t="shared" si="1"/>
        <v>0.412150996998476</v>
      </c>
      <c r="G17" s="334">
        <f>COUNTIFS(MARKET[MONTH],$A17)</f>
        <v>4</v>
      </c>
      <c r="H17" s="335">
        <f>SUMIFS(MARKET[RATE (₹)],MARKET[MONTH],$A17)</f>
        <v>141900</v>
      </c>
      <c r="I17" s="335">
        <f t="shared" si="2"/>
        <v>2943810</v>
      </c>
    </row>
    <row r="18" spans="1:9" x14ac:dyDescent="0.25">
      <c r="A18" s="330">
        <f t="shared" si="3"/>
        <v>45839</v>
      </c>
      <c r="B18" s="331">
        <f>COUNTIFS(AUBURN[MONTH],$A18)</f>
        <v>43</v>
      </c>
      <c r="C18" s="313">
        <f>SUMIFS(AUBURN[BILLING RATE (₹)],AUBURN[MONTH],$A18)</f>
        <v>2780820</v>
      </c>
      <c r="D18" s="313">
        <f>SUMIFS(AUBURN[LORRY RATE (₹)],AUBURN[MONTH],$A18)</f>
        <v>1550790</v>
      </c>
      <c r="E18" s="313">
        <f t="shared" si="0"/>
        <v>1230030</v>
      </c>
      <c r="F18" s="332">
        <f t="shared" si="1"/>
        <v>0.442326364165965</v>
      </c>
      <c r="G18" s="331">
        <f>COUNTIFS(MARKET[MONTH],$A18)</f>
        <v>6</v>
      </c>
      <c r="H18" s="313">
        <f>SUMIFS(MARKET[RATE (₹)],MARKET[MONTH],$A18)</f>
        <v>274890</v>
      </c>
      <c r="I18" s="313">
        <f t="shared" si="2"/>
        <v>3055710</v>
      </c>
    </row>
    <row r="19" spans="1:9" x14ac:dyDescent="0.25">
      <c r="A19" s="333">
        <f t="shared" si="3"/>
        <v>45870</v>
      </c>
      <c r="B19" s="334">
        <f>COUNTIFS(AUBURN[MONTH],$A19)</f>
        <v>37</v>
      </c>
      <c r="C19" s="335">
        <f>SUMIFS(AUBURN[BILLING RATE (₹)],AUBURN[MONTH],$A19)</f>
        <v>2169720</v>
      </c>
      <c r="D19" s="335">
        <f>SUMIFS(AUBURN[LORRY RATE (₹)],AUBURN[MONTH],$A19)</f>
        <v>1273340</v>
      </c>
      <c r="E19" s="335">
        <f t="shared" si="0"/>
        <v>896380</v>
      </c>
      <c r="F19" s="336">
        <f t="shared" si="1"/>
        <v>0.413131648323286</v>
      </c>
      <c r="G19" s="334">
        <f>COUNTIFS(MARKET[MONTH],$A19)</f>
        <v>7</v>
      </c>
      <c r="H19" s="335">
        <f>SUMIFS(MARKET[RATE (₹)],MARKET[MONTH],$A19)</f>
        <v>352110</v>
      </c>
      <c r="I19" s="335">
        <f t="shared" si="2"/>
        <v>2521830</v>
      </c>
    </row>
    <row r="20" spans="1:9" x14ac:dyDescent="0.25">
      <c r="A20" s="330">
        <f t="shared" si="3"/>
        <v>45901</v>
      </c>
      <c r="B20" s="331">
        <f>COUNTIFS(AUBURN[MONTH],$A20)</f>
        <v>44</v>
      </c>
      <c r="C20" s="313">
        <f>SUMIFS(AUBURN[BILLING RATE (₹)],AUBURN[MONTH],$A20)</f>
        <v>2798000</v>
      </c>
      <c r="D20" s="313">
        <f>SUMIFS(AUBURN[LORRY RATE (₹)],AUBURN[MONTH],$A20)</f>
        <v>1613570</v>
      </c>
      <c r="E20" s="313">
        <f t="shared" si="0"/>
        <v>1184430</v>
      </c>
      <c r="F20" s="332">
        <f t="shared" si="1"/>
        <v>0.42331308077198</v>
      </c>
      <c r="G20" s="331">
        <f>COUNTIFS(MARKET[MONTH],$A20)</f>
        <v>6</v>
      </c>
      <c r="H20" s="313">
        <f>SUMIFS(MARKET[RATE (₹)],MARKET[MONTH],$A20)</f>
        <v>274890</v>
      </c>
      <c r="I20" s="313">
        <f t="shared" si="2"/>
        <v>3072890</v>
      </c>
    </row>
    <row r="21" spans="1:9" x14ac:dyDescent="0.25">
      <c r="A21" s="333">
        <f t="shared" si="3"/>
        <v>45931</v>
      </c>
      <c r="B21" s="334">
        <f>COUNTIFS(AUBURN[MONTH],$A21)</f>
        <v>34</v>
      </c>
      <c r="C21" s="335">
        <f>SUMIFS(AUBURN[BILLING RATE (₹)],AUBURN[MONTH],$A21)</f>
        <v>2172550</v>
      </c>
      <c r="D21" s="335">
        <f>SUMIFS(AUBURN[LORRY RATE (₹)],AUBURN[MONTH],$A21)</f>
        <v>1197670</v>
      </c>
      <c r="E21" s="335">
        <f t="shared" si="0"/>
        <v>974880</v>
      </c>
      <c r="F21" s="336">
        <f t="shared" si="1"/>
        <v>0.448726151296863</v>
      </c>
      <c r="G21" s="334">
        <f>COUNTIFS(MARKET[MONTH],$A21)</f>
        <v>2</v>
      </c>
      <c r="H21" s="335">
        <f>SUMIFS(MARKET[RATE (₹)],MARKET[MONTH],$A21)</f>
        <v>97680</v>
      </c>
      <c r="I21" s="335">
        <f t="shared" si="2"/>
        <v>2270230</v>
      </c>
    </row>
    <row r="22" spans="1:9" x14ac:dyDescent="0.25">
      <c r="A22" s="330">
        <f t="shared" si="3"/>
        <v>45962</v>
      </c>
      <c r="B22" s="331">
        <f>COUNTIFS(AUBURN[MONTH],$A22)</f>
        <v>42</v>
      </c>
      <c r="C22" s="313">
        <f>SUMIFS(AUBURN[BILLING RATE (₹)],AUBURN[MONTH],$A22)</f>
        <v>2473630</v>
      </c>
      <c r="D22" s="313">
        <f>SUMIFS(AUBURN[LORRY RATE (₹)],AUBURN[MONTH],$A22)</f>
        <v>1539820</v>
      </c>
      <c r="E22" s="313">
        <f t="shared" si="0"/>
        <v>933810</v>
      </c>
      <c r="F22" s="332">
        <f t="shared" si="1"/>
        <v>0.37750593257682</v>
      </c>
      <c r="G22" s="331">
        <f>COUNTIFS(MARKET[MONTH],$A22)</f>
        <v>10</v>
      </c>
      <c r="H22" s="313">
        <f>SUMIFS(MARKET[RATE (₹)],MARKET[MONTH],$A22)</f>
        <v>521780</v>
      </c>
      <c r="I22" s="313">
        <f t="shared" si="2"/>
        <v>2995410</v>
      </c>
    </row>
    <row r="23" spans="1:9" x14ac:dyDescent="0.25">
      <c r="A23" s="333">
        <f t="shared" si="3"/>
        <v>45992</v>
      </c>
      <c r="B23" s="334">
        <f>COUNTIFS(AUBURN[MONTH],$A23)</f>
        <v>43</v>
      </c>
      <c r="C23" s="335">
        <f>SUMIFS(AUBURN[BILLING RATE (₹)],AUBURN[MONTH],$A23)</f>
        <v>2648210</v>
      </c>
      <c r="D23" s="335">
        <f>SUMIFS(AUBURN[LORRY RATE (₹)],AUBURN[MONTH],$A23)</f>
        <v>1548250</v>
      </c>
      <c r="E23" s="335">
        <f t="shared" si="0"/>
        <v>1099960</v>
      </c>
      <c r="F23" s="336">
        <f t="shared" si="1"/>
        <v>0.415359809078585</v>
      </c>
      <c r="G23" s="334">
        <f>COUNTIFS(MARKET[MONTH],$A23)</f>
        <v>1</v>
      </c>
      <c r="H23" s="335">
        <f>SUMIFS(MARKET[RATE (₹)],MARKET[MONTH],$A23)</f>
        <v>52600</v>
      </c>
      <c r="I23" s="335">
        <f t="shared" si="2"/>
        <v>2700810</v>
      </c>
    </row>
    <row r="24" spans="1:9" x14ac:dyDescent="0.25">
      <c r="A24" s="330">
        <f t="shared" si="3"/>
        <v>46023</v>
      </c>
      <c r="B24" s="331">
        <f>COUNTIFS(AUBURN[MONTH],$A24)</f>
        <v>31</v>
      </c>
      <c r="C24" s="313">
        <f>SUMIFS(AUBURN[BILLING RATE (₹)],AUBURN[MONTH],$A24)</f>
        <v>1975040</v>
      </c>
      <c r="D24" s="313">
        <f>SUMIFS(AUBURN[LORRY RATE (₹)],AUBURN[MONTH],$A24)</f>
        <v>1138600</v>
      </c>
      <c r="E24" s="313">
        <f t="shared" si="0"/>
        <v>836440</v>
      </c>
      <c r="F24" s="332">
        <f t="shared" si="1"/>
        <v>0.423505346727155</v>
      </c>
      <c r="G24" s="331">
        <f>COUNTIFS(MARKET[MONTH],$A24)</f>
        <v>7</v>
      </c>
      <c r="H24" s="313">
        <f>SUMIFS(MARKET[RATE (₹)],MARKET[MONTH],$A24)</f>
        <v>325170</v>
      </c>
      <c r="I24" s="313">
        <f t="shared" si="2"/>
        <v>2300210</v>
      </c>
    </row>
    <row r="25" spans="1:9" x14ac:dyDescent="0.25">
      <c r="A25" s="333">
        <f t="shared" si="3"/>
        <v>46054</v>
      </c>
      <c r="B25" s="334">
        <f>COUNTIFS(AUBURN[MONTH],$A25)</f>
        <v>32</v>
      </c>
      <c r="C25" s="335">
        <f>SUMIFS(AUBURN[BILLING RATE (₹)],AUBURN[MONTH],$A25)</f>
        <v>2255700</v>
      </c>
      <c r="D25" s="335">
        <f>SUMIFS(AUBURN[LORRY RATE (₹)],AUBURN[MONTH],$A25)</f>
        <v>1216570</v>
      </c>
      <c r="E25" s="335">
        <f t="shared" si="0"/>
        <v>1039130</v>
      </c>
      <c r="F25" s="336">
        <f t="shared" si="1"/>
        <v>0.460668528616394</v>
      </c>
      <c r="G25" s="334">
        <f>COUNTIFS(MARKET[MONTH],$A25)</f>
        <v>2</v>
      </c>
      <c r="H25" s="335">
        <f>SUMIFS(MARKET[RATE (₹)],MARKET[MONTH],$A25)</f>
        <v>105600</v>
      </c>
      <c r="I25" s="335">
        <f t="shared" si="2"/>
        <v>2361300</v>
      </c>
    </row>
    <row r="26" spans="1:9" x14ac:dyDescent="0.25">
      <c r="A26" s="330">
        <f t="shared" si="3"/>
        <v>46082</v>
      </c>
      <c r="B26" s="331">
        <f>COUNTIFS(AUBURN[MONTH],$A26)</f>
        <v>29</v>
      </c>
      <c r="C26" s="313">
        <f>SUMIFS(AUBURN[BILLING RATE (₹)],AUBURN[MONTH],$A26)</f>
        <v>1857550</v>
      </c>
      <c r="D26" s="313">
        <f>SUMIFS(AUBURN[LORRY RATE (₹)],AUBURN[MONTH],$A26)</f>
        <v>1103310</v>
      </c>
      <c r="E26" s="313">
        <f t="shared" si="0"/>
        <v>754240</v>
      </c>
      <c r="F26" s="332">
        <f t="shared" si="1"/>
        <v>0.40604021426072</v>
      </c>
      <c r="G26" s="331">
        <f>COUNTIFS(MARKET[MONTH],$A26)</f>
        <v>11</v>
      </c>
      <c r="H26" s="313">
        <f>SUMIFS(MARKET[RATE (₹)],MARKET[MONTH],$A26)</f>
        <v>364290</v>
      </c>
      <c r="I26" s="313">
        <f t="shared" si="2"/>
        <v>2221840</v>
      </c>
    </row>
    <row r="27" spans="1:9" x14ac:dyDescent="0.25">
      <c r="A27" s="333">
        <f t="shared" si="3"/>
        <v>46113</v>
      </c>
      <c r="B27" s="334">
        <f>COUNTIFS(AUBURN[MONTH],$A27)</f>
        <v>30</v>
      </c>
      <c r="C27" s="335">
        <f>SUMIFS(AUBURN[BILLING RATE (₹)],AUBURN[MONTH],$A27)</f>
        <v>3115950</v>
      </c>
      <c r="D27" s="335">
        <f>SUMIFS(AUBURN[LORRY RATE (₹)],AUBURN[MONTH],$A27)</f>
        <v>1544540</v>
      </c>
      <c r="E27" s="335">
        <f t="shared" si="0"/>
        <v>1571410</v>
      </c>
      <c r="F27" s="336">
        <f t="shared" si="1"/>
        <v>0.504311686644523</v>
      </c>
      <c r="G27" s="334">
        <f>COUNTIFS(MARKET[MONTH],$A27)</f>
        <v>30</v>
      </c>
      <c r="H27" s="335">
        <f>SUMIFS(MARKET[RATE (₹)],MARKET[MONTH],$A27)</f>
        <v>890720</v>
      </c>
      <c r="I27" s="335">
        <f t="shared" si="2"/>
        <v>4006670</v>
      </c>
    </row>
    <row r="28" spans="1:9" x14ac:dyDescent="0.25">
      <c r="A28" s="330">
        <f t="shared" si="3"/>
        <v>46143</v>
      </c>
      <c r="B28" s="331">
        <f>COUNTIFS(AUBURN[MONTH],$A28)</f>
        <v>40</v>
      </c>
      <c r="C28" s="313">
        <f>SUMIFS(AUBURN[BILLING RATE (₹)],AUBURN[MONTH],$A28)</f>
        <v>4030660</v>
      </c>
      <c r="D28" s="313">
        <f>SUMIFS(AUBURN[LORRY RATE (₹)],AUBURN[MONTH],$A28)</f>
        <v>2029030</v>
      </c>
      <c r="E28" s="313">
        <f t="shared" si="0"/>
        <v>2001630</v>
      </c>
      <c r="F28" s="332">
        <f t="shared" si="1"/>
        <v>0.496601052929297</v>
      </c>
      <c r="G28" s="331">
        <f>COUNTIFS(MARKET[MONTH],$A28)</f>
        <v>21</v>
      </c>
      <c r="H28" s="313">
        <f>SUMIFS(MARKET[RATE (₹)],MARKET[MONTH],$A28)</f>
        <v>786660</v>
      </c>
      <c r="I28" s="313">
        <f t="shared" si="2"/>
        <v>4817320</v>
      </c>
    </row>
    <row r="29" spans="1:9" x14ac:dyDescent="0.25">
      <c r="A29" s="333">
        <f t="shared" si="3"/>
        <v>46174</v>
      </c>
      <c r="B29" s="334">
        <f>COUNTIFS(AUBURN[MONTH],$A29)</f>
        <v>42</v>
      </c>
      <c r="C29" s="335">
        <f>SUMIFS(AUBURN[BILLING RATE (₹)],AUBURN[MONTH],$A29)</f>
        <v>4130360</v>
      </c>
      <c r="D29" s="335">
        <f>SUMIFS(AUBURN[LORRY RATE (₹)],AUBURN[MONTH],$A29)</f>
        <v>2115220</v>
      </c>
      <c r="E29" s="335">
        <f t="shared" si="0"/>
        <v>2015140</v>
      </c>
      <c r="F29" s="336">
        <f t="shared" si="1"/>
        <v>0.487884833283297</v>
      </c>
      <c r="G29" s="334">
        <f>COUNTIFS(MARKET[MONTH],$A29)</f>
        <v>20</v>
      </c>
      <c r="H29" s="335">
        <f>SUMIFS(MARKET[RATE (₹)],MARKET[MONTH],$A29)</f>
        <v>844680</v>
      </c>
      <c r="I29" s="335">
        <f t="shared" si="2"/>
        <v>4975040</v>
      </c>
    </row>
    <row r="30" spans="1:9" x14ac:dyDescent="0.25">
      <c r="A30" s="330">
        <f t="shared" si="3"/>
        <v>46204</v>
      </c>
      <c r="B30" s="331">
        <f>COUNTIFS(AUBURN[MONTH],$A30)</f>
        <v>42</v>
      </c>
      <c r="C30" s="313">
        <f>SUMIFS(AUBURN[BILLING RATE (₹)],AUBURN[MONTH],$A30)</f>
        <v>4152580</v>
      </c>
      <c r="D30" s="313">
        <f>SUMIFS(AUBURN[LORRY RATE (₹)],AUBURN[MONTH],$A30)</f>
        <v>2082900</v>
      </c>
      <c r="E30" s="313">
        <f t="shared" si="0"/>
        <v>2069680</v>
      </c>
      <c r="F30" s="332">
        <f t="shared" si="1"/>
        <v>0.498408218505122</v>
      </c>
      <c r="G30" s="331">
        <f>COUNTIFS(MARKET[MONTH],$A30)</f>
        <v>20</v>
      </c>
      <c r="H30" s="313">
        <f>SUMIFS(MARKET[RATE (₹)],MARKET[MONTH],$A30)</f>
        <v>679800</v>
      </c>
      <c r="I30" s="313">
        <f t="shared" si="2"/>
        <v>4832380</v>
      </c>
    </row>
    <row r="31" spans="1:9" x14ac:dyDescent="0.25">
      <c r="A31" s="333">
        <f t="shared" si="3"/>
        <v>46235</v>
      </c>
      <c r="B31" s="334">
        <f>COUNTIFS(AUBURN[MONTH],$A31)</f>
        <v>42</v>
      </c>
      <c r="C31" s="335">
        <f>SUMIFS(AUBURN[BILLING RATE (₹)],AUBURN[MONTH],$A31)</f>
        <v>4097290</v>
      </c>
      <c r="D31" s="335">
        <f>SUMIFS(AUBURN[LORRY RATE (₹)],AUBURN[MONTH],$A31)</f>
        <v>2071160</v>
      </c>
      <c r="E31" s="335">
        <f t="shared" si="0"/>
        <v>2026130</v>
      </c>
      <c r="F31" s="336">
        <f t="shared" si="1"/>
        <v>0.494504904461241</v>
      </c>
      <c r="G31" s="334">
        <f>COUNTIFS(MARKET[MONTH],$A31)</f>
        <v>11</v>
      </c>
      <c r="H31" s="335">
        <f>SUMIFS(MARKET[RATE (₹)],MARKET[MONTH],$A31)</f>
        <v>497880</v>
      </c>
      <c r="I31" s="335">
        <f t="shared" si="2"/>
        <v>4595170</v>
      </c>
    </row>
    <row r="32" spans="1:9" x14ac:dyDescent="0.25">
      <c r="A32" s="330">
        <f t="shared" si="3"/>
        <v>46266</v>
      </c>
      <c r="B32" s="331">
        <f>COUNTIFS(AUBURN[MONTH],$A32)</f>
        <v>7</v>
      </c>
      <c r="C32" s="313">
        <f>SUMIFS(AUBURN[BILLING RATE (₹)],AUBURN[MONTH],$A32)</f>
        <v>775200</v>
      </c>
      <c r="D32" s="313">
        <f>SUMIFS(AUBURN[LORRY RATE (₹)],AUBURN[MONTH],$A32)</f>
        <v>365560</v>
      </c>
      <c r="E32" s="313">
        <f t="shared" si="0"/>
        <v>409640</v>
      </c>
      <c r="F32" s="332">
        <f t="shared" si="1"/>
        <v>0.52843137254902</v>
      </c>
      <c r="G32" s="331">
        <f>COUNTIFS(MARKET[MONTH],$A32)</f>
        <v>2</v>
      </c>
      <c r="H32" s="313">
        <f>SUMIFS(MARKET[RATE (₹)],MARKET[MONTH],$A32)</f>
        <v>27720</v>
      </c>
      <c r="I32" s="313">
        <f t="shared" si="2"/>
        <v>802920</v>
      </c>
    </row>
    <row r="33" spans="1:9" x14ac:dyDescent="0.25">
      <c r="A33" s="333">
        <f t="shared" si="3"/>
        <v>46296</v>
      </c>
      <c r="B33" s="334">
        <f>COUNTIFS(AUBURN[MONTH],$A33)</f>
        <v>0</v>
      </c>
      <c r="C33" s="335">
        <f>SUMIFS(AUBURN[BILLING RATE (₹)],AUBURN[MONTH],$A33)</f>
        <v>0</v>
      </c>
      <c r="D33" s="335">
        <f>SUMIFS(AUBURN[LORRY RATE (₹)],AUBURN[MONTH],$A33)</f>
        <v>0</v>
      </c>
      <c r="E33" s="335">
        <f t="shared" si="0"/>
        <v>0</v>
      </c>
      <c r="F33" s="336" t="str">
        <f t="shared" si="1"/>
        <v/>
      </c>
      <c r="G33" s="334">
        <f>COUNTIFS(MARKET[MONTH],$A33)</f>
        <v>0</v>
      </c>
      <c r="H33" s="335">
        <f>SUMIFS(MARKET[RATE (₹)],MARKET[MONTH],$A33)</f>
        <v>0</v>
      </c>
      <c r="I33" s="335">
        <f t="shared" si="2"/>
        <v>0</v>
      </c>
    </row>
    <row r="34" spans="1:9" x14ac:dyDescent="0.25">
      <c r="A34" s="330">
        <f t="shared" si="3"/>
        <v>46327</v>
      </c>
      <c r="B34" s="331">
        <f>COUNTIFS(AUBURN[MONTH],$A34)</f>
        <v>0</v>
      </c>
      <c r="C34" s="313">
        <f>SUMIFS(AUBURN[BILLING RATE (₹)],AUBURN[MONTH],$A34)</f>
        <v>0</v>
      </c>
      <c r="D34" s="313">
        <f>SUMIFS(AUBURN[LORRY RATE (₹)],AUBURN[MONTH],$A34)</f>
        <v>0</v>
      </c>
      <c r="E34" s="313">
        <f t="shared" si="0"/>
        <v>0</v>
      </c>
      <c r="F34" s="332" t="str">
        <f t="shared" si="1"/>
        <v/>
      </c>
      <c r="G34" s="331">
        <f>COUNTIFS(MARKET[MONTH],$A34)</f>
        <v>0</v>
      </c>
      <c r="H34" s="313">
        <f>SUMIFS(MARKET[RATE (₹)],MARKET[MONTH],$A34)</f>
        <v>0</v>
      </c>
      <c r="I34" s="313">
        <f t="shared" si="2"/>
        <v>0</v>
      </c>
    </row>
    <row r="35" spans="1:9" x14ac:dyDescent="0.25">
      <c r="A35" s="333">
        <f t="shared" si="3"/>
        <v>46357</v>
      </c>
      <c r="B35" s="334">
        <f>COUNTIFS(AUBURN[MONTH],$A35)</f>
        <v>0</v>
      </c>
      <c r="C35" s="335">
        <f>SUMIFS(AUBURN[BILLING RATE (₹)],AUBURN[MONTH],$A35)</f>
        <v>0</v>
      </c>
      <c r="D35" s="335">
        <f>SUMIFS(AUBURN[LORRY RATE (₹)],AUBURN[MONTH],$A35)</f>
        <v>0</v>
      </c>
      <c r="E35" s="335">
        <f t="shared" si="0"/>
        <v>0</v>
      </c>
      <c r="F35" s="336" t="str">
        <f t="shared" si="1"/>
        <v/>
      </c>
      <c r="G35" s="334">
        <f>COUNTIFS(MARKET[MONTH],$A35)</f>
        <v>0</v>
      </c>
      <c r="H35" s="335">
        <f>SUMIFS(MARKET[RATE (₹)],MARKET[MONTH],$A35)</f>
        <v>0</v>
      </c>
      <c r="I35" s="335">
        <f t="shared" si="2"/>
        <v>0</v>
      </c>
    </row>
    <row r="36" spans="1:9" x14ac:dyDescent="0.25">
      <c r="A36" s="330">
        <f t="shared" si="3"/>
        <v>46388</v>
      </c>
      <c r="B36" s="331">
        <f>COUNTIFS(AUBURN[MONTH],$A36)</f>
        <v>0</v>
      </c>
      <c r="C36" s="313">
        <f>SUMIFS(AUBURN[BILLING RATE (₹)],AUBURN[MONTH],$A36)</f>
        <v>0</v>
      </c>
      <c r="D36" s="313">
        <f>SUMIFS(AUBURN[LORRY RATE (₹)],AUBURN[MONTH],$A36)</f>
        <v>0</v>
      </c>
      <c r="E36" s="313">
        <f t="shared" si="0"/>
        <v>0</v>
      </c>
      <c r="F36" s="332" t="str">
        <f t="shared" si="1"/>
        <v/>
      </c>
      <c r="G36" s="331">
        <f>COUNTIFS(MARKET[MONTH],$A36)</f>
        <v>0</v>
      </c>
      <c r="H36" s="313">
        <f>SUMIFS(MARKET[RATE (₹)],MARKET[MONTH],$A36)</f>
        <v>0</v>
      </c>
      <c r="I36" s="313">
        <f t="shared" si="2"/>
        <v>0</v>
      </c>
    </row>
    <row r="37" spans="1:9" x14ac:dyDescent="0.25">
      <c r="A37" s="333">
        <f t="shared" si="3"/>
        <v>46419</v>
      </c>
      <c r="B37" s="334">
        <f>COUNTIFS(AUBURN[MONTH],$A37)</f>
        <v>0</v>
      </c>
      <c r="C37" s="335">
        <f>SUMIFS(AUBURN[BILLING RATE (₹)],AUBURN[MONTH],$A37)</f>
        <v>0</v>
      </c>
      <c r="D37" s="335">
        <f>SUMIFS(AUBURN[LORRY RATE (₹)],AUBURN[MONTH],$A37)</f>
        <v>0</v>
      </c>
      <c r="E37" s="335">
        <f t="shared" si="0"/>
        <v>0</v>
      </c>
      <c r="F37" s="336" t="str">
        <f t="shared" si="1"/>
        <v/>
      </c>
      <c r="G37" s="334">
        <f>COUNTIFS(MARKET[MONTH],$A37)</f>
        <v>0</v>
      </c>
      <c r="H37" s="335">
        <f>SUMIFS(MARKET[RATE (₹)],MARKET[MONTH],$A37)</f>
        <v>0</v>
      </c>
      <c r="I37" s="335">
        <f t="shared" si="2"/>
        <v>0</v>
      </c>
    </row>
    <row r="38" spans="1:9" x14ac:dyDescent="0.25">
      <c r="A38" s="330">
        <f t="shared" si="3"/>
        <v>46447</v>
      </c>
      <c r="B38" s="331">
        <f>COUNTIFS(AUBURN[MONTH],$A38)</f>
        <v>0</v>
      </c>
      <c r="C38" s="313">
        <f>SUMIFS(AUBURN[BILLING RATE (₹)],AUBURN[MONTH],$A38)</f>
        <v>0</v>
      </c>
      <c r="D38" s="313">
        <f>SUMIFS(AUBURN[LORRY RATE (₹)],AUBURN[MONTH],$A38)</f>
        <v>0</v>
      </c>
      <c r="E38" s="313">
        <f t="shared" si="0"/>
        <v>0</v>
      </c>
      <c r="F38" s="332" t="str">
        <f t="shared" si="1"/>
        <v/>
      </c>
      <c r="G38" s="331">
        <f>COUNTIFS(MARKET[MONTH],$A38)</f>
        <v>0</v>
      </c>
      <c r="H38" s="313">
        <f>SUMIFS(MARKET[RATE (₹)],MARKET[MONTH],$A38)</f>
        <v>0</v>
      </c>
      <c r="I38" s="313">
        <f t="shared" si="2"/>
        <v>0</v>
      </c>
    </row>
    <row r="39" spans="1:9" x14ac:dyDescent="0.25">
      <c r="A39" s="333">
        <f t="shared" si="3"/>
        <v>46478</v>
      </c>
      <c r="B39" s="334">
        <f>COUNTIFS(AUBURN[MONTH],$A39)</f>
        <v>0</v>
      </c>
      <c r="C39" s="335">
        <f>SUMIFS(AUBURN[BILLING RATE (₹)],AUBURN[MONTH],$A39)</f>
        <v>0</v>
      </c>
      <c r="D39" s="335">
        <f>SUMIFS(AUBURN[LORRY RATE (₹)],AUBURN[MONTH],$A39)</f>
        <v>0</v>
      </c>
      <c r="E39" s="335">
        <f t="shared" si="0"/>
        <v>0</v>
      </c>
      <c r="F39" s="336" t="str">
        <f t="shared" si="1"/>
        <v/>
      </c>
      <c r="G39" s="334">
        <f>COUNTIFS(MARKET[MONTH],$A39)</f>
        <v>0</v>
      </c>
      <c r="H39" s="335">
        <f>SUMIFS(MARKET[RATE (₹)],MARKET[MONTH],$A39)</f>
        <v>0</v>
      </c>
      <c r="I39" s="335">
        <f t="shared" si="2"/>
        <v>0</v>
      </c>
    </row>
    <row r="40" spans="1:9" x14ac:dyDescent="0.25">
      <c r="A40" s="330">
        <f t="shared" si="3"/>
        <v>46508</v>
      </c>
      <c r="B40" s="331">
        <f>COUNTIFS(AUBURN[MONTH],$A40)</f>
        <v>0</v>
      </c>
      <c r="C40" s="313">
        <f>SUMIFS(AUBURN[BILLING RATE (₹)],AUBURN[MONTH],$A40)</f>
        <v>0</v>
      </c>
      <c r="D40" s="313">
        <f>SUMIFS(AUBURN[LORRY RATE (₹)],AUBURN[MONTH],$A40)</f>
        <v>0</v>
      </c>
      <c r="E40" s="313">
        <f t="shared" si="0"/>
        <v>0</v>
      </c>
      <c r="F40" s="332" t="str">
        <f t="shared" si="1"/>
        <v/>
      </c>
      <c r="G40" s="331">
        <f>COUNTIFS(MARKET[MONTH],$A40)</f>
        <v>0</v>
      </c>
      <c r="H40" s="313">
        <f>SUMIFS(MARKET[RATE (₹)],MARKET[MONTH],$A40)</f>
        <v>0</v>
      </c>
      <c r="I40" s="313">
        <f t="shared" si="2"/>
        <v>0</v>
      </c>
    </row>
    <row r="41" spans="1:9" x14ac:dyDescent="0.25">
      <c r="A41" s="333">
        <f t="shared" si="3"/>
        <v>46539</v>
      </c>
      <c r="B41" s="334">
        <f>COUNTIFS(AUBURN[MONTH],$A41)</f>
        <v>0</v>
      </c>
      <c r="C41" s="335">
        <f>SUMIFS(AUBURN[BILLING RATE (₹)],AUBURN[MONTH],$A41)</f>
        <v>0</v>
      </c>
      <c r="D41" s="335">
        <f>SUMIFS(AUBURN[LORRY RATE (₹)],AUBURN[MONTH],$A41)</f>
        <v>0</v>
      </c>
      <c r="E41" s="335">
        <f t="shared" si="0"/>
        <v>0</v>
      </c>
      <c r="F41" s="336" t="str">
        <f t="shared" si="1"/>
        <v/>
      </c>
      <c r="G41" s="334">
        <f>COUNTIFS(MARKET[MONTH],$A41)</f>
        <v>0</v>
      </c>
      <c r="H41" s="335">
        <f>SUMIFS(MARKET[RATE (₹)],MARKET[MONTH],$A41)</f>
        <v>0</v>
      </c>
      <c r="I41" s="335">
        <f t="shared" si="2"/>
        <v>0</v>
      </c>
    </row>
    <row r="42" spans="1:9" x14ac:dyDescent="0.25">
      <c r="A42" s="330">
        <f t="shared" si="3"/>
        <v>46569</v>
      </c>
      <c r="B42" s="331">
        <f>COUNTIFS(AUBURN[MONTH],$A42)</f>
        <v>0</v>
      </c>
      <c r="C42" s="313">
        <f>SUMIFS(AUBURN[BILLING RATE (₹)],AUBURN[MONTH],$A42)</f>
        <v>0</v>
      </c>
      <c r="D42" s="313">
        <f>SUMIFS(AUBURN[LORRY RATE (₹)],AUBURN[MONTH],$A42)</f>
        <v>0</v>
      </c>
      <c r="E42" s="313">
        <f t="shared" si="0"/>
        <v>0</v>
      </c>
      <c r="F42" s="332" t="str">
        <f t="shared" si="1"/>
        <v/>
      </c>
      <c r="G42" s="331">
        <f>COUNTIFS(MARKET[MONTH],$A42)</f>
        <v>0</v>
      </c>
      <c r="H42" s="313">
        <f>SUMIFS(MARKET[RATE (₹)],MARKET[MONTH],$A42)</f>
        <v>0</v>
      </c>
      <c r="I42" s="313">
        <f t="shared" si="2"/>
        <v>0</v>
      </c>
    </row>
    <row r="43" spans="1:9" x14ac:dyDescent="0.25">
      <c r="A43" s="333">
        <f t="shared" si="3"/>
        <v>46600</v>
      </c>
      <c r="B43" s="334">
        <f>COUNTIFS(AUBURN[MONTH],$A43)</f>
        <v>0</v>
      </c>
      <c r="C43" s="335">
        <f>SUMIFS(AUBURN[BILLING RATE (₹)],AUBURN[MONTH],$A43)</f>
        <v>0</v>
      </c>
      <c r="D43" s="335">
        <f>SUMIFS(AUBURN[LORRY RATE (₹)],AUBURN[MONTH],$A43)</f>
        <v>0</v>
      </c>
      <c r="E43" s="335">
        <f t="shared" si="0"/>
        <v>0</v>
      </c>
      <c r="F43" s="336" t="str">
        <f t="shared" si="1"/>
        <v/>
      </c>
      <c r="G43" s="334">
        <f>COUNTIFS(MARKET[MONTH],$A43)</f>
        <v>0</v>
      </c>
      <c r="H43" s="335">
        <f>SUMIFS(MARKET[RATE (₹)],MARKET[MONTH],$A43)</f>
        <v>0</v>
      </c>
      <c r="I43" s="335">
        <f t="shared" si="2"/>
        <v>0</v>
      </c>
    </row>
    <row r="44" spans="1:9" x14ac:dyDescent="0.25">
      <c r="A44" s="330">
        <f t="shared" si="3"/>
        <v>46631</v>
      </c>
      <c r="B44" s="331">
        <f>COUNTIFS(AUBURN[MONTH],$A44)</f>
        <v>0</v>
      </c>
      <c r="C44" s="313">
        <f>SUMIFS(AUBURN[BILLING RATE (₹)],AUBURN[MONTH],$A44)</f>
        <v>0</v>
      </c>
      <c r="D44" s="313">
        <f>SUMIFS(AUBURN[LORRY RATE (₹)],AUBURN[MONTH],$A44)</f>
        <v>0</v>
      </c>
      <c r="E44" s="313">
        <f t="shared" si="0"/>
        <v>0</v>
      </c>
      <c r="F44" s="332" t="str">
        <f t="shared" si="1"/>
        <v/>
      </c>
      <c r="G44" s="331">
        <f>COUNTIFS(MARKET[MONTH],$A44)</f>
        <v>0</v>
      </c>
      <c r="H44" s="313">
        <f>SUMIFS(MARKET[RATE (₹)],MARKET[MONTH],$A44)</f>
        <v>0</v>
      </c>
      <c r="I44" s="313">
        <f t="shared" si="2"/>
        <v>0</v>
      </c>
    </row>
    <row r="45" spans="1:9" x14ac:dyDescent="0.25">
      <c r="A45" s="333">
        <f t="shared" si="3"/>
        <v>46661</v>
      </c>
      <c r="B45" s="334">
        <f>COUNTIFS(AUBURN[MONTH],$A45)</f>
        <v>0</v>
      </c>
      <c r="C45" s="335">
        <f>SUMIFS(AUBURN[BILLING RATE (₹)],AUBURN[MONTH],$A45)</f>
        <v>0</v>
      </c>
      <c r="D45" s="335">
        <f>SUMIFS(AUBURN[LORRY RATE (₹)],AUBURN[MONTH],$A45)</f>
        <v>0</v>
      </c>
      <c r="E45" s="335">
        <f t="shared" si="0"/>
        <v>0</v>
      </c>
      <c r="F45" s="336" t="str">
        <f t="shared" si="1"/>
        <v/>
      </c>
      <c r="G45" s="334">
        <f>COUNTIFS(MARKET[MONTH],$A45)</f>
        <v>0</v>
      </c>
      <c r="H45" s="335">
        <f>SUMIFS(MARKET[RATE (₹)],MARKET[MONTH],$A45)</f>
        <v>0</v>
      </c>
      <c r="I45" s="335">
        <f t="shared" si="2"/>
        <v>0</v>
      </c>
    </row>
    <row r="46" spans="1:9" x14ac:dyDescent="0.25">
      <c r="A46" s="330">
        <f t="shared" si="3"/>
        <v>46692</v>
      </c>
      <c r="B46" s="331">
        <f>COUNTIFS(AUBURN[MONTH],$A46)</f>
        <v>0</v>
      </c>
      <c r="C46" s="313">
        <f>SUMIFS(AUBURN[BILLING RATE (₹)],AUBURN[MONTH],$A46)</f>
        <v>0</v>
      </c>
      <c r="D46" s="313">
        <f>SUMIFS(AUBURN[LORRY RATE (₹)],AUBURN[MONTH],$A46)</f>
        <v>0</v>
      </c>
      <c r="E46" s="313">
        <f t="shared" si="0"/>
        <v>0</v>
      </c>
      <c r="F46" s="332" t="str">
        <f t="shared" si="1"/>
        <v/>
      </c>
      <c r="G46" s="331">
        <f>COUNTIFS(MARKET[MONTH],$A46)</f>
        <v>0</v>
      </c>
      <c r="H46" s="313">
        <f>SUMIFS(MARKET[RATE (₹)],MARKET[MONTH],$A46)</f>
        <v>0</v>
      </c>
      <c r="I46" s="313">
        <f t="shared" si="2"/>
        <v>0</v>
      </c>
    </row>
    <row r="47" spans="1:9" x14ac:dyDescent="0.25">
      <c r="A47" s="333">
        <f t="shared" si="3"/>
        <v>46722</v>
      </c>
      <c r="B47" s="334">
        <f>COUNTIFS(AUBURN[MONTH],$A47)</f>
        <v>0</v>
      </c>
      <c r="C47" s="335">
        <f>SUMIFS(AUBURN[BILLING RATE (₹)],AUBURN[MONTH],$A47)</f>
        <v>0</v>
      </c>
      <c r="D47" s="335">
        <f>SUMIFS(AUBURN[LORRY RATE (₹)],AUBURN[MONTH],$A47)</f>
        <v>0</v>
      </c>
      <c r="E47" s="335">
        <f t="shared" si="0"/>
        <v>0</v>
      </c>
      <c r="F47" s="336" t="str">
        <f t="shared" si="1"/>
        <v/>
      </c>
      <c r="G47" s="334">
        <f>COUNTIFS(MARKET[MONTH],$A47)</f>
        <v>0</v>
      </c>
      <c r="H47" s="335">
        <f>SUMIFS(MARKET[RATE (₹)],MARKET[MONTH],$A47)</f>
        <v>0</v>
      </c>
      <c r="I47" s="335">
        <f t="shared" si="2"/>
        <v>0</v>
      </c>
    </row>
    <row r="48" spans="1:9" x14ac:dyDescent="0.25">
      <c r="A48" s="330">
        <f t="shared" si="3"/>
        <v>46753</v>
      </c>
      <c r="B48" s="331">
        <f>COUNTIFS(AUBURN[MONTH],$A48)</f>
        <v>0</v>
      </c>
      <c r="C48" s="313">
        <f>SUMIFS(AUBURN[BILLING RATE (₹)],AUBURN[MONTH],$A48)</f>
        <v>0</v>
      </c>
      <c r="D48" s="313">
        <f>SUMIFS(AUBURN[LORRY RATE (₹)],AUBURN[MONTH],$A48)</f>
        <v>0</v>
      </c>
      <c r="E48" s="313">
        <f t="shared" si="0"/>
        <v>0</v>
      </c>
      <c r="F48" s="332" t="str">
        <f t="shared" si="1"/>
        <v/>
      </c>
      <c r="G48" s="331">
        <f>COUNTIFS(MARKET[MONTH],$A48)</f>
        <v>0</v>
      </c>
      <c r="H48" s="313">
        <f>SUMIFS(MARKET[RATE (₹)],MARKET[MONTH],$A48)</f>
        <v>0</v>
      </c>
      <c r="I48" s="313">
        <f t="shared" si="2"/>
        <v>0</v>
      </c>
    </row>
    <row r="49" spans="1:9" x14ac:dyDescent="0.25">
      <c r="A49" s="333">
        <f t="shared" si="3"/>
        <v>46784</v>
      </c>
      <c r="B49" s="334">
        <f>COUNTIFS(AUBURN[MONTH],$A49)</f>
        <v>0</v>
      </c>
      <c r="C49" s="335">
        <f>SUMIFS(AUBURN[BILLING RATE (₹)],AUBURN[MONTH],$A49)</f>
        <v>0</v>
      </c>
      <c r="D49" s="335">
        <f>SUMIFS(AUBURN[LORRY RATE (₹)],AUBURN[MONTH],$A49)</f>
        <v>0</v>
      </c>
      <c r="E49" s="335">
        <f t="shared" si="0"/>
        <v>0</v>
      </c>
      <c r="F49" s="336" t="str">
        <f t="shared" si="1"/>
        <v/>
      </c>
      <c r="G49" s="334">
        <f>COUNTIFS(MARKET[MONTH],$A49)</f>
        <v>0</v>
      </c>
      <c r="H49" s="335">
        <f>SUMIFS(MARKET[RATE (₹)],MARKET[MONTH],$A49)</f>
        <v>0</v>
      </c>
      <c r="I49" s="335">
        <f t="shared" si="2"/>
        <v>0</v>
      </c>
    </row>
    <row r="50" spans="1:9" x14ac:dyDescent="0.25">
      <c r="A50" s="330">
        <f t="shared" si="3"/>
        <v>46813</v>
      </c>
      <c r="B50" s="331">
        <f>COUNTIFS(AUBURN[MONTH],$A50)</f>
        <v>0</v>
      </c>
      <c r="C50" s="313">
        <f>SUMIFS(AUBURN[BILLING RATE (₹)],AUBURN[MONTH],$A50)</f>
        <v>0</v>
      </c>
      <c r="D50" s="313">
        <f>SUMIFS(AUBURN[LORRY RATE (₹)],AUBURN[MONTH],$A50)</f>
        <v>0</v>
      </c>
      <c r="E50" s="313">
        <f t="shared" si="0"/>
        <v>0</v>
      </c>
      <c r="F50" s="332" t="str">
        <f t="shared" si="1"/>
        <v/>
      </c>
      <c r="G50" s="331">
        <f>COUNTIFS(MARKET[MONTH],$A50)</f>
        <v>0</v>
      </c>
      <c r="H50" s="313">
        <f>SUMIFS(MARKET[RATE (₹)],MARKET[MONTH],$A50)</f>
        <v>0</v>
      </c>
      <c r="I50" s="313">
        <f t="shared" si="2"/>
        <v>0</v>
      </c>
    </row>
    <row r="51" spans="1:9" x14ac:dyDescent="0.25">
      <c r="A51" s="333">
        <f t="shared" si="3"/>
        <v>46844</v>
      </c>
      <c r="B51" s="334">
        <f>COUNTIFS(AUBURN[MONTH],$A51)</f>
        <v>0</v>
      </c>
      <c r="C51" s="335">
        <f>SUMIFS(AUBURN[BILLING RATE (₹)],AUBURN[MONTH],$A51)</f>
        <v>0</v>
      </c>
      <c r="D51" s="335">
        <f>SUMIFS(AUBURN[LORRY RATE (₹)],AUBURN[MONTH],$A51)</f>
        <v>0</v>
      </c>
      <c r="E51" s="335">
        <f t="shared" si="0"/>
        <v>0</v>
      </c>
      <c r="F51" s="336" t="str">
        <f t="shared" si="1"/>
        <v/>
      </c>
      <c r="G51" s="334">
        <f>COUNTIFS(MARKET[MONTH],$A51)</f>
        <v>0</v>
      </c>
      <c r="H51" s="335">
        <f>SUMIFS(MARKET[RATE (₹)],MARKET[MONTH],$A51)</f>
        <v>0</v>
      </c>
      <c r="I51" s="335">
        <f t="shared" si="2"/>
        <v>0</v>
      </c>
    </row>
    <row r="52" spans="1:9" x14ac:dyDescent="0.25">
      <c r="A52" s="330">
        <f t="shared" si="3"/>
        <v>46874</v>
      </c>
      <c r="B52" s="331">
        <f>COUNTIFS(AUBURN[MONTH],$A52)</f>
        <v>0</v>
      </c>
      <c r="C52" s="313">
        <f>SUMIFS(AUBURN[BILLING RATE (₹)],AUBURN[MONTH],$A52)</f>
        <v>0</v>
      </c>
      <c r="D52" s="313">
        <f>SUMIFS(AUBURN[LORRY RATE (₹)],AUBURN[MONTH],$A52)</f>
        <v>0</v>
      </c>
      <c r="E52" s="313">
        <f t="shared" si="0"/>
        <v>0</v>
      </c>
      <c r="F52" s="332" t="str">
        <f t="shared" si="1"/>
        <v/>
      </c>
      <c r="G52" s="331">
        <f>COUNTIFS(MARKET[MONTH],$A52)</f>
        <v>0</v>
      </c>
      <c r="H52" s="313">
        <f>SUMIFS(MARKET[RATE (₹)],MARKET[MONTH],$A52)</f>
        <v>0</v>
      </c>
      <c r="I52" s="313">
        <f t="shared" si="2"/>
        <v>0</v>
      </c>
    </row>
    <row r="53" spans="1:9" x14ac:dyDescent="0.25">
      <c r="A53" s="333">
        <f t="shared" si="3"/>
        <v>46905</v>
      </c>
      <c r="B53" s="334">
        <f>COUNTIFS(AUBURN[MONTH],$A53)</f>
        <v>0</v>
      </c>
      <c r="C53" s="335">
        <f>SUMIFS(AUBURN[BILLING RATE (₹)],AUBURN[MONTH],$A53)</f>
        <v>0</v>
      </c>
      <c r="D53" s="335">
        <f>SUMIFS(AUBURN[LORRY RATE (₹)],AUBURN[MONTH],$A53)</f>
        <v>0</v>
      </c>
      <c r="E53" s="335">
        <f t="shared" si="0"/>
        <v>0</v>
      </c>
      <c r="F53" s="336" t="str">
        <f t="shared" si="1"/>
        <v/>
      </c>
      <c r="G53" s="334">
        <f>COUNTIFS(MARKET[MONTH],$A53)</f>
        <v>0</v>
      </c>
      <c r="H53" s="335">
        <f>SUMIFS(MARKET[RATE (₹)],MARKET[MONTH],$A53)</f>
        <v>0</v>
      </c>
      <c r="I53" s="335">
        <f t="shared" si="2"/>
        <v>0</v>
      </c>
    </row>
    <row r="54" spans="1:9" x14ac:dyDescent="0.25">
      <c r="A54" s="330">
        <f t="shared" si="3"/>
        <v>46935</v>
      </c>
      <c r="B54" s="331">
        <f>COUNTIFS(AUBURN[MONTH],$A54)</f>
        <v>0</v>
      </c>
      <c r="C54" s="313">
        <f>SUMIFS(AUBURN[BILLING RATE (₹)],AUBURN[MONTH],$A54)</f>
        <v>0</v>
      </c>
      <c r="D54" s="313">
        <f>SUMIFS(AUBURN[LORRY RATE (₹)],AUBURN[MONTH],$A54)</f>
        <v>0</v>
      </c>
      <c r="E54" s="313">
        <f t="shared" si="0"/>
        <v>0</v>
      </c>
      <c r="F54" s="332" t="str">
        <f t="shared" si="1"/>
        <v/>
      </c>
      <c r="G54" s="331">
        <f>COUNTIFS(MARKET[MONTH],$A54)</f>
        <v>0</v>
      </c>
      <c r="H54" s="313">
        <f>SUMIFS(MARKET[RATE (₹)],MARKET[MONTH],$A54)</f>
        <v>0</v>
      </c>
      <c r="I54" s="313">
        <f t="shared" si="2"/>
        <v>0</v>
      </c>
    </row>
    <row r="55" spans="1:9" x14ac:dyDescent="0.25">
      <c r="A55" s="333">
        <f t="shared" si="3"/>
        <v>46966</v>
      </c>
      <c r="B55" s="334">
        <f>COUNTIFS(AUBURN[MONTH],$A55)</f>
        <v>0</v>
      </c>
      <c r="C55" s="335">
        <f>SUMIFS(AUBURN[BILLING RATE (₹)],AUBURN[MONTH],$A55)</f>
        <v>0</v>
      </c>
      <c r="D55" s="335">
        <f>SUMIFS(AUBURN[LORRY RATE (₹)],AUBURN[MONTH],$A55)</f>
        <v>0</v>
      </c>
      <c r="E55" s="335">
        <f t="shared" si="0"/>
        <v>0</v>
      </c>
      <c r="F55" s="336" t="str">
        <f t="shared" si="1"/>
        <v/>
      </c>
      <c r="G55" s="334">
        <f>COUNTIFS(MARKET[MONTH],$A55)</f>
        <v>0</v>
      </c>
      <c r="H55" s="335">
        <f>SUMIFS(MARKET[RATE (₹)],MARKET[MONTH],$A55)</f>
        <v>0</v>
      </c>
      <c r="I55" s="335">
        <f t="shared" si="2"/>
        <v>0</v>
      </c>
    </row>
    <row r="56" spans="1:9" x14ac:dyDescent="0.25">
      <c r="A56" s="330">
        <f t="shared" si="3"/>
        <v>46997</v>
      </c>
      <c r="B56" s="331">
        <f>COUNTIFS(AUBURN[MONTH],$A56)</f>
        <v>0</v>
      </c>
      <c r="C56" s="313">
        <f>SUMIFS(AUBURN[BILLING RATE (₹)],AUBURN[MONTH],$A56)</f>
        <v>0</v>
      </c>
      <c r="D56" s="313">
        <f>SUMIFS(AUBURN[LORRY RATE (₹)],AUBURN[MONTH],$A56)</f>
        <v>0</v>
      </c>
      <c r="E56" s="313">
        <f t="shared" si="0"/>
        <v>0</v>
      </c>
      <c r="F56" s="332" t="str">
        <f t="shared" si="1"/>
        <v/>
      </c>
      <c r="G56" s="331">
        <f>COUNTIFS(MARKET[MONTH],$A56)</f>
        <v>0</v>
      </c>
      <c r="H56" s="313">
        <f>SUMIFS(MARKET[RATE (₹)],MARKET[MONTH],$A56)</f>
        <v>0</v>
      </c>
      <c r="I56" s="313">
        <f t="shared" si="2"/>
        <v>0</v>
      </c>
    </row>
    <row r="57" spans="1:9" x14ac:dyDescent="0.25">
      <c r="A57" s="333">
        <f t="shared" si="3"/>
        <v>47027</v>
      </c>
      <c r="B57" s="334">
        <f>COUNTIFS(AUBURN[MONTH],$A57)</f>
        <v>0</v>
      </c>
      <c r="C57" s="335">
        <f>SUMIFS(AUBURN[BILLING RATE (₹)],AUBURN[MONTH],$A57)</f>
        <v>0</v>
      </c>
      <c r="D57" s="335">
        <f>SUMIFS(AUBURN[LORRY RATE (₹)],AUBURN[MONTH],$A57)</f>
        <v>0</v>
      </c>
      <c r="E57" s="335">
        <f t="shared" si="0"/>
        <v>0</v>
      </c>
      <c r="F57" s="336" t="str">
        <f t="shared" si="1"/>
        <v/>
      </c>
      <c r="G57" s="334">
        <f>COUNTIFS(MARKET[MONTH],$A57)</f>
        <v>0</v>
      </c>
      <c r="H57" s="335">
        <f>SUMIFS(MARKET[RATE (₹)],MARKET[MONTH],$A57)</f>
        <v>0</v>
      </c>
      <c r="I57" s="335">
        <f t="shared" si="2"/>
        <v>0</v>
      </c>
    </row>
    <row r="58" spans="1:9" x14ac:dyDescent="0.25">
      <c r="A58" s="330">
        <f t="shared" si="3"/>
        <v>47058</v>
      </c>
      <c r="B58" s="331">
        <f>COUNTIFS(AUBURN[MONTH],$A58)</f>
        <v>0</v>
      </c>
      <c r="C58" s="313">
        <f>SUMIFS(AUBURN[BILLING RATE (₹)],AUBURN[MONTH],$A58)</f>
        <v>0</v>
      </c>
      <c r="D58" s="313">
        <f>SUMIFS(AUBURN[LORRY RATE (₹)],AUBURN[MONTH],$A58)</f>
        <v>0</v>
      </c>
      <c r="E58" s="313">
        <f t="shared" si="0"/>
        <v>0</v>
      </c>
      <c r="F58" s="332" t="str">
        <f t="shared" si="1"/>
        <v/>
      </c>
      <c r="G58" s="331">
        <f>COUNTIFS(MARKET[MONTH],$A58)</f>
        <v>0</v>
      </c>
      <c r="H58" s="313">
        <f>SUMIFS(MARKET[RATE (₹)],MARKET[MONTH],$A58)</f>
        <v>0</v>
      </c>
      <c r="I58" s="313">
        <f t="shared" si="2"/>
        <v>0</v>
      </c>
    </row>
    <row r="59" spans="1:9" x14ac:dyDescent="0.25">
      <c r="A59" s="333">
        <f t="shared" si="3"/>
        <v>47088</v>
      </c>
      <c r="B59" s="334">
        <f>COUNTIFS(AUBURN[MONTH],$A59)</f>
        <v>0</v>
      </c>
      <c r="C59" s="335">
        <f>SUMIFS(AUBURN[BILLING RATE (₹)],AUBURN[MONTH],$A59)</f>
        <v>0</v>
      </c>
      <c r="D59" s="335">
        <f>SUMIFS(AUBURN[LORRY RATE (₹)],AUBURN[MONTH],$A59)</f>
        <v>0</v>
      </c>
      <c r="E59" s="335">
        <f t="shared" si="0"/>
        <v>0</v>
      </c>
      <c r="F59" s="336" t="str">
        <f t="shared" si="1"/>
        <v/>
      </c>
      <c r="G59" s="334">
        <f>COUNTIFS(MARKET[MONTH],$A59)</f>
        <v>0</v>
      </c>
      <c r="H59" s="335">
        <f>SUMIFS(MARKET[RATE (₹)],MARKET[MONTH],$A59)</f>
        <v>0</v>
      </c>
      <c r="I59" s="335">
        <f t="shared" si="2"/>
        <v>0</v>
      </c>
    </row>
    <row r="60" spans="1:9" x14ac:dyDescent="0.25">
      <c r="A60" s="362" t="s">
        <v>3856</v>
      </c>
      <c r="B60" s="363">
        <f>SUM(B4:B59)</f>
        <v>1114</v>
      </c>
      <c r="C60" s="364">
        <f>SUM(C4:C59)</f>
        <v>75694270</v>
      </c>
      <c r="D60" s="364">
        <f>SUM(D4:D59)</f>
        <v>45985070</v>
      </c>
      <c r="E60" s="364">
        <f>SUM(E4:E59)</f>
        <v>29709200</v>
      </c>
      <c r="F60" s="365">
        <f>IFERROR($E$60/$C$60,"")</f>
        <v>0.39248941828754</v>
      </c>
      <c r="G60" s="363">
        <f>SUM(G4:G59)</f>
        <v>171</v>
      </c>
      <c r="H60" s="364">
        <f>SUM(H4:H59)</f>
        <v>6780690</v>
      </c>
      <c r="I60" s="364">
        <f>SUM(I4:I59)</f>
        <v>82474960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1C3B-0396-4E65-9DDF-5BB2DD0D8867}">
  <dimension ref="A1:K695"/>
  <sheetViews>
    <sheetView topLeftCell="A6" workbookViewId="0"/>
  </sheetViews>
  <sheetFormatPr defaultRowHeight="15" x14ac:dyDescent="0.25"/>
  <cols>
    <col min="1" max="1" width="11.42578125" customWidth="1"/>
    <col min="2" max="2" width="12.5703125" bestFit="1" customWidth="1"/>
    <col min="4" max="5" width="11.5703125" customWidth="1"/>
    <col min="6" max="6" width="12.7109375" bestFit="1" customWidth="1"/>
    <col min="8" max="8" width="19.28515625" style="51" bestFit="1" customWidth="1"/>
    <col min="9" max="9" width="19.28515625" style="109" bestFit="1" customWidth="1"/>
    <col min="10" max="10" width="14.7109375" bestFit="1" customWidth="1"/>
  </cols>
  <sheetData>
    <row r="1" spans="1:11" s="108" customFormat="1" x14ac:dyDescent="0.25">
      <c r="A1" s="156" t="s">
        <v>2893</v>
      </c>
      <c r="B1" s="156" t="s">
        <v>2977</v>
      </c>
      <c r="C1" s="157" t="s">
        <v>2962</v>
      </c>
      <c r="D1" s="156" t="s">
        <v>2963</v>
      </c>
      <c r="E1" s="156" t="s">
        <v>2896</v>
      </c>
      <c r="F1" s="156" t="s">
        <v>2964</v>
      </c>
      <c r="G1" s="157" t="s">
        <v>48</v>
      </c>
      <c r="H1" s="156" t="s">
        <v>2973</v>
      </c>
      <c r="I1" s="158" t="s">
        <v>2974</v>
      </c>
      <c r="J1" s="157" t="s">
        <v>2975</v>
      </c>
      <c r="K1" s="157" t="s">
        <v>2976</v>
      </c>
    </row>
    <row r="2" spans="1:11" x14ac:dyDescent="0.25">
      <c r="A2" s="149">
        <v>2417</v>
      </c>
      <c r="B2" s="150"/>
      <c r="C2" s="151" t="s">
        <v>2965</v>
      </c>
      <c r="D2" s="150" t="s">
        <v>2901</v>
      </c>
      <c r="E2" s="150" t="s">
        <v>2902</v>
      </c>
      <c r="F2" s="150">
        <v>2026</v>
      </c>
      <c r="G2" s="150" t="s">
        <v>2972</v>
      </c>
      <c r="H2" s="150">
        <v>12830</v>
      </c>
      <c r="I2" s="152">
        <v>15000</v>
      </c>
      <c r="J2" s="153">
        <f>H2-I2</f>
        <v>-2170</v>
      </c>
      <c r="K2" s="151">
        <f>IF(J2&lt;0,0,J2*1)</f>
        <v>0</v>
      </c>
    </row>
    <row r="3" spans="1:11" x14ac:dyDescent="0.25">
      <c r="A3" s="154" t="s">
        <v>2929</v>
      </c>
      <c r="B3" s="155"/>
      <c r="C3" s="151" t="s">
        <v>2965</v>
      </c>
      <c r="D3" s="150" t="s">
        <v>2901</v>
      </c>
      <c r="E3" s="150" t="s">
        <v>2968</v>
      </c>
      <c r="F3" s="150">
        <v>2026</v>
      </c>
      <c r="G3" s="150" t="s">
        <v>2972</v>
      </c>
      <c r="H3" s="150">
        <v>13420</v>
      </c>
      <c r="I3" s="152">
        <v>15000</v>
      </c>
      <c r="J3" s="153">
        <f t="shared" ref="J3:J11" si="0">H3-I3</f>
        <v>-1580</v>
      </c>
      <c r="K3" s="151">
        <f t="shared" ref="K3:K11" si="1">IF(J3&lt;0,0,J3*1)</f>
        <v>0</v>
      </c>
    </row>
    <row r="4" spans="1:11" x14ac:dyDescent="0.25">
      <c r="A4" s="149">
        <v>3958</v>
      </c>
      <c r="B4" s="150"/>
      <c r="C4" s="151" t="s">
        <v>2965</v>
      </c>
      <c r="D4" s="150" t="s">
        <v>2901</v>
      </c>
      <c r="E4" s="150" t="s">
        <v>2969</v>
      </c>
      <c r="F4" s="150">
        <v>2026</v>
      </c>
      <c r="G4" s="150" t="s">
        <v>2972</v>
      </c>
      <c r="H4" s="150">
        <v>12150</v>
      </c>
      <c r="I4" s="152">
        <v>15000</v>
      </c>
      <c r="J4" s="153">
        <f t="shared" si="0"/>
        <v>-2850</v>
      </c>
      <c r="K4" s="151">
        <f t="shared" si="1"/>
        <v>0</v>
      </c>
    </row>
    <row r="5" spans="1:11" x14ac:dyDescent="0.25">
      <c r="A5" s="149">
        <v>6142</v>
      </c>
      <c r="B5" s="150"/>
      <c r="C5" s="151" t="s">
        <v>2965</v>
      </c>
      <c r="D5" s="150" t="s">
        <v>2901</v>
      </c>
      <c r="E5" s="150" t="s">
        <v>2936</v>
      </c>
      <c r="F5" s="150">
        <v>2026</v>
      </c>
      <c r="G5" s="150" t="s">
        <v>2972</v>
      </c>
      <c r="H5" s="150">
        <v>9950</v>
      </c>
      <c r="I5" s="152">
        <v>15000</v>
      </c>
      <c r="J5" s="153">
        <f t="shared" si="0"/>
        <v>-5050</v>
      </c>
      <c r="K5" s="151">
        <f t="shared" si="1"/>
        <v>0</v>
      </c>
    </row>
    <row r="6" spans="1:11" x14ac:dyDescent="0.25">
      <c r="A6" s="149">
        <v>8803</v>
      </c>
      <c r="B6" s="150"/>
      <c r="C6" s="151" t="s">
        <v>2966</v>
      </c>
      <c r="D6" s="150" t="s">
        <v>2901</v>
      </c>
      <c r="E6" s="150" t="s">
        <v>2970</v>
      </c>
      <c r="F6" s="150">
        <v>2026</v>
      </c>
      <c r="G6" s="150" t="s">
        <v>2972</v>
      </c>
      <c r="H6" s="150">
        <v>12500</v>
      </c>
      <c r="I6" s="152">
        <v>15000</v>
      </c>
      <c r="J6" s="153">
        <f t="shared" si="0"/>
        <v>-2500</v>
      </c>
      <c r="K6" s="151">
        <f t="shared" si="1"/>
        <v>0</v>
      </c>
    </row>
    <row r="7" spans="1:11" x14ac:dyDescent="0.25">
      <c r="A7" s="149">
        <v>4371</v>
      </c>
      <c r="B7" s="150"/>
      <c r="C7" s="151" t="s">
        <v>2966</v>
      </c>
      <c r="D7" s="150" t="s">
        <v>2967</v>
      </c>
      <c r="E7" s="150" t="s">
        <v>2971</v>
      </c>
      <c r="F7" s="150">
        <v>2026</v>
      </c>
      <c r="G7" s="150" t="s">
        <v>2972</v>
      </c>
      <c r="H7" s="150">
        <v>6500</v>
      </c>
      <c r="I7" s="152">
        <v>15000</v>
      </c>
      <c r="J7" s="153">
        <f t="shared" si="0"/>
        <v>-8500</v>
      </c>
      <c r="K7" s="151">
        <f t="shared" si="1"/>
        <v>0</v>
      </c>
    </row>
    <row r="8" spans="1:11" x14ac:dyDescent="0.25">
      <c r="A8" s="149">
        <v>1695</v>
      </c>
      <c r="B8" s="150"/>
      <c r="C8" s="151" t="s">
        <v>2965</v>
      </c>
      <c r="D8" s="150" t="s">
        <v>2901</v>
      </c>
      <c r="E8" s="150" t="s">
        <v>2956</v>
      </c>
      <c r="F8" s="150">
        <v>2026</v>
      </c>
      <c r="G8" s="150" t="s">
        <v>2972</v>
      </c>
      <c r="H8" s="150"/>
      <c r="I8" s="152">
        <v>15000</v>
      </c>
      <c r="J8" s="153">
        <f t="shared" si="0"/>
        <v>-15000</v>
      </c>
      <c r="K8" s="151">
        <f t="shared" si="1"/>
        <v>0</v>
      </c>
    </row>
    <row r="9" spans="1:11" x14ac:dyDescent="0.25">
      <c r="A9" s="149">
        <v>7230</v>
      </c>
      <c r="B9" s="150"/>
      <c r="C9" s="151" t="s">
        <v>2965</v>
      </c>
      <c r="D9" s="150" t="s">
        <v>2901</v>
      </c>
      <c r="E9" s="150" t="s">
        <v>2958</v>
      </c>
      <c r="F9" s="150">
        <v>2026</v>
      </c>
      <c r="G9" s="150" t="s">
        <v>2972</v>
      </c>
      <c r="H9" s="150">
        <v>0</v>
      </c>
      <c r="I9" s="152">
        <v>15000</v>
      </c>
      <c r="J9" s="153">
        <f t="shared" si="0"/>
        <v>-15000</v>
      </c>
      <c r="K9" s="151">
        <f t="shared" si="1"/>
        <v>0</v>
      </c>
    </row>
    <row r="10" spans="1:11" x14ac:dyDescent="0.25">
      <c r="A10" s="149">
        <v>9064</v>
      </c>
      <c r="B10" s="150"/>
      <c r="C10" s="151" t="s">
        <v>2965</v>
      </c>
      <c r="D10" s="150" t="s">
        <v>2901</v>
      </c>
      <c r="E10" s="150" t="s">
        <v>2960</v>
      </c>
      <c r="F10" s="150">
        <v>2026</v>
      </c>
      <c r="G10" s="150" t="s">
        <v>2972</v>
      </c>
      <c r="H10" s="150">
        <v>0</v>
      </c>
      <c r="I10" s="152">
        <v>15000</v>
      </c>
      <c r="J10" s="153">
        <f t="shared" si="0"/>
        <v>-15000</v>
      </c>
      <c r="K10" s="151">
        <f t="shared" si="1"/>
        <v>0</v>
      </c>
    </row>
    <row r="11" spans="1:11" x14ac:dyDescent="0.25">
      <c r="A11" s="149">
        <v>5582</v>
      </c>
      <c r="B11" s="150"/>
      <c r="C11" s="151" t="s">
        <v>2965</v>
      </c>
      <c r="D11" s="150" t="s">
        <v>2901</v>
      </c>
      <c r="E11" s="150" t="s">
        <v>2961</v>
      </c>
      <c r="F11" s="150">
        <v>2026</v>
      </c>
      <c r="G11" s="150" t="s">
        <v>2972</v>
      </c>
      <c r="H11" s="150">
        <v>0</v>
      </c>
      <c r="I11" s="152">
        <v>15000</v>
      </c>
      <c r="J11" s="153">
        <f t="shared" si="0"/>
        <v>-15000</v>
      </c>
      <c r="K11" s="151">
        <f t="shared" si="1"/>
        <v>0</v>
      </c>
    </row>
    <row r="12" spans="1:11" x14ac:dyDescent="0.25">
      <c r="A12" s="79"/>
      <c r="B12" s="51"/>
      <c r="D12" s="51"/>
      <c r="E12" s="51"/>
      <c r="F12" s="51"/>
      <c r="G12" s="51"/>
      <c r="J12" s="5"/>
    </row>
    <row r="13" spans="1:11" s="108" customFormat="1" x14ac:dyDescent="0.25">
      <c r="A13" s="156" t="s">
        <v>2893</v>
      </c>
      <c r="B13" s="156" t="s">
        <v>2977</v>
      </c>
      <c r="C13" s="157" t="s">
        <v>2962</v>
      </c>
      <c r="D13" s="156" t="s">
        <v>2963</v>
      </c>
      <c r="E13" s="156" t="s">
        <v>2896</v>
      </c>
      <c r="F13" s="156" t="s">
        <v>2964</v>
      </c>
      <c r="G13" s="157" t="s">
        <v>48</v>
      </c>
      <c r="H13" s="156" t="s">
        <v>2973</v>
      </c>
      <c r="I13" s="158" t="s">
        <v>2974</v>
      </c>
      <c r="J13" s="157" t="s">
        <v>2975</v>
      </c>
      <c r="K13" s="157" t="s">
        <v>2976</v>
      </c>
    </row>
    <row r="14" spans="1:11" x14ac:dyDescent="0.25">
      <c r="A14" s="159">
        <v>2417</v>
      </c>
      <c r="B14" s="160"/>
      <c r="C14" s="161" t="s">
        <v>2965</v>
      </c>
      <c r="D14" s="162" t="s">
        <v>2901</v>
      </c>
      <c r="E14" s="162" t="s">
        <v>2902</v>
      </c>
      <c r="F14" s="162">
        <v>2026</v>
      </c>
      <c r="G14" s="162" t="s">
        <v>2978</v>
      </c>
      <c r="H14" s="162">
        <v>10600</v>
      </c>
      <c r="I14" s="163">
        <v>15000</v>
      </c>
      <c r="J14" s="161">
        <v>-4400</v>
      </c>
      <c r="K14" s="161">
        <v>0</v>
      </c>
    </row>
    <row r="15" spans="1:11" x14ac:dyDescent="0.25">
      <c r="A15" s="164" t="s">
        <v>2929</v>
      </c>
      <c r="B15" s="160"/>
      <c r="C15" s="161" t="s">
        <v>2965</v>
      </c>
      <c r="D15" s="162" t="s">
        <v>2901</v>
      </c>
      <c r="E15" s="162" t="s">
        <v>2968</v>
      </c>
      <c r="F15" s="162">
        <v>2026</v>
      </c>
      <c r="G15" s="162" t="s">
        <v>2978</v>
      </c>
      <c r="H15" s="162">
        <v>10880</v>
      </c>
      <c r="I15" s="163">
        <v>15000</v>
      </c>
      <c r="J15" s="161">
        <v>-4120</v>
      </c>
      <c r="K15" s="161">
        <v>0</v>
      </c>
    </row>
    <row r="16" spans="1:11" x14ac:dyDescent="0.25">
      <c r="A16" s="159">
        <v>3958</v>
      </c>
      <c r="B16" s="160"/>
      <c r="C16" s="161" t="s">
        <v>2965</v>
      </c>
      <c r="D16" s="162" t="s">
        <v>2901</v>
      </c>
      <c r="E16" s="162" t="s">
        <v>3120</v>
      </c>
      <c r="F16" s="162">
        <v>2026</v>
      </c>
      <c r="G16" s="162" t="s">
        <v>2978</v>
      </c>
      <c r="H16" s="162">
        <v>11250</v>
      </c>
      <c r="I16" s="163">
        <v>15000</v>
      </c>
      <c r="J16" s="161">
        <v>-3750</v>
      </c>
      <c r="K16" s="161">
        <v>0</v>
      </c>
    </row>
    <row r="17" spans="1:11" x14ac:dyDescent="0.25">
      <c r="A17" s="159">
        <v>6142</v>
      </c>
      <c r="B17" s="160"/>
      <c r="C17" s="161" t="s">
        <v>2965</v>
      </c>
      <c r="D17" s="162" t="s">
        <v>2901</v>
      </c>
      <c r="E17" s="162" t="s">
        <v>2936</v>
      </c>
      <c r="F17" s="162">
        <v>2026</v>
      </c>
      <c r="G17" s="162" t="s">
        <v>2978</v>
      </c>
      <c r="H17" s="162">
        <v>12970</v>
      </c>
      <c r="I17" s="163">
        <v>15000</v>
      </c>
      <c r="J17" s="161">
        <v>-2030</v>
      </c>
      <c r="K17" s="161">
        <v>0</v>
      </c>
    </row>
    <row r="18" spans="1:11" x14ac:dyDescent="0.25">
      <c r="A18" s="159">
        <v>8803</v>
      </c>
      <c r="B18" s="160"/>
      <c r="C18" s="161" t="s">
        <v>2966</v>
      </c>
      <c r="D18" s="162" t="s">
        <v>2901</v>
      </c>
      <c r="E18" s="162" t="s">
        <v>2970</v>
      </c>
      <c r="F18" s="162">
        <v>2026</v>
      </c>
      <c r="G18" s="162" t="s">
        <v>2978</v>
      </c>
      <c r="H18" s="162">
        <v>6500</v>
      </c>
      <c r="I18" s="163">
        <v>15000</v>
      </c>
      <c r="J18" s="161">
        <v>-8500</v>
      </c>
      <c r="K18" s="161">
        <v>0</v>
      </c>
    </row>
    <row r="19" spans="1:11" x14ac:dyDescent="0.25">
      <c r="A19" s="159">
        <v>4371</v>
      </c>
      <c r="B19" s="160"/>
      <c r="C19" s="161" t="s">
        <v>2966</v>
      </c>
      <c r="D19" s="162" t="s">
        <v>2967</v>
      </c>
      <c r="E19" s="162" t="s">
        <v>3202</v>
      </c>
      <c r="F19" s="162">
        <v>2026</v>
      </c>
      <c r="G19" s="162" t="s">
        <v>2978</v>
      </c>
      <c r="H19" s="162">
        <v>8250</v>
      </c>
      <c r="I19" s="163">
        <v>15000</v>
      </c>
      <c r="J19" s="161">
        <v>-6750</v>
      </c>
      <c r="K19" s="161">
        <v>0</v>
      </c>
    </row>
    <row r="20" spans="1:11" x14ac:dyDescent="0.25">
      <c r="A20" s="159">
        <v>1695</v>
      </c>
      <c r="B20" s="160"/>
      <c r="C20" s="161" t="s">
        <v>2965</v>
      </c>
      <c r="D20" s="162" t="s">
        <v>2901</v>
      </c>
      <c r="E20" s="162" t="s">
        <v>2956</v>
      </c>
      <c r="F20" s="162">
        <v>2026</v>
      </c>
      <c r="G20" s="162" t="s">
        <v>2978</v>
      </c>
      <c r="H20" s="162">
        <v>11550</v>
      </c>
      <c r="I20" s="163">
        <v>15000</v>
      </c>
      <c r="J20" s="161">
        <v>-3450</v>
      </c>
      <c r="K20" s="161">
        <v>0</v>
      </c>
    </row>
    <row r="21" spans="1:11" x14ac:dyDescent="0.25">
      <c r="A21" s="159">
        <v>7230</v>
      </c>
      <c r="B21" s="160"/>
      <c r="C21" s="161" t="s">
        <v>2965</v>
      </c>
      <c r="D21" s="162" t="s">
        <v>2901</v>
      </c>
      <c r="E21" s="162" t="s">
        <v>2958</v>
      </c>
      <c r="F21" s="162">
        <v>2026</v>
      </c>
      <c r="G21" s="162" t="s">
        <v>2978</v>
      </c>
      <c r="H21" s="162">
        <v>13020</v>
      </c>
      <c r="I21" s="163">
        <v>15000</v>
      </c>
      <c r="J21" s="161">
        <v>-1980</v>
      </c>
      <c r="K21" s="161">
        <v>0</v>
      </c>
    </row>
    <row r="22" spans="1:11" x14ac:dyDescent="0.25">
      <c r="A22" s="159">
        <v>9064</v>
      </c>
      <c r="B22" s="160"/>
      <c r="C22" s="161" t="s">
        <v>2965</v>
      </c>
      <c r="D22" s="162" t="s">
        <v>2901</v>
      </c>
      <c r="E22" s="162" t="s">
        <v>2960</v>
      </c>
      <c r="F22" s="162">
        <v>2026</v>
      </c>
      <c r="G22" s="162" t="s">
        <v>2978</v>
      </c>
      <c r="H22" s="162">
        <v>6350</v>
      </c>
      <c r="I22" s="163">
        <v>15000</v>
      </c>
      <c r="J22" s="161">
        <v>-8650</v>
      </c>
      <c r="K22" s="161">
        <v>0</v>
      </c>
    </row>
    <row r="23" spans="1:11" x14ac:dyDescent="0.25">
      <c r="A23" s="159">
        <v>5582</v>
      </c>
      <c r="B23" s="160"/>
      <c r="C23" s="161" t="s">
        <v>2965</v>
      </c>
      <c r="D23" s="162" t="s">
        <v>2901</v>
      </c>
      <c r="E23" s="162" t="s">
        <v>2961</v>
      </c>
      <c r="F23" s="162">
        <v>2026</v>
      </c>
      <c r="G23" s="162" t="s">
        <v>2978</v>
      </c>
      <c r="H23" s="162">
        <v>8100</v>
      </c>
      <c r="I23" s="163">
        <v>15000</v>
      </c>
      <c r="J23" s="161">
        <v>-6900</v>
      </c>
      <c r="K23" s="161">
        <v>0</v>
      </c>
    </row>
    <row r="24" spans="1:11" x14ac:dyDescent="0.25">
      <c r="A24" s="107"/>
      <c r="B24" s="107"/>
      <c r="D24" s="51"/>
      <c r="E24" s="51"/>
      <c r="F24" s="51"/>
    </row>
    <row r="25" spans="1:11" s="108" customFormat="1" x14ac:dyDescent="0.25">
      <c r="A25" s="156" t="s">
        <v>2893</v>
      </c>
      <c r="B25" s="156" t="s">
        <v>2977</v>
      </c>
      <c r="C25" s="157" t="s">
        <v>2962</v>
      </c>
      <c r="D25" s="156" t="s">
        <v>2963</v>
      </c>
      <c r="E25" s="156" t="s">
        <v>2896</v>
      </c>
      <c r="F25" s="156" t="s">
        <v>2964</v>
      </c>
      <c r="G25" s="157" t="s">
        <v>48</v>
      </c>
      <c r="H25" s="156" t="s">
        <v>2973</v>
      </c>
      <c r="I25" s="158" t="s">
        <v>2974</v>
      </c>
      <c r="J25" s="157" t="s">
        <v>2975</v>
      </c>
      <c r="K25" s="157" t="s">
        <v>2976</v>
      </c>
    </row>
    <row r="26" spans="1:11" x14ac:dyDescent="0.25">
      <c r="A26" s="196">
        <v>2417</v>
      </c>
      <c r="B26" s="197"/>
      <c r="C26" s="198" t="s">
        <v>2965</v>
      </c>
      <c r="D26" s="148" t="s">
        <v>2901</v>
      </c>
      <c r="E26" s="148" t="s">
        <v>2902</v>
      </c>
      <c r="F26" s="148">
        <v>2026</v>
      </c>
      <c r="G26" s="148" t="s">
        <v>49</v>
      </c>
      <c r="H26" s="148">
        <v>12550</v>
      </c>
      <c r="I26" s="199">
        <v>15000</v>
      </c>
      <c r="J26" s="198">
        <v>-2450</v>
      </c>
      <c r="K26" s="198">
        <v>0</v>
      </c>
    </row>
    <row r="27" spans="1:11" x14ac:dyDescent="0.25">
      <c r="A27" s="200" t="s">
        <v>2929</v>
      </c>
      <c r="B27" s="197"/>
      <c r="C27" s="198" t="s">
        <v>2965</v>
      </c>
      <c r="D27" s="148" t="s">
        <v>2901</v>
      </c>
      <c r="E27" s="148" t="s">
        <v>2968</v>
      </c>
      <c r="F27" s="148">
        <v>2026</v>
      </c>
      <c r="G27" s="148" t="s">
        <v>49</v>
      </c>
      <c r="H27" s="148">
        <v>9500</v>
      </c>
      <c r="I27" s="199">
        <v>15000</v>
      </c>
      <c r="J27" s="198">
        <v>-5500</v>
      </c>
      <c r="K27" s="198">
        <v>0</v>
      </c>
    </row>
    <row r="28" spans="1:11" x14ac:dyDescent="0.25">
      <c r="A28" s="196">
        <v>3958</v>
      </c>
      <c r="B28" s="197"/>
      <c r="C28" s="198" t="s">
        <v>2965</v>
      </c>
      <c r="D28" s="148" t="s">
        <v>2901</v>
      </c>
      <c r="E28" s="148" t="s">
        <v>3120</v>
      </c>
      <c r="F28" s="148">
        <v>2026</v>
      </c>
      <c r="G28" s="148" t="s">
        <v>49</v>
      </c>
      <c r="H28" s="148">
        <v>11550</v>
      </c>
      <c r="I28" s="199">
        <v>15000</v>
      </c>
      <c r="J28" s="198">
        <v>-3450</v>
      </c>
      <c r="K28" s="198">
        <v>0</v>
      </c>
    </row>
    <row r="29" spans="1:11" x14ac:dyDescent="0.25">
      <c r="A29" s="196">
        <v>6142</v>
      </c>
      <c r="B29" s="197"/>
      <c r="C29" s="198" t="s">
        <v>2965</v>
      </c>
      <c r="D29" s="148" t="s">
        <v>2901</v>
      </c>
      <c r="E29" s="148" t="s">
        <v>2936</v>
      </c>
      <c r="F29" s="148">
        <v>2026</v>
      </c>
      <c r="G29" s="148" t="s">
        <v>49</v>
      </c>
      <c r="H29" s="148">
        <v>14300</v>
      </c>
      <c r="I29" s="199">
        <v>15000</v>
      </c>
      <c r="J29" s="198">
        <v>-700</v>
      </c>
      <c r="K29" s="198">
        <v>0</v>
      </c>
    </row>
    <row r="30" spans="1:11" x14ac:dyDescent="0.25">
      <c r="A30" s="196">
        <v>8803</v>
      </c>
      <c r="B30" s="197"/>
      <c r="C30" s="198" t="s">
        <v>2966</v>
      </c>
      <c r="D30" s="148" t="s">
        <v>2901</v>
      </c>
      <c r="E30" s="148" t="s">
        <v>2970</v>
      </c>
      <c r="F30" s="148">
        <v>2026</v>
      </c>
      <c r="G30" s="148" t="s">
        <v>49</v>
      </c>
      <c r="H30" s="148">
        <v>11600</v>
      </c>
      <c r="I30" s="199">
        <v>15000</v>
      </c>
      <c r="J30" s="198">
        <v>-3400</v>
      </c>
      <c r="K30" s="198">
        <v>0</v>
      </c>
    </row>
    <row r="31" spans="1:11" x14ac:dyDescent="0.25">
      <c r="A31" s="196">
        <v>4371</v>
      </c>
      <c r="B31" s="197"/>
      <c r="C31" s="198" t="s">
        <v>2966</v>
      </c>
      <c r="D31" s="148" t="s">
        <v>2967</v>
      </c>
      <c r="E31" s="148" t="s">
        <v>3202</v>
      </c>
      <c r="F31" s="148">
        <v>2026</v>
      </c>
      <c r="G31" s="148" t="s">
        <v>49</v>
      </c>
      <c r="H31" s="148">
        <v>13000</v>
      </c>
      <c r="I31" s="199">
        <v>15000</v>
      </c>
      <c r="J31" s="198">
        <v>-2000</v>
      </c>
      <c r="K31" s="198">
        <v>0</v>
      </c>
    </row>
    <row r="32" spans="1:11" x14ac:dyDescent="0.25">
      <c r="A32" s="196">
        <v>1695</v>
      </c>
      <c r="B32" s="197"/>
      <c r="C32" s="198" t="s">
        <v>2965</v>
      </c>
      <c r="D32" s="148" t="s">
        <v>2901</v>
      </c>
      <c r="E32" s="148" t="s">
        <v>2956</v>
      </c>
      <c r="F32" s="148">
        <v>2026</v>
      </c>
      <c r="G32" s="148" t="s">
        <v>49</v>
      </c>
      <c r="H32" s="148">
        <v>10600</v>
      </c>
      <c r="I32" s="199">
        <v>15000</v>
      </c>
      <c r="J32" s="198">
        <v>-4400</v>
      </c>
      <c r="K32" s="198">
        <v>0</v>
      </c>
    </row>
    <row r="33" spans="1:11" x14ac:dyDescent="0.25">
      <c r="A33" s="196">
        <v>7230</v>
      </c>
      <c r="B33" s="197"/>
      <c r="C33" s="198" t="s">
        <v>2965</v>
      </c>
      <c r="D33" s="148" t="s">
        <v>2901</v>
      </c>
      <c r="E33" s="148" t="s">
        <v>2958</v>
      </c>
      <c r="F33" s="148">
        <v>2026</v>
      </c>
      <c r="G33" s="148" t="s">
        <v>49</v>
      </c>
      <c r="H33" s="148">
        <v>11000</v>
      </c>
      <c r="I33" s="199">
        <v>15000</v>
      </c>
      <c r="J33" s="198">
        <v>-4000</v>
      </c>
      <c r="K33" s="198">
        <v>0</v>
      </c>
    </row>
    <row r="34" spans="1:11" x14ac:dyDescent="0.25">
      <c r="A34" s="196">
        <v>9064</v>
      </c>
      <c r="B34" s="197"/>
      <c r="C34" s="198" t="s">
        <v>2965</v>
      </c>
      <c r="D34" s="148" t="s">
        <v>2901</v>
      </c>
      <c r="E34" s="148" t="s">
        <v>2960</v>
      </c>
      <c r="F34" s="148">
        <v>2026</v>
      </c>
      <c r="G34" s="148" t="s">
        <v>49</v>
      </c>
      <c r="H34" s="148">
        <v>10500</v>
      </c>
      <c r="I34" s="199">
        <v>15000</v>
      </c>
      <c r="J34" s="198">
        <v>-4500</v>
      </c>
      <c r="K34" s="198">
        <v>0</v>
      </c>
    </row>
    <row r="35" spans="1:11" x14ac:dyDescent="0.25">
      <c r="A35" s="196">
        <v>5582</v>
      </c>
      <c r="B35" s="197"/>
      <c r="C35" s="198" t="s">
        <v>2965</v>
      </c>
      <c r="D35" s="148" t="s">
        <v>2901</v>
      </c>
      <c r="E35" s="148" t="s">
        <v>2961</v>
      </c>
      <c r="F35" s="148">
        <v>2026</v>
      </c>
      <c r="G35" s="148" t="s">
        <v>49</v>
      </c>
      <c r="H35" s="148">
        <v>12000</v>
      </c>
      <c r="I35" s="199">
        <v>15000</v>
      </c>
      <c r="J35" s="198">
        <v>-3000</v>
      </c>
      <c r="K35" s="198">
        <v>0</v>
      </c>
    </row>
    <row r="36" spans="1:11" x14ac:dyDescent="0.25">
      <c r="A36" s="107"/>
      <c r="B36" s="107"/>
      <c r="D36" s="51"/>
      <c r="E36" s="51"/>
      <c r="F36" s="51"/>
      <c r="H36"/>
      <c r="I36"/>
    </row>
    <row r="37" spans="1:11" x14ac:dyDescent="0.25">
      <c r="A37" s="107"/>
      <c r="B37" s="107"/>
      <c r="D37" s="51"/>
      <c r="E37" s="51"/>
      <c r="F37" s="51"/>
    </row>
    <row r="38" spans="1:11" x14ac:dyDescent="0.25">
      <c r="A38" s="246" t="s">
        <v>2893</v>
      </c>
      <c r="B38" s="246" t="s">
        <v>2977</v>
      </c>
      <c r="C38" s="247" t="s">
        <v>2962</v>
      </c>
      <c r="D38" s="246" t="s">
        <v>2963</v>
      </c>
      <c r="E38" s="246" t="s">
        <v>2896</v>
      </c>
      <c r="F38" s="246" t="s">
        <v>2964</v>
      </c>
      <c r="G38" s="247" t="s">
        <v>48</v>
      </c>
      <c r="H38" s="246" t="s">
        <v>2973</v>
      </c>
      <c r="I38" s="248" t="s">
        <v>2974</v>
      </c>
      <c r="J38" s="247" t="s">
        <v>2975</v>
      </c>
      <c r="K38" s="247" t="s">
        <v>2976</v>
      </c>
    </row>
    <row r="39" spans="1:11" x14ac:dyDescent="0.25">
      <c r="A39" s="240">
        <v>2417</v>
      </c>
      <c r="B39" s="241"/>
      <c r="C39" s="242" t="s">
        <v>2965</v>
      </c>
      <c r="D39" s="243" t="s">
        <v>2901</v>
      </c>
      <c r="E39" s="243" t="s">
        <v>2902</v>
      </c>
      <c r="F39" s="243">
        <v>2026</v>
      </c>
      <c r="G39" s="243" t="s">
        <v>1899</v>
      </c>
      <c r="H39" s="243">
        <v>11300</v>
      </c>
      <c r="I39" s="244">
        <v>15000</v>
      </c>
      <c r="J39" s="242">
        <v>-3700</v>
      </c>
      <c r="K39" s="242">
        <v>0</v>
      </c>
    </row>
    <row r="40" spans="1:11" x14ac:dyDescent="0.25">
      <c r="A40" s="245" t="s">
        <v>2929</v>
      </c>
      <c r="B40" s="241"/>
      <c r="C40" s="242" t="s">
        <v>2965</v>
      </c>
      <c r="D40" s="243" t="s">
        <v>2901</v>
      </c>
      <c r="E40" s="243" t="s">
        <v>2968</v>
      </c>
      <c r="F40" s="243">
        <v>2026</v>
      </c>
      <c r="G40" s="243" t="s">
        <v>1899</v>
      </c>
      <c r="H40" s="243">
        <v>12300</v>
      </c>
      <c r="I40" s="244">
        <v>15000</v>
      </c>
      <c r="J40" s="242">
        <v>-2700</v>
      </c>
      <c r="K40" s="242">
        <v>0</v>
      </c>
    </row>
    <row r="41" spans="1:11" x14ac:dyDescent="0.25">
      <c r="A41" s="240">
        <v>3958</v>
      </c>
      <c r="B41" s="241"/>
      <c r="C41" s="242" t="s">
        <v>2965</v>
      </c>
      <c r="D41" s="243" t="s">
        <v>2901</v>
      </c>
      <c r="E41" s="243" t="s">
        <v>3120</v>
      </c>
      <c r="F41" s="243">
        <v>2026</v>
      </c>
      <c r="G41" s="243" t="s">
        <v>1899</v>
      </c>
      <c r="H41" s="243">
        <v>14300</v>
      </c>
      <c r="I41" s="244">
        <v>15000</v>
      </c>
      <c r="J41" s="242">
        <v>-700</v>
      </c>
      <c r="K41" s="242">
        <v>0</v>
      </c>
    </row>
    <row r="42" spans="1:11" x14ac:dyDescent="0.25">
      <c r="A42" s="240">
        <v>6142</v>
      </c>
      <c r="B42" s="241"/>
      <c r="C42" s="242" t="s">
        <v>2965</v>
      </c>
      <c r="D42" s="243" t="s">
        <v>2901</v>
      </c>
      <c r="E42" s="243" t="s">
        <v>2936</v>
      </c>
      <c r="F42" s="243">
        <v>2026</v>
      </c>
      <c r="G42" s="243" t="s">
        <v>1899</v>
      </c>
      <c r="H42" s="243">
        <v>14150</v>
      </c>
      <c r="I42" s="244">
        <v>15000</v>
      </c>
      <c r="J42" s="242">
        <v>-850</v>
      </c>
      <c r="K42" s="242">
        <v>0</v>
      </c>
    </row>
    <row r="43" spans="1:11" x14ac:dyDescent="0.25">
      <c r="A43" s="240">
        <v>8803</v>
      </c>
      <c r="B43" s="241"/>
      <c r="C43" s="242" t="s">
        <v>2966</v>
      </c>
      <c r="D43" s="243" t="s">
        <v>2901</v>
      </c>
      <c r="E43" s="243" t="s">
        <v>2970</v>
      </c>
      <c r="F43" s="243">
        <v>2026</v>
      </c>
      <c r="G43" s="243" t="s">
        <v>1899</v>
      </c>
      <c r="H43" s="243">
        <v>14500</v>
      </c>
      <c r="I43" s="244">
        <v>15000</v>
      </c>
      <c r="J43" s="242">
        <v>-500</v>
      </c>
      <c r="K43" s="242">
        <v>0</v>
      </c>
    </row>
    <row r="44" spans="1:11" x14ac:dyDescent="0.25">
      <c r="A44" s="240">
        <v>4371</v>
      </c>
      <c r="B44" s="241"/>
      <c r="C44" s="242" t="s">
        <v>2966</v>
      </c>
      <c r="D44" s="243" t="s">
        <v>2967</v>
      </c>
      <c r="E44" s="243" t="s">
        <v>3202</v>
      </c>
      <c r="F44" s="243">
        <v>2026</v>
      </c>
      <c r="G44" s="243" t="s">
        <v>1899</v>
      </c>
      <c r="H44" s="243">
        <v>12600</v>
      </c>
      <c r="I44" s="244">
        <v>15000</v>
      </c>
      <c r="J44" s="242">
        <v>-2400</v>
      </c>
      <c r="K44" s="242">
        <v>0</v>
      </c>
    </row>
    <row r="45" spans="1:11" x14ac:dyDescent="0.25">
      <c r="A45" s="240">
        <v>1695</v>
      </c>
      <c r="B45" s="241"/>
      <c r="C45" s="242" t="s">
        <v>2965</v>
      </c>
      <c r="D45" s="243" t="s">
        <v>2901</v>
      </c>
      <c r="E45" s="243" t="s">
        <v>2956</v>
      </c>
      <c r="F45" s="243">
        <v>2026</v>
      </c>
      <c r="G45" s="243" t="s">
        <v>1899</v>
      </c>
      <c r="H45" s="243">
        <v>14700</v>
      </c>
      <c r="I45" s="244">
        <v>15000</v>
      </c>
      <c r="J45" s="242">
        <v>-300</v>
      </c>
      <c r="K45" s="242">
        <v>0</v>
      </c>
    </row>
    <row r="46" spans="1:11" x14ac:dyDescent="0.25">
      <c r="A46" s="240">
        <v>7230</v>
      </c>
      <c r="B46" s="241"/>
      <c r="C46" s="242" t="s">
        <v>2965</v>
      </c>
      <c r="D46" s="243" t="s">
        <v>2901</v>
      </c>
      <c r="E46" s="243" t="s">
        <v>2958</v>
      </c>
      <c r="F46" s="243">
        <v>2026</v>
      </c>
      <c r="G46" s="243" t="s">
        <v>1899</v>
      </c>
      <c r="H46" s="243">
        <v>9300</v>
      </c>
      <c r="I46" s="244">
        <v>15000</v>
      </c>
      <c r="J46" s="242">
        <v>-5700</v>
      </c>
      <c r="K46" s="242">
        <v>0</v>
      </c>
    </row>
    <row r="47" spans="1:11" x14ac:dyDescent="0.25">
      <c r="A47" s="240">
        <v>9064</v>
      </c>
      <c r="B47" s="241"/>
      <c r="C47" s="242" t="s">
        <v>2965</v>
      </c>
      <c r="D47" s="243" t="s">
        <v>2901</v>
      </c>
      <c r="E47" s="243" t="s">
        <v>2960</v>
      </c>
      <c r="F47" s="243">
        <v>2026</v>
      </c>
      <c r="G47" s="243" t="s">
        <v>1899</v>
      </c>
      <c r="H47" s="243">
        <v>8350</v>
      </c>
      <c r="I47" s="244">
        <v>15000</v>
      </c>
      <c r="J47" s="242">
        <v>-6650</v>
      </c>
      <c r="K47" s="242">
        <v>0</v>
      </c>
    </row>
    <row r="48" spans="1:11" x14ac:dyDescent="0.25">
      <c r="A48" s="240">
        <v>5582</v>
      </c>
      <c r="B48" s="241"/>
      <c r="C48" s="242" t="s">
        <v>2965</v>
      </c>
      <c r="D48" s="243" t="s">
        <v>2901</v>
      </c>
      <c r="E48" s="243" t="s">
        <v>2961</v>
      </c>
      <c r="F48" s="243">
        <v>2026</v>
      </c>
      <c r="G48" s="243" t="s">
        <v>1899</v>
      </c>
      <c r="H48" s="243">
        <v>11500</v>
      </c>
      <c r="I48" s="244">
        <v>15000</v>
      </c>
      <c r="J48" s="242">
        <v>-3500</v>
      </c>
      <c r="K48" s="242">
        <v>0</v>
      </c>
    </row>
    <row r="49" spans="1:11" x14ac:dyDescent="0.25">
      <c r="A49" s="107"/>
      <c r="B49" s="107"/>
      <c r="D49" s="51"/>
      <c r="E49" s="51"/>
      <c r="F49" s="51"/>
    </row>
    <row r="50" spans="1:11" x14ac:dyDescent="0.25">
      <c r="A50" s="107"/>
      <c r="B50" s="107"/>
      <c r="D50" s="51"/>
      <c r="E50" s="51"/>
      <c r="F50" s="51"/>
      <c r="H50" s="249" t="s">
        <v>3442</v>
      </c>
      <c r="I50" s="249" t="s">
        <v>3440</v>
      </c>
      <c r="J50" s="249" t="s">
        <v>3441</v>
      </c>
    </row>
    <row r="51" spans="1:11" x14ac:dyDescent="0.25">
      <c r="A51" s="107"/>
      <c r="B51" s="107"/>
      <c r="D51" s="51"/>
      <c r="E51" s="51"/>
      <c r="F51" s="51"/>
      <c r="H51" s="165"/>
      <c r="I51" s="165"/>
      <c r="J51" s="165"/>
    </row>
    <row r="52" spans="1:11" x14ac:dyDescent="0.25">
      <c r="A52" s="246" t="s">
        <v>2893</v>
      </c>
      <c r="B52" s="246" t="s">
        <v>2977</v>
      </c>
      <c r="C52" s="247" t="s">
        <v>2962</v>
      </c>
      <c r="D52" s="246" t="s">
        <v>2963</v>
      </c>
      <c r="E52" s="246" t="s">
        <v>2896</v>
      </c>
      <c r="F52" s="246" t="s">
        <v>2964</v>
      </c>
      <c r="G52" s="247" t="s">
        <v>48</v>
      </c>
      <c r="H52" s="246" t="s">
        <v>2973</v>
      </c>
      <c r="I52" s="248" t="s">
        <v>2974</v>
      </c>
      <c r="J52" s="247" t="s">
        <v>2975</v>
      </c>
      <c r="K52" s="247" t="s">
        <v>2976</v>
      </c>
    </row>
    <row r="53" spans="1:11" x14ac:dyDescent="0.25">
      <c r="A53" s="281">
        <v>2417</v>
      </c>
      <c r="B53" s="282"/>
      <c r="C53" s="283" t="s">
        <v>2965</v>
      </c>
      <c r="D53" s="284" t="s">
        <v>2901</v>
      </c>
      <c r="E53" s="284" t="s">
        <v>2902</v>
      </c>
      <c r="F53" s="284">
        <v>2026</v>
      </c>
      <c r="G53" s="284" t="s">
        <v>237</v>
      </c>
      <c r="H53" s="284">
        <v>13050</v>
      </c>
      <c r="I53" s="285">
        <v>15000</v>
      </c>
      <c r="J53" s="283">
        <v>-1950</v>
      </c>
      <c r="K53" s="283">
        <v>0</v>
      </c>
    </row>
    <row r="54" spans="1:11" x14ac:dyDescent="0.25">
      <c r="A54" s="286" t="s">
        <v>2929</v>
      </c>
      <c r="B54" s="282"/>
      <c r="C54" s="283" t="s">
        <v>2965</v>
      </c>
      <c r="D54" s="284" t="s">
        <v>2901</v>
      </c>
      <c r="E54" s="284" t="s">
        <v>2968</v>
      </c>
      <c r="F54" s="284">
        <v>2026</v>
      </c>
      <c r="G54" s="284" t="s">
        <v>237</v>
      </c>
      <c r="H54" s="284">
        <v>15450</v>
      </c>
      <c r="I54" s="285">
        <v>15000</v>
      </c>
      <c r="J54" s="283" t="s">
        <v>1874</v>
      </c>
      <c r="K54" s="283">
        <v>450</v>
      </c>
    </row>
    <row r="55" spans="1:11" x14ac:dyDescent="0.25">
      <c r="A55" s="281">
        <v>3958</v>
      </c>
      <c r="B55" s="282"/>
      <c r="C55" s="283" t="s">
        <v>2965</v>
      </c>
      <c r="D55" s="284" t="s">
        <v>2901</v>
      </c>
      <c r="E55" s="284" t="s">
        <v>3120</v>
      </c>
      <c r="F55" s="284">
        <v>2026</v>
      </c>
      <c r="G55" s="284" t="s">
        <v>237</v>
      </c>
      <c r="H55" s="284">
        <v>12950</v>
      </c>
      <c r="I55" s="285">
        <v>15000</v>
      </c>
      <c r="J55" s="283">
        <v>-2050</v>
      </c>
      <c r="K55" s="283">
        <v>0</v>
      </c>
    </row>
    <row r="56" spans="1:11" x14ac:dyDescent="0.25">
      <c r="A56" s="281">
        <v>6142</v>
      </c>
      <c r="B56" s="282"/>
      <c r="C56" s="283" t="s">
        <v>2965</v>
      </c>
      <c r="D56" s="284" t="s">
        <v>2901</v>
      </c>
      <c r="E56" s="284" t="s">
        <v>2936</v>
      </c>
      <c r="F56" s="284">
        <v>2026</v>
      </c>
      <c r="G56" s="284" t="s">
        <v>237</v>
      </c>
      <c r="H56" s="284">
        <v>11950</v>
      </c>
      <c r="I56" s="285">
        <v>15000</v>
      </c>
      <c r="J56" s="283">
        <v>-3050</v>
      </c>
      <c r="K56" s="283">
        <v>0</v>
      </c>
    </row>
    <row r="57" spans="1:11" x14ac:dyDescent="0.25">
      <c r="A57" s="281">
        <v>8803</v>
      </c>
      <c r="B57" s="282"/>
      <c r="C57" s="283" t="s">
        <v>2966</v>
      </c>
      <c r="D57" s="284" t="s">
        <v>2901</v>
      </c>
      <c r="E57" s="284" t="s">
        <v>2970</v>
      </c>
      <c r="F57" s="284">
        <v>2026</v>
      </c>
      <c r="G57" s="284" t="s">
        <v>237</v>
      </c>
      <c r="H57" s="284">
        <v>12600</v>
      </c>
      <c r="I57" s="285">
        <v>15000</v>
      </c>
      <c r="J57" s="283">
        <v>-2400</v>
      </c>
      <c r="K57" s="283">
        <v>0</v>
      </c>
    </row>
    <row r="58" spans="1:11" x14ac:dyDescent="0.25">
      <c r="A58" s="281">
        <v>4371</v>
      </c>
      <c r="B58" s="282"/>
      <c r="C58" s="283" t="s">
        <v>2966</v>
      </c>
      <c r="D58" s="284" t="s">
        <v>2967</v>
      </c>
      <c r="E58" s="284" t="s">
        <v>3202</v>
      </c>
      <c r="F58" s="284">
        <v>2026</v>
      </c>
      <c r="G58" s="284" t="s">
        <v>237</v>
      </c>
      <c r="H58" s="284">
        <v>14500</v>
      </c>
      <c r="I58" s="285">
        <v>15000</v>
      </c>
      <c r="J58" s="283">
        <v>-500</v>
      </c>
      <c r="K58" s="283">
        <v>0</v>
      </c>
    </row>
    <row r="59" spans="1:11" x14ac:dyDescent="0.25">
      <c r="A59" s="281">
        <v>1695</v>
      </c>
      <c r="B59" s="282"/>
      <c r="C59" s="283" t="s">
        <v>2965</v>
      </c>
      <c r="D59" s="284" t="s">
        <v>2901</v>
      </c>
      <c r="E59" s="284" t="s">
        <v>2956</v>
      </c>
      <c r="F59" s="284">
        <v>2026</v>
      </c>
      <c r="G59" s="284" t="s">
        <v>237</v>
      </c>
      <c r="H59" s="284">
        <v>13850</v>
      </c>
      <c r="I59" s="285">
        <v>15000</v>
      </c>
      <c r="J59" s="283">
        <v>-1150</v>
      </c>
      <c r="K59" s="283">
        <v>0</v>
      </c>
    </row>
    <row r="60" spans="1:11" x14ac:dyDescent="0.25">
      <c r="A60" s="281">
        <v>7230</v>
      </c>
      <c r="B60" s="282"/>
      <c r="C60" s="283" t="s">
        <v>2965</v>
      </c>
      <c r="D60" s="284" t="s">
        <v>2901</v>
      </c>
      <c r="E60" s="284" t="s">
        <v>2958</v>
      </c>
      <c r="F60" s="284">
        <v>2026</v>
      </c>
      <c r="G60" s="284" t="s">
        <v>237</v>
      </c>
      <c r="H60" s="284">
        <v>13300</v>
      </c>
      <c r="I60" s="285">
        <v>15000</v>
      </c>
      <c r="J60" s="283">
        <v>-1700</v>
      </c>
      <c r="K60" s="283">
        <v>0</v>
      </c>
    </row>
    <row r="61" spans="1:11" x14ac:dyDescent="0.25">
      <c r="A61" s="281">
        <v>9064</v>
      </c>
      <c r="B61" s="282"/>
      <c r="C61" s="283" t="s">
        <v>2965</v>
      </c>
      <c r="D61" s="284" t="s">
        <v>2901</v>
      </c>
      <c r="E61" s="284" t="s">
        <v>2960</v>
      </c>
      <c r="F61" s="284">
        <v>2026</v>
      </c>
      <c r="G61" s="284" t="s">
        <v>237</v>
      </c>
      <c r="H61" s="284">
        <v>10200</v>
      </c>
      <c r="I61" s="285">
        <v>15000</v>
      </c>
      <c r="J61" s="283">
        <v>-4800</v>
      </c>
      <c r="K61" s="283">
        <v>0</v>
      </c>
    </row>
    <row r="62" spans="1:11" x14ac:dyDescent="0.25">
      <c r="A62" s="281">
        <v>5582</v>
      </c>
      <c r="B62" s="282"/>
      <c r="C62" s="283" t="s">
        <v>2965</v>
      </c>
      <c r="D62" s="284" t="s">
        <v>2901</v>
      </c>
      <c r="E62" s="284" t="s">
        <v>2961</v>
      </c>
      <c r="F62" s="284">
        <v>2026</v>
      </c>
      <c r="G62" s="284" t="s">
        <v>237</v>
      </c>
      <c r="H62" s="284">
        <v>6100</v>
      </c>
      <c r="I62" s="285">
        <v>15000</v>
      </c>
      <c r="J62" s="283">
        <v>-8900</v>
      </c>
      <c r="K62" s="283">
        <v>0</v>
      </c>
    </row>
    <row r="63" spans="1:11" x14ac:dyDescent="0.25">
      <c r="A63" s="107"/>
      <c r="B63" s="107"/>
      <c r="D63" s="51"/>
      <c r="E63" s="51"/>
      <c r="F63" s="51"/>
    </row>
    <row r="64" spans="1:11" x14ac:dyDescent="0.25">
      <c r="A64" s="107"/>
      <c r="B64" s="107"/>
      <c r="D64" s="51"/>
      <c r="E64" s="51"/>
      <c r="F64" s="51"/>
      <c r="H64" s="249" t="s">
        <v>3552</v>
      </c>
      <c r="I64" s="249" t="s">
        <v>3440</v>
      </c>
      <c r="J64" s="249" t="s">
        <v>3553</v>
      </c>
    </row>
    <row r="65" spans="1:11" x14ac:dyDescent="0.25">
      <c r="A65" s="107"/>
      <c r="B65" s="107"/>
      <c r="D65" s="51"/>
      <c r="E65" s="51"/>
      <c r="F65" s="51"/>
    </row>
    <row r="66" spans="1:11" x14ac:dyDescent="0.25">
      <c r="A66" s="287" t="s">
        <v>2893</v>
      </c>
      <c r="B66" s="287" t="s">
        <v>2977</v>
      </c>
      <c r="C66" s="288" t="s">
        <v>2962</v>
      </c>
      <c r="D66" s="287" t="s">
        <v>2963</v>
      </c>
      <c r="E66" s="287" t="s">
        <v>2896</v>
      </c>
      <c r="F66" s="287" t="s">
        <v>2964</v>
      </c>
      <c r="G66" s="288" t="s">
        <v>48</v>
      </c>
      <c r="H66" s="287" t="s">
        <v>2973</v>
      </c>
      <c r="I66" s="289" t="s">
        <v>2974</v>
      </c>
      <c r="J66" s="288" t="s">
        <v>2975</v>
      </c>
      <c r="K66" s="288" t="s">
        <v>2976</v>
      </c>
    </row>
    <row r="67" spans="1:11" x14ac:dyDescent="0.25">
      <c r="A67" s="196">
        <v>2417</v>
      </c>
      <c r="B67" s="197"/>
      <c r="C67" s="198" t="s">
        <v>2965</v>
      </c>
      <c r="D67" s="148" t="s">
        <v>2901</v>
      </c>
      <c r="E67" s="148" t="s">
        <v>2902</v>
      </c>
      <c r="F67" s="148">
        <v>2026</v>
      </c>
      <c r="G67" s="148" t="s">
        <v>3668</v>
      </c>
      <c r="H67" s="148">
        <v>9800</v>
      </c>
      <c r="I67" s="199">
        <v>15000</v>
      </c>
      <c r="J67" s="198">
        <v>5200</v>
      </c>
      <c r="K67" s="198">
        <v>0</v>
      </c>
    </row>
    <row r="68" spans="1:11" x14ac:dyDescent="0.25">
      <c r="A68" s="200" t="s">
        <v>2929</v>
      </c>
      <c r="B68" s="197"/>
      <c r="C68" s="198" t="s">
        <v>2965</v>
      </c>
      <c r="D68" s="148" t="s">
        <v>2901</v>
      </c>
      <c r="E68" s="148" t="s">
        <v>2968</v>
      </c>
      <c r="F68" s="148">
        <v>2026</v>
      </c>
      <c r="G68" s="148" t="s">
        <v>3668</v>
      </c>
      <c r="H68" s="148">
        <v>11700</v>
      </c>
      <c r="I68" s="199">
        <v>15000</v>
      </c>
      <c r="J68" s="198">
        <v>3300</v>
      </c>
      <c r="K68" s="198">
        <v>0</v>
      </c>
    </row>
    <row r="69" spans="1:11" x14ac:dyDescent="0.25">
      <c r="A69" s="196">
        <v>3958</v>
      </c>
      <c r="B69" s="197"/>
      <c r="C69" s="198" t="s">
        <v>2965</v>
      </c>
      <c r="D69" s="148" t="s">
        <v>2901</v>
      </c>
      <c r="E69" s="148" t="s">
        <v>3120</v>
      </c>
      <c r="F69" s="148">
        <v>2026</v>
      </c>
      <c r="G69" s="148" t="s">
        <v>3668</v>
      </c>
      <c r="H69" s="148">
        <v>11050</v>
      </c>
      <c r="I69" s="199">
        <v>15000</v>
      </c>
      <c r="J69" s="198">
        <v>3950</v>
      </c>
      <c r="K69" s="198">
        <v>0</v>
      </c>
    </row>
    <row r="70" spans="1:11" x14ac:dyDescent="0.25">
      <c r="A70" s="196">
        <v>6142</v>
      </c>
      <c r="B70" s="197"/>
      <c r="C70" s="198" t="s">
        <v>2965</v>
      </c>
      <c r="D70" s="148" t="s">
        <v>2901</v>
      </c>
      <c r="E70" s="148" t="s">
        <v>2936</v>
      </c>
      <c r="F70" s="148">
        <v>2026</v>
      </c>
      <c r="G70" s="148" t="s">
        <v>3668</v>
      </c>
      <c r="H70" s="148">
        <v>15000</v>
      </c>
      <c r="I70" s="199">
        <v>15000</v>
      </c>
      <c r="J70" s="198">
        <v>0</v>
      </c>
      <c r="K70" s="198">
        <v>0</v>
      </c>
    </row>
    <row r="71" spans="1:11" x14ac:dyDescent="0.25">
      <c r="A71" s="196">
        <v>8803</v>
      </c>
      <c r="B71" s="197"/>
      <c r="C71" s="198" t="s">
        <v>2966</v>
      </c>
      <c r="D71" s="148" t="s">
        <v>2901</v>
      </c>
      <c r="E71" s="148" t="s">
        <v>2970</v>
      </c>
      <c r="F71" s="148">
        <v>2026</v>
      </c>
      <c r="G71" s="148" t="s">
        <v>3668</v>
      </c>
      <c r="H71" s="148">
        <v>10300</v>
      </c>
      <c r="I71" s="199">
        <v>15000</v>
      </c>
      <c r="J71" s="198">
        <v>4700</v>
      </c>
      <c r="K71" s="198">
        <v>0</v>
      </c>
    </row>
    <row r="72" spans="1:11" x14ac:dyDescent="0.25">
      <c r="A72" s="196">
        <v>4371</v>
      </c>
      <c r="B72" s="197"/>
      <c r="C72" s="198" t="s">
        <v>2966</v>
      </c>
      <c r="D72" s="148" t="s">
        <v>2967</v>
      </c>
      <c r="E72" s="148" t="s">
        <v>3202</v>
      </c>
      <c r="F72" s="148">
        <v>2026</v>
      </c>
      <c r="G72" s="148" t="s">
        <v>3668</v>
      </c>
      <c r="H72" s="148">
        <v>2300</v>
      </c>
      <c r="I72" s="199">
        <v>15000</v>
      </c>
      <c r="J72" s="198">
        <v>12700</v>
      </c>
      <c r="K72" s="198">
        <v>0</v>
      </c>
    </row>
    <row r="73" spans="1:11" x14ac:dyDescent="0.25">
      <c r="A73" s="196">
        <v>1695</v>
      </c>
      <c r="B73" s="197"/>
      <c r="C73" s="198" t="s">
        <v>2965</v>
      </c>
      <c r="D73" s="148" t="s">
        <v>2901</v>
      </c>
      <c r="E73" s="148" t="s">
        <v>2956</v>
      </c>
      <c r="F73" s="148">
        <v>2026</v>
      </c>
      <c r="G73" s="148" t="s">
        <v>3668</v>
      </c>
      <c r="H73" s="148">
        <v>10400</v>
      </c>
      <c r="I73" s="199">
        <v>15000</v>
      </c>
      <c r="J73" s="198">
        <v>4600</v>
      </c>
      <c r="K73" s="198">
        <v>0</v>
      </c>
    </row>
    <row r="74" spans="1:11" x14ac:dyDescent="0.25">
      <c r="A74" s="196">
        <v>7230</v>
      </c>
      <c r="B74" s="197"/>
      <c r="C74" s="198" t="s">
        <v>2965</v>
      </c>
      <c r="D74" s="148" t="s">
        <v>2901</v>
      </c>
      <c r="E74" s="148" t="s">
        <v>2960</v>
      </c>
      <c r="F74" s="148">
        <v>2026</v>
      </c>
      <c r="G74" s="148" t="s">
        <v>3668</v>
      </c>
      <c r="H74" s="148">
        <v>11800</v>
      </c>
      <c r="I74" s="199">
        <v>15000</v>
      </c>
      <c r="J74" s="198">
        <v>3200</v>
      </c>
      <c r="K74" s="198">
        <v>0</v>
      </c>
    </row>
    <row r="75" spans="1:11" x14ac:dyDescent="0.25">
      <c r="A75" s="196">
        <v>9064</v>
      </c>
      <c r="B75" s="197"/>
      <c r="C75" s="198" t="s">
        <v>2965</v>
      </c>
      <c r="D75" s="148" t="s">
        <v>2901</v>
      </c>
      <c r="E75" s="148" t="s">
        <v>2958</v>
      </c>
      <c r="F75" s="148">
        <v>2026</v>
      </c>
      <c r="G75" s="148" t="s">
        <v>3668</v>
      </c>
      <c r="H75" s="148">
        <v>11900</v>
      </c>
      <c r="I75" s="199">
        <v>15000</v>
      </c>
      <c r="J75" s="198">
        <v>3100</v>
      </c>
      <c r="K75" s="198">
        <v>0</v>
      </c>
    </row>
    <row r="76" spans="1:11" x14ac:dyDescent="0.25">
      <c r="A76" s="196">
        <v>5582</v>
      </c>
      <c r="B76" s="197"/>
      <c r="C76" s="198" t="s">
        <v>2965</v>
      </c>
      <c r="D76" s="148" t="s">
        <v>2901</v>
      </c>
      <c r="E76" s="148" t="s">
        <v>2961</v>
      </c>
      <c r="F76" s="148">
        <v>2026</v>
      </c>
      <c r="G76" s="148" t="s">
        <v>3668</v>
      </c>
      <c r="H76" s="148">
        <v>5800</v>
      </c>
      <c r="I76" s="199">
        <v>15000</v>
      </c>
      <c r="J76" s="198">
        <v>9200</v>
      </c>
      <c r="K76" s="198">
        <v>0</v>
      </c>
    </row>
    <row r="77" spans="1:11" x14ac:dyDescent="0.25">
      <c r="A77" s="107"/>
      <c r="B77" s="107"/>
      <c r="D77" s="51"/>
      <c r="E77" s="51"/>
      <c r="F77" s="51"/>
    </row>
    <row r="78" spans="1:11" x14ac:dyDescent="0.25">
      <c r="A78" s="107"/>
      <c r="B78" s="107"/>
      <c r="D78" s="51"/>
      <c r="E78" s="51"/>
      <c r="F78" s="51"/>
      <c r="H78" s="249" t="s">
        <v>3670</v>
      </c>
      <c r="I78" s="249" t="s">
        <v>3440</v>
      </c>
      <c r="J78" s="249" t="s">
        <v>3669</v>
      </c>
    </row>
    <row r="79" spans="1:11" x14ac:dyDescent="0.25">
      <c r="A79" s="106"/>
      <c r="B79" s="106"/>
      <c r="D79" s="51"/>
      <c r="E79" s="51"/>
      <c r="F79" s="51"/>
    </row>
    <row r="80" spans="1:11" x14ac:dyDescent="0.25">
      <c r="A80" s="106"/>
      <c r="B80" s="106"/>
      <c r="D80" s="51"/>
      <c r="E80" s="51"/>
      <c r="F80" s="51"/>
    </row>
    <row r="81" spans="1:6" x14ac:dyDescent="0.25">
      <c r="A81" s="106"/>
      <c r="B81" s="106"/>
      <c r="D81" s="51"/>
      <c r="E81" s="51"/>
      <c r="F81" s="51"/>
    </row>
    <row r="82" spans="1:6" x14ac:dyDescent="0.25">
      <c r="A82" s="106"/>
      <c r="B82" s="106"/>
      <c r="D82" s="51"/>
      <c r="E82" s="51"/>
      <c r="F82" s="51"/>
    </row>
    <row r="83" spans="1:6" x14ac:dyDescent="0.25">
      <c r="A83" s="106"/>
      <c r="B83" s="106"/>
      <c r="D83" s="51"/>
      <c r="E83" s="51"/>
      <c r="F83" s="51"/>
    </row>
    <row r="84" spans="1:6" x14ac:dyDescent="0.25">
      <c r="A84" s="106"/>
      <c r="B84" s="106"/>
      <c r="D84" s="51"/>
      <c r="E84" s="51"/>
      <c r="F84" s="51"/>
    </row>
    <row r="85" spans="1:6" x14ac:dyDescent="0.25">
      <c r="A85" s="106"/>
      <c r="B85" s="106"/>
      <c r="D85" s="51"/>
      <c r="E85" s="51"/>
      <c r="F85" s="51"/>
    </row>
    <row r="86" spans="1:6" x14ac:dyDescent="0.25">
      <c r="A86" s="106"/>
      <c r="B86" s="106"/>
      <c r="D86" s="51"/>
      <c r="E86" s="51"/>
      <c r="F86" s="51"/>
    </row>
    <row r="87" spans="1:6" x14ac:dyDescent="0.25">
      <c r="A87" s="106"/>
      <c r="B87" s="106"/>
      <c r="D87" s="51"/>
      <c r="E87" s="51"/>
      <c r="F87" s="51"/>
    </row>
    <row r="88" spans="1:6" x14ac:dyDescent="0.25">
      <c r="A88" s="106"/>
      <c r="B88" s="106"/>
      <c r="D88" s="51"/>
      <c r="E88" s="51"/>
      <c r="F88" s="51"/>
    </row>
    <row r="89" spans="1:6" x14ac:dyDescent="0.25">
      <c r="A89" s="106"/>
      <c r="B89" s="106"/>
      <c r="D89" s="51"/>
      <c r="E89" s="51"/>
      <c r="F89" s="51"/>
    </row>
    <row r="90" spans="1:6" x14ac:dyDescent="0.25">
      <c r="A90" s="106"/>
      <c r="B90" s="106"/>
      <c r="D90" s="51"/>
      <c r="E90" s="51"/>
      <c r="F90" s="51"/>
    </row>
    <row r="91" spans="1:6" x14ac:dyDescent="0.25">
      <c r="A91" s="106"/>
      <c r="B91" s="106"/>
      <c r="D91" s="51"/>
      <c r="E91" s="51"/>
      <c r="F91" s="51"/>
    </row>
    <row r="92" spans="1:6" x14ac:dyDescent="0.25">
      <c r="A92" s="106"/>
      <c r="B92" s="106"/>
      <c r="D92" s="51"/>
      <c r="E92" s="51"/>
      <c r="F92" s="51"/>
    </row>
    <row r="93" spans="1:6" x14ac:dyDescent="0.25">
      <c r="A93" s="106"/>
      <c r="B93" s="106"/>
      <c r="D93" s="51"/>
      <c r="E93" s="51"/>
      <c r="F93" s="51"/>
    </row>
    <row r="94" spans="1:6" x14ac:dyDescent="0.25">
      <c r="A94" s="106"/>
      <c r="B94" s="106"/>
      <c r="D94" s="51"/>
      <c r="E94" s="51"/>
      <c r="F94" s="51"/>
    </row>
    <row r="95" spans="1:6" x14ac:dyDescent="0.25">
      <c r="A95" s="106"/>
      <c r="B95" s="106"/>
      <c r="D95" s="51"/>
      <c r="E95" s="51"/>
      <c r="F95" s="51"/>
    </row>
    <row r="96" spans="1:6" x14ac:dyDescent="0.25">
      <c r="A96" s="106"/>
      <c r="B96" s="106"/>
      <c r="D96" s="51"/>
      <c r="E96" s="51"/>
      <c r="F96" s="51"/>
    </row>
    <row r="97" spans="1:6" x14ac:dyDescent="0.25">
      <c r="A97" s="106"/>
      <c r="B97" s="106"/>
      <c r="D97" s="51"/>
      <c r="E97" s="51"/>
      <c r="F97" s="51"/>
    </row>
    <row r="98" spans="1:6" x14ac:dyDescent="0.25">
      <c r="A98" s="106"/>
      <c r="B98" s="106"/>
      <c r="D98" s="51"/>
      <c r="E98" s="51"/>
      <c r="F98" s="51"/>
    </row>
    <row r="99" spans="1:6" x14ac:dyDescent="0.25">
      <c r="A99" s="106"/>
      <c r="B99" s="106"/>
      <c r="D99" s="51"/>
      <c r="E99" s="51"/>
      <c r="F99" s="51"/>
    </row>
    <row r="100" spans="1:6" x14ac:dyDescent="0.25">
      <c r="A100" s="106"/>
      <c r="B100" s="106"/>
      <c r="D100" s="51"/>
      <c r="E100" s="51"/>
      <c r="F100" s="51"/>
    </row>
    <row r="101" spans="1:6" x14ac:dyDescent="0.25">
      <c r="A101" s="106"/>
      <c r="B101" s="106"/>
      <c r="D101" s="51"/>
      <c r="E101" s="51"/>
      <c r="F101" s="51"/>
    </row>
    <row r="102" spans="1:6" x14ac:dyDescent="0.25">
      <c r="A102" s="106"/>
      <c r="B102" s="106"/>
      <c r="D102" s="51"/>
      <c r="E102" s="51"/>
      <c r="F102" s="51"/>
    </row>
    <row r="103" spans="1:6" x14ac:dyDescent="0.25">
      <c r="A103" s="106"/>
      <c r="B103" s="106"/>
      <c r="D103" s="51"/>
      <c r="E103" s="51"/>
      <c r="F103" s="51"/>
    </row>
    <row r="104" spans="1:6" x14ac:dyDescent="0.25">
      <c r="A104" s="106"/>
      <c r="B104" s="106"/>
      <c r="D104" s="51"/>
      <c r="E104" s="51"/>
      <c r="F104" s="51"/>
    </row>
    <row r="105" spans="1:6" x14ac:dyDescent="0.25">
      <c r="A105" s="106"/>
      <c r="B105" s="106"/>
      <c r="D105" s="51"/>
      <c r="E105" s="51"/>
      <c r="F105" s="51"/>
    </row>
    <row r="106" spans="1:6" x14ac:dyDescent="0.25">
      <c r="A106" s="106"/>
      <c r="B106" s="106"/>
      <c r="D106" s="51"/>
      <c r="E106" s="51"/>
      <c r="F106" s="51"/>
    </row>
    <row r="107" spans="1:6" x14ac:dyDescent="0.25">
      <c r="A107" s="106"/>
      <c r="B107" s="106"/>
      <c r="D107" s="51"/>
      <c r="E107" s="51"/>
      <c r="F107" s="51"/>
    </row>
    <row r="108" spans="1:6" x14ac:dyDescent="0.25">
      <c r="A108" s="106"/>
      <c r="B108" s="106"/>
      <c r="D108" s="51"/>
      <c r="E108" s="51"/>
      <c r="F108" s="51"/>
    </row>
    <row r="109" spans="1:6" x14ac:dyDescent="0.25">
      <c r="A109" s="106"/>
      <c r="B109" s="106"/>
      <c r="D109" s="51"/>
      <c r="E109" s="51"/>
      <c r="F109" s="51"/>
    </row>
    <row r="110" spans="1:6" x14ac:dyDescent="0.25">
      <c r="A110" s="106"/>
      <c r="B110" s="106"/>
      <c r="D110" s="51"/>
      <c r="E110" s="51"/>
      <c r="F110" s="51"/>
    </row>
    <row r="111" spans="1:6" x14ac:dyDescent="0.25">
      <c r="A111" s="106"/>
      <c r="B111" s="106"/>
      <c r="D111" s="51"/>
      <c r="E111" s="51"/>
      <c r="F111" s="51"/>
    </row>
    <row r="112" spans="1:6" x14ac:dyDescent="0.25">
      <c r="A112" s="106"/>
      <c r="B112" s="106"/>
      <c r="D112" s="51"/>
      <c r="E112" s="51"/>
      <c r="F112" s="51"/>
    </row>
    <row r="113" spans="1:6" x14ac:dyDescent="0.25">
      <c r="A113" s="106"/>
      <c r="B113" s="106"/>
      <c r="D113" s="51"/>
      <c r="E113" s="51"/>
      <c r="F113" s="51"/>
    </row>
    <row r="114" spans="1:6" x14ac:dyDescent="0.25">
      <c r="A114" s="106"/>
      <c r="B114" s="106"/>
      <c r="D114" s="51"/>
      <c r="E114" s="51"/>
      <c r="F114" s="51"/>
    </row>
    <row r="115" spans="1:6" x14ac:dyDescent="0.25">
      <c r="A115" s="106"/>
      <c r="B115" s="106"/>
      <c r="D115" s="51"/>
      <c r="E115" s="51"/>
      <c r="F115" s="51"/>
    </row>
    <row r="116" spans="1:6" x14ac:dyDescent="0.25">
      <c r="A116" s="106"/>
      <c r="B116" s="106"/>
      <c r="D116" s="51"/>
      <c r="E116" s="51"/>
      <c r="F116" s="51"/>
    </row>
    <row r="117" spans="1:6" x14ac:dyDescent="0.25">
      <c r="A117" s="106"/>
      <c r="B117" s="106"/>
      <c r="D117" s="51"/>
      <c r="E117" s="51"/>
      <c r="F117" s="51"/>
    </row>
    <row r="118" spans="1:6" x14ac:dyDescent="0.25">
      <c r="A118" s="106"/>
      <c r="B118" s="106"/>
      <c r="D118" s="51"/>
      <c r="E118" s="51"/>
      <c r="F118" s="51"/>
    </row>
    <row r="119" spans="1:6" x14ac:dyDescent="0.25">
      <c r="A119" s="106"/>
      <c r="B119" s="106"/>
      <c r="D119" s="51"/>
      <c r="E119" s="51"/>
      <c r="F119" s="51"/>
    </row>
    <row r="120" spans="1:6" x14ac:dyDescent="0.25">
      <c r="A120" s="106"/>
      <c r="B120" s="106"/>
      <c r="D120" s="51"/>
      <c r="E120" s="51"/>
      <c r="F120" s="51"/>
    </row>
    <row r="121" spans="1:6" x14ac:dyDescent="0.25">
      <c r="A121" s="106"/>
      <c r="B121" s="106"/>
      <c r="D121" s="51"/>
      <c r="E121" s="51"/>
      <c r="F121" s="51"/>
    </row>
    <row r="122" spans="1:6" x14ac:dyDescent="0.25">
      <c r="A122" s="106"/>
      <c r="B122" s="106"/>
      <c r="D122" s="51"/>
      <c r="E122" s="51"/>
      <c r="F122" s="51"/>
    </row>
    <row r="123" spans="1:6" x14ac:dyDescent="0.25">
      <c r="A123" s="106"/>
      <c r="B123" s="106"/>
      <c r="D123" s="51"/>
      <c r="E123" s="51"/>
      <c r="F123" s="51"/>
    </row>
    <row r="124" spans="1:6" x14ac:dyDescent="0.25">
      <c r="A124" s="106"/>
      <c r="B124" s="106"/>
      <c r="D124" s="51"/>
      <c r="E124" s="51"/>
      <c r="F124" s="51"/>
    </row>
    <row r="125" spans="1:6" x14ac:dyDescent="0.25">
      <c r="A125" s="106"/>
      <c r="B125" s="106"/>
      <c r="D125" s="51"/>
      <c r="E125" s="51"/>
      <c r="F125" s="51"/>
    </row>
    <row r="126" spans="1:6" x14ac:dyDescent="0.25">
      <c r="A126" s="106"/>
      <c r="B126" s="106"/>
      <c r="D126" s="51"/>
      <c r="E126" s="51"/>
      <c r="F126" s="51"/>
    </row>
    <row r="127" spans="1:6" x14ac:dyDescent="0.25">
      <c r="A127" s="106"/>
      <c r="B127" s="106"/>
      <c r="D127" s="51"/>
      <c r="E127" s="51"/>
      <c r="F127" s="51"/>
    </row>
    <row r="128" spans="1:6" x14ac:dyDescent="0.25">
      <c r="A128" s="106"/>
      <c r="B128" s="106"/>
      <c r="D128" s="51"/>
      <c r="E128" s="51"/>
      <c r="F128" s="51"/>
    </row>
    <row r="129" spans="1:6" x14ac:dyDescent="0.25">
      <c r="A129" s="106"/>
      <c r="B129" s="106"/>
      <c r="D129" s="51"/>
      <c r="E129" s="51"/>
      <c r="F129" s="51"/>
    </row>
    <row r="130" spans="1:6" x14ac:dyDescent="0.25">
      <c r="A130" s="106"/>
      <c r="B130" s="106"/>
      <c r="D130" s="51"/>
      <c r="E130" s="51"/>
      <c r="F130" s="51"/>
    </row>
    <row r="131" spans="1:6" x14ac:dyDescent="0.25">
      <c r="A131" s="106"/>
      <c r="B131" s="106"/>
      <c r="D131" s="51"/>
      <c r="E131" s="51"/>
      <c r="F131" s="51"/>
    </row>
    <row r="132" spans="1:6" x14ac:dyDescent="0.25">
      <c r="A132" s="106"/>
      <c r="B132" s="106"/>
      <c r="D132" s="51"/>
      <c r="E132" s="51"/>
      <c r="F132" s="51"/>
    </row>
    <row r="133" spans="1:6" x14ac:dyDescent="0.25">
      <c r="A133" s="106"/>
      <c r="B133" s="106"/>
      <c r="D133" s="51"/>
      <c r="E133" s="51"/>
      <c r="F133" s="51"/>
    </row>
    <row r="134" spans="1:6" x14ac:dyDescent="0.25">
      <c r="A134" s="106"/>
      <c r="B134" s="106"/>
      <c r="D134" s="51"/>
      <c r="E134" s="51"/>
      <c r="F134" s="51"/>
    </row>
    <row r="135" spans="1:6" x14ac:dyDescent="0.25">
      <c r="A135" s="106"/>
      <c r="B135" s="106"/>
      <c r="D135" s="51"/>
      <c r="E135" s="51"/>
      <c r="F135" s="51"/>
    </row>
    <row r="136" spans="1:6" x14ac:dyDescent="0.25">
      <c r="A136" s="106"/>
      <c r="B136" s="106"/>
      <c r="D136" s="51"/>
      <c r="E136" s="51"/>
      <c r="F136" s="51"/>
    </row>
    <row r="137" spans="1:6" x14ac:dyDescent="0.25">
      <c r="A137" s="106"/>
      <c r="B137" s="106"/>
      <c r="D137" s="51"/>
      <c r="E137" s="51"/>
      <c r="F137" s="51"/>
    </row>
    <row r="138" spans="1:6" x14ac:dyDescent="0.25">
      <c r="A138" s="106"/>
      <c r="B138" s="106"/>
      <c r="D138" s="51"/>
      <c r="E138" s="51"/>
      <c r="F138" s="51"/>
    </row>
    <row r="139" spans="1:6" x14ac:dyDescent="0.25">
      <c r="A139" s="106"/>
      <c r="B139" s="106"/>
      <c r="D139" s="51"/>
      <c r="E139" s="51"/>
      <c r="F139" s="51"/>
    </row>
    <row r="140" spans="1:6" x14ac:dyDescent="0.25">
      <c r="A140" s="106"/>
      <c r="B140" s="106"/>
      <c r="D140" s="51"/>
      <c r="E140" s="51"/>
      <c r="F140" s="51"/>
    </row>
    <row r="141" spans="1:6" x14ac:dyDescent="0.25">
      <c r="A141" s="106"/>
      <c r="B141" s="106"/>
      <c r="D141" s="51"/>
      <c r="E141" s="51"/>
      <c r="F141" s="51"/>
    </row>
    <row r="142" spans="1:6" x14ac:dyDescent="0.25">
      <c r="A142" s="106"/>
      <c r="B142" s="106"/>
      <c r="D142" s="51"/>
      <c r="E142" s="51"/>
      <c r="F142" s="51"/>
    </row>
    <row r="143" spans="1:6" x14ac:dyDescent="0.25">
      <c r="A143" s="106"/>
      <c r="B143" s="106"/>
      <c r="D143" s="51"/>
      <c r="E143" s="51"/>
      <c r="F143" s="51"/>
    </row>
    <row r="144" spans="1:6" x14ac:dyDescent="0.25">
      <c r="A144" s="106"/>
      <c r="B144" s="106"/>
      <c r="D144" s="51"/>
      <c r="E144" s="51"/>
      <c r="F144" s="51"/>
    </row>
    <row r="145" spans="1:6" x14ac:dyDescent="0.25">
      <c r="A145" s="106"/>
      <c r="B145" s="106"/>
      <c r="D145" s="51"/>
      <c r="E145" s="51"/>
      <c r="F145" s="51"/>
    </row>
    <row r="146" spans="1:6" x14ac:dyDescent="0.25">
      <c r="A146" s="106"/>
      <c r="B146" s="106"/>
      <c r="D146" s="51"/>
      <c r="E146" s="51"/>
      <c r="F146" s="51"/>
    </row>
    <row r="147" spans="1:6" x14ac:dyDescent="0.25">
      <c r="A147" s="106"/>
      <c r="B147" s="106"/>
      <c r="D147" s="51"/>
      <c r="E147" s="51"/>
      <c r="F147" s="51"/>
    </row>
    <row r="148" spans="1:6" x14ac:dyDescent="0.25">
      <c r="A148" s="106"/>
      <c r="B148" s="106"/>
      <c r="D148" s="51"/>
      <c r="E148" s="51"/>
      <c r="F148" s="51"/>
    </row>
    <row r="149" spans="1:6" x14ac:dyDescent="0.25">
      <c r="A149" s="106"/>
      <c r="B149" s="106"/>
      <c r="D149" s="51"/>
      <c r="E149" s="51"/>
      <c r="F149" s="51"/>
    </row>
    <row r="150" spans="1:6" x14ac:dyDescent="0.25">
      <c r="A150" s="106"/>
      <c r="B150" s="106"/>
      <c r="D150" s="51"/>
      <c r="E150" s="51"/>
      <c r="F150" s="51"/>
    </row>
    <row r="151" spans="1:6" x14ac:dyDescent="0.25">
      <c r="A151" s="106"/>
      <c r="B151" s="106"/>
      <c r="D151" s="51"/>
      <c r="E151" s="51"/>
      <c r="F151" s="51"/>
    </row>
    <row r="152" spans="1:6" x14ac:dyDescent="0.25">
      <c r="A152" s="106"/>
      <c r="B152" s="106"/>
      <c r="D152" s="51"/>
      <c r="E152" s="51"/>
      <c r="F152" s="51"/>
    </row>
    <row r="153" spans="1:6" x14ac:dyDescent="0.25">
      <c r="A153" s="106"/>
      <c r="B153" s="106"/>
      <c r="D153" s="51"/>
      <c r="E153" s="51"/>
      <c r="F153" s="51"/>
    </row>
    <row r="154" spans="1:6" x14ac:dyDescent="0.25">
      <c r="A154" s="106"/>
      <c r="B154" s="106"/>
      <c r="D154" s="51"/>
      <c r="E154" s="51"/>
      <c r="F154" s="51"/>
    </row>
    <row r="155" spans="1:6" x14ac:dyDescent="0.25">
      <c r="A155" s="106"/>
      <c r="B155" s="106"/>
      <c r="D155" s="51"/>
      <c r="E155" s="51"/>
      <c r="F155" s="51"/>
    </row>
    <row r="156" spans="1:6" x14ac:dyDescent="0.25">
      <c r="A156" s="106"/>
      <c r="B156" s="106"/>
      <c r="D156" s="51"/>
      <c r="E156" s="51"/>
      <c r="F156" s="51"/>
    </row>
    <row r="157" spans="1:6" x14ac:dyDescent="0.25">
      <c r="A157" s="106"/>
      <c r="B157" s="106"/>
      <c r="D157" s="51"/>
      <c r="E157" s="51"/>
      <c r="F157" s="51"/>
    </row>
    <row r="158" spans="1:6" x14ac:dyDescent="0.25">
      <c r="A158" s="106"/>
      <c r="B158" s="106"/>
      <c r="D158" s="51"/>
      <c r="E158" s="51"/>
      <c r="F158" s="51"/>
    </row>
    <row r="159" spans="1:6" x14ac:dyDescent="0.25">
      <c r="A159" s="106"/>
      <c r="B159" s="106"/>
      <c r="D159" s="51"/>
      <c r="E159" s="51"/>
      <c r="F159" s="51"/>
    </row>
    <row r="160" spans="1:6" x14ac:dyDescent="0.25">
      <c r="A160" s="106"/>
      <c r="B160" s="106"/>
      <c r="D160" s="51"/>
      <c r="E160" s="51"/>
      <c r="F160" s="51"/>
    </row>
    <row r="161" spans="1:6" x14ac:dyDescent="0.25">
      <c r="A161" s="106"/>
      <c r="B161" s="106"/>
      <c r="D161" s="51"/>
      <c r="E161" s="51"/>
      <c r="F161" s="51"/>
    </row>
    <row r="162" spans="1:6" x14ac:dyDescent="0.25">
      <c r="A162" s="106"/>
      <c r="B162" s="106"/>
      <c r="D162" s="51"/>
      <c r="E162" s="51"/>
      <c r="F162" s="51"/>
    </row>
    <row r="163" spans="1:6" x14ac:dyDescent="0.25">
      <c r="A163" s="106"/>
      <c r="B163" s="106"/>
      <c r="D163" s="51"/>
      <c r="E163" s="51"/>
      <c r="F163" s="51"/>
    </row>
    <row r="164" spans="1:6" x14ac:dyDescent="0.25">
      <c r="A164" s="106"/>
      <c r="B164" s="106"/>
      <c r="D164" s="51"/>
      <c r="E164" s="51"/>
      <c r="F164" s="51"/>
    </row>
    <row r="165" spans="1:6" x14ac:dyDescent="0.25">
      <c r="A165" s="106"/>
      <c r="B165" s="106"/>
      <c r="D165" s="51"/>
      <c r="E165" s="51"/>
      <c r="F165" s="51"/>
    </row>
    <row r="166" spans="1:6" x14ac:dyDescent="0.25">
      <c r="A166" s="106"/>
      <c r="B166" s="106"/>
      <c r="D166" s="51"/>
      <c r="E166" s="51"/>
      <c r="F166" s="51"/>
    </row>
    <row r="167" spans="1:6" x14ac:dyDescent="0.25">
      <c r="A167" s="106"/>
      <c r="B167" s="106"/>
      <c r="D167" s="51"/>
      <c r="E167" s="51"/>
      <c r="F167" s="51"/>
    </row>
    <row r="168" spans="1:6" x14ac:dyDescent="0.25">
      <c r="A168" s="106"/>
      <c r="B168" s="106"/>
      <c r="D168" s="51"/>
      <c r="E168" s="51"/>
      <c r="F168" s="51"/>
    </row>
    <row r="169" spans="1:6" x14ac:dyDescent="0.25">
      <c r="A169" s="106"/>
      <c r="B169" s="106"/>
      <c r="D169" s="51"/>
      <c r="E169" s="51"/>
      <c r="F169" s="51"/>
    </row>
    <row r="170" spans="1:6" x14ac:dyDescent="0.25">
      <c r="A170" s="106"/>
      <c r="B170" s="106"/>
      <c r="D170" s="51"/>
      <c r="E170" s="51"/>
      <c r="F170" s="51"/>
    </row>
    <row r="171" spans="1:6" x14ac:dyDescent="0.25">
      <c r="A171" s="106"/>
      <c r="B171" s="106"/>
      <c r="D171" s="51"/>
      <c r="E171" s="51"/>
      <c r="F171" s="51"/>
    </row>
    <row r="172" spans="1:6" x14ac:dyDescent="0.25">
      <c r="A172" s="106"/>
      <c r="B172" s="106"/>
      <c r="D172" s="51"/>
      <c r="E172" s="51"/>
      <c r="F172" s="51"/>
    </row>
    <row r="173" spans="1:6" x14ac:dyDescent="0.25">
      <c r="A173" s="106"/>
      <c r="B173" s="106"/>
      <c r="D173" s="51"/>
      <c r="E173" s="51"/>
      <c r="F173" s="51"/>
    </row>
    <row r="174" spans="1:6" x14ac:dyDescent="0.25">
      <c r="A174" s="106"/>
      <c r="B174" s="106"/>
      <c r="D174" s="51"/>
      <c r="E174" s="51"/>
      <c r="F174" s="51"/>
    </row>
    <row r="175" spans="1:6" x14ac:dyDescent="0.25">
      <c r="A175" s="106"/>
      <c r="B175" s="106"/>
      <c r="D175" s="51"/>
      <c r="E175" s="51"/>
      <c r="F175" s="51"/>
    </row>
    <row r="176" spans="1:6" x14ac:dyDescent="0.25">
      <c r="A176" s="106"/>
      <c r="B176" s="106"/>
      <c r="D176" s="51"/>
      <c r="E176" s="51"/>
      <c r="F176" s="51"/>
    </row>
    <row r="177" spans="1:6" x14ac:dyDescent="0.25">
      <c r="A177" s="106"/>
      <c r="B177" s="106"/>
      <c r="D177" s="51"/>
      <c r="E177" s="51"/>
      <c r="F177" s="51"/>
    </row>
    <row r="178" spans="1:6" x14ac:dyDescent="0.25">
      <c r="A178" s="106"/>
      <c r="B178" s="106"/>
      <c r="D178" s="51"/>
      <c r="E178" s="51"/>
      <c r="F178" s="51"/>
    </row>
    <row r="179" spans="1:6" x14ac:dyDescent="0.25">
      <c r="A179" s="106"/>
      <c r="B179" s="106"/>
      <c r="D179" s="51"/>
      <c r="E179" s="51"/>
      <c r="F179" s="51"/>
    </row>
    <row r="180" spans="1:6" x14ac:dyDescent="0.25">
      <c r="A180" s="106"/>
      <c r="B180" s="106"/>
      <c r="D180" s="51"/>
      <c r="E180" s="51"/>
      <c r="F180" s="51"/>
    </row>
    <row r="181" spans="1:6" x14ac:dyDescent="0.25">
      <c r="A181" s="106"/>
      <c r="B181" s="106"/>
      <c r="D181" s="51"/>
      <c r="E181" s="51"/>
      <c r="F181" s="51"/>
    </row>
    <row r="182" spans="1:6" x14ac:dyDescent="0.25">
      <c r="A182" s="106"/>
      <c r="B182" s="106"/>
      <c r="D182" s="51"/>
      <c r="E182" s="51"/>
      <c r="F182" s="51"/>
    </row>
    <row r="183" spans="1:6" x14ac:dyDescent="0.25">
      <c r="A183" s="106"/>
      <c r="B183" s="106"/>
      <c r="D183" s="51"/>
      <c r="E183" s="51"/>
      <c r="F183" s="51"/>
    </row>
    <row r="184" spans="1:6" x14ac:dyDescent="0.25">
      <c r="A184" s="106"/>
      <c r="B184" s="106"/>
      <c r="D184" s="51"/>
      <c r="E184" s="51"/>
      <c r="F184" s="51"/>
    </row>
    <row r="185" spans="1:6" x14ac:dyDescent="0.25">
      <c r="A185" s="106"/>
      <c r="B185" s="106"/>
      <c r="D185" s="51"/>
      <c r="E185" s="51"/>
      <c r="F185" s="51"/>
    </row>
    <row r="186" spans="1:6" x14ac:dyDescent="0.25">
      <c r="A186" s="106"/>
      <c r="B186" s="106"/>
      <c r="D186" s="51"/>
      <c r="E186" s="51"/>
      <c r="F186" s="51"/>
    </row>
    <row r="187" spans="1:6" x14ac:dyDescent="0.25">
      <c r="A187" s="106"/>
      <c r="B187" s="106"/>
      <c r="D187" s="51"/>
      <c r="E187" s="51"/>
      <c r="F187" s="51"/>
    </row>
    <row r="188" spans="1:6" x14ac:dyDescent="0.25">
      <c r="A188" s="106"/>
      <c r="B188" s="106"/>
      <c r="D188" s="51"/>
      <c r="E188" s="51"/>
      <c r="F188" s="51"/>
    </row>
    <row r="189" spans="1:6" x14ac:dyDescent="0.25">
      <c r="A189" s="106"/>
      <c r="B189" s="106"/>
      <c r="D189" s="51"/>
      <c r="E189" s="51"/>
      <c r="F189" s="51"/>
    </row>
    <row r="190" spans="1:6" x14ac:dyDescent="0.25">
      <c r="A190" s="106"/>
      <c r="B190" s="106"/>
      <c r="D190" s="51"/>
      <c r="E190" s="51"/>
      <c r="F190" s="51"/>
    </row>
    <row r="191" spans="1:6" x14ac:dyDescent="0.25">
      <c r="A191" s="106"/>
      <c r="B191" s="106"/>
      <c r="D191" s="51"/>
      <c r="E191" s="51"/>
      <c r="F191" s="51"/>
    </row>
    <row r="192" spans="1:6" x14ac:dyDescent="0.25">
      <c r="A192" s="106"/>
      <c r="B192" s="106"/>
      <c r="D192" s="51"/>
      <c r="E192" s="51"/>
      <c r="F192" s="51"/>
    </row>
    <row r="193" spans="1:6" x14ac:dyDescent="0.25">
      <c r="A193" s="106"/>
      <c r="B193" s="106"/>
      <c r="D193" s="51"/>
      <c r="E193" s="51"/>
      <c r="F193" s="51"/>
    </row>
    <row r="194" spans="1:6" x14ac:dyDescent="0.25">
      <c r="A194" s="106"/>
      <c r="B194" s="106"/>
      <c r="D194" s="51"/>
      <c r="E194" s="51"/>
      <c r="F194" s="51"/>
    </row>
    <row r="195" spans="1:6" x14ac:dyDescent="0.25">
      <c r="A195" s="106"/>
      <c r="B195" s="106"/>
      <c r="D195" s="51"/>
      <c r="E195" s="51"/>
      <c r="F195" s="51"/>
    </row>
    <row r="196" spans="1:6" x14ac:dyDescent="0.25">
      <c r="A196" s="106"/>
      <c r="B196" s="106"/>
      <c r="D196" s="51"/>
      <c r="E196" s="51"/>
      <c r="F196" s="51"/>
    </row>
    <row r="197" spans="1:6" x14ac:dyDescent="0.25">
      <c r="A197" s="106"/>
      <c r="B197" s="106"/>
      <c r="D197" s="51"/>
      <c r="E197" s="51"/>
      <c r="F197" s="51"/>
    </row>
    <row r="198" spans="1:6" x14ac:dyDescent="0.25">
      <c r="A198" s="106"/>
      <c r="B198" s="106"/>
      <c r="D198" s="51"/>
      <c r="E198" s="51"/>
      <c r="F198" s="51"/>
    </row>
    <row r="199" spans="1:6" x14ac:dyDescent="0.25">
      <c r="A199" s="106"/>
      <c r="B199" s="106"/>
      <c r="D199" s="51"/>
      <c r="E199" s="51"/>
      <c r="F199" s="51"/>
    </row>
    <row r="200" spans="1:6" x14ac:dyDescent="0.25">
      <c r="A200" s="106"/>
      <c r="B200" s="106"/>
      <c r="D200" s="51"/>
      <c r="E200" s="51"/>
      <c r="F200" s="51"/>
    </row>
    <row r="201" spans="1:6" x14ac:dyDescent="0.25">
      <c r="A201" s="106"/>
      <c r="B201" s="106"/>
      <c r="D201" s="51"/>
      <c r="E201" s="51"/>
      <c r="F201" s="51"/>
    </row>
    <row r="202" spans="1:6" x14ac:dyDescent="0.25">
      <c r="A202" s="106"/>
      <c r="B202" s="106"/>
      <c r="D202" s="51"/>
      <c r="E202" s="51"/>
      <c r="F202" s="51"/>
    </row>
    <row r="203" spans="1:6" x14ac:dyDescent="0.25">
      <c r="A203" s="106"/>
      <c r="B203" s="106"/>
      <c r="D203" s="51"/>
      <c r="E203" s="51"/>
      <c r="F203" s="51"/>
    </row>
    <row r="204" spans="1:6" x14ac:dyDescent="0.25">
      <c r="A204" s="106"/>
      <c r="B204" s="106"/>
      <c r="D204" s="51"/>
      <c r="E204" s="51"/>
      <c r="F204" s="51"/>
    </row>
    <row r="205" spans="1:6" x14ac:dyDescent="0.25">
      <c r="A205" s="106"/>
      <c r="B205" s="106"/>
      <c r="D205" s="51"/>
      <c r="E205" s="51"/>
      <c r="F205" s="51"/>
    </row>
    <row r="206" spans="1:6" x14ac:dyDescent="0.25">
      <c r="A206" s="106"/>
      <c r="B206" s="106"/>
      <c r="D206" s="51"/>
      <c r="E206" s="51"/>
      <c r="F206" s="51"/>
    </row>
    <row r="207" spans="1:6" x14ac:dyDescent="0.25">
      <c r="A207" s="106"/>
      <c r="B207" s="106"/>
      <c r="D207" s="51"/>
      <c r="E207" s="51"/>
      <c r="F207" s="51"/>
    </row>
    <row r="208" spans="1:6" x14ac:dyDescent="0.25">
      <c r="A208" s="106"/>
      <c r="B208" s="106"/>
      <c r="D208" s="51"/>
      <c r="E208" s="51"/>
      <c r="F208" s="51"/>
    </row>
    <row r="209" spans="1:6" x14ac:dyDescent="0.25">
      <c r="A209" s="106"/>
      <c r="B209" s="106"/>
      <c r="D209" s="51"/>
      <c r="E209" s="51"/>
      <c r="F209" s="51"/>
    </row>
    <row r="210" spans="1:6" x14ac:dyDescent="0.25">
      <c r="A210" s="106"/>
      <c r="B210" s="106"/>
      <c r="D210" s="51"/>
      <c r="E210" s="51"/>
      <c r="F210" s="51"/>
    </row>
    <row r="211" spans="1:6" x14ac:dyDescent="0.25">
      <c r="A211" s="106"/>
      <c r="B211" s="106"/>
      <c r="D211" s="51"/>
      <c r="E211" s="51"/>
      <c r="F211" s="51"/>
    </row>
    <row r="212" spans="1:6" x14ac:dyDescent="0.25">
      <c r="A212" s="106"/>
      <c r="B212" s="106"/>
      <c r="D212" s="51"/>
      <c r="E212" s="51"/>
      <c r="F212" s="51"/>
    </row>
    <row r="213" spans="1:6" x14ac:dyDescent="0.25">
      <c r="A213" s="106"/>
      <c r="B213" s="106"/>
      <c r="D213" s="51"/>
      <c r="E213" s="51"/>
      <c r="F213" s="51"/>
    </row>
    <row r="214" spans="1:6" x14ac:dyDescent="0.25">
      <c r="A214" s="106"/>
      <c r="B214" s="106"/>
      <c r="D214" s="51"/>
      <c r="E214" s="51"/>
      <c r="F214" s="51"/>
    </row>
    <row r="215" spans="1:6" x14ac:dyDescent="0.25">
      <c r="A215" s="106"/>
      <c r="B215" s="106"/>
      <c r="D215" s="51"/>
      <c r="E215" s="51"/>
      <c r="F215" s="51"/>
    </row>
    <row r="216" spans="1:6" x14ac:dyDescent="0.25">
      <c r="A216" s="106"/>
      <c r="B216" s="106"/>
      <c r="D216" s="51"/>
      <c r="E216" s="51"/>
      <c r="F216" s="51"/>
    </row>
    <row r="217" spans="1:6" x14ac:dyDescent="0.25">
      <c r="A217" s="106"/>
      <c r="B217" s="106"/>
      <c r="D217" s="51"/>
      <c r="E217" s="51"/>
      <c r="F217" s="51"/>
    </row>
    <row r="218" spans="1:6" x14ac:dyDescent="0.25">
      <c r="A218" s="106"/>
      <c r="B218" s="106"/>
      <c r="D218" s="51"/>
      <c r="E218" s="51"/>
      <c r="F218" s="51"/>
    </row>
    <row r="219" spans="1:6" x14ac:dyDescent="0.25">
      <c r="A219" s="106"/>
      <c r="B219" s="106"/>
      <c r="D219" s="51"/>
      <c r="E219" s="51"/>
      <c r="F219" s="51"/>
    </row>
    <row r="220" spans="1:6" x14ac:dyDescent="0.25">
      <c r="A220" s="106"/>
      <c r="B220" s="106"/>
      <c r="D220" s="51"/>
      <c r="E220" s="51"/>
      <c r="F220" s="51"/>
    </row>
    <row r="221" spans="1:6" x14ac:dyDescent="0.25">
      <c r="A221" s="106"/>
      <c r="B221" s="106"/>
      <c r="D221" s="51"/>
      <c r="E221" s="51"/>
      <c r="F221" s="51"/>
    </row>
    <row r="222" spans="1:6" x14ac:dyDescent="0.25">
      <c r="A222" s="106"/>
      <c r="B222" s="106"/>
      <c r="D222" s="51"/>
      <c r="E222" s="51"/>
      <c r="F222" s="51"/>
    </row>
    <row r="223" spans="1:6" x14ac:dyDescent="0.25">
      <c r="A223" s="106"/>
      <c r="B223" s="106"/>
      <c r="D223" s="51"/>
      <c r="E223" s="51"/>
      <c r="F223" s="51"/>
    </row>
    <row r="224" spans="1:6" x14ac:dyDescent="0.25">
      <c r="A224" s="106"/>
      <c r="B224" s="106"/>
      <c r="D224" s="51"/>
      <c r="E224" s="51"/>
      <c r="F224" s="51"/>
    </row>
    <row r="225" spans="1:6" x14ac:dyDescent="0.25">
      <c r="A225" s="106"/>
      <c r="B225" s="106"/>
      <c r="D225" s="51"/>
      <c r="E225" s="51"/>
      <c r="F225" s="51"/>
    </row>
    <row r="226" spans="1:6" x14ac:dyDescent="0.25">
      <c r="A226" s="106"/>
      <c r="B226" s="106"/>
      <c r="D226" s="51"/>
      <c r="E226" s="51"/>
      <c r="F226" s="51"/>
    </row>
    <row r="227" spans="1:6" x14ac:dyDescent="0.25">
      <c r="A227" s="106"/>
      <c r="B227" s="106"/>
      <c r="D227" s="51"/>
      <c r="E227" s="51"/>
      <c r="F227" s="51"/>
    </row>
    <row r="228" spans="1:6" x14ac:dyDescent="0.25">
      <c r="A228" s="106"/>
      <c r="B228" s="106"/>
      <c r="D228" s="51"/>
      <c r="E228" s="51"/>
      <c r="F228" s="51"/>
    </row>
    <row r="229" spans="1:6" x14ac:dyDescent="0.25">
      <c r="A229" s="106"/>
      <c r="B229" s="106"/>
      <c r="D229" s="51"/>
      <c r="E229" s="51"/>
      <c r="F229" s="51"/>
    </row>
    <row r="230" spans="1:6" x14ac:dyDescent="0.25">
      <c r="A230" s="106"/>
      <c r="B230" s="106"/>
      <c r="D230" s="51"/>
      <c r="E230" s="51"/>
      <c r="F230" s="51"/>
    </row>
    <row r="231" spans="1:6" x14ac:dyDescent="0.25">
      <c r="A231" s="106"/>
      <c r="B231" s="106"/>
      <c r="D231" s="51"/>
      <c r="E231" s="51"/>
      <c r="F231" s="51"/>
    </row>
    <row r="232" spans="1:6" x14ac:dyDescent="0.25">
      <c r="A232" s="106"/>
      <c r="B232" s="106"/>
      <c r="D232" s="51"/>
      <c r="E232" s="51"/>
      <c r="F232" s="51"/>
    </row>
    <row r="233" spans="1:6" x14ac:dyDescent="0.25">
      <c r="A233" s="106"/>
      <c r="B233" s="106"/>
      <c r="D233" s="51"/>
      <c r="E233" s="51"/>
      <c r="F233" s="51"/>
    </row>
    <row r="234" spans="1:6" x14ac:dyDescent="0.25">
      <c r="A234" s="106"/>
      <c r="B234" s="106"/>
      <c r="D234" s="51"/>
      <c r="E234" s="51"/>
      <c r="F234" s="51"/>
    </row>
    <row r="235" spans="1:6" x14ac:dyDescent="0.25">
      <c r="A235" s="106"/>
      <c r="B235" s="106"/>
      <c r="D235" s="51"/>
      <c r="E235" s="51"/>
      <c r="F235" s="51"/>
    </row>
    <row r="236" spans="1:6" x14ac:dyDescent="0.25">
      <c r="A236" s="106"/>
      <c r="B236" s="106"/>
      <c r="D236" s="51"/>
      <c r="E236" s="51"/>
      <c r="F236" s="51"/>
    </row>
    <row r="237" spans="1:6" x14ac:dyDescent="0.25">
      <c r="A237" s="106"/>
      <c r="B237" s="106"/>
      <c r="D237" s="51"/>
      <c r="E237" s="51"/>
      <c r="F237" s="51"/>
    </row>
    <row r="238" spans="1:6" x14ac:dyDescent="0.25">
      <c r="A238" s="106"/>
      <c r="B238" s="106"/>
      <c r="D238" s="51"/>
      <c r="E238" s="51"/>
      <c r="F238" s="51"/>
    </row>
    <row r="239" spans="1:6" x14ac:dyDescent="0.25">
      <c r="A239" s="106"/>
      <c r="B239" s="106"/>
      <c r="D239" s="51"/>
      <c r="E239" s="51"/>
      <c r="F239" s="51"/>
    </row>
    <row r="240" spans="1:6" x14ac:dyDescent="0.25">
      <c r="A240" s="106"/>
      <c r="B240" s="106"/>
      <c r="D240" s="51"/>
      <c r="E240" s="51"/>
      <c r="F240" s="51"/>
    </row>
    <row r="241" spans="1:6" x14ac:dyDescent="0.25">
      <c r="A241" s="106"/>
      <c r="B241" s="106"/>
      <c r="D241" s="51"/>
      <c r="E241" s="51"/>
      <c r="F241" s="51"/>
    </row>
    <row r="242" spans="1:6" x14ac:dyDescent="0.25">
      <c r="A242" s="106"/>
      <c r="B242" s="106"/>
      <c r="D242" s="51"/>
      <c r="E242" s="51"/>
      <c r="F242" s="51"/>
    </row>
    <row r="243" spans="1:6" x14ac:dyDescent="0.25">
      <c r="A243" s="106"/>
      <c r="B243" s="106"/>
      <c r="D243" s="51"/>
      <c r="E243" s="51"/>
      <c r="F243" s="51"/>
    </row>
    <row r="244" spans="1:6" x14ac:dyDescent="0.25">
      <c r="A244" s="106"/>
      <c r="B244" s="106"/>
      <c r="D244" s="51"/>
      <c r="E244" s="51"/>
      <c r="F244" s="51"/>
    </row>
    <row r="245" spans="1:6" x14ac:dyDescent="0.25">
      <c r="A245" s="106"/>
      <c r="B245" s="106"/>
      <c r="D245" s="51"/>
      <c r="E245" s="51"/>
      <c r="F245" s="51"/>
    </row>
    <row r="246" spans="1:6" x14ac:dyDescent="0.25">
      <c r="A246" s="106"/>
      <c r="B246" s="106"/>
      <c r="D246" s="51"/>
      <c r="E246" s="51"/>
      <c r="F246" s="51"/>
    </row>
    <row r="247" spans="1:6" x14ac:dyDescent="0.25">
      <c r="A247" s="106"/>
      <c r="B247" s="106"/>
      <c r="D247" s="51"/>
      <c r="E247" s="51"/>
      <c r="F247" s="51"/>
    </row>
    <row r="248" spans="1:6" x14ac:dyDescent="0.25">
      <c r="A248" s="106"/>
      <c r="B248" s="106"/>
      <c r="D248" s="51"/>
      <c r="E248" s="51"/>
      <c r="F248" s="51"/>
    </row>
    <row r="249" spans="1:6" x14ac:dyDescent="0.25">
      <c r="A249" s="106"/>
      <c r="B249" s="106"/>
      <c r="D249" s="51"/>
      <c r="E249" s="51"/>
      <c r="F249" s="51"/>
    </row>
    <row r="250" spans="1:6" x14ac:dyDescent="0.25">
      <c r="A250" s="106"/>
      <c r="B250" s="106"/>
      <c r="D250" s="51"/>
      <c r="E250" s="51"/>
      <c r="F250" s="51"/>
    </row>
    <row r="251" spans="1:6" x14ac:dyDescent="0.25">
      <c r="A251" s="106"/>
      <c r="B251" s="106"/>
      <c r="D251" s="51"/>
      <c r="E251" s="51"/>
      <c r="F251" s="51"/>
    </row>
    <row r="252" spans="1:6" x14ac:dyDescent="0.25">
      <c r="A252" s="106"/>
      <c r="B252" s="106"/>
      <c r="D252" s="51"/>
      <c r="E252" s="51"/>
      <c r="F252" s="51"/>
    </row>
    <row r="253" spans="1:6" x14ac:dyDescent="0.25">
      <c r="A253" s="106"/>
      <c r="B253" s="106"/>
      <c r="D253" s="51"/>
      <c r="E253" s="51"/>
      <c r="F253" s="51"/>
    </row>
    <row r="254" spans="1:6" x14ac:dyDescent="0.25">
      <c r="A254" s="106"/>
      <c r="B254" s="106"/>
      <c r="D254" s="51"/>
      <c r="E254" s="51"/>
      <c r="F254" s="51"/>
    </row>
    <row r="255" spans="1:6" x14ac:dyDescent="0.25">
      <c r="A255" s="106"/>
      <c r="B255" s="106"/>
      <c r="D255" s="51"/>
      <c r="E255" s="51"/>
      <c r="F255" s="51"/>
    </row>
    <row r="256" spans="1:6" x14ac:dyDescent="0.25">
      <c r="A256" s="106"/>
      <c r="B256" s="106"/>
      <c r="D256" s="51"/>
      <c r="E256" s="51"/>
      <c r="F256" s="51"/>
    </row>
    <row r="257" spans="1:6" x14ac:dyDescent="0.25">
      <c r="A257" s="106"/>
      <c r="B257" s="106"/>
      <c r="D257" s="51"/>
      <c r="E257" s="51"/>
      <c r="F257" s="51"/>
    </row>
    <row r="258" spans="1:6" x14ac:dyDescent="0.25">
      <c r="A258" s="106"/>
      <c r="B258" s="106"/>
      <c r="D258" s="51"/>
      <c r="E258" s="51"/>
      <c r="F258" s="51"/>
    </row>
    <row r="259" spans="1:6" x14ac:dyDescent="0.25">
      <c r="A259" s="106"/>
      <c r="B259" s="106"/>
      <c r="D259" s="51"/>
      <c r="E259" s="51"/>
      <c r="F259" s="51"/>
    </row>
    <row r="260" spans="1:6" x14ac:dyDescent="0.25">
      <c r="A260" s="106"/>
      <c r="B260" s="106"/>
      <c r="D260" s="51"/>
      <c r="E260" s="51"/>
      <c r="F260" s="51"/>
    </row>
    <row r="261" spans="1:6" x14ac:dyDescent="0.25">
      <c r="A261" s="106"/>
      <c r="B261" s="106"/>
      <c r="D261" s="51"/>
      <c r="E261" s="51"/>
      <c r="F261" s="51"/>
    </row>
    <row r="262" spans="1:6" x14ac:dyDescent="0.25">
      <c r="A262" s="106"/>
      <c r="B262" s="106"/>
      <c r="D262" s="51"/>
      <c r="E262" s="51"/>
      <c r="F262" s="51"/>
    </row>
    <row r="263" spans="1:6" x14ac:dyDescent="0.25">
      <c r="A263" s="106"/>
      <c r="B263" s="106"/>
      <c r="D263" s="51"/>
      <c r="E263" s="51"/>
      <c r="F263" s="51"/>
    </row>
    <row r="264" spans="1:6" x14ac:dyDescent="0.25">
      <c r="A264" s="106"/>
      <c r="B264" s="106"/>
      <c r="D264" s="51"/>
      <c r="E264" s="51"/>
      <c r="F264" s="51"/>
    </row>
    <row r="265" spans="1:6" x14ac:dyDescent="0.25">
      <c r="A265" s="106"/>
      <c r="B265" s="106"/>
      <c r="D265" s="51"/>
      <c r="E265" s="51"/>
      <c r="F265" s="51"/>
    </row>
    <row r="266" spans="1:6" x14ac:dyDescent="0.25">
      <c r="A266" s="106"/>
      <c r="B266" s="106"/>
      <c r="D266" s="51"/>
      <c r="E266" s="51"/>
      <c r="F266" s="51"/>
    </row>
    <row r="267" spans="1:6" x14ac:dyDescent="0.25">
      <c r="A267" s="106"/>
      <c r="B267" s="106"/>
      <c r="D267" s="51"/>
      <c r="E267" s="51"/>
      <c r="F267" s="51"/>
    </row>
    <row r="268" spans="1:6" x14ac:dyDescent="0.25">
      <c r="A268" s="106"/>
      <c r="B268" s="106"/>
      <c r="D268" s="51"/>
      <c r="E268" s="51"/>
      <c r="F268" s="51"/>
    </row>
    <row r="269" spans="1:6" x14ac:dyDescent="0.25">
      <c r="A269" s="106"/>
      <c r="B269" s="106"/>
      <c r="D269" s="51"/>
      <c r="E269" s="51"/>
      <c r="F269" s="51"/>
    </row>
    <row r="270" spans="1:6" x14ac:dyDescent="0.25">
      <c r="A270" s="106"/>
      <c r="B270" s="106"/>
      <c r="D270" s="51"/>
      <c r="E270" s="51"/>
      <c r="F270" s="51"/>
    </row>
    <row r="271" spans="1:6" x14ac:dyDescent="0.25">
      <c r="A271" s="106"/>
      <c r="B271" s="106"/>
      <c r="D271" s="51"/>
      <c r="E271" s="51"/>
      <c r="F271" s="51"/>
    </row>
    <row r="272" spans="1:6" x14ac:dyDescent="0.25">
      <c r="A272" s="106"/>
      <c r="B272" s="106"/>
      <c r="D272" s="51"/>
      <c r="E272" s="51"/>
      <c r="F272" s="51"/>
    </row>
    <row r="273" spans="1:6" x14ac:dyDescent="0.25">
      <c r="A273" s="106"/>
      <c r="B273" s="106"/>
      <c r="D273" s="51"/>
      <c r="E273" s="51"/>
      <c r="F273" s="51"/>
    </row>
    <row r="274" spans="1:6" x14ac:dyDescent="0.25">
      <c r="A274" s="106"/>
      <c r="B274" s="106"/>
      <c r="D274" s="51"/>
      <c r="E274" s="51"/>
      <c r="F274" s="51"/>
    </row>
    <row r="275" spans="1:6" x14ac:dyDescent="0.25">
      <c r="A275" s="106"/>
      <c r="B275" s="106"/>
      <c r="D275" s="51"/>
      <c r="E275" s="51"/>
      <c r="F275" s="51"/>
    </row>
    <row r="276" spans="1:6" x14ac:dyDescent="0.25">
      <c r="A276" s="106"/>
      <c r="B276" s="106"/>
      <c r="D276" s="51"/>
      <c r="E276" s="51"/>
      <c r="F276" s="51"/>
    </row>
    <row r="277" spans="1:6" x14ac:dyDescent="0.25">
      <c r="A277" s="106"/>
      <c r="B277" s="106"/>
      <c r="D277" s="51"/>
      <c r="E277" s="51"/>
      <c r="F277" s="51"/>
    </row>
    <row r="278" spans="1:6" x14ac:dyDescent="0.25">
      <c r="A278" s="106"/>
      <c r="B278" s="106"/>
      <c r="D278" s="51"/>
      <c r="E278" s="51"/>
      <c r="F278" s="51"/>
    </row>
    <row r="279" spans="1:6" x14ac:dyDescent="0.25">
      <c r="A279" s="106"/>
      <c r="B279" s="106"/>
      <c r="D279" s="51"/>
      <c r="E279" s="51"/>
      <c r="F279" s="51"/>
    </row>
    <row r="280" spans="1:6" x14ac:dyDescent="0.25">
      <c r="A280" s="106"/>
      <c r="B280" s="106"/>
      <c r="D280" s="51"/>
      <c r="E280" s="51"/>
      <c r="F280" s="51"/>
    </row>
    <row r="281" spans="1:6" x14ac:dyDescent="0.25">
      <c r="A281" s="106"/>
      <c r="B281" s="106"/>
      <c r="D281" s="51"/>
      <c r="E281" s="51"/>
      <c r="F281" s="51"/>
    </row>
    <row r="282" spans="1:6" x14ac:dyDescent="0.25">
      <c r="A282" s="106"/>
      <c r="B282" s="106"/>
      <c r="D282" s="51"/>
      <c r="E282" s="51"/>
      <c r="F282" s="51"/>
    </row>
    <row r="283" spans="1:6" x14ac:dyDescent="0.25">
      <c r="A283" s="106"/>
      <c r="B283" s="106"/>
      <c r="D283" s="51"/>
      <c r="E283" s="51"/>
      <c r="F283" s="51"/>
    </row>
    <row r="284" spans="1:6" x14ac:dyDescent="0.25">
      <c r="A284" s="106"/>
      <c r="B284" s="106"/>
      <c r="D284" s="51"/>
      <c r="E284" s="51"/>
      <c r="F284" s="51"/>
    </row>
    <row r="285" spans="1:6" x14ac:dyDescent="0.25">
      <c r="A285" s="106"/>
      <c r="B285" s="106"/>
      <c r="D285" s="51"/>
      <c r="E285" s="51"/>
      <c r="F285" s="51"/>
    </row>
    <row r="286" spans="1:6" x14ac:dyDescent="0.25">
      <c r="A286" s="106"/>
      <c r="B286" s="106"/>
      <c r="D286" s="51"/>
      <c r="E286" s="51"/>
      <c r="F286" s="51"/>
    </row>
    <row r="287" spans="1:6" x14ac:dyDescent="0.25">
      <c r="A287" s="106"/>
      <c r="B287" s="106"/>
      <c r="D287" s="51"/>
      <c r="E287" s="51"/>
      <c r="F287" s="51"/>
    </row>
    <row r="288" spans="1:6" x14ac:dyDescent="0.25">
      <c r="A288" s="106"/>
      <c r="B288" s="106"/>
      <c r="D288" s="51"/>
      <c r="E288" s="51"/>
      <c r="F288" s="51"/>
    </row>
    <row r="289" spans="1:6" x14ac:dyDescent="0.25">
      <c r="A289" s="106"/>
      <c r="B289" s="106"/>
      <c r="D289" s="51"/>
      <c r="E289" s="51"/>
      <c r="F289" s="51"/>
    </row>
    <row r="290" spans="1:6" x14ac:dyDescent="0.25">
      <c r="A290" s="106"/>
      <c r="B290" s="106"/>
      <c r="D290" s="51"/>
      <c r="E290" s="51"/>
      <c r="F290" s="51"/>
    </row>
    <row r="291" spans="1:6" x14ac:dyDescent="0.25">
      <c r="A291" s="106"/>
      <c r="B291" s="106"/>
      <c r="D291" s="51"/>
      <c r="E291" s="51"/>
      <c r="F291" s="51"/>
    </row>
    <row r="292" spans="1:6" x14ac:dyDescent="0.25">
      <c r="A292" s="106"/>
      <c r="B292" s="106"/>
      <c r="D292" s="51"/>
      <c r="E292" s="51"/>
      <c r="F292" s="51"/>
    </row>
    <row r="293" spans="1:6" x14ac:dyDescent="0.25">
      <c r="A293" s="106"/>
      <c r="B293" s="106"/>
      <c r="D293" s="51"/>
      <c r="E293" s="51"/>
      <c r="F293" s="51"/>
    </row>
    <row r="294" spans="1:6" x14ac:dyDescent="0.25">
      <c r="A294" s="106"/>
      <c r="B294" s="106"/>
      <c r="D294" s="51"/>
      <c r="E294" s="51"/>
      <c r="F294" s="51"/>
    </row>
    <row r="295" spans="1:6" x14ac:dyDescent="0.25">
      <c r="A295" s="106"/>
      <c r="B295" s="106"/>
      <c r="D295" s="51"/>
      <c r="E295" s="51"/>
      <c r="F295" s="51"/>
    </row>
    <row r="296" spans="1:6" x14ac:dyDescent="0.25">
      <c r="A296" s="106"/>
      <c r="B296" s="106"/>
      <c r="D296" s="51"/>
      <c r="E296" s="51"/>
      <c r="F296" s="51"/>
    </row>
    <row r="297" spans="1:6" x14ac:dyDescent="0.25">
      <c r="A297" s="106"/>
      <c r="B297" s="106"/>
      <c r="D297" s="51"/>
      <c r="E297" s="51"/>
      <c r="F297" s="51"/>
    </row>
    <row r="298" spans="1:6" x14ac:dyDescent="0.25">
      <c r="A298" s="106"/>
      <c r="B298" s="106"/>
      <c r="D298" s="51"/>
      <c r="E298" s="51"/>
      <c r="F298" s="51"/>
    </row>
    <row r="299" spans="1:6" x14ac:dyDescent="0.25">
      <c r="A299" s="106"/>
      <c r="B299" s="106"/>
      <c r="D299" s="51"/>
      <c r="E299" s="51"/>
      <c r="F299" s="51"/>
    </row>
    <row r="300" spans="1:6" x14ac:dyDescent="0.25">
      <c r="A300" s="106"/>
      <c r="B300" s="106"/>
      <c r="D300" s="51"/>
      <c r="E300" s="51"/>
      <c r="F300" s="51"/>
    </row>
    <row r="301" spans="1:6" x14ac:dyDescent="0.25">
      <c r="A301" s="106"/>
      <c r="B301" s="106"/>
      <c r="D301" s="51"/>
      <c r="E301" s="51"/>
      <c r="F301" s="51"/>
    </row>
    <row r="302" spans="1:6" x14ac:dyDescent="0.25">
      <c r="A302" s="106"/>
      <c r="B302" s="106"/>
      <c r="D302" s="51"/>
      <c r="E302" s="51"/>
      <c r="F302" s="51"/>
    </row>
    <row r="303" spans="1:6" x14ac:dyDescent="0.25">
      <c r="A303" s="106"/>
      <c r="B303" s="106"/>
      <c r="D303" s="51"/>
      <c r="E303" s="51"/>
      <c r="F303" s="51"/>
    </row>
    <row r="304" spans="1:6" x14ac:dyDescent="0.25">
      <c r="A304" s="106"/>
      <c r="B304" s="106"/>
      <c r="D304" s="51"/>
      <c r="E304" s="51"/>
      <c r="F304" s="51"/>
    </row>
    <row r="305" spans="1:6" x14ac:dyDescent="0.25">
      <c r="A305" s="106"/>
      <c r="B305" s="106"/>
      <c r="D305" s="51"/>
      <c r="E305" s="51"/>
      <c r="F305" s="51"/>
    </row>
    <row r="306" spans="1:6" x14ac:dyDescent="0.25">
      <c r="A306" s="106"/>
      <c r="B306" s="106"/>
      <c r="D306" s="51"/>
      <c r="E306" s="51"/>
      <c r="F306" s="51"/>
    </row>
    <row r="307" spans="1:6" x14ac:dyDescent="0.25">
      <c r="A307" s="106"/>
      <c r="B307" s="106"/>
      <c r="D307" s="51"/>
      <c r="E307" s="51"/>
      <c r="F307" s="51"/>
    </row>
    <row r="308" spans="1:6" x14ac:dyDescent="0.25">
      <c r="A308" s="106"/>
      <c r="B308" s="106"/>
      <c r="D308" s="51"/>
      <c r="E308" s="51"/>
      <c r="F308" s="51"/>
    </row>
    <row r="309" spans="1:6" x14ac:dyDescent="0.25">
      <c r="A309" s="106"/>
      <c r="B309" s="106"/>
      <c r="D309" s="51"/>
      <c r="E309" s="51"/>
      <c r="F309" s="51"/>
    </row>
    <row r="310" spans="1:6" x14ac:dyDescent="0.25">
      <c r="A310" s="106"/>
      <c r="B310" s="106"/>
      <c r="D310" s="51"/>
      <c r="E310" s="51"/>
      <c r="F310" s="51"/>
    </row>
    <row r="311" spans="1:6" x14ac:dyDescent="0.25">
      <c r="A311" s="106"/>
      <c r="B311" s="106"/>
      <c r="D311" s="51"/>
      <c r="E311" s="51"/>
      <c r="F311" s="51"/>
    </row>
    <row r="312" spans="1:6" x14ac:dyDescent="0.25">
      <c r="A312" s="106"/>
      <c r="B312" s="106"/>
      <c r="D312" s="51"/>
      <c r="E312" s="51"/>
      <c r="F312" s="51"/>
    </row>
    <row r="313" spans="1:6" x14ac:dyDescent="0.25">
      <c r="A313" s="106"/>
      <c r="B313" s="106"/>
      <c r="D313" s="51"/>
      <c r="E313" s="51"/>
      <c r="F313" s="51"/>
    </row>
    <row r="314" spans="1:6" x14ac:dyDescent="0.25">
      <c r="A314" s="106"/>
      <c r="B314" s="106"/>
      <c r="D314" s="51"/>
      <c r="E314" s="51"/>
      <c r="F314" s="51"/>
    </row>
    <row r="315" spans="1:6" x14ac:dyDescent="0.25">
      <c r="A315" s="106"/>
      <c r="B315" s="106"/>
      <c r="D315" s="51"/>
      <c r="E315" s="51"/>
      <c r="F315" s="51"/>
    </row>
    <row r="316" spans="1:6" x14ac:dyDescent="0.25">
      <c r="A316" s="106"/>
      <c r="B316" s="106"/>
      <c r="D316" s="51"/>
      <c r="E316" s="51"/>
      <c r="F316" s="51"/>
    </row>
    <row r="317" spans="1:6" x14ac:dyDescent="0.25">
      <c r="A317" s="106"/>
      <c r="B317" s="106"/>
      <c r="D317" s="51"/>
      <c r="E317" s="51"/>
      <c r="F317" s="51"/>
    </row>
    <row r="318" spans="1:6" x14ac:dyDescent="0.25">
      <c r="A318" s="106"/>
      <c r="B318" s="106"/>
      <c r="D318" s="51"/>
      <c r="E318" s="51"/>
      <c r="F318" s="51"/>
    </row>
    <row r="319" spans="1:6" x14ac:dyDescent="0.25">
      <c r="A319" s="106"/>
      <c r="B319" s="106"/>
      <c r="D319" s="51"/>
      <c r="E319" s="51"/>
      <c r="F319" s="51"/>
    </row>
    <row r="320" spans="1:6" x14ac:dyDescent="0.25">
      <c r="A320" s="106"/>
      <c r="B320" s="106"/>
      <c r="D320" s="51"/>
      <c r="E320" s="51"/>
      <c r="F320" s="51"/>
    </row>
    <row r="321" spans="1:6" x14ac:dyDescent="0.25">
      <c r="A321" s="106"/>
      <c r="B321" s="106"/>
      <c r="D321" s="51"/>
      <c r="E321" s="51"/>
      <c r="F321" s="51"/>
    </row>
    <row r="322" spans="1:6" x14ac:dyDescent="0.25">
      <c r="A322" s="106"/>
      <c r="B322" s="106"/>
      <c r="D322" s="51"/>
      <c r="E322" s="51"/>
      <c r="F322" s="51"/>
    </row>
    <row r="323" spans="1:6" x14ac:dyDescent="0.25">
      <c r="A323" s="106"/>
      <c r="B323" s="106"/>
      <c r="D323" s="51"/>
      <c r="E323" s="51"/>
      <c r="F323" s="51"/>
    </row>
    <row r="324" spans="1:6" x14ac:dyDescent="0.25">
      <c r="A324" s="106"/>
      <c r="B324" s="106"/>
      <c r="D324" s="51"/>
      <c r="E324" s="51"/>
      <c r="F324" s="51"/>
    </row>
    <row r="325" spans="1:6" x14ac:dyDescent="0.25">
      <c r="A325" s="106"/>
      <c r="B325" s="106"/>
      <c r="D325" s="51"/>
      <c r="E325" s="51"/>
      <c r="F325" s="51"/>
    </row>
    <row r="326" spans="1:6" x14ac:dyDescent="0.25">
      <c r="A326" s="106"/>
      <c r="B326" s="106"/>
      <c r="D326" s="51"/>
      <c r="E326" s="51"/>
      <c r="F326" s="51"/>
    </row>
    <row r="327" spans="1:6" x14ac:dyDescent="0.25">
      <c r="A327" s="106"/>
      <c r="B327" s="106"/>
      <c r="D327" s="51"/>
      <c r="E327" s="51"/>
      <c r="F327" s="51"/>
    </row>
    <row r="328" spans="1:6" x14ac:dyDescent="0.25">
      <c r="A328" s="106"/>
      <c r="B328" s="106"/>
      <c r="D328" s="51"/>
      <c r="E328" s="51"/>
      <c r="F328" s="51"/>
    </row>
    <row r="329" spans="1:6" x14ac:dyDescent="0.25">
      <c r="A329" s="106"/>
      <c r="B329" s="106"/>
      <c r="D329" s="51"/>
      <c r="E329" s="51"/>
      <c r="F329" s="51"/>
    </row>
    <row r="330" spans="1:6" x14ac:dyDescent="0.25">
      <c r="A330" s="106"/>
      <c r="B330" s="106"/>
      <c r="D330" s="51"/>
      <c r="E330" s="51"/>
      <c r="F330" s="51"/>
    </row>
    <row r="331" spans="1:6" x14ac:dyDescent="0.25">
      <c r="A331" s="106"/>
      <c r="B331" s="106"/>
      <c r="D331" s="51"/>
      <c r="E331" s="51"/>
      <c r="F331" s="51"/>
    </row>
    <row r="332" spans="1:6" x14ac:dyDescent="0.25">
      <c r="A332" s="106"/>
      <c r="B332" s="106"/>
      <c r="D332" s="51"/>
      <c r="E332" s="51"/>
      <c r="F332" s="51"/>
    </row>
    <row r="333" spans="1:6" x14ac:dyDescent="0.25">
      <c r="A333" s="106"/>
      <c r="B333" s="106"/>
      <c r="D333" s="51"/>
      <c r="E333" s="51"/>
      <c r="F333" s="51"/>
    </row>
    <row r="334" spans="1:6" x14ac:dyDescent="0.25">
      <c r="A334" s="106"/>
      <c r="B334" s="106"/>
      <c r="D334" s="51"/>
      <c r="E334" s="51"/>
      <c r="F334" s="51"/>
    </row>
    <row r="335" spans="1:6" x14ac:dyDescent="0.25">
      <c r="A335" s="106"/>
      <c r="B335" s="106"/>
      <c r="D335" s="51"/>
      <c r="E335" s="51"/>
      <c r="F335" s="51"/>
    </row>
    <row r="336" spans="1:6" x14ac:dyDescent="0.25">
      <c r="A336" s="106"/>
      <c r="B336" s="106"/>
      <c r="D336" s="51"/>
      <c r="E336" s="51"/>
      <c r="F336" s="51"/>
    </row>
    <row r="337" spans="1:6" x14ac:dyDescent="0.25">
      <c r="A337" s="106"/>
      <c r="B337" s="106"/>
      <c r="D337" s="51"/>
      <c r="E337" s="51"/>
      <c r="F337" s="51"/>
    </row>
    <row r="338" spans="1:6" x14ac:dyDescent="0.25">
      <c r="A338" s="106"/>
      <c r="B338" s="106"/>
      <c r="D338" s="51"/>
      <c r="E338" s="51"/>
      <c r="F338" s="51"/>
    </row>
    <row r="339" spans="1:6" x14ac:dyDescent="0.25">
      <c r="A339" s="106"/>
      <c r="B339" s="106"/>
      <c r="D339" s="51"/>
      <c r="E339" s="51"/>
      <c r="F339" s="51"/>
    </row>
    <row r="340" spans="1:6" x14ac:dyDescent="0.25">
      <c r="A340" s="106"/>
      <c r="B340" s="106"/>
      <c r="D340" s="51"/>
      <c r="E340" s="51"/>
      <c r="F340" s="51"/>
    </row>
    <row r="341" spans="1:6" x14ac:dyDescent="0.25">
      <c r="A341" s="106"/>
      <c r="B341" s="106"/>
      <c r="D341" s="51"/>
      <c r="E341" s="51"/>
      <c r="F341" s="51"/>
    </row>
    <row r="342" spans="1:6" x14ac:dyDescent="0.25">
      <c r="A342" s="106"/>
      <c r="B342" s="106"/>
      <c r="D342" s="51"/>
      <c r="E342" s="51"/>
      <c r="F342" s="51"/>
    </row>
    <row r="343" spans="1:6" x14ac:dyDescent="0.25">
      <c r="A343" s="106"/>
      <c r="B343" s="106"/>
      <c r="D343" s="51"/>
      <c r="E343" s="51"/>
      <c r="F343" s="51"/>
    </row>
    <row r="344" spans="1:6" x14ac:dyDescent="0.25">
      <c r="A344" s="106"/>
      <c r="B344" s="106"/>
      <c r="D344" s="51"/>
      <c r="E344" s="51"/>
      <c r="F344" s="51"/>
    </row>
    <row r="345" spans="1:6" x14ac:dyDescent="0.25">
      <c r="A345" s="106"/>
      <c r="B345" s="106"/>
      <c r="D345" s="51"/>
      <c r="E345" s="51"/>
      <c r="F345" s="51"/>
    </row>
    <row r="346" spans="1:6" x14ac:dyDescent="0.25">
      <c r="A346" s="106"/>
      <c r="B346" s="106"/>
      <c r="D346" s="51"/>
      <c r="E346" s="51"/>
      <c r="F346" s="51"/>
    </row>
    <row r="347" spans="1:6" x14ac:dyDescent="0.25">
      <c r="A347" s="106"/>
      <c r="B347" s="106"/>
      <c r="D347" s="51"/>
      <c r="E347" s="51"/>
      <c r="F347" s="51"/>
    </row>
    <row r="348" spans="1:6" x14ac:dyDescent="0.25">
      <c r="A348" s="106"/>
      <c r="B348" s="106"/>
      <c r="D348" s="51"/>
      <c r="E348" s="51"/>
      <c r="F348" s="51"/>
    </row>
    <row r="349" spans="1:6" x14ac:dyDescent="0.25">
      <c r="A349" s="106"/>
      <c r="B349" s="106"/>
      <c r="D349" s="51"/>
      <c r="E349" s="51"/>
      <c r="F349" s="51"/>
    </row>
    <row r="350" spans="1:6" x14ac:dyDescent="0.25">
      <c r="A350" s="106"/>
      <c r="B350" s="106"/>
      <c r="D350" s="51"/>
      <c r="E350" s="51"/>
      <c r="F350" s="51"/>
    </row>
    <row r="351" spans="1:6" x14ac:dyDescent="0.25">
      <c r="A351" s="106"/>
      <c r="B351" s="106"/>
      <c r="D351" s="51"/>
      <c r="E351" s="51"/>
      <c r="F351" s="51"/>
    </row>
    <row r="352" spans="1:6" x14ac:dyDescent="0.25">
      <c r="A352" s="106"/>
      <c r="B352" s="106"/>
      <c r="D352" s="51"/>
      <c r="E352" s="51"/>
      <c r="F352" s="51"/>
    </row>
    <row r="353" spans="1:6" x14ac:dyDescent="0.25">
      <c r="A353" s="106"/>
      <c r="B353" s="106"/>
      <c r="D353" s="51"/>
      <c r="E353" s="51"/>
      <c r="F353" s="51"/>
    </row>
    <row r="354" spans="1:6" x14ac:dyDescent="0.25">
      <c r="A354" s="106"/>
      <c r="B354" s="106"/>
      <c r="D354" s="51"/>
      <c r="E354" s="51"/>
      <c r="F354" s="51"/>
    </row>
    <row r="355" spans="1:6" x14ac:dyDescent="0.25">
      <c r="A355" s="106"/>
      <c r="B355" s="106"/>
      <c r="D355" s="51"/>
      <c r="E355" s="51"/>
      <c r="F355" s="51"/>
    </row>
    <row r="356" spans="1:6" x14ac:dyDescent="0.25">
      <c r="A356" s="106"/>
      <c r="B356" s="106"/>
      <c r="D356" s="51"/>
      <c r="E356" s="51"/>
      <c r="F356" s="51"/>
    </row>
    <row r="357" spans="1:6" x14ac:dyDescent="0.25">
      <c r="A357" s="106"/>
      <c r="B357" s="106"/>
      <c r="D357" s="51"/>
      <c r="E357" s="51"/>
      <c r="F357" s="51"/>
    </row>
    <row r="358" spans="1:6" x14ac:dyDescent="0.25">
      <c r="A358" s="106"/>
      <c r="B358" s="106"/>
      <c r="D358" s="51"/>
      <c r="E358" s="51"/>
      <c r="F358" s="51"/>
    </row>
    <row r="359" spans="1:6" x14ac:dyDescent="0.25">
      <c r="A359" s="106"/>
      <c r="B359" s="106"/>
      <c r="D359" s="51"/>
      <c r="E359" s="51"/>
      <c r="F359" s="51"/>
    </row>
    <row r="360" spans="1:6" x14ac:dyDescent="0.25">
      <c r="A360" s="106"/>
      <c r="B360" s="106"/>
      <c r="D360" s="51"/>
      <c r="E360" s="51"/>
      <c r="F360" s="51"/>
    </row>
    <row r="361" spans="1:6" x14ac:dyDescent="0.25">
      <c r="A361" s="106"/>
      <c r="B361" s="106"/>
      <c r="D361" s="51"/>
      <c r="E361" s="51"/>
      <c r="F361" s="51"/>
    </row>
    <row r="362" spans="1:6" x14ac:dyDescent="0.25">
      <c r="A362" s="106"/>
      <c r="B362" s="106"/>
      <c r="D362" s="51"/>
      <c r="E362" s="51"/>
      <c r="F362" s="51"/>
    </row>
    <row r="363" spans="1:6" x14ac:dyDescent="0.25">
      <c r="A363" s="106"/>
      <c r="B363" s="106"/>
      <c r="D363" s="51"/>
      <c r="E363" s="51"/>
      <c r="F363" s="51"/>
    </row>
    <row r="364" spans="1:6" x14ac:dyDescent="0.25">
      <c r="A364" s="106"/>
      <c r="B364" s="106"/>
      <c r="D364" s="51"/>
      <c r="E364" s="51"/>
      <c r="F364" s="51"/>
    </row>
    <row r="365" spans="1:6" x14ac:dyDescent="0.25">
      <c r="A365" s="106"/>
      <c r="B365" s="106"/>
      <c r="D365" s="51"/>
      <c r="E365" s="51"/>
      <c r="F365" s="51"/>
    </row>
    <row r="366" spans="1:6" x14ac:dyDescent="0.25">
      <c r="A366" s="106"/>
      <c r="B366" s="106"/>
      <c r="D366" s="51"/>
      <c r="E366" s="51"/>
      <c r="F366" s="51"/>
    </row>
    <row r="367" spans="1:6" x14ac:dyDescent="0.25">
      <c r="A367" s="106"/>
      <c r="B367" s="106"/>
      <c r="D367" s="51"/>
      <c r="E367" s="51"/>
      <c r="F367" s="51"/>
    </row>
    <row r="368" spans="1:6" x14ac:dyDescent="0.25">
      <c r="A368" s="106"/>
      <c r="B368" s="106"/>
      <c r="D368" s="51"/>
      <c r="E368" s="51"/>
      <c r="F368" s="51"/>
    </row>
    <row r="369" spans="1:6" x14ac:dyDescent="0.25">
      <c r="A369" s="106"/>
      <c r="B369" s="106"/>
      <c r="D369" s="51"/>
      <c r="E369" s="51"/>
      <c r="F369" s="51"/>
    </row>
    <row r="370" spans="1:6" x14ac:dyDescent="0.25">
      <c r="A370" s="106"/>
      <c r="B370" s="106"/>
      <c r="D370" s="51"/>
      <c r="E370" s="51"/>
      <c r="F370" s="51"/>
    </row>
    <row r="371" spans="1:6" x14ac:dyDescent="0.25">
      <c r="A371" s="106"/>
      <c r="B371" s="106"/>
      <c r="D371" s="51"/>
      <c r="E371" s="51"/>
      <c r="F371" s="51"/>
    </row>
    <row r="372" spans="1:6" x14ac:dyDescent="0.25">
      <c r="A372" s="106"/>
      <c r="B372" s="106"/>
      <c r="D372" s="51"/>
      <c r="E372" s="51"/>
      <c r="F372" s="51"/>
    </row>
    <row r="373" spans="1:6" x14ac:dyDescent="0.25">
      <c r="A373" s="106"/>
      <c r="B373" s="106"/>
      <c r="D373" s="51"/>
      <c r="E373" s="51"/>
      <c r="F373" s="51"/>
    </row>
    <row r="374" spans="1:6" x14ac:dyDescent="0.25">
      <c r="A374" s="106"/>
      <c r="B374" s="106"/>
      <c r="D374" s="51"/>
      <c r="E374" s="51"/>
      <c r="F374" s="51"/>
    </row>
    <row r="375" spans="1:6" x14ac:dyDescent="0.25">
      <c r="A375" s="106"/>
      <c r="B375" s="106"/>
      <c r="D375" s="51"/>
      <c r="E375" s="51"/>
      <c r="F375" s="51"/>
    </row>
    <row r="376" spans="1:6" x14ac:dyDescent="0.25">
      <c r="A376" s="106"/>
      <c r="B376" s="106"/>
      <c r="D376" s="51"/>
      <c r="E376" s="51"/>
      <c r="F376" s="51"/>
    </row>
    <row r="377" spans="1:6" x14ac:dyDescent="0.25">
      <c r="A377" s="106"/>
      <c r="B377" s="106"/>
      <c r="D377" s="51"/>
      <c r="E377" s="51"/>
      <c r="F377" s="51"/>
    </row>
    <row r="378" spans="1:6" x14ac:dyDescent="0.25">
      <c r="A378" s="106"/>
      <c r="B378" s="106"/>
      <c r="D378" s="51"/>
      <c r="E378" s="51"/>
      <c r="F378" s="51"/>
    </row>
    <row r="379" spans="1:6" x14ac:dyDescent="0.25">
      <c r="A379" s="106"/>
      <c r="B379" s="106"/>
      <c r="D379" s="51"/>
      <c r="E379" s="51"/>
      <c r="F379" s="51"/>
    </row>
    <row r="380" spans="1:6" x14ac:dyDescent="0.25">
      <c r="A380" s="106"/>
      <c r="B380" s="106"/>
      <c r="D380" s="51"/>
      <c r="E380" s="51"/>
      <c r="F380" s="51"/>
    </row>
    <row r="381" spans="1:6" x14ac:dyDescent="0.25">
      <c r="A381" s="106"/>
      <c r="B381" s="106"/>
      <c r="D381" s="51"/>
      <c r="E381" s="51"/>
      <c r="F381" s="51"/>
    </row>
    <row r="382" spans="1:6" x14ac:dyDescent="0.25">
      <c r="A382" s="106"/>
      <c r="B382" s="106"/>
      <c r="D382" s="51"/>
      <c r="E382" s="51"/>
      <c r="F382" s="51"/>
    </row>
    <row r="383" spans="1:6" x14ac:dyDescent="0.25">
      <c r="A383" s="106"/>
      <c r="B383" s="106"/>
      <c r="D383" s="51"/>
      <c r="E383" s="51"/>
      <c r="F383" s="51"/>
    </row>
    <row r="384" spans="1:6" x14ac:dyDescent="0.25">
      <c r="A384" s="106"/>
      <c r="B384" s="106"/>
      <c r="D384" s="51"/>
      <c r="E384" s="51"/>
      <c r="F384" s="51"/>
    </row>
    <row r="385" spans="1:6" x14ac:dyDescent="0.25">
      <c r="A385" s="106"/>
      <c r="B385" s="106"/>
      <c r="D385" s="51"/>
      <c r="E385" s="51"/>
      <c r="F385" s="51"/>
    </row>
    <row r="386" spans="1:6" x14ac:dyDescent="0.25">
      <c r="A386" s="106"/>
      <c r="B386" s="106"/>
      <c r="D386" s="51"/>
      <c r="E386" s="51"/>
      <c r="F386" s="51"/>
    </row>
    <row r="387" spans="1:6" x14ac:dyDescent="0.25">
      <c r="A387" s="106"/>
      <c r="B387" s="106"/>
      <c r="D387" s="51"/>
      <c r="E387" s="51"/>
      <c r="F387" s="51"/>
    </row>
    <row r="388" spans="1:6" x14ac:dyDescent="0.25">
      <c r="A388" s="106"/>
      <c r="B388" s="106"/>
      <c r="D388" s="51"/>
      <c r="E388" s="51"/>
      <c r="F388" s="51"/>
    </row>
    <row r="389" spans="1:6" x14ac:dyDescent="0.25">
      <c r="A389" s="106"/>
      <c r="B389" s="106"/>
      <c r="D389" s="51"/>
      <c r="E389" s="51"/>
      <c r="F389" s="51"/>
    </row>
    <row r="390" spans="1:6" x14ac:dyDescent="0.25">
      <c r="A390" s="106"/>
      <c r="B390" s="106"/>
      <c r="D390" s="51"/>
      <c r="E390" s="51"/>
      <c r="F390" s="51"/>
    </row>
    <row r="391" spans="1:6" x14ac:dyDescent="0.25">
      <c r="A391" s="106"/>
      <c r="B391" s="106"/>
      <c r="D391" s="51"/>
      <c r="E391" s="51"/>
      <c r="F391" s="51"/>
    </row>
    <row r="392" spans="1:6" x14ac:dyDescent="0.25">
      <c r="A392" s="106"/>
      <c r="B392" s="106"/>
      <c r="D392" s="51"/>
      <c r="E392" s="51"/>
      <c r="F392" s="51"/>
    </row>
    <row r="393" spans="1:6" x14ac:dyDescent="0.25">
      <c r="A393" s="106"/>
      <c r="B393" s="106"/>
      <c r="D393" s="51"/>
      <c r="E393" s="51"/>
      <c r="F393" s="51"/>
    </row>
    <row r="394" spans="1:6" x14ac:dyDescent="0.25">
      <c r="A394" s="106"/>
      <c r="B394" s="106"/>
      <c r="D394" s="51"/>
      <c r="E394" s="51"/>
      <c r="F394" s="51"/>
    </row>
    <row r="395" spans="1:6" x14ac:dyDescent="0.25">
      <c r="A395" s="106"/>
      <c r="B395" s="106"/>
      <c r="D395" s="51"/>
      <c r="E395" s="51"/>
      <c r="F395" s="51"/>
    </row>
    <row r="396" spans="1:6" x14ac:dyDescent="0.25">
      <c r="A396" s="106"/>
      <c r="B396" s="106"/>
      <c r="D396" s="51"/>
      <c r="E396" s="51"/>
      <c r="F396" s="51"/>
    </row>
    <row r="397" spans="1:6" x14ac:dyDescent="0.25">
      <c r="A397" s="106"/>
      <c r="B397" s="106"/>
      <c r="D397" s="51"/>
      <c r="E397" s="51"/>
      <c r="F397" s="51"/>
    </row>
    <row r="398" spans="1:6" x14ac:dyDescent="0.25">
      <c r="A398" s="106"/>
      <c r="B398" s="106"/>
      <c r="D398" s="51"/>
      <c r="E398" s="51"/>
      <c r="F398" s="51"/>
    </row>
    <row r="399" spans="1:6" x14ac:dyDescent="0.25">
      <c r="A399" s="106"/>
      <c r="B399" s="106"/>
      <c r="D399" s="51"/>
      <c r="E399" s="51"/>
      <c r="F399" s="51"/>
    </row>
    <row r="400" spans="1:6" x14ac:dyDescent="0.25">
      <c r="A400" s="106"/>
      <c r="B400" s="106"/>
      <c r="D400" s="51"/>
      <c r="E400" s="51"/>
      <c r="F400" s="51"/>
    </row>
    <row r="401" spans="1:6" x14ac:dyDescent="0.25">
      <c r="A401" s="106"/>
      <c r="B401" s="106"/>
      <c r="D401" s="51"/>
      <c r="E401" s="51"/>
      <c r="F401" s="51"/>
    </row>
    <row r="402" spans="1:6" x14ac:dyDescent="0.25">
      <c r="A402" s="106"/>
      <c r="B402" s="106"/>
      <c r="D402" s="51"/>
      <c r="E402" s="51"/>
      <c r="F402" s="51"/>
    </row>
    <row r="403" spans="1:6" x14ac:dyDescent="0.25">
      <c r="A403" s="106"/>
      <c r="B403" s="106"/>
      <c r="D403" s="51"/>
      <c r="E403" s="51"/>
      <c r="F403" s="51"/>
    </row>
    <row r="404" spans="1:6" x14ac:dyDescent="0.25">
      <c r="A404" s="106"/>
      <c r="B404" s="106"/>
      <c r="D404" s="51"/>
      <c r="E404" s="51"/>
      <c r="F404" s="51"/>
    </row>
    <row r="405" spans="1:6" x14ac:dyDescent="0.25">
      <c r="A405" s="106"/>
      <c r="B405" s="106"/>
      <c r="D405" s="51"/>
      <c r="E405" s="51"/>
      <c r="F405" s="51"/>
    </row>
    <row r="406" spans="1:6" x14ac:dyDescent="0.25">
      <c r="A406" s="106"/>
      <c r="B406" s="106"/>
      <c r="D406" s="51"/>
      <c r="E406" s="51"/>
      <c r="F406" s="51"/>
    </row>
    <row r="407" spans="1:6" x14ac:dyDescent="0.25">
      <c r="A407" s="106"/>
      <c r="B407" s="106"/>
      <c r="D407" s="51"/>
      <c r="E407" s="51"/>
      <c r="F407" s="51"/>
    </row>
    <row r="408" spans="1:6" x14ac:dyDescent="0.25">
      <c r="A408" s="106"/>
      <c r="B408" s="106"/>
      <c r="D408" s="51"/>
      <c r="E408" s="51"/>
      <c r="F408" s="51"/>
    </row>
    <row r="409" spans="1:6" x14ac:dyDescent="0.25">
      <c r="A409" s="106"/>
      <c r="B409" s="106"/>
      <c r="D409" s="51"/>
      <c r="E409" s="51"/>
      <c r="F409" s="51"/>
    </row>
    <row r="410" spans="1:6" x14ac:dyDescent="0.25">
      <c r="A410" s="106"/>
      <c r="B410" s="106"/>
      <c r="D410" s="51"/>
      <c r="E410" s="51"/>
      <c r="F410" s="51"/>
    </row>
    <row r="411" spans="1:6" x14ac:dyDescent="0.25">
      <c r="A411" s="106"/>
      <c r="B411" s="106"/>
      <c r="D411" s="51"/>
      <c r="E411" s="51"/>
      <c r="F411" s="51"/>
    </row>
    <row r="412" spans="1:6" x14ac:dyDescent="0.25">
      <c r="A412" s="106"/>
      <c r="B412" s="106"/>
      <c r="D412" s="51"/>
      <c r="E412" s="51"/>
      <c r="F412" s="51"/>
    </row>
    <row r="413" spans="1:6" x14ac:dyDescent="0.25">
      <c r="A413" s="106"/>
      <c r="B413" s="106"/>
      <c r="D413" s="51"/>
      <c r="E413" s="51"/>
      <c r="F413" s="51"/>
    </row>
    <row r="414" spans="1:6" x14ac:dyDescent="0.25">
      <c r="A414" s="106"/>
      <c r="B414" s="106"/>
      <c r="D414" s="51"/>
      <c r="E414" s="51"/>
      <c r="F414" s="51"/>
    </row>
    <row r="415" spans="1:6" x14ac:dyDescent="0.25">
      <c r="A415" s="106"/>
      <c r="B415" s="106"/>
      <c r="D415" s="51"/>
      <c r="E415" s="51"/>
      <c r="F415" s="51"/>
    </row>
    <row r="416" spans="1:6" x14ac:dyDescent="0.25">
      <c r="A416" s="106"/>
      <c r="B416" s="106"/>
      <c r="D416" s="51"/>
      <c r="E416" s="51"/>
      <c r="F416" s="51"/>
    </row>
    <row r="417" spans="1:6" x14ac:dyDescent="0.25">
      <c r="A417" s="106"/>
      <c r="B417" s="106"/>
      <c r="D417" s="51"/>
      <c r="E417" s="51"/>
      <c r="F417" s="51"/>
    </row>
    <row r="418" spans="1:6" x14ac:dyDescent="0.25">
      <c r="A418" s="106"/>
      <c r="B418" s="106"/>
      <c r="D418" s="51"/>
      <c r="E418" s="51"/>
      <c r="F418" s="51"/>
    </row>
    <row r="419" spans="1:6" x14ac:dyDescent="0.25">
      <c r="A419" s="106"/>
      <c r="B419" s="106"/>
      <c r="D419" s="51"/>
      <c r="E419" s="51"/>
      <c r="F419" s="51"/>
    </row>
    <row r="420" spans="1:6" x14ac:dyDescent="0.25">
      <c r="A420" s="106"/>
      <c r="B420" s="106"/>
      <c r="D420" s="51"/>
      <c r="E420" s="51"/>
      <c r="F420" s="51"/>
    </row>
    <row r="421" spans="1:6" x14ac:dyDescent="0.25">
      <c r="A421" s="106"/>
      <c r="B421" s="106"/>
      <c r="D421" s="51"/>
      <c r="E421" s="51"/>
      <c r="F421" s="51"/>
    </row>
    <row r="422" spans="1:6" x14ac:dyDescent="0.25">
      <c r="A422" s="106"/>
      <c r="B422" s="106"/>
      <c r="D422" s="51"/>
      <c r="E422" s="51"/>
      <c r="F422" s="51"/>
    </row>
    <row r="423" spans="1:6" x14ac:dyDescent="0.25">
      <c r="A423" s="106"/>
      <c r="B423" s="106"/>
      <c r="D423" s="51"/>
      <c r="E423" s="51"/>
      <c r="F423" s="51"/>
    </row>
    <row r="424" spans="1:6" x14ac:dyDescent="0.25">
      <c r="A424" s="106"/>
      <c r="B424" s="106"/>
      <c r="D424" s="51"/>
      <c r="E424" s="51"/>
      <c r="F424" s="51"/>
    </row>
    <row r="425" spans="1:6" x14ac:dyDescent="0.25">
      <c r="A425" s="106"/>
      <c r="B425" s="106"/>
      <c r="D425" s="51"/>
      <c r="E425" s="51"/>
      <c r="F425" s="51"/>
    </row>
    <row r="426" spans="1:6" x14ac:dyDescent="0.25">
      <c r="A426" s="106"/>
      <c r="B426" s="106"/>
      <c r="D426" s="51"/>
      <c r="E426" s="51"/>
      <c r="F426" s="51"/>
    </row>
    <row r="427" spans="1:6" x14ac:dyDescent="0.25">
      <c r="A427" s="106"/>
      <c r="B427" s="106"/>
      <c r="D427" s="51"/>
      <c r="E427" s="51"/>
      <c r="F427" s="51"/>
    </row>
    <row r="428" spans="1:6" x14ac:dyDescent="0.25">
      <c r="A428" s="106"/>
      <c r="B428" s="106"/>
      <c r="D428" s="51"/>
      <c r="E428" s="51"/>
      <c r="F428" s="51"/>
    </row>
    <row r="429" spans="1:6" x14ac:dyDescent="0.25">
      <c r="A429" s="106"/>
      <c r="B429" s="106"/>
      <c r="D429" s="51"/>
      <c r="E429" s="51"/>
      <c r="F429" s="51"/>
    </row>
    <row r="430" spans="1:6" x14ac:dyDescent="0.25">
      <c r="A430" s="106"/>
      <c r="B430" s="106"/>
      <c r="D430" s="51"/>
      <c r="E430" s="51"/>
      <c r="F430" s="51"/>
    </row>
    <row r="431" spans="1:6" x14ac:dyDescent="0.25">
      <c r="A431" s="106"/>
      <c r="B431" s="106"/>
      <c r="D431" s="51"/>
      <c r="E431" s="51"/>
      <c r="F431" s="51"/>
    </row>
    <row r="432" spans="1:6" x14ac:dyDescent="0.25">
      <c r="A432" s="106"/>
      <c r="B432" s="106"/>
      <c r="D432" s="51"/>
      <c r="E432" s="51"/>
      <c r="F432" s="51"/>
    </row>
    <row r="433" spans="1:6" x14ac:dyDescent="0.25">
      <c r="A433" s="106"/>
      <c r="B433" s="106"/>
      <c r="D433" s="51"/>
      <c r="E433" s="51"/>
      <c r="F433" s="51"/>
    </row>
    <row r="434" spans="1:6" x14ac:dyDescent="0.25">
      <c r="A434" s="106"/>
      <c r="B434" s="106"/>
      <c r="D434" s="51"/>
      <c r="E434" s="51"/>
      <c r="F434" s="51"/>
    </row>
    <row r="435" spans="1:6" x14ac:dyDescent="0.25">
      <c r="A435" s="106"/>
      <c r="B435" s="106"/>
      <c r="D435" s="51"/>
      <c r="E435" s="51"/>
      <c r="F435" s="51"/>
    </row>
    <row r="436" spans="1:6" x14ac:dyDescent="0.25">
      <c r="A436" s="106"/>
      <c r="B436" s="106"/>
      <c r="D436" s="51"/>
      <c r="E436" s="51"/>
      <c r="F436" s="51"/>
    </row>
    <row r="437" spans="1:6" x14ac:dyDescent="0.25">
      <c r="A437" s="106"/>
      <c r="B437" s="106"/>
      <c r="D437" s="51"/>
      <c r="E437" s="51"/>
      <c r="F437" s="51"/>
    </row>
    <row r="438" spans="1:6" x14ac:dyDescent="0.25">
      <c r="A438" s="106"/>
      <c r="B438" s="106"/>
      <c r="D438" s="51"/>
      <c r="E438" s="51"/>
      <c r="F438" s="51"/>
    </row>
    <row r="439" spans="1:6" x14ac:dyDescent="0.25">
      <c r="A439" s="106"/>
      <c r="B439" s="106"/>
      <c r="D439" s="51"/>
      <c r="E439" s="51"/>
      <c r="F439" s="51"/>
    </row>
    <row r="440" spans="1:6" x14ac:dyDescent="0.25">
      <c r="A440" s="106"/>
      <c r="B440" s="106"/>
      <c r="D440" s="51"/>
      <c r="E440" s="51"/>
      <c r="F440" s="51"/>
    </row>
    <row r="441" spans="1:6" x14ac:dyDescent="0.25">
      <c r="A441" s="106"/>
      <c r="B441" s="106"/>
      <c r="D441" s="51"/>
      <c r="E441" s="51"/>
      <c r="F441" s="51"/>
    </row>
    <row r="442" spans="1:6" x14ac:dyDescent="0.25">
      <c r="A442" s="106"/>
      <c r="B442" s="106"/>
      <c r="D442" s="51"/>
      <c r="E442" s="51"/>
      <c r="F442" s="51"/>
    </row>
    <row r="443" spans="1:6" x14ac:dyDescent="0.25">
      <c r="A443" s="106"/>
      <c r="B443" s="106"/>
      <c r="D443" s="51"/>
      <c r="E443" s="51"/>
      <c r="F443" s="51"/>
    </row>
    <row r="444" spans="1:6" x14ac:dyDescent="0.25">
      <c r="A444" s="106"/>
      <c r="B444" s="106"/>
      <c r="D444" s="51"/>
      <c r="E444" s="51"/>
      <c r="F444" s="51"/>
    </row>
    <row r="445" spans="1:6" x14ac:dyDescent="0.25">
      <c r="A445" s="106"/>
      <c r="B445" s="106"/>
      <c r="D445" s="51"/>
      <c r="E445" s="51"/>
      <c r="F445" s="51"/>
    </row>
    <row r="446" spans="1:6" x14ac:dyDescent="0.25">
      <c r="A446" s="106"/>
      <c r="B446" s="106"/>
      <c r="D446" s="51"/>
      <c r="E446" s="51"/>
      <c r="F446" s="51"/>
    </row>
    <row r="447" spans="1:6" x14ac:dyDescent="0.25">
      <c r="A447" s="106"/>
      <c r="B447" s="106"/>
      <c r="D447" s="51"/>
      <c r="E447" s="51"/>
      <c r="F447" s="51"/>
    </row>
    <row r="448" spans="1:6" x14ac:dyDescent="0.25">
      <c r="A448" s="106"/>
      <c r="B448" s="106"/>
      <c r="D448" s="51"/>
      <c r="E448" s="51"/>
      <c r="F448" s="51"/>
    </row>
    <row r="449" spans="1:6" x14ac:dyDescent="0.25">
      <c r="A449" s="106"/>
      <c r="B449" s="106"/>
      <c r="D449" s="51"/>
      <c r="E449" s="51"/>
      <c r="F449" s="51"/>
    </row>
    <row r="450" spans="1:6" x14ac:dyDescent="0.25">
      <c r="A450" s="106"/>
      <c r="B450" s="106"/>
      <c r="D450" s="51"/>
      <c r="E450" s="51"/>
      <c r="F450" s="51"/>
    </row>
    <row r="451" spans="1:6" x14ac:dyDescent="0.25">
      <c r="A451" s="106"/>
      <c r="B451" s="106"/>
      <c r="D451" s="51"/>
      <c r="E451" s="51"/>
      <c r="F451" s="51"/>
    </row>
    <row r="452" spans="1:6" x14ac:dyDescent="0.25">
      <c r="A452" s="106"/>
      <c r="B452" s="106"/>
      <c r="D452" s="51"/>
      <c r="E452" s="51"/>
      <c r="F452" s="51"/>
    </row>
    <row r="453" spans="1:6" x14ac:dyDescent="0.25">
      <c r="A453" s="106"/>
      <c r="B453" s="106"/>
      <c r="D453" s="51"/>
      <c r="E453" s="51"/>
      <c r="F453" s="51"/>
    </row>
    <row r="454" spans="1:6" x14ac:dyDescent="0.25">
      <c r="A454" s="106"/>
      <c r="B454" s="106"/>
      <c r="D454" s="51"/>
      <c r="E454" s="51"/>
      <c r="F454" s="51"/>
    </row>
    <row r="455" spans="1:6" x14ac:dyDescent="0.25">
      <c r="A455" s="106"/>
      <c r="B455" s="106"/>
      <c r="D455" s="51"/>
      <c r="E455" s="51"/>
      <c r="F455" s="51"/>
    </row>
    <row r="456" spans="1:6" x14ac:dyDescent="0.25">
      <c r="A456" s="106"/>
      <c r="B456" s="106"/>
      <c r="D456" s="51"/>
      <c r="E456" s="51"/>
      <c r="F456" s="51"/>
    </row>
    <row r="457" spans="1:6" x14ac:dyDescent="0.25">
      <c r="A457" s="106"/>
      <c r="B457" s="106"/>
      <c r="D457" s="51"/>
      <c r="E457" s="51"/>
      <c r="F457" s="51"/>
    </row>
    <row r="458" spans="1:6" x14ac:dyDescent="0.25">
      <c r="A458" s="106"/>
      <c r="B458" s="106"/>
      <c r="D458" s="51"/>
      <c r="E458" s="51"/>
      <c r="F458" s="51"/>
    </row>
    <row r="459" spans="1:6" x14ac:dyDescent="0.25">
      <c r="A459" s="106"/>
      <c r="B459" s="106"/>
      <c r="D459" s="51"/>
      <c r="E459" s="51"/>
      <c r="F459" s="51"/>
    </row>
    <row r="460" spans="1:6" x14ac:dyDescent="0.25">
      <c r="A460" s="106"/>
      <c r="B460" s="106"/>
      <c r="D460" s="51"/>
      <c r="E460" s="51"/>
      <c r="F460" s="51"/>
    </row>
    <row r="461" spans="1:6" x14ac:dyDescent="0.25">
      <c r="A461" s="106"/>
      <c r="B461" s="106"/>
      <c r="D461" s="51"/>
      <c r="E461" s="51"/>
      <c r="F461" s="51"/>
    </row>
    <row r="462" spans="1:6" x14ac:dyDescent="0.25">
      <c r="A462" s="106"/>
      <c r="B462" s="106"/>
      <c r="D462" s="51"/>
      <c r="E462" s="51"/>
      <c r="F462" s="51"/>
    </row>
    <row r="463" spans="1:6" x14ac:dyDescent="0.25">
      <c r="A463" s="106"/>
      <c r="B463" s="106"/>
      <c r="D463" s="51"/>
      <c r="E463" s="51"/>
      <c r="F463" s="51"/>
    </row>
    <row r="464" spans="1:6" x14ac:dyDescent="0.25">
      <c r="A464" s="106"/>
      <c r="B464" s="106"/>
      <c r="D464" s="51"/>
      <c r="E464" s="51"/>
      <c r="F464" s="51"/>
    </row>
    <row r="465" spans="1:6" x14ac:dyDescent="0.25">
      <c r="A465" s="106"/>
      <c r="B465" s="106"/>
      <c r="D465" s="51"/>
      <c r="E465" s="51"/>
      <c r="F465" s="51"/>
    </row>
    <row r="466" spans="1:6" x14ac:dyDescent="0.25">
      <c r="A466" s="106"/>
      <c r="B466" s="106"/>
      <c r="D466" s="51"/>
      <c r="E466" s="51"/>
      <c r="F466" s="51"/>
    </row>
    <row r="467" spans="1:6" x14ac:dyDescent="0.25">
      <c r="A467" s="106"/>
      <c r="B467" s="106"/>
      <c r="D467" s="51"/>
      <c r="E467" s="51"/>
      <c r="F467" s="51"/>
    </row>
    <row r="468" spans="1:6" x14ac:dyDescent="0.25">
      <c r="A468" s="106"/>
      <c r="B468" s="106"/>
      <c r="D468" s="51"/>
      <c r="E468" s="51"/>
      <c r="F468" s="51"/>
    </row>
    <row r="469" spans="1:6" x14ac:dyDescent="0.25">
      <c r="A469" s="106"/>
      <c r="B469" s="106"/>
      <c r="D469" s="51"/>
      <c r="E469" s="51"/>
      <c r="F469" s="51"/>
    </row>
    <row r="470" spans="1:6" x14ac:dyDescent="0.25">
      <c r="A470" s="106"/>
      <c r="B470" s="106"/>
      <c r="D470" s="51"/>
      <c r="E470" s="51"/>
      <c r="F470" s="51"/>
    </row>
    <row r="471" spans="1:6" x14ac:dyDescent="0.25">
      <c r="A471" s="106"/>
      <c r="B471" s="106"/>
      <c r="D471" s="51"/>
      <c r="E471" s="51"/>
      <c r="F471" s="51"/>
    </row>
    <row r="472" spans="1:6" x14ac:dyDescent="0.25">
      <c r="A472" s="106"/>
      <c r="B472" s="106"/>
      <c r="D472" s="51"/>
      <c r="E472" s="51"/>
      <c r="F472" s="51"/>
    </row>
    <row r="473" spans="1:6" x14ac:dyDescent="0.25">
      <c r="A473" s="106"/>
      <c r="B473" s="106"/>
      <c r="D473" s="51"/>
      <c r="E473" s="51"/>
      <c r="F473" s="51"/>
    </row>
    <row r="474" spans="1:6" x14ac:dyDescent="0.25">
      <c r="A474" s="106"/>
      <c r="B474" s="106"/>
      <c r="D474" s="51"/>
      <c r="E474" s="51"/>
      <c r="F474" s="51"/>
    </row>
    <row r="475" spans="1:6" x14ac:dyDescent="0.25">
      <c r="A475" s="106"/>
      <c r="B475" s="106"/>
      <c r="D475" s="51"/>
      <c r="E475" s="51"/>
      <c r="F475" s="51"/>
    </row>
    <row r="476" spans="1:6" x14ac:dyDescent="0.25">
      <c r="A476" s="106"/>
      <c r="B476" s="106"/>
      <c r="D476" s="51"/>
      <c r="E476" s="51"/>
      <c r="F476" s="51"/>
    </row>
    <row r="477" spans="1:6" x14ac:dyDescent="0.25">
      <c r="A477" s="106"/>
      <c r="B477" s="106"/>
      <c r="D477" s="51"/>
      <c r="E477" s="51"/>
      <c r="F477" s="51"/>
    </row>
    <row r="478" spans="1:6" x14ac:dyDescent="0.25">
      <c r="A478" s="106"/>
      <c r="B478" s="106"/>
      <c r="D478" s="51"/>
      <c r="E478" s="51"/>
      <c r="F478" s="51"/>
    </row>
    <row r="479" spans="1:6" x14ac:dyDescent="0.25">
      <c r="A479" s="106"/>
      <c r="B479" s="106"/>
      <c r="D479" s="51"/>
      <c r="E479" s="51"/>
      <c r="F479" s="51"/>
    </row>
    <row r="480" spans="1:6" x14ac:dyDescent="0.25">
      <c r="A480" s="106"/>
      <c r="B480" s="106"/>
      <c r="D480" s="51"/>
      <c r="E480" s="51"/>
      <c r="F480" s="51"/>
    </row>
    <row r="481" spans="1:6" x14ac:dyDescent="0.25">
      <c r="A481" s="106"/>
      <c r="B481" s="106"/>
      <c r="D481" s="51"/>
      <c r="E481" s="51"/>
      <c r="F481" s="51"/>
    </row>
    <row r="482" spans="1:6" x14ac:dyDescent="0.25">
      <c r="A482" s="106"/>
      <c r="B482" s="106"/>
      <c r="D482" s="51"/>
      <c r="E482" s="51"/>
      <c r="F482" s="51"/>
    </row>
    <row r="483" spans="1:6" x14ac:dyDescent="0.25">
      <c r="A483" s="51"/>
      <c r="B483" s="51"/>
      <c r="D483" s="51"/>
      <c r="E483" s="51"/>
      <c r="F483" s="51"/>
    </row>
    <row r="484" spans="1:6" x14ac:dyDescent="0.25">
      <c r="A484" s="106"/>
      <c r="B484" s="106"/>
      <c r="D484" s="51"/>
      <c r="E484" s="51"/>
      <c r="F484" s="51"/>
    </row>
    <row r="485" spans="1:6" x14ac:dyDescent="0.25">
      <c r="A485" s="106"/>
      <c r="B485" s="106"/>
      <c r="D485" s="51"/>
      <c r="E485" s="51"/>
      <c r="F485" s="51"/>
    </row>
    <row r="486" spans="1:6" x14ac:dyDescent="0.25">
      <c r="A486" s="106"/>
      <c r="B486" s="106"/>
      <c r="D486" s="51"/>
      <c r="E486" s="51"/>
      <c r="F486" s="51"/>
    </row>
    <row r="487" spans="1:6" x14ac:dyDescent="0.25">
      <c r="A487" s="106"/>
      <c r="B487" s="106"/>
      <c r="D487" s="51"/>
      <c r="E487" s="51"/>
      <c r="F487" s="51"/>
    </row>
    <row r="488" spans="1:6" x14ac:dyDescent="0.25">
      <c r="A488" s="106"/>
      <c r="B488" s="106"/>
      <c r="D488" s="51"/>
      <c r="E488" s="51"/>
      <c r="F488" s="51"/>
    </row>
    <row r="489" spans="1:6" x14ac:dyDescent="0.25">
      <c r="A489" s="106"/>
      <c r="B489" s="106"/>
      <c r="D489" s="51"/>
      <c r="E489" s="51"/>
      <c r="F489" s="51"/>
    </row>
    <row r="490" spans="1:6" x14ac:dyDescent="0.25">
      <c r="A490" s="106"/>
      <c r="B490" s="106"/>
      <c r="D490" s="51"/>
      <c r="E490" s="51"/>
      <c r="F490" s="51"/>
    </row>
    <row r="491" spans="1:6" x14ac:dyDescent="0.25">
      <c r="A491" s="106"/>
      <c r="B491" s="106"/>
      <c r="D491" s="51"/>
      <c r="E491" s="51"/>
      <c r="F491" s="51"/>
    </row>
    <row r="492" spans="1:6" x14ac:dyDescent="0.25">
      <c r="A492" s="107"/>
      <c r="B492" s="107"/>
      <c r="D492" s="51"/>
      <c r="E492" s="51"/>
      <c r="F492" s="51"/>
    </row>
    <row r="493" spans="1:6" x14ac:dyDescent="0.25">
      <c r="A493" s="107"/>
      <c r="B493" s="107"/>
      <c r="D493" s="51"/>
      <c r="E493" s="51"/>
      <c r="F493" s="51"/>
    </row>
    <row r="494" spans="1:6" x14ac:dyDescent="0.25">
      <c r="A494" s="107"/>
      <c r="B494" s="107"/>
      <c r="D494" s="51"/>
      <c r="E494" s="51"/>
      <c r="F494" s="51"/>
    </row>
    <row r="495" spans="1:6" x14ac:dyDescent="0.25">
      <c r="A495" s="107"/>
      <c r="B495" s="107"/>
      <c r="D495" s="51"/>
      <c r="E495" s="51"/>
      <c r="F495" s="51"/>
    </row>
    <row r="496" spans="1:6" x14ac:dyDescent="0.25">
      <c r="A496" s="107"/>
      <c r="B496" s="107"/>
      <c r="D496" s="51"/>
      <c r="E496" s="51"/>
      <c r="F496" s="51"/>
    </row>
    <row r="497" spans="1:6" x14ac:dyDescent="0.25">
      <c r="A497" s="107"/>
      <c r="B497" s="107"/>
      <c r="D497" s="51"/>
      <c r="E497" s="51"/>
      <c r="F497" s="51"/>
    </row>
    <row r="498" spans="1:6" x14ac:dyDescent="0.25">
      <c r="A498" s="107"/>
      <c r="B498" s="107"/>
      <c r="D498" s="51"/>
      <c r="E498" s="51"/>
      <c r="F498" s="51"/>
    </row>
    <row r="499" spans="1:6" x14ac:dyDescent="0.25">
      <c r="A499" s="107"/>
      <c r="B499" s="107"/>
      <c r="D499" s="51"/>
      <c r="E499" s="51"/>
      <c r="F499" s="51"/>
    </row>
    <row r="500" spans="1:6" x14ac:dyDescent="0.25">
      <c r="A500" s="107"/>
      <c r="B500" s="107"/>
      <c r="D500" s="51"/>
      <c r="E500" s="51"/>
      <c r="F500" s="51"/>
    </row>
    <row r="501" spans="1:6" x14ac:dyDescent="0.25">
      <c r="A501" s="107"/>
      <c r="B501" s="107"/>
      <c r="D501" s="51"/>
      <c r="E501" s="51"/>
      <c r="F501" s="51"/>
    </row>
    <row r="502" spans="1:6" x14ac:dyDescent="0.25">
      <c r="A502" s="107"/>
      <c r="B502" s="107"/>
      <c r="D502" s="51"/>
      <c r="E502" s="51"/>
      <c r="F502" s="51"/>
    </row>
    <row r="503" spans="1:6" x14ac:dyDescent="0.25">
      <c r="A503" s="107"/>
      <c r="B503" s="107"/>
      <c r="D503" s="51"/>
      <c r="E503" s="51"/>
      <c r="F503" s="51"/>
    </row>
    <row r="504" spans="1:6" x14ac:dyDescent="0.25">
      <c r="A504" s="107"/>
      <c r="B504" s="107"/>
      <c r="D504" s="51"/>
      <c r="E504" s="51"/>
      <c r="F504" s="51"/>
    </row>
    <row r="505" spans="1:6" x14ac:dyDescent="0.25">
      <c r="A505" s="107"/>
      <c r="B505" s="107"/>
      <c r="D505" s="51"/>
      <c r="E505" s="51"/>
      <c r="F505" s="51"/>
    </row>
    <row r="506" spans="1:6" x14ac:dyDescent="0.25">
      <c r="A506" s="107"/>
      <c r="B506" s="107"/>
      <c r="D506" s="51"/>
      <c r="E506" s="51"/>
      <c r="F506" s="51"/>
    </row>
    <row r="507" spans="1:6" x14ac:dyDescent="0.25">
      <c r="A507" s="107"/>
      <c r="B507" s="107"/>
      <c r="D507" s="51"/>
      <c r="E507" s="51"/>
      <c r="F507" s="51"/>
    </row>
    <row r="508" spans="1:6" x14ac:dyDescent="0.25">
      <c r="A508" s="107"/>
      <c r="B508" s="107"/>
      <c r="D508" s="51"/>
      <c r="E508" s="51"/>
      <c r="F508" s="51"/>
    </row>
    <row r="509" spans="1:6" x14ac:dyDescent="0.25">
      <c r="A509" s="107"/>
      <c r="B509" s="107"/>
      <c r="D509" s="51"/>
      <c r="E509" s="51"/>
      <c r="F509" s="51"/>
    </row>
    <row r="510" spans="1:6" x14ac:dyDescent="0.25">
      <c r="A510" s="107"/>
      <c r="B510" s="107"/>
      <c r="D510" s="51"/>
      <c r="E510" s="51"/>
      <c r="F510" s="51"/>
    </row>
    <row r="511" spans="1:6" x14ac:dyDescent="0.25">
      <c r="A511" s="107"/>
      <c r="B511" s="107"/>
      <c r="D511" s="51"/>
      <c r="E511" s="51"/>
      <c r="F511" s="51"/>
    </row>
    <row r="512" spans="1:6" x14ac:dyDescent="0.25">
      <c r="A512" s="107"/>
      <c r="B512" s="107"/>
      <c r="D512" s="51"/>
      <c r="E512" s="51"/>
      <c r="F512" s="51"/>
    </row>
    <row r="513" spans="1:6" x14ac:dyDescent="0.25">
      <c r="A513" s="107"/>
      <c r="B513" s="107"/>
      <c r="D513" s="51"/>
      <c r="E513" s="51"/>
      <c r="F513" s="51"/>
    </row>
    <row r="514" spans="1:6" x14ac:dyDescent="0.25">
      <c r="A514" s="107"/>
      <c r="B514" s="107"/>
      <c r="D514" s="51"/>
      <c r="E514" s="51"/>
      <c r="F514" s="51"/>
    </row>
    <row r="515" spans="1:6" x14ac:dyDescent="0.25">
      <c r="A515" s="107"/>
      <c r="B515" s="107"/>
      <c r="D515" s="51"/>
      <c r="E515" s="51"/>
      <c r="F515" s="51"/>
    </row>
    <row r="516" spans="1:6" x14ac:dyDescent="0.25">
      <c r="A516" s="107"/>
      <c r="B516" s="107"/>
      <c r="D516" s="51"/>
      <c r="E516" s="51"/>
      <c r="F516" s="51"/>
    </row>
    <row r="517" spans="1:6" x14ac:dyDescent="0.25">
      <c r="A517" s="107"/>
      <c r="B517" s="107"/>
      <c r="D517" s="51"/>
      <c r="E517" s="51"/>
      <c r="F517" s="51"/>
    </row>
    <row r="518" spans="1:6" x14ac:dyDescent="0.25">
      <c r="A518" s="107"/>
      <c r="B518" s="107"/>
      <c r="D518" s="51"/>
      <c r="E518" s="51"/>
      <c r="F518" s="51"/>
    </row>
    <row r="519" spans="1:6" x14ac:dyDescent="0.25">
      <c r="A519" s="107"/>
      <c r="B519" s="107"/>
      <c r="D519" s="51"/>
      <c r="E519" s="51"/>
      <c r="F519" s="51"/>
    </row>
    <row r="520" spans="1:6" x14ac:dyDescent="0.25">
      <c r="A520" s="107"/>
      <c r="B520" s="107"/>
      <c r="D520" s="51"/>
      <c r="E520" s="51"/>
      <c r="F520" s="51"/>
    </row>
    <row r="521" spans="1:6" x14ac:dyDescent="0.25">
      <c r="A521" s="107"/>
      <c r="B521" s="107"/>
      <c r="D521" s="51"/>
      <c r="E521" s="51"/>
      <c r="F521" s="51"/>
    </row>
    <row r="522" spans="1:6" x14ac:dyDescent="0.25">
      <c r="A522" s="107"/>
      <c r="B522" s="107"/>
      <c r="D522" s="51"/>
      <c r="E522" s="51"/>
      <c r="F522" s="51"/>
    </row>
    <row r="523" spans="1:6" x14ac:dyDescent="0.25">
      <c r="A523" s="107"/>
      <c r="B523" s="107"/>
      <c r="D523" s="51"/>
      <c r="E523" s="51"/>
      <c r="F523" s="51"/>
    </row>
    <row r="524" spans="1:6" x14ac:dyDescent="0.25">
      <c r="A524" s="107"/>
      <c r="B524" s="107"/>
      <c r="D524" s="51"/>
      <c r="E524" s="51"/>
      <c r="F524" s="51"/>
    </row>
    <row r="525" spans="1:6" x14ac:dyDescent="0.25">
      <c r="A525" s="107"/>
      <c r="B525" s="107"/>
      <c r="D525" s="51"/>
      <c r="E525" s="51"/>
      <c r="F525" s="51"/>
    </row>
    <row r="526" spans="1:6" x14ac:dyDescent="0.25">
      <c r="A526" s="107"/>
      <c r="B526" s="107"/>
      <c r="D526" s="51"/>
      <c r="E526" s="51"/>
      <c r="F526" s="51"/>
    </row>
    <row r="527" spans="1:6" x14ac:dyDescent="0.25">
      <c r="A527" s="107"/>
      <c r="B527" s="107"/>
      <c r="D527" s="51"/>
      <c r="E527" s="51"/>
      <c r="F527" s="51"/>
    </row>
    <row r="528" spans="1:6" x14ac:dyDescent="0.25">
      <c r="A528" s="107"/>
      <c r="B528" s="107"/>
      <c r="D528" s="51"/>
      <c r="E528" s="51"/>
      <c r="F528" s="51"/>
    </row>
    <row r="529" spans="1:6" x14ac:dyDescent="0.25">
      <c r="A529" s="107"/>
      <c r="B529" s="107"/>
      <c r="D529" s="51"/>
      <c r="E529" s="51"/>
      <c r="F529" s="51"/>
    </row>
    <row r="530" spans="1:6" x14ac:dyDescent="0.25">
      <c r="A530" s="107"/>
      <c r="B530" s="107"/>
      <c r="D530" s="51"/>
      <c r="E530" s="51"/>
      <c r="F530" s="51"/>
    </row>
    <row r="531" spans="1:6" x14ac:dyDescent="0.25">
      <c r="A531" s="107"/>
      <c r="B531" s="107"/>
      <c r="D531" s="51"/>
      <c r="E531" s="51"/>
      <c r="F531" s="51"/>
    </row>
    <row r="532" spans="1:6" x14ac:dyDescent="0.25">
      <c r="A532" s="107"/>
      <c r="B532" s="107"/>
      <c r="D532" s="51"/>
      <c r="E532" s="51"/>
      <c r="F532" s="51"/>
    </row>
    <row r="533" spans="1:6" x14ac:dyDescent="0.25">
      <c r="A533" s="107"/>
      <c r="B533" s="107"/>
      <c r="D533" s="51"/>
      <c r="E533" s="51"/>
      <c r="F533" s="51"/>
    </row>
    <row r="534" spans="1:6" x14ac:dyDescent="0.25">
      <c r="A534" s="107"/>
      <c r="B534" s="107"/>
      <c r="D534" s="51"/>
      <c r="E534" s="51"/>
      <c r="F534" s="51"/>
    </row>
    <row r="535" spans="1:6" x14ac:dyDescent="0.25">
      <c r="A535" s="107"/>
      <c r="B535" s="107"/>
      <c r="D535" s="51"/>
      <c r="E535" s="51"/>
      <c r="F535" s="51"/>
    </row>
    <row r="536" spans="1:6" x14ac:dyDescent="0.25">
      <c r="A536" s="107"/>
      <c r="B536" s="107"/>
      <c r="D536" s="51"/>
      <c r="E536" s="51"/>
      <c r="F536" s="51"/>
    </row>
    <row r="537" spans="1:6" x14ac:dyDescent="0.25">
      <c r="A537" s="107"/>
      <c r="B537" s="107"/>
      <c r="D537" s="51"/>
      <c r="E537" s="51"/>
      <c r="F537" s="51"/>
    </row>
    <row r="538" spans="1:6" x14ac:dyDescent="0.25">
      <c r="A538" s="107"/>
      <c r="B538" s="107"/>
      <c r="D538" s="51"/>
      <c r="E538" s="51"/>
      <c r="F538" s="51"/>
    </row>
    <row r="539" spans="1:6" x14ac:dyDescent="0.25">
      <c r="A539" s="107"/>
      <c r="B539" s="107"/>
      <c r="D539" s="51"/>
      <c r="E539" s="51"/>
      <c r="F539" s="51"/>
    </row>
    <row r="540" spans="1:6" x14ac:dyDescent="0.25">
      <c r="A540" s="107"/>
      <c r="B540" s="107"/>
      <c r="D540" s="51"/>
      <c r="E540" s="51"/>
      <c r="F540" s="51"/>
    </row>
    <row r="541" spans="1:6" x14ac:dyDescent="0.25">
      <c r="A541" s="107"/>
      <c r="B541" s="107"/>
      <c r="D541" s="51"/>
      <c r="E541" s="51"/>
      <c r="F541" s="51"/>
    </row>
    <row r="542" spans="1:6" x14ac:dyDescent="0.25">
      <c r="A542" s="107"/>
      <c r="B542" s="107"/>
      <c r="D542" s="51"/>
      <c r="E542" s="51"/>
      <c r="F542" s="51"/>
    </row>
    <row r="543" spans="1:6" x14ac:dyDescent="0.25">
      <c r="A543" s="107"/>
      <c r="B543" s="107"/>
      <c r="D543" s="51"/>
      <c r="E543" s="51"/>
      <c r="F543" s="51"/>
    </row>
    <row r="544" spans="1:6" x14ac:dyDescent="0.25">
      <c r="A544" s="107"/>
      <c r="B544" s="107"/>
      <c r="D544" s="51"/>
      <c r="E544" s="51"/>
      <c r="F544" s="51"/>
    </row>
    <row r="545" spans="1:6" x14ac:dyDescent="0.25">
      <c r="A545" s="107"/>
      <c r="B545" s="107"/>
      <c r="D545" s="51"/>
      <c r="E545" s="51"/>
      <c r="F545" s="51"/>
    </row>
    <row r="546" spans="1:6" x14ac:dyDescent="0.25">
      <c r="A546" s="107"/>
      <c r="B546" s="107"/>
      <c r="D546" s="51"/>
      <c r="E546" s="51"/>
      <c r="F546" s="51"/>
    </row>
    <row r="547" spans="1:6" x14ac:dyDescent="0.25">
      <c r="A547" s="107"/>
      <c r="B547" s="107"/>
      <c r="D547" s="51"/>
      <c r="E547" s="51"/>
      <c r="F547" s="51"/>
    </row>
    <row r="548" spans="1:6" x14ac:dyDescent="0.25">
      <c r="A548" s="107"/>
      <c r="B548" s="107"/>
      <c r="D548" s="51"/>
      <c r="E548" s="51"/>
      <c r="F548" s="51"/>
    </row>
    <row r="549" spans="1:6" x14ac:dyDescent="0.25">
      <c r="A549" s="107"/>
      <c r="B549" s="107"/>
      <c r="D549" s="51"/>
      <c r="E549" s="51"/>
      <c r="F549" s="51"/>
    </row>
    <row r="550" spans="1:6" x14ac:dyDescent="0.25">
      <c r="A550" s="107"/>
      <c r="B550" s="107"/>
      <c r="D550" s="51"/>
      <c r="E550" s="51"/>
      <c r="F550" s="51"/>
    </row>
    <row r="551" spans="1:6" x14ac:dyDescent="0.25">
      <c r="A551" s="107"/>
      <c r="B551" s="107"/>
      <c r="D551" s="51"/>
      <c r="E551" s="51"/>
      <c r="F551" s="51"/>
    </row>
    <row r="552" spans="1:6" x14ac:dyDescent="0.25">
      <c r="A552" s="107"/>
      <c r="B552" s="107"/>
      <c r="D552" s="51"/>
      <c r="E552" s="51"/>
      <c r="F552" s="51"/>
    </row>
    <row r="553" spans="1:6" x14ac:dyDescent="0.25">
      <c r="A553" s="107"/>
      <c r="B553" s="107"/>
      <c r="D553" s="51"/>
      <c r="E553" s="51"/>
      <c r="F553" s="51"/>
    </row>
    <row r="554" spans="1:6" x14ac:dyDescent="0.25">
      <c r="A554" s="107"/>
      <c r="B554" s="107"/>
      <c r="D554" s="51"/>
      <c r="E554" s="51"/>
      <c r="F554" s="51"/>
    </row>
    <row r="555" spans="1:6" x14ac:dyDescent="0.25">
      <c r="A555" s="107"/>
      <c r="B555" s="107"/>
      <c r="D555" s="51"/>
      <c r="E555" s="51"/>
      <c r="F555" s="51"/>
    </row>
    <row r="556" spans="1:6" x14ac:dyDescent="0.25">
      <c r="A556" s="107"/>
      <c r="B556" s="107"/>
      <c r="D556" s="51"/>
      <c r="E556" s="51"/>
      <c r="F556" s="51"/>
    </row>
    <row r="557" spans="1:6" x14ac:dyDescent="0.25">
      <c r="A557" s="107"/>
      <c r="B557" s="107"/>
      <c r="D557" s="51"/>
      <c r="E557" s="51"/>
      <c r="F557" s="51"/>
    </row>
    <row r="558" spans="1:6" x14ac:dyDescent="0.25">
      <c r="A558" s="107"/>
      <c r="B558" s="107"/>
      <c r="D558" s="51"/>
      <c r="E558" s="51"/>
      <c r="F558" s="51"/>
    </row>
    <row r="559" spans="1:6" x14ac:dyDescent="0.25">
      <c r="A559" s="107"/>
      <c r="B559" s="107"/>
      <c r="D559" s="51"/>
      <c r="E559" s="51"/>
      <c r="F559" s="51"/>
    </row>
    <row r="560" spans="1:6" x14ac:dyDescent="0.25">
      <c r="A560" s="107"/>
      <c r="B560" s="107"/>
      <c r="D560" s="51"/>
      <c r="E560" s="51"/>
      <c r="F560" s="51"/>
    </row>
    <row r="561" spans="1:6" x14ac:dyDescent="0.25">
      <c r="A561" s="107"/>
      <c r="B561" s="107"/>
      <c r="D561" s="51"/>
      <c r="E561" s="51"/>
      <c r="F561" s="51"/>
    </row>
    <row r="562" spans="1:6" x14ac:dyDescent="0.25">
      <c r="A562" s="107"/>
      <c r="B562" s="107"/>
      <c r="D562" s="51"/>
      <c r="E562" s="51"/>
      <c r="F562" s="51"/>
    </row>
    <row r="563" spans="1:6" x14ac:dyDescent="0.25">
      <c r="A563" s="107"/>
      <c r="B563" s="107"/>
      <c r="D563" s="51"/>
      <c r="E563" s="51"/>
      <c r="F563" s="51"/>
    </row>
    <row r="564" spans="1:6" x14ac:dyDescent="0.25">
      <c r="A564" s="107"/>
      <c r="B564" s="107"/>
      <c r="D564" s="51"/>
      <c r="E564" s="51"/>
      <c r="F564" s="51"/>
    </row>
    <row r="565" spans="1:6" x14ac:dyDescent="0.25">
      <c r="A565" s="107"/>
      <c r="B565" s="107"/>
      <c r="D565" s="51"/>
      <c r="E565" s="51"/>
      <c r="F565" s="51"/>
    </row>
    <row r="566" spans="1:6" x14ac:dyDescent="0.25">
      <c r="A566" s="107"/>
      <c r="B566" s="107"/>
      <c r="D566" s="51"/>
      <c r="E566" s="51"/>
      <c r="F566" s="51"/>
    </row>
    <row r="567" spans="1:6" x14ac:dyDescent="0.25">
      <c r="A567" s="107"/>
      <c r="B567" s="107"/>
      <c r="D567" s="51"/>
      <c r="E567" s="51"/>
      <c r="F567" s="51"/>
    </row>
    <row r="568" spans="1:6" x14ac:dyDescent="0.25">
      <c r="A568" s="107"/>
      <c r="B568" s="107"/>
      <c r="D568" s="51"/>
      <c r="E568" s="51"/>
      <c r="F568" s="51"/>
    </row>
    <row r="569" spans="1:6" x14ac:dyDescent="0.25">
      <c r="A569" s="107"/>
      <c r="B569" s="107"/>
      <c r="D569" s="51"/>
      <c r="E569" s="51"/>
      <c r="F569" s="51"/>
    </row>
    <row r="570" spans="1:6" x14ac:dyDescent="0.25">
      <c r="A570" s="107"/>
      <c r="B570" s="107"/>
      <c r="D570" s="51"/>
      <c r="E570" s="51"/>
      <c r="F570" s="51"/>
    </row>
    <row r="571" spans="1:6" x14ac:dyDescent="0.25">
      <c r="A571" s="107"/>
      <c r="B571" s="107"/>
      <c r="D571" s="51"/>
      <c r="E571" s="51"/>
      <c r="F571" s="51"/>
    </row>
    <row r="572" spans="1:6" x14ac:dyDescent="0.25">
      <c r="A572" s="107"/>
      <c r="B572" s="107"/>
      <c r="D572" s="51"/>
      <c r="E572" s="51"/>
      <c r="F572" s="51"/>
    </row>
    <row r="573" spans="1:6" x14ac:dyDescent="0.25">
      <c r="A573" s="107"/>
      <c r="B573" s="107"/>
      <c r="D573" s="51"/>
      <c r="E573" s="51"/>
      <c r="F573" s="51"/>
    </row>
    <row r="574" spans="1:6" x14ac:dyDescent="0.25">
      <c r="A574" s="107"/>
      <c r="B574" s="107"/>
      <c r="D574" s="51"/>
      <c r="E574" s="51"/>
      <c r="F574" s="51"/>
    </row>
    <row r="575" spans="1:6" x14ac:dyDescent="0.25">
      <c r="A575" s="107"/>
      <c r="B575" s="107"/>
      <c r="D575" s="51"/>
      <c r="E575" s="51"/>
      <c r="F575" s="51"/>
    </row>
    <row r="576" spans="1:6" x14ac:dyDescent="0.25">
      <c r="A576" s="107"/>
      <c r="B576" s="107"/>
      <c r="D576" s="51"/>
      <c r="E576" s="51"/>
      <c r="F576" s="51"/>
    </row>
    <row r="577" spans="1:6" x14ac:dyDescent="0.25">
      <c r="A577" s="107"/>
      <c r="B577" s="107"/>
      <c r="D577" s="51"/>
      <c r="E577" s="51"/>
      <c r="F577" s="51"/>
    </row>
    <row r="578" spans="1:6" x14ac:dyDescent="0.25">
      <c r="A578" s="107"/>
      <c r="B578" s="107"/>
      <c r="D578" s="51"/>
      <c r="E578" s="51"/>
      <c r="F578" s="51"/>
    </row>
    <row r="579" spans="1:6" x14ac:dyDescent="0.25">
      <c r="A579" s="107"/>
      <c r="B579" s="107"/>
      <c r="D579" s="51"/>
      <c r="E579" s="51"/>
      <c r="F579" s="51"/>
    </row>
    <row r="580" spans="1:6" x14ac:dyDescent="0.25">
      <c r="A580" s="107"/>
      <c r="B580" s="107"/>
      <c r="D580" s="51"/>
      <c r="E580" s="51"/>
      <c r="F580" s="51"/>
    </row>
    <row r="581" spans="1:6" x14ac:dyDescent="0.25">
      <c r="A581" s="107"/>
      <c r="B581" s="107"/>
      <c r="D581" s="51"/>
      <c r="E581" s="51"/>
      <c r="F581" s="51"/>
    </row>
    <row r="582" spans="1:6" x14ac:dyDescent="0.25">
      <c r="A582" s="107"/>
      <c r="B582" s="107"/>
      <c r="D582" s="51"/>
      <c r="E582" s="51"/>
      <c r="F582" s="51"/>
    </row>
    <row r="583" spans="1:6" x14ac:dyDescent="0.25">
      <c r="A583" s="107"/>
      <c r="B583" s="107"/>
      <c r="D583" s="51"/>
      <c r="E583" s="51"/>
      <c r="F583" s="51"/>
    </row>
    <row r="584" spans="1:6" x14ac:dyDescent="0.25">
      <c r="A584" s="107"/>
      <c r="B584" s="107"/>
      <c r="D584" s="51"/>
      <c r="E584" s="51"/>
      <c r="F584" s="51"/>
    </row>
    <row r="585" spans="1:6" x14ac:dyDescent="0.25">
      <c r="A585" s="107"/>
      <c r="B585" s="107"/>
      <c r="D585" s="51"/>
      <c r="E585" s="51"/>
      <c r="F585" s="51"/>
    </row>
    <row r="586" spans="1:6" x14ac:dyDescent="0.25">
      <c r="A586" s="107"/>
      <c r="B586" s="107"/>
      <c r="D586" s="51"/>
      <c r="E586" s="51"/>
      <c r="F586" s="51"/>
    </row>
    <row r="587" spans="1:6" x14ac:dyDescent="0.25">
      <c r="A587" s="107"/>
      <c r="B587" s="107"/>
      <c r="D587" s="51"/>
      <c r="E587" s="51"/>
      <c r="F587" s="51"/>
    </row>
    <row r="588" spans="1:6" x14ac:dyDescent="0.25">
      <c r="A588" s="106"/>
      <c r="B588" s="106"/>
      <c r="D588" s="51"/>
      <c r="E588" s="51"/>
      <c r="F588" s="51"/>
    </row>
    <row r="589" spans="1:6" x14ac:dyDescent="0.25">
      <c r="A589" s="106"/>
      <c r="B589" s="106"/>
      <c r="D589" s="51"/>
      <c r="E589" s="51"/>
      <c r="F589" s="51"/>
    </row>
    <row r="590" spans="1:6" x14ac:dyDescent="0.25">
      <c r="A590" s="106"/>
      <c r="B590" s="106"/>
      <c r="D590" s="51"/>
      <c r="E590" s="51"/>
      <c r="F590" s="51"/>
    </row>
    <row r="591" spans="1:6" x14ac:dyDescent="0.25">
      <c r="A591" s="106"/>
      <c r="B591" s="106"/>
      <c r="D591" s="51"/>
      <c r="E591" s="51"/>
      <c r="F591" s="51"/>
    </row>
    <row r="592" spans="1:6" x14ac:dyDescent="0.25">
      <c r="A592" s="106"/>
      <c r="B592" s="106"/>
      <c r="D592" s="51"/>
      <c r="E592" s="51"/>
      <c r="F592" s="51"/>
    </row>
    <row r="593" spans="1:6" x14ac:dyDescent="0.25">
      <c r="A593" s="106"/>
      <c r="B593" s="106"/>
      <c r="D593" s="51"/>
      <c r="E593" s="51"/>
      <c r="F593" s="51"/>
    </row>
    <row r="594" spans="1:6" x14ac:dyDescent="0.25">
      <c r="A594" s="106"/>
      <c r="B594" s="106"/>
      <c r="D594" s="51"/>
      <c r="E594" s="51"/>
      <c r="F594" s="51"/>
    </row>
    <row r="595" spans="1:6" x14ac:dyDescent="0.25">
      <c r="A595" s="106"/>
      <c r="B595" s="106"/>
      <c r="D595" s="51"/>
      <c r="E595" s="51"/>
      <c r="F595" s="51"/>
    </row>
    <row r="596" spans="1:6" x14ac:dyDescent="0.25">
      <c r="A596" s="106"/>
      <c r="B596" s="106"/>
      <c r="D596" s="51"/>
      <c r="E596" s="51"/>
      <c r="F596" s="51"/>
    </row>
    <row r="597" spans="1:6" x14ac:dyDescent="0.25">
      <c r="A597" s="106"/>
      <c r="B597" s="106"/>
      <c r="D597" s="51"/>
      <c r="E597" s="51"/>
      <c r="F597" s="51"/>
    </row>
    <row r="598" spans="1:6" x14ac:dyDescent="0.25">
      <c r="A598" s="106"/>
      <c r="B598" s="106"/>
      <c r="D598" s="51"/>
      <c r="E598" s="51"/>
      <c r="F598" s="51"/>
    </row>
    <row r="599" spans="1:6" x14ac:dyDescent="0.25">
      <c r="A599" s="106"/>
      <c r="B599" s="106"/>
      <c r="D599" s="51"/>
      <c r="E599" s="51"/>
      <c r="F599" s="51"/>
    </row>
    <row r="600" spans="1:6" x14ac:dyDescent="0.25">
      <c r="A600" s="106"/>
      <c r="B600" s="106"/>
      <c r="D600" s="51"/>
      <c r="E600" s="51"/>
      <c r="F600" s="51"/>
    </row>
    <row r="601" spans="1:6" x14ac:dyDescent="0.25">
      <c r="A601" s="106"/>
      <c r="B601" s="106"/>
      <c r="D601" s="51"/>
      <c r="E601" s="51"/>
      <c r="F601" s="51"/>
    </row>
    <row r="602" spans="1:6" x14ac:dyDescent="0.25">
      <c r="A602" s="106"/>
      <c r="B602" s="106"/>
      <c r="D602" s="51"/>
      <c r="E602" s="51"/>
      <c r="F602" s="51"/>
    </row>
    <row r="603" spans="1:6" x14ac:dyDescent="0.25">
      <c r="A603" s="106"/>
      <c r="B603" s="106"/>
      <c r="D603" s="51"/>
      <c r="E603" s="51"/>
      <c r="F603" s="51"/>
    </row>
    <row r="604" spans="1:6" x14ac:dyDescent="0.25">
      <c r="A604" s="106"/>
      <c r="B604" s="106"/>
      <c r="D604" s="51"/>
      <c r="E604" s="51"/>
      <c r="F604" s="51"/>
    </row>
    <row r="605" spans="1:6" x14ac:dyDescent="0.25">
      <c r="A605" s="106"/>
      <c r="B605" s="106"/>
      <c r="D605" s="51"/>
      <c r="E605" s="51"/>
      <c r="F605" s="51"/>
    </row>
    <row r="606" spans="1:6" x14ac:dyDescent="0.25">
      <c r="A606" s="106"/>
      <c r="B606" s="106"/>
      <c r="D606" s="51"/>
      <c r="E606" s="51"/>
      <c r="F606" s="51"/>
    </row>
    <row r="607" spans="1:6" x14ac:dyDescent="0.25">
      <c r="A607" s="106"/>
      <c r="B607" s="106"/>
      <c r="D607" s="51"/>
      <c r="E607" s="51"/>
      <c r="F607" s="51"/>
    </row>
    <row r="608" spans="1:6" x14ac:dyDescent="0.25">
      <c r="A608" s="106"/>
      <c r="B608" s="106"/>
      <c r="D608" s="51"/>
      <c r="E608" s="51"/>
      <c r="F608" s="51"/>
    </row>
    <row r="609" spans="1:6" x14ac:dyDescent="0.25">
      <c r="A609" s="106"/>
      <c r="B609" s="106"/>
      <c r="D609" s="51"/>
      <c r="E609" s="51"/>
      <c r="F609" s="51"/>
    </row>
    <row r="610" spans="1:6" x14ac:dyDescent="0.25">
      <c r="A610" s="106"/>
      <c r="B610" s="106"/>
      <c r="D610" s="51"/>
      <c r="E610" s="51"/>
      <c r="F610" s="51"/>
    </row>
    <row r="611" spans="1:6" x14ac:dyDescent="0.25">
      <c r="A611" s="106"/>
      <c r="B611" s="106"/>
      <c r="D611" s="51"/>
      <c r="E611" s="51"/>
      <c r="F611" s="51"/>
    </row>
    <row r="612" spans="1:6" x14ac:dyDescent="0.25">
      <c r="A612" s="106"/>
      <c r="B612" s="106"/>
      <c r="D612" s="51"/>
      <c r="E612" s="51"/>
      <c r="F612" s="51"/>
    </row>
    <row r="613" spans="1:6" x14ac:dyDescent="0.25">
      <c r="A613" s="106"/>
      <c r="B613" s="106"/>
      <c r="D613" s="51"/>
      <c r="E613" s="51"/>
      <c r="F613" s="51"/>
    </row>
    <row r="614" spans="1:6" x14ac:dyDescent="0.25">
      <c r="A614" s="106"/>
      <c r="B614" s="106"/>
      <c r="D614" s="51"/>
      <c r="E614" s="51"/>
      <c r="F614" s="51"/>
    </row>
    <row r="615" spans="1:6" x14ac:dyDescent="0.25">
      <c r="A615" s="106"/>
      <c r="B615" s="106"/>
      <c r="D615" s="51"/>
      <c r="E615" s="51"/>
      <c r="F615" s="51"/>
    </row>
    <row r="616" spans="1:6" x14ac:dyDescent="0.25">
      <c r="A616" s="106"/>
      <c r="B616" s="106"/>
      <c r="D616" s="51"/>
      <c r="E616" s="51"/>
      <c r="F616" s="51"/>
    </row>
    <row r="617" spans="1:6" x14ac:dyDescent="0.25">
      <c r="A617" s="106"/>
      <c r="B617" s="106"/>
      <c r="D617" s="51"/>
      <c r="E617" s="51"/>
      <c r="F617" s="51"/>
    </row>
    <row r="618" spans="1:6" x14ac:dyDescent="0.25">
      <c r="A618" s="106"/>
      <c r="B618" s="106"/>
      <c r="D618" s="51"/>
      <c r="E618" s="51"/>
      <c r="F618" s="51"/>
    </row>
    <row r="619" spans="1:6" x14ac:dyDescent="0.25">
      <c r="A619" s="106"/>
      <c r="B619" s="106"/>
      <c r="D619" s="51"/>
      <c r="E619" s="51"/>
      <c r="F619" s="51"/>
    </row>
    <row r="620" spans="1:6" x14ac:dyDescent="0.25">
      <c r="A620" s="106"/>
      <c r="B620" s="106"/>
      <c r="D620" s="51"/>
      <c r="E620" s="51"/>
      <c r="F620" s="51"/>
    </row>
    <row r="621" spans="1:6" x14ac:dyDescent="0.25">
      <c r="A621" s="106"/>
      <c r="B621" s="106"/>
      <c r="D621" s="51"/>
      <c r="E621" s="51"/>
      <c r="F621" s="51"/>
    </row>
    <row r="622" spans="1:6" x14ac:dyDescent="0.25">
      <c r="A622" s="106"/>
      <c r="B622" s="106"/>
      <c r="D622" s="51"/>
      <c r="E622" s="51"/>
      <c r="F622" s="51"/>
    </row>
    <row r="623" spans="1:6" x14ac:dyDescent="0.25">
      <c r="A623" s="106"/>
      <c r="B623" s="106"/>
      <c r="D623" s="51"/>
      <c r="E623" s="51"/>
      <c r="F623" s="51"/>
    </row>
    <row r="624" spans="1:6" x14ac:dyDescent="0.25">
      <c r="A624" s="106"/>
      <c r="B624" s="106"/>
      <c r="D624" s="51"/>
      <c r="E624" s="51"/>
      <c r="F624" s="51"/>
    </row>
    <row r="625" spans="1:6" x14ac:dyDescent="0.25">
      <c r="A625" s="106"/>
      <c r="B625" s="106"/>
      <c r="D625" s="51"/>
      <c r="E625" s="51"/>
      <c r="F625" s="51"/>
    </row>
    <row r="626" spans="1:6" x14ac:dyDescent="0.25">
      <c r="A626" s="106"/>
      <c r="B626" s="106"/>
      <c r="D626" s="51"/>
      <c r="E626" s="51"/>
      <c r="F626" s="51"/>
    </row>
    <row r="627" spans="1:6" x14ac:dyDescent="0.25">
      <c r="A627" s="107"/>
      <c r="B627" s="107"/>
      <c r="D627" s="51"/>
      <c r="E627" s="51"/>
      <c r="F627" s="51"/>
    </row>
    <row r="628" spans="1:6" x14ac:dyDescent="0.25">
      <c r="A628" s="107"/>
      <c r="B628" s="107"/>
      <c r="D628" s="51"/>
      <c r="E628" s="51"/>
      <c r="F628" s="51"/>
    </row>
    <row r="629" spans="1:6" x14ac:dyDescent="0.25">
      <c r="A629" s="107"/>
      <c r="B629" s="107"/>
      <c r="D629" s="51"/>
      <c r="E629" s="51"/>
      <c r="F629" s="51"/>
    </row>
    <row r="630" spans="1:6" x14ac:dyDescent="0.25">
      <c r="A630" s="107"/>
      <c r="B630" s="107"/>
      <c r="D630" s="51"/>
      <c r="E630" s="51"/>
      <c r="F630" s="51"/>
    </row>
    <row r="631" spans="1:6" x14ac:dyDescent="0.25">
      <c r="A631" s="107"/>
      <c r="B631" s="107"/>
      <c r="D631" s="51"/>
      <c r="E631" s="51"/>
      <c r="F631" s="51"/>
    </row>
    <row r="632" spans="1:6" x14ac:dyDescent="0.25">
      <c r="A632" s="107"/>
      <c r="B632" s="107"/>
      <c r="D632" s="51"/>
      <c r="E632" s="51"/>
      <c r="F632" s="51"/>
    </row>
    <row r="633" spans="1:6" x14ac:dyDescent="0.25">
      <c r="A633" s="107"/>
      <c r="B633" s="107"/>
      <c r="D633" s="51"/>
      <c r="E633" s="51"/>
      <c r="F633" s="51"/>
    </row>
    <row r="634" spans="1:6" x14ac:dyDescent="0.25">
      <c r="A634" s="107"/>
      <c r="B634" s="107"/>
      <c r="D634" s="51"/>
      <c r="E634" s="51"/>
      <c r="F634" s="51"/>
    </row>
    <row r="635" spans="1:6" x14ac:dyDescent="0.25">
      <c r="A635" s="107"/>
      <c r="B635" s="107"/>
      <c r="D635" s="51"/>
      <c r="E635" s="51"/>
      <c r="F635" s="51"/>
    </row>
    <row r="636" spans="1:6" x14ac:dyDescent="0.25">
      <c r="A636" s="107"/>
      <c r="B636" s="107"/>
      <c r="D636" s="51"/>
      <c r="E636" s="51"/>
      <c r="F636" s="51"/>
    </row>
    <row r="637" spans="1:6" x14ac:dyDescent="0.25">
      <c r="A637" s="107"/>
      <c r="B637" s="107"/>
      <c r="D637" s="51"/>
      <c r="E637" s="51"/>
      <c r="F637" s="51"/>
    </row>
    <row r="638" spans="1:6" x14ac:dyDescent="0.25">
      <c r="A638" s="107"/>
      <c r="B638" s="107"/>
      <c r="D638" s="51"/>
      <c r="E638" s="51"/>
      <c r="F638" s="51"/>
    </row>
    <row r="639" spans="1:6" x14ac:dyDescent="0.25">
      <c r="A639" s="107"/>
      <c r="B639" s="107"/>
      <c r="D639" s="51"/>
      <c r="E639" s="51"/>
      <c r="F639" s="51"/>
    </row>
    <row r="640" spans="1:6" x14ac:dyDescent="0.25">
      <c r="A640" s="107"/>
      <c r="B640" s="107"/>
      <c r="D640" s="51"/>
      <c r="E640" s="51"/>
      <c r="F640" s="51"/>
    </row>
    <row r="641" spans="1:6" x14ac:dyDescent="0.25">
      <c r="A641" s="107"/>
      <c r="B641" s="107"/>
      <c r="D641" s="51"/>
      <c r="E641" s="51"/>
      <c r="F641" s="51"/>
    </row>
    <row r="642" spans="1:6" x14ac:dyDescent="0.25">
      <c r="A642" s="107"/>
      <c r="B642" s="107"/>
      <c r="D642" s="51"/>
      <c r="E642" s="51"/>
      <c r="F642" s="51"/>
    </row>
    <row r="643" spans="1:6" x14ac:dyDescent="0.25">
      <c r="A643" s="107"/>
      <c r="B643" s="107"/>
      <c r="D643" s="51"/>
      <c r="E643" s="51"/>
      <c r="F643" s="51"/>
    </row>
    <row r="644" spans="1:6" x14ac:dyDescent="0.25">
      <c r="A644" s="107"/>
      <c r="B644" s="107"/>
      <c r="D644" s="51"/>
      <c r="E644" s="51"/>
      <c r="F644" s="51"/>
    </row>
    <row r="645" spans="1:6" x14ac:dyDescent="0.25">
      <c r="A645" s="107"/>
      <c r="B645" s="107"/>
      <c r="D645" s="51"/>
      <c r="E645" s="51"/>
      <c r="F645" s="51"/>
    </row>
    <row r="646" spans="1:6" x14ac:dyDescent="0.25">
      <c r="A646" s="107"/>
      <c r="B646" s="107"/>
      <c r="D646" s="51"/>
      <c r="E646" s="51"/>
      <c r="F646" s="51"/>
    </row>
    <row r="647" spans="1:6" x14ac:dyDescent="0.25">
      <c r="A647" s="107"/>
      <c r="B647" s="107"/>
      <c r="D647" s="51"/>
      <c r="E647" s="51"/>
      <c r="F647" s="51"/>
    </row>
    <row r="648" spans="1:6" x14ac:dyDescent="0.25">
      <c r="A648" s="107"/>
      <c r="B648" s="107"/>
      <c r="D648" s="51"/>
      <c r="E648" s="51"/>
      <c r="F648" s="51"/>
    </row>
    <row r="649" spans="1:6" x14ac:dyDescent="0.25">
      <c r="A649" s="107"/>
      <c r="B649" s="107"/>
      <c r="D649" s="51"/>
      <c r="E649" s="51"/>
      <c r="F649" s="51"/>
    </row>
    <row r="650" spans="1:6" x14ac:dyDescent="0.25">
      <c r="A650" s="107"/>
      <c r="B650" s="107"/>
      <c r="D650" s="51"/>
      <c r="E650" s="51"/>
      <c r="F650" s="51"/>
    </row>
    <row r="651" spans="1:6" x14ac:dyDescent="0.25">
      <c r="A651" s="107"/>
      <c r="B651" s="107"/>
      <c r="D651" s="51"/>
      <c r="E651" s="51"/>
      <c r="F651" s="51"/>
    </row>
    <row r="652" spans="1:6" x14ac:dyDescent="0.25">
      <c r="A652" s="107"/>
      <c r="B652" s="107"/>
      <c r="D652" s="51"/>
      <c r="E652" s="51"/>
      <c r="F652" s="51"/>
    </row>
    <row r="653" spans="1:6" x14ac:dyDescent="0.25">
      <c r="A653" s="107"/>
      <c r="B653" s="107"/>
      <c r="D653" s="51"/>
      <c r="E653" s="51"/>
      <c r="F653" s="51"/>
    </row>
    <row r="654" spans="1:6" x14ac:dyDescent="0.25">
      <c r="A654" s="107"/>
      <c r="B654" s="107"/>
      <c r="D654" s="51"/>
      <c r="E654" s="51"/>
      <c r="F654" s="51"/>
    </row>
    <row r="655" spans="1:6" x14ac:dyDescent="0.25">
      <c r="A655" s="107"/>
      <c r="B655" s="107"/>
      <c r="D655" s="51"/>
      <c r="E655" s="51"/>
      <c r="F655" s="51"/>
    </row>
    <row r="656" spans="1:6" x14ac:dyDescent="0.25">
      <c r="A656" s="107"/>
      <c r="B656" s="107"/>
      <c r="D656" s="51"/>
      <c r="E656" s="51"/>
      <c r="F656" s="51"/>
    </row>
    <row r="657" spans="1:6" x14ac:dyDescent="0.25">
      <c r="A657" s="107"/>
      <c r="B657" s="107"/>
      <c r="D657" s="51"/>
      <c r="E657" s="51"/>
      <c r="F657" s="51"/>
    </row>
    <row r="658" spans="1:6" x14ac:dyDescent="0.25">
      <c r="A658" s="107"/>
      <c r="B658" s="107"/>
      <c r="D658" s="51"/>
      <c r="E658" s="51"/>
      <c r="F658" s="51"/>
    </row>
    <row r="659" spans="1:6" x14ac:dyDescent="0.25">
      <c r="A659" s="107"/>
      <c r="B659" s="107"/>
      <c r="D659" s="51"/>
      <c r="E659" s="51"/>
      <c r="F659" s="51"/>
    </row>
    <row r="660" spans="1:6" x14ac:dyDescent="0.25">
      <c r="A660" s="107"/>
      <c r="B660" s="107"/>
      <c r="D660" s="51"/>
      <c r="E660" s="51"/>
      <c r="F660" s="51"/>
    </row>
    <row r="661" spans="1:6" x14ac:dyDescent="0.25">
      <c r="A661" s="107"/>
      <c r="B661" s="107"/>
      <c r="D661" s="51"/>
      <c r="E661" s="51"/>
      <c r="F661" s="51"/>
    </row>
    <row r="662" spans="1:6" x14ac:dyDescent="0.25">
      <c r="A662" s="107"/>
      <c r="B662" s="107"/>
      <c r="D662" s="51"/>
      <c r="E662" s="51"/>
      <c r="F662" s="51"/>
    </row>
    <row r="663" spans="1:6" x14ac:dyDescent="0.25">
      <c r="A663" s="107"/>
      <c r="B663" s="107"/>
      <c r="D663" s="51"/>
      <c r="E663" s="51"/>
      <c r="F663" s="51"/>
    </row>
    <row r="664" spans="1:6" x14ac:dyDescent="0.25">
      <c r="A664" s="107"/>
      <c r="B664" s="107"/>
      <c r="D664" s="51"/>
      <c r="E664" s="51"/>
      <c r="F664" s="51"/>
    </row>
    <row r="665" spans="1:6" x14ac:dyDescent="0.25">
      <c r="A665" s="107"/>
      <c r="B665" s="107"/>
      <c r="D665" s="51"/>
      <c r="E665" s="51"/>
      <c r="F665" s="51"/>
    </row>
    <row r="666" spans="1:6" x14ac:dyDescent="0.25">
      <c r="A666" s="107"/>
      <c r="B666" s="107"/>
      <c r="D666" s="51"/>
      <c r="E666" s="51"/>
      <c r="F666" s="51"/>
    </row>
    <row r="667" spans="1:6" x14ac:dyDescent="0.25">
      <c r="A667" s="107"/>
      <c r="B667" s="107"/>
      <c r="D667" s="51"/>
      <c r="E667" s="51"/>
      <c r="F667" s="51"/>
    </row>
    <row r="668" spans="1:6" x14ac:dyDescent="0.25">
      <c r="A668" s="107"/>
      <c r="B668" s="107"/>
      <c r="D668" s="51"/>
      <c r="E668" s="51"/>
      <c r="F668" s="51"/>
    </row>
    <row r="669" spans="1:6" x14ac:dyDescent="0.25">
      <c r="A669" s="107"/>
      <c r="B669" s="107"/>
      <c r="D669" s="51"/>
      <c r="E669" s="51"/>
      <c r="F669" s="51"/>
    </row>
    <row r="670" spans="1:6" x14ac:dyDescent="0.25">
      <c r="A670" s="107"/>
      <c r="B670" s="107"/>
      <c r="D670" s="51"/>
      <c r="E670" s="51"/>
      <c r="F670" s="51"/>
    </row>
    <row r="671" spans="1:6" x14ac:dyDescent="0.25">
      <c r="A671" s="107"/>
      <c r="B671" s="107"/>
      <c r="D671" s="51"/>
      <c r="E671" s="51"/>
      <c r="F671" s="51"/>
    </row>
    <row r="672" spans="1:6" x14ac:dyDescent="0.25">
      <c r="A672" s="107"/>
      <c r="B672" s="107"/>
      <c r="D672" s="51"/>
      <c r="E672" s="51"/>
      <c r="F672" s="51"/>
    </row>
    <row r="673" spans="1:6" x14ac:dyDescent="0.25">
      <c r="A673" s="107"/>
      <c r="B673" s="107"/>
      <c r="D673" s="51"/>
      <c r="E673" s="51"/>
      <c r="F673" s="51"/>
    </row>
    <row r="674" spans="1:6" x14ac:dyDescent="0.25">
      <c r="A674" s="107"/>
      <c r="B674" s="107"/>
      <c r="D674" s="51"/>
      <c r="E674" s="51"/>
    </row>
    <row r="675" spans="1:6" x14ac:dyDescent="0.25">
      <c r="A675" s="107"/>
      <c r="B675" s="107"/>
      <c r="D675" s="51"/>
      <c r="E675" s="51"/>
    </row>
    <row r="676" spans="1:6" x14ac:dyDescent="0.25">
      <c r="A676" s="107"/>
      <c r="B676" s="107"/>
      <c r="D676" s="51"/>
      <c r="E676" s="51"/>
    </row>
    <row r="677" spans="1:6" x14ac:dyDescent="0.25">
      <c r="A677" s="107"/>
      <c r="B677" s="107"/>
      <c r="D677" s="51"/>
      <c r="E677" s="51"/>
    </row>
    <row r="678" spans="1:6" x14ac:dyDescent="0.25">
      <c r="A678" s="107"/>
      <c r="B678" s="107"/>
      <c r="D678" s="51"/>
      <c r="E678" s="51"/>
    </row>
    <row r="679" spans="1:6" x14ac:dyDescent="0.25">
      <c r="A679" s="107"/>
      <c r="B679" s="107"/>
      <c r="D679" s="51"/>
      <c r="E679" s="51"/>
    </row>
    <row r="680" spans="1:6" x14ac:dyDescent="0.25">
      <c r="A680" s="107"/>
      <c r="B680" s="107"/>
      <c r="D680" s="51"/>
      <c r="E680" s="51"/>
    </row>
    <row r="681" spans="1:6" x14ac:dyDescent="0.25">
      <c r="A681" s="107"/>
      <c r="B681" s="107"/>
      <c r="D681" s="51"/>
      <c r="E681" s="51"/>
    </row>
    <row r="682" spans="1:6" x14ac:dyDescent="0.25">
      <c r="A682" s="107"/>
      <c r="B682" s="107"/>
      <c r="D682" s="51"/>
      <c r="E682" s="51"/>
    </row>
    <row r="683" spans="1:6" x14ac:dyDescent="0.25">
      <c r="A683" s="107"/>
      <c r="B683" s="107"/>
      <c r="D683" s="51"/>
      <c r="E683" s="51"/>
    </row>
    <row r="684" spans="1:6" x14ac:dyDescent="0.25">
      <c r="A684" s="107"/>
      <c r="B684" s="107"/>
      <c r="D684" s="51"/>
      <c r="E684" s="51"/>
    </row>
    <row r="685" spans="1:6" x14ac:dyDescent="0.25">
      <c r="A685" s="107"/>
      <c r="B685" s="107"/>
      <c r="D685" s="51"/>
      <c r="E685" s="51"/>
    </row>
    <row r="686" spans="1:6" x14ac:dyDescent="0.25">
      <c r="A686" s="107"/>
      <c r="B686" s="107"/>
      <c r="D686" s="51"/>
      <c r="E686" s="51"/>
    </row>
    <row r="687" spans="1:6" x14ac:dyDescent="0.25">
      <c r="A687" s="107"/>
      <c r="B687" s="107"/>
      <c r="D687" s="51"/>
      <c r="E687" s="51"/>
    </row>
    <row r="688" spans="1:6" x14ac:dyDescent="0.25">
      <c r="A688" s="107"/>
      <c r="B688" s="107"/>
      <c r="D688" s="51"/>
      <c r="E688" s="51"/>
    </row>
    <row r="689" spans="1:5" x14ac:dyDescent="0.25">
      <c r="A689" s="107"/>
      <c r="B689" s="107"/>
      <c r="D689" s="51"/>
      <c r="E689" s="51"/>
    </row>
    <row r="690" spans="1:5" x14ac:dyDescent="0.25">
      <c r="A690" s="107"/>
      <c r="B690" s="107"/>
      <c r="D690" s="51"/>
      <c r="E690" s="51"/>
    </row>
    <row r="691" spans="1:5" x14ac:dyDescent="0.25">
      <c r="A691" s="107"/>
      <c r="B691" s="107"/>
      <c r="D691" s="51"/>
      <c r="E691" s="51"/>
    </row>
    <row r="692" spans="1:5" x14ac:dyDescent="0.25">
      <c r="A692" s="107"/>
      <c r="B692" s="107"/>
      <c r="D692" s="51"/>
      <c r="E692" s="51"/>
    </row>
    <row r="693" spans="1:5" x14ac:dyDescent="0.25">
      <c r="A693" s="107"/>
      <c r="B693" s="107"/>
      <c r="D693" s="51"/>
      <c r="E693" s="51"/>
    </row>
    <row r="694" spans="1:5" x14ac:dyDescent="0.25">
      <c r="A694" s="107"/>
      <c r="B694" s="107"/>
      <c r="D694" s="51"/>
      <c r="E694" s="51"/>
    </row>
    <row r="695" spans="1:5" x14ac:dyDescent="0.25">
      <c r="A695" s="107"/>
      <c r="B695" s="107"/>
      <c r="D695" s="51"/>
      <c r="E695" s="5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C55-437F-44DC-9181-CA2E2D4965D1}">
  <sheetPr>
    <tabColor rgb="FF92D050"/>
  </sheetPr>
  <dimension ref="A1:J67"/>
  <sheetViews>
    <sheetView showGridLines="0" workbookViewId="0">
      <selection activeCell="B14" sqref="B14"/>
    </sheetView>
  </sheetViews>
  <sheetFormatPr defaultRowHeight="15" x14ac:dyDescent="0.25"/>
  <cols>
    <col min="1" max="10" width="17.5703125" customWidth="1"/>
  </cols>
  <sheetData>
    <row r="1" spans="1:10" ht="17.25" x14ac:dyDescent="0.3">
      <c r="A1" s="297" t="s">
        <v>3857</v>
      </c>
    </row>
    <row r="2" spans="1:10" x14ac:dyDescent="0.25">
      <c r="A2" s="338" t="s">
        <v>3858</v>
      </c>
      <c r="B2" s="339"/>
      <c r="C2" s="339"/>
      <c r="D2" s="340">
        <v>1</v>
      </c>
      <c r="F2" s="322" t="s">
        <v>3869</v>
      </c>
      <c r="G2" s="323">
        <f>SUM(KMRUN[ACTUAL KM])</f>
        <v>630420</v>
      </c>
      <c r="H2" s="324"/>
      <c r="I2" s="322" t="s">
        <v>3871</v>
      </c>
      <c r="J2" s="326">
        <f>IFERROR($G$2/$G$3,"")</f>
        <v>0.700466666666667</v>
      </c>
    </row>
    <row r="3" spans="1:10" x14ac:dyDescent="0.25">
      <c r="A3" s="338" t="s">
        <v>3859</v>
      </c>
      <c r="B3" s="339"/>
      <c r="C3" s="339"/>
      <c r="D3" s="341">
        <v>15000</v>
      </c>
      <c r="F3" s="322" t="s">
        <v>3870</v>
      </c>
      <c r="G3" s="323">
        <f>SUM(KMRUN[TARGET KM])</f>
        <v>900000</v>
      </c>
      <c r="H3" s="324"/>
      <c r="I3" s="322" t="s">
        <v>3872</v>
      </c>
      <c r="J3" s="327" t="str">
        <f>COUNTIF(KMRUN[UTILISATION %],"&gt;=1")&amp;" of "&amp;SUMPRODUCT(--(KMRUN[TRUCK NO.]&lt;&gt;""))</f>
        <v>2 of 60</v>
      </c>
    </row>
    <row r="4" spans="1:10" x14ac:dyDescent="0.25">
      <c r="F4" s="324"/>
      <c r="G4" s="324"/>
      <c r="H4" s="324"/>
      <c r="I4" s="322" t="s">
        <v>3873</v>
      </c>
      <c r="J4" s="325">
        <f>SUM(KMRUN[INCENTIVE (₹)])</f>
        <v>450</v>
      </c>
    </row>
    <row r="6" spans="1:10" ht="32.1" customHeight="1" x14ac:dyDescent="0.25">
      <c r="A6" s="329" t="s">
        <v>3707</v>
      </c>
      <c r="B6" s="329" t="s">
        <v>3860</v>
      </c>
      <c r="C6" s="329" t="s">
        <v>3861</v>
      </c>
      <c r="D6" s="329" t="s">
        <v>3862</v>
      </c>
      <c r="E6" s="329" t="s">
        <v>3863</v>
      </c>
      <c r="F6" s="329" t="s">
        <v>3864</v>
      </c>
      <c r="G6" s="329" t="s">
        <v>3865</v>
      </c>
      <c r="H6" s="329" t="s">
        <v>3866</v>
      </c>
      <c r="I6" s="329" t="s">
        <v>3867</v>
      </c>
      <c r="J6" s="329" t="s">
        <v>3868</v>
      </c>
    </row>
    <row r="7" spans="1:10" x14ac:dyDescent="0.25">
      <c r="A7" s="342">
        <v>46082</v>
      </c>
      <c r="B7" s="346" t="s">
        <v>3874</v>
      </c>
      <c r="C7" s="310" t="s">
        <v>2965</v>
      </c>
      <c r="D7" s="310" t="s">
        <v>2901</v>
      </c>
      <c r="E7" s="310" t="s">
        <v>2902</v>
      </c>
      <c r="F7" s="343">
        <v>12830</v>
      </c>
      <c r="G7" s="343">
        <v>15000</v>
      </c>
      <c r="H7" s="344">
        <f>IF(OR($F7="",$G7=""),"",$F7-$G7)</f>
        <v>-2170</v>
      </c>
      <c r="I7" s="314">
        <f>IF(OR($F7="",$G7="",$G7=0),"",$F7/$G7)</f>
        <v>0.855333333333333</v>
      </c>
      <c r="J7" s="345">
        <f>IF($H7="","",MAX(0,$H7)*$D$2)</f>
        <v>0</v>
      </c>
    </row>
    <row r="8" spans="1:10" x14ac:dyDescent="0.25">
      <c r="A8" s="342">
        <v>46082</v>
      </c>
      <c r="B8" s="346" t="s">
        <v>2929</v>
      </c>
      <c r="C8" s="310" t="s">
        <v>2965</v>
      </c>
      <c r="D8" s="310" t="s">
        <v>2901</v>
      </c>
      <c r="E8" s="310" t="s">
        <v>2968</v>
      </c>
      <c r="F8" s="343">
        <v>13420</v>
      </c>
      <c r="G8" s="343">
        <v>15000</v>
      </c>
      <c r="H8" s="344">
        <f t="shared" ref="H8:H66" si="0">IF(OR($F8="",$G8=""),"",$F8-$G8)</f>
        <v>-1580</v>
      </c>
      <c r="I8" s="314">
        <f t="shared" ref="I8:I66" si="1">IF(OR($F8="",$G8="",$G8=0),"",$F8/$G8)</f>
        <v>0.894666666666667</v>
      </c>
      <c r="J8" s="345">
        <f t="shared" ref="J8:J66" si="2">IF($H8="","",MAX(0,$H8)*$D$2)</f>
        <v>0</v>
      </c>
    </row>
    <row r="9" spans="1:10" x14ac:dyDescent="0.25">
      <c r="A9" s="342">
        <v>46082</v>
      </c>
      <c r="B9" s="346" t="s">
        <v>3875</v>
      </c>
      <c r="C9" s="310" t="s">
        <v>2965</v>
      </c>
      <c r="D9" s="310" t="s">
        <v>2901</v>
      </c>
      <c r="E9" s="310" t="s">
        <v>2969</v>
      </c>
      <c r="F9" s="343">
        <v>12150</v>
      </c>
      <c r="G9" s="343">
        <v>15000</v>
      </c>
      <c r="H9" s="344">
        <f t="shared" si="0"/>
        <v>-2850</v>
      </c>
      <c r="I9" s="314">
        <f t="shared" si="1"/>
        <v>0.81</v>
      </c>
      <c r="J9" s="345">
        <f t="shared" si="2"/>
        <v>0</v>
      </c>
    </row>
    <row r="10" spans="1:10" x14ac:dyDescent="0.25">
      <c r="A10" s="342">
        <v>46082</v>
      </c>
      <c r="B10" s="346" t="s">
        <v>3876</v>
      </c>
      <c r="C10" s="310" t="s">
        <v>2965</v>
      </c>
      <c r="D10" s="310" t="s">
        <v>2901</v>
      </c>
      <c r="E10" s="310" t="s">
        <v>2936</v>
      </c>
      <c r="F10" s="343">
        <v>9950</v>
      </c>
      <c r="G10" s="343">
        <v>15000</v>
      </c>
      <c r="H10" s="344">
        <f t="shared" si="0"/>
        <v>-5050</v>
      </c>
      <c r="I10" s="314">
        <f t="shared" si="1"/>
        <v>0.663333333333333</v>
      </c>
      <c r="J10" s="345">
        <f t="shared" si="2"/>
        <v>0</v>
      </c>
    </row>
    <row r="11" spans="1:10" x14ac:dyDescent="0.25">
      <c r="A11" s="342">
        <v>46082</v>
      </c>
      <c r="B11" s="346" t="s">
        <v>3877</v>
      </c>
      <c r="C11" s="310" t="s">
        <v>2966</v>
      </c>
      <c r="D11" s="310" t="s">
        <v>2901</v>
      </c>
      <c r="E11" s="310" t="s">
        <v>2970</v>
      </c>
      <c r="F11" s="343">
        <v>12500</v>
      </c>
      <c r="G11" s="343">
        <v>15000</v>
      </c>
      <c r="H11" s="344">
        <f t="shared" si="0"/>
        <v>-2500</v>
      </c>
      <c r="I11" s="314">
        <f t="shared" si="1"/>
        <v>0.833333333333333</v>
      </c>
      <c r="J11" s="345">
        <f t="shared" si="2"/>
        <v>0</v>
      </c>
    </row>
    <row r="12" spans="1:10" x14ac:dyDescent="0.25">
      <c r="A12" s="342">
        <v>46082</v>
      </c>
      <c r="B12" s="346" t="s">
        <v>3878</v>
      </c>
      <c r="C12" s="310" t="s">
        <v>2966</v>
      </c>
      <c r="D12" s="310" t="s">
        <v>2967</v>
      </c>
      <c r="E12" s="310" t="s">
        <v>2971</v>
      </c>
      <c r="F12" s="343">
        <v>6500</v>
      </c>
      <c r="G12" s="343">
        <v>15000</v>
      </c>
      <c r="H12" s="344">
        <f t="shared" si="0"/>
        <v>-8500</v>
      </c>
      <c r="I12" s="314">
        <f t="shared" si="1"/>
        <v>0.433333333333333</v>
      </c>
      <c r="J12" s="345">
        <f t="shared" si="2"/>
        <v>0</v>
      </c>
    </row>
    <row r="13" spans="1:10" x14ac:dyDescent="0.25">
      <c r="A13" s="342">
        <v>46082</v>
      </c>
      <c r="B13" s="346" t="s">
        <v>3879</v>
      </c>
      <c r="C13" s="310" t="s">
        <v>2965</v>
      </c>
      <c r="D13" s="310" t="s">
        <v>2901</v>
      </c>
      <c r="E13" s="310" t="s">
        <v>2956</v>
      </c>
      <c r="F13" s="343"/>
      <c r="G13" s="343">
        <v>15000</v>
      </c>
      <c r="H13" s="344" t="str">
        <f t="shared" si="0"/>
        <v/>
      </c>
      <c r="I13" s="314" t="str">
        <f t="shared" si="1"/>
        <v/>
      </c>
      <c r="J13" s="345" t="str">
        <f t="shared" si="2"/>
        <v/>
      </c>
    </row>
    <row r="14" spans="1:10" x14ac:dyDescent="0.25">
      <c r="A14" s="342">
        <v>46082</v>
      </c>
      <c r="B14" s="346" t="s">
        <v>3880</v>
      </c>
      <c r="C14" s="310" t="s">
        <v>2965</v>
      </c>
      <c r="D14" s="310" t="s">
        <v>2901</v>
      </c>
      <c r="E14" s="310" t="s">
        <v>2958</v>
      </c>
      <c r="F14" s="343">
        <v>0</v>
      </c>
      <c r="G14" s="343">
        <v>15000</v>
      </c>
      <c r="H14" s="344">
        <f t="shared" si="0"/>
        <v>-15000</v>
      </c>
      <c r="I14" s="314">
        <f t="shared" si="1"/>
        <v>0</v>
      </c>
      <c r="J14" s="345">
        <f t="shared" si="2"/>
        <v>0</v>
      </c>
    </row>
    <row r="15" spans="1:10" x14ac:dyDescent="0.25">
      <c r="A15" s="342">
        <v>46082</v>
      </c>
      <c r="B15" s="346" t="s">
        <v>3881</v>
      </c>
      <c r="C15" s="310" t="s">
        <v>2965</v>
      </c>
      <c r="D15" s="310" t="s">
        <v>2901</v>
      </c>
      <c r="E15" s="310" t="s">
        <v>2960</v>
      </c>
      <c r="F15" s="343">
        <v>0</v>
      </c>
      <c r="G15" s="343">
        <v>15000</v>
      </c>
      <c r="H15" s="344">
        <f t="shared" si="0"/>
        <v>-15000</v>
      </c>
      <c r="I15" s="314">
        <f t="shared" si="1"/>
        <v>0</v>
      </c>
      <c r="J15" s="345">
        <f t="shared" si="2"/>
        <v>0</v>
      </c>
    </row>
    <row r="16" spans="1:10" s="391" customFormat="1" ht="15.75" thickBot="1" x14ac:dyDescent="0.3">
      <c r="A16" s="384">
        <v>46082</v>
      </c>
      <c r="B16" s="385" t="s">
        <v>3882</v>
      </c>
      <c r="C16" s="386" t="s">
        <v>2965</v>
      </c>
      <c r="D16" s="386" t="s">
        <v>2901</v>
      </c>
      <c r="E16" s="386" t="s">
        <v>2961</v>
      </c>
      <c r="F16" s="387">
        <v>0</v>
      </c>
      <c r="G16" s="387">
        <v>15000</v>
      </c>
      <c r="H16" s="388">
        <f t="shared" si="0"/>
        <v>-15000</v>
      </c>
      <c r="I16" s="389">
        <f t="shared" si="1"/>
        <v>0</v>
      </c>
      <c r="J16" s="390">
        <f t="shared" si="2"/>
        <v>0</v>
      </c>
    </row>
    <row r="17" spans="1:10" x14ac:dyDescent="0.25">
      <c r="A17" s="342">
        <v>46113</v>
      </c>
      <c r="B17" s="346" t="s">
        <v>3874</v>
      </c>
      <c r="C17" s="310" t="s">
        <v>2965</v>
      </c>
      <c r="D17" s="310" t="s">
        <v>2901</v>
      </c>
      <c r="E17" s="310" t="s">
        <v>2902</v>
      </c>
      <c r="F17" s="343">
        <v>10600</v>
      </c>
      <c r="G17" s="343">
        <v>15000</v>
      </c>
      <c r="H17" s="344">
        <f t="shared" si="0"/>
        <v>-4400</v>
      </c>
      <c r="I17" s="314">
        <f t="shared" si="1"/>
        <v>0.706666666666667</v>
      </c>
      <c r="J17" s="345">
        <f t="shared" si="2"/>
        <v>0</v>
      </c>
    </row>
    <row r="18" spans="1:10" x14ac:dyDescent="0.25">
      <c r="A18" s="342">
        <v>46113</v>
      </c>
      <c r="B18" s="346" t="s">
        <v>2929</v>
      </c>
      <c r="C18" s="310" t="s">
        <v>2965</v>
      </c>
      <c r="D18" s="310" t="s">
        <v>2901</v>
      </c>
      <c r="E18" s="310" t="s">
        <v>2968</v>
      </c>
      <c r="F18" s="343">
        <v>10880</v>
      </c>
      <c r="G18" s="343">
        <v>15000</v>
      </c>
      <c r="H18" s="344">
        <f t="shared" si="0"/>
        <v>-4120</v>
      </c>
      <c r="I18" s="314">
        <f t="shared" si="1"/>
        <v>0.725333333333333</v>
      </c>
      <c r="J18" s="345">
        <f t="shared" si="2"/>
        <v>0</v>
      </c>
    </row>
    <row r="19" spans="1:10" x14ac:dyDescent="0.25">
      <c r="A19" s="342">
        <v>46113</v>
      </c>
      <c r="B19" s="346" t="s">
        <v>3875</v>
      </c>
      <c r="C19" s="310" t="s">
        <v>2965</v>
      </c>
      <c r="D19" s="310" t="s">
        <v>2901</v>
      </c>
      <c r="E19" s="310" t="s">
        <v>3120</v>
      </c>
      <c r="F19" s="343">
        <v>11250</v>
      </c>
      <c r="G19" s="343">
        <v>15000</v>
      </c>
      <c r="H19" s="344">
        <f t="shared" si="0"/>
        <v>-3750</v>
      </c>
      <c r="I19" s="314">
        <f t="shared" si="1"/>
        <v>0.75</v>
      </c>
      <c r="J19" s="345">
        <f t="shared" si="2"/>
        <v>0</v>
      </c>
    </row>
    <row r="20" spans="1:10" x14ac:dyDescent="0.25">
      <c r="A20" s="342">
        <v>46113</v>
      </c>
      <c r="B20" s="346" t="s">
        <v>3876</v>
      </c>
      <c r="C20" s="310" t="s">
        <v>2965</v>
      </c>
      <c r="D20" s="310" t="s">
        <v>2901</v>
      </c>
      <c r="E20" s="310" t="s">
        <v>2936</v>
      </c>
      <c r="F20" s="343">
        <v>12970</v>
      </c>
      <c r="G20" s="343">
        <v>15000</v>
      </c>
      <c r="H20" s="344">
        <f t="shared" si="0"/>
        <v>-2030</v>
      </c>
      <c r="I20" s="314">
        <f t="shared" si="1"/>
        <v>0.864666666666667</v>
      </c>
      <c r="J20" s="345">
        <f t="shared" si="2"/>
        <v>0</v>
      </c>
    </row>
    <row r="21" spans="1:10" x14ac:dyDescent="0.25">
      <c r="A21" s="342">
        <v>46113</v>
      </c>
      <c r="B21" s="346" t="s">
        <v>3877</v>
      </c>
      <c r="C21" s="310" t="s">
        <v>2966</v>
      </c>
      <c r="D21" s="310" t="s">
        <v>2901</v>
      </c>
      <c r="E21" s="310" t="s">
        <v>2970</v>
      </c>
      <c r="F21" s="343">
        <v>6500</v>
      </c>
      <c r="G21" s="343">
        <v>15000</v>
      </c>
      <c r="H21" s="344">
        <f t="shared" si="0"/>
        <v>-8500</v>
      </c>
      <c r="I21" s="314">
        <f t="shared" si="1"/>
        <v>0.433333333333333</v>
      </c>
      <c r="J21" s="345">
        <f t="shared" si="2"/>
        <v>0</v>
      </c>
    </row>
    <row r="22" spans="1:10" x14ac:dyDescent="0.25">
      <c r="A22" s="342">
        <v>46113</v>
      </c>
      <c r="B22" s="346" t="s">
        <v>3878</v>
      </c>
      <c r="C22" s="310" t="s">
        <v>2966</v>
      </c>
      <c r="D22" s="310" t="s">
        <v>2967</v>
      </c>
      <c r="E22" s="310" t="s">
        <v>3202</v>
      </c>
      <c r="F22" s="343">
        <v>8250</v>
      </c>
      <c r="G22" s="343">
        <v>15000</v>
      </c>
      <c r="H22" s="344">
        <f t="shared" si="0"/>
        <v>-6750</v>
      </c>
      <c r="I22" s="314">
        <f t="shared" si="1"/>
        <v>0.55</v>
      </c>
      <c r="J22" s="345">
        <f t="shared" si="2"/>
        <v>0</v>
      </c>
    </row>
    <row r="23" spans="1:10" x14ac:dyDescent="0.25">
      <c r="A23" s="342">
        <v>46113</v>
      </c>
      <c r="B23" s="346" t="s">
        <v>3879</v>
      </c>
      <c r="C23" s="310" t="s">
        <v>2965</v>
      </c>
      <c r="D23" s="310" t="s">
        <v>2901</v>
      </c>
      <c r="E23" s="310" t="s">
        <v>2956</v>
      </c>
      <c r="F23" s="343">
        <v>11550</v>
      </c>
      <c r="G23" s="343">
        <v>15000</v>
      </c>
      <c r="H23" s="344">
        <f t="shared" si="0"/>
        <v>-3450</v>
      </c>
      <c r="I23" s="314">
        <f t="shared" si="1"/>
        <v>0.77</v>
      </c>
      <c r="J23" s="345">
        <f t="shared" si="2"/>
        <v>0</v>
      </c>
    </row>
    <row r="24" spans="1:10" x14ac:dyDescent="0.25">
      <c r="A24" s="342">
        <v>46113</v>
      </c>
      <c r="B24" s="346" t="s">
        <v>3880</v>
      </c>
      <c r="C24" s="310" t="s">
        <v>2965</v>
      </c>
      <c r="D24" s="310" t="s">
        <v>2901</v>
      </c>
      <c r="E24" s="310" t="s">
        <v>2958</v>
      </c>
      <c r="F24" s="343">
        <v>13020</v>
      </c>
      <c r="G24" s="343">
        <v>15000</v>
      </c>
      <c r="H24" s="344">
        <f t="shared" si="0"/>
        <v>-1980</v>
      </c>
      <c r="I24" s="314">
        <f t="shared" si="1"/>
        <v>0.868</v>
      </c>
      <c r="J24" s="345">
        <f t="shared" si="2"/>
        <v>0</v>
      </c>
    </row>
    <row r="25" spans="1:10" x14ac:dyDescent="0.25">
      <c r="A25" s="342">
        <v>46113</v>
      </c>
      <c r="B25" s="346" t="s">
        <v>3881</v>
      </c>
      <c r="C25" s="310" t="s">
        <v>2965</v>
      </c>
      <c r="D25" s="310" t="s">
        <v>2901</v>
      </c>
      <c r="E25" s="310" t="s">
        <v>2960</v>
      </c>
      <c r="F25" s="343">
        <v>6350</v>
      </c>
      <c r="G25" s="343">
        <v>15000</v>
      </c>
      <c r="H25" s="344">
        <f t="shared" si="0"/>
        <v>-8650</v>
      </c>
      <c r="I25" s="314">
        <f t="shared" si="1"/>
        <v>0.423333333333333</v>
      </c>
      <c r="J25" s="345">
        <f t="shared" si="2"/>
        <v>0</v>
      </c>
    </row>
    <row r="26" spans="1:10" s="391" customFormat="1" ht="15.75" thickBot="1" x14ac:dyDescent="0.3">
      <c r="A26" s="384">
        <v>46113</v>
      </c>
      <c r="B26" s="385" t="s">
        <v>3882</v>
      </c>
      <c r="C26" s="386" t="s">
        <v>2965</v>
      </c>
      <c r="D26" s="386" t="s">
        <v>2901</v>
      </c>
      <c r="E26" s="386" t="s">
        <v>2961</v>
      </c>
      <c r="F26" s="387">
        <v>8100</v>
      </c>
      <c r="G26" s="387">
        <v>15000</v>
      </c>
      <c r="H26" s="388">
        <f t="shared" si="0"/>
        <v>-6900</v>
      </c>
      <c r="I26" s="389">
        <f t="shared" si="1"/>
        <v>0.54</v>
      </c>
      <c r="J26" s="390">
        <f t="shared" si="2"/>
        <v>0</v>
      </c>
    </row>
    <row r="27" spans="1:10" x14ac:dyDescent="0.25">
      <c r="A27" s="342">
        <v>46143</v>
      </c>
      <c r="B27" s="346" t="s">
        <v>3874</v>
      </c>
      <c r="C27" s="310" t="s">
        <v>2965</v>
      </c>
      <c r="D27" s="310" t="s">
        <v>2901</v>
      </c>
      <c r="E27" s="310" t="s">
        <v>2902</v>
      </c>
      <c r="F27" s="343">
        <v>12550</v>
      </c>
      <c r="G27" s="343">
        <v>15000</v>
      </c>
      <c r="H27" s="344">
        <f t="shared" si="0"/>
        <v>-2450</v>
      </c>
      <c r="I27" s="314">
        <f t="shared" si="1"/>
        <v>0.836666666666667</v>
      </c>
      <c r="J27" s="345">
        <f t="shared" si="2"/>
        <v>0</v>
      </c>
    </row>
    <row r="28" spans="1:10" x14ac:dyDescent="0.25">
      <c r="A28" s="342">
        <v>46143</v>
      </c>
      <c r="B28" s="346" t="s">
        <v>2929</v>
      </c>
      <c r="C28" s="310" t="s">
        <v>2965</v>
      </c>
      <c r="D28" s="310" t="s">
        <v>2901</v>
      </c>
      <c r="E28" s="310" t="s">
        <v>2968</v>
      </c>
      <c r="F28" s="343">
        <v>9500</v>
      </c>
      <c r="G28" s="343">
        <v>15000</v>
      </c>
      <c r="H28" s="344">
        <f t="shared" si="0"/>
        <v>-5500</v>
      </c>
      <c r="I28" s="314">
        <f t="shared" si="1"/>
        <v>0.633333333333333</v>
      </c>
      <c r="J28" s="345">
        <f t="shared" si="2"/>
        <v>0</v>
      </c>
    </row>
    <row r="29" spans="1:10" x14ac:dyDescent="0.25">
      <c r="A29" s="342">
        <v>46143</v>
      </c>
      <c r="B29" s="346" t="s">
        <v>3875</v>
      </c>
      <c r="C29" s="310" t="s">
        <v>2965</v>
      </c>
      <c r="D29" s="310" t="s">
        <v>2901</v>
      </c>
      <c r="E29" s="310" t="s">
        <v>3120</v>
      </c>
      <c r="F29" s="343">
        <v>11550</v>
      </c>
      <c r="G29" s="343">
        <v>15000</v>
      </c>
      <c r="H29" s="344">
        <f t="shared" si="0"/>
        <v>-3450</v>
      </c>
      <c r="I29" s="314">
        <f t="shared" si="1"/>
        <v>0.77</v>
      </c>
      <c r="J29" s="345">
        <f t="shared" si="2"/>
        <v>0</v>
      </c>
    </row>
    <row r="30" spans="1:10" x14ac:dyDescent="0.25">
      <c r="A30" s="342">
        <v>46143</v>
      </c>
      <c r="B30" s="346" t="s">
        <v>3876</v>
      </c>
      <c r="C30" s="310" t="s">
        <v>2965</v>
      </c>
      <c r="D30" s="310" t="s">
        <v>2901</v>
      </c>
      <c r="E30" s="310" t="s">
        <v>2936</v>
      </c>
      <c r="F30" s="343">
        <v>14300</v>
      </c>
      <c r="G30" s="343">
        <v>15000</v>
      </c>
      <c r="H30" s="344">
        <f t="shared" si="0"/>
        <v>-700</v>
      </c>
      <c r="I30" s="314">
        <f t="shared" si="1"/>
        <v>0.953333333333333</v>
      </c>
      <c r="J30" s="345">
        <f t="shared" si="2"/>
        <v>0</v>
      </c>
    </row>
    <row r="31" spans="1:10" x14ac:dyDescent="0.25">
      <c r="A31" s="342">
        <v>46143</v>
      </c>
      <c r="B31" s="346" t="s">
        <v>3877</v>
      </c>
      <c r="C31" s="310" t="s">
        <v>2966</v>
      </c>
      <c r="D31" s="310" t="s">
        <v>2901</v>
      </c>
      <c r="E31" s="310" t="s">
        <v>2970</v>
      </c>
      <c r="F31" s="343">
        <v>11600</v>
      </c>
      <c r="G31" s="343">
        <v>15000</v>
      </c>
      <c r="H31" s="344">
        <f t="shared" si="0"/>
        <v>-3400</v>
      </c>
      <c r="I31" s="314">
        <f t="shared" si="1"/>
        <v>0.773333333333333</v>
      </c>
      <c r="J31" s="345">
        <f t="shared" si="2"/>
        <v>0</v>
      </c>
    </row>
    <row r="32" spans="1:10" x14ac:dyDescent="0.25">
      <c r="A32" s="342">
        <v>46143</v>
      </c>
      <c r="B32" s="346" t="s">
        <v>3878</v>
      </c>
      <c r="C32" s="310" t="s">
        <v>2966</v>
      </c>
      <c r="D32" s="310" t="s">
        <v>2967</v>
      </c>
      <c r="E32" s="310" t="s">
        <v>3202</v>
      </c>
      <c r="F32" s="343">
        <v>13000</v>
      </c>
      <c r="G32" s="343">
        <v>15000</v>
      </c>
      <c r="H32" s="344">
        <f t="shared" si="0"/>
        <v>-2000</v>
      </c>
      <c r="I32" s="314">
        <f t="shared" si="1"/>
        <v>0.866666666666667</v>
      </c>
      <c r="J32" s="345">
        <f t="shared" si="2"/>
        <v>0</v>
      </c>
    </row>
    <row r="33" spans="1:10" x14ac:dyDescent="0.25">
      <c r="A33" s="342">
        <v>46143</v>
      </c>
      <c r="B33" s="346" t="s">
        <v>3879</v>
      </c>
      <c r="C33" s="310" t="s">
        <v>2965</v>
      </c>
      <c r="D33" s="310" t="s">
        <v>2901</v>
      </c>
      <c r="E33" s="310" t="s">
        <v>2956</v>
      </c>
      <c r="F33" s="343">
        <v>10600</v>
      </c>
      <c r="G33" s="343">
        <v>15000</v>
      </c>
      <c r="H33" s="344">
        <f t="shared" si="0"/>
        <v>-4400</v>
      </c>
      <c r="I33" s="314">
        <f t="shared" si="1"/>
        <v>0.706666666666667</v>
      </c>
      <c r="J33" s="345">
        <f t="shared" si="2"/>
        <v>0</v>
      </c>
    </row>
    <row r="34" spans="1:10" x14ac:dyDescent="0.25">
      <c r="A34" s="342">
        <v>46143</v>
      </c>
      <c r="B34" s="346" t="s">
        <v>3880</v>
      </c>
      <c r="C34" s="310" t="s">
        <v>2965</v>
      </c>
      <c r="D34" s="310" t="s">
        <v>2901</v>
      </c>
      <c r="E34" s="310" t="s">
        <v>2958</v>
      </c>
      <c r="F34" s="343">
        <v>11000</v>
      </c>
      <c r="G34" s="343">
        <v>15000</v>
      </c>
      <c r="H34" s="344">
        <f t="shared" si="0"/>
        <v>-4000</v>
      </c>
      <c r="I34" s="314">
        <f t="shared" si="1"/>
        <v>0.733333333333333</v>
      </c>
      <c r="J34" s="345">
        <f t="shared" si="2"/>
        <v>0</v>
      </c>
    </row>
    <row r="35" spans="1:10" x14ac:dyDescent="0.25">
      <c r="A35" s="342">
        <v>46143</v>
      </c>
      <c r="B35" s="346" t="s">
        <v>3881</v>
      </c>
      <c r="C35" s="310" t="s">
        <v>2965</v>
      </c>
      <c r="D35" s="310" t="s">
        <v>2901</v>
      </c>
      <c r="E35" s="310" t="s">
        <v>2960</v>
      </c>
      <c r="F35" s="343">
        <v>10500</v>
      </c>
      <c r="G35" s="343">
        <v>15000</v>
      </c>
      <c r="H35" s="344">
        <f t="shared" si="0"/>
        <v>-4500</v>
      </c>
      <c r="I35" s="314">
        <f t="shared" si="1"/>
        <v>0.7</v>
      </c>
      <c r="J35" s="345">
        <f t="shared" si="2"/>
        <v>0</v>
      </c>
    </row>
    <row r="36" spans="1:10" s="391" customFormat="1" ht="15.75" thickBot="1" x14ac:dyDescent="0.3">
      <c r="A36" s="384">
        <v>46143</v>
      </c>
      <c r="B36" s="385" t="s">
        <v>3882</v>
      </c>
      <c r="C36" s="386" t="s">
        <v>2965</v>
      </c>
      <c r="D36" s="386" t="s">
        <v>2901</v>
      </c>
      <c r="E36" s="386" t="s">
        <v>2961</v>
      </c>
      <c r="F36" s="387">
        <v>12000</v>
      </c>
      <c r="G36" s="387">
        <v>15000</v>
      </c>
      <c r="H36" s="388">
        <f t="shared" si="0"/>
        <v>-3000</v>
      </c>
      <c r="I36" s="389">
        <f t="shared" si="1"/>
        <v>0.8</v>
      </c>
      <c r="J36" s="390">
        <f t="shared" si="2"/>
        <v>0</v>
      </c>
    </row>
    <row r="37" spans="1:10" x14ac:dyDescent="0.25">
      <c r="A37" s="342">
        <v>46174</v>
      </c>
      <c r="B37" s="346" t="s">
        <v>3874</v>
      </c>
      <c r="C37" s="310" t="s">
        <v>2965</v>
      </c>
      <c r="D37" s="310" t="s">
        <v>2901</v>
      </c>
      <c r="E37" s="310" t="s">
        <v>2902</v>
      </c>
      <c r="F37" s="343">
        <v>11300</v>
      </c>
      <c r="G37" s="343">
        <v>15000</v>
      </c>
      <c r="H37" s="344">
        <f t="shared" si="0"/>
        <v>-3700</v>
      </c>
      <c r="I37" s="314">
        <f t="shared" si="1"/>
        <v>0.753333333333333</v>
      </c>
      <c r="J37" s="345">
        <f t="shared" si="2"/>
        <v>0</v>
      </c>
    </row>
    <row r="38" spans="1:10" x14ac:dyDescent="0.25">
      <c r="A38" s="342">
        <v>46174</v>
      </c>
      <c r="B38" s="346" t="s">
        <v>2929</v>
      </c>
      <c r="C38" s="310" t="s">
        <v>2965</v>
      </c>
      <c r="D38" s="310" t="s">
        <v>2901</v>
      </c>
      <c r="E38" s="310" t="s">
        <v>2968</v>
      </c>
      <c r="F38" s="343">
        <v>12300</v>
      </c>
      <c r="G38" s="343">
        <v>15000</v>
      </c>
      <c r="H38" s="344">
        <f t="shared" si="0"/>
        <v>-2700</v>
      </c>
      <c r="I38" s="314">
        <f t="shared" si="1"/>
        <v>0.82</v>
      </c>
      <c r="J38" s="345">
        <f t="shared" si="2"/>
        <v>0</v>
      </c>
    </row>
    <row r="39" spans="1:10" x14ac:dyDescent="0.25">
      <c r="A39" s="342">
        <v>46174</v>
      </c>
      <c r="B39" s="346" t="s">
        <v>3875</v>
      </c>
      <c r="C39" s="310" t="s">
        <v>2965</v>
      </c>
      <c r="D39" s="310" t="s">
        <v>2901</v>
      </c>
      <c r="E39" s="310" t="s">
        <v>3120</v>
      </c>
      <c r="F39" s="343">
        <v>14300</v>
      </c>
      <c r="G39" s="343">
        <v>15000</v>
      </c>
      <c r="H39" s="344">
        <f t="shared" si="0"/>
        <v>-700</v>
      </c>
      <c r="I39" s="314">
        <f t="shared" si="1"/>
        <v>0.953333333333333</v>
      </c>
      <c r="J39" s="345">
        <f t="shared" si="2"/>
        <v>0</v>
      </c>
    </row>
    <row r="40" spans="1:10" x14ac:dyDescent="0.25">
      <c r="A40" s="342">
        <v>46174</v>
      </c>
      <c r="B40" s="346" t="s">
        <v>3876</v>
      </c>
      <c r="C40" s="310" t="s">
        <v>2965</v>
      </c>
      <c r="D40" s="310" t="s">
        <v>2901</v>
      </c>
      <c r="E40" s="310" t="s">
        <v>2936</v>
      </c>
      <c r="F40" s="343">
        <v>14150</v>
      </c>
      <c r="G40" s="343">
        <v>15000</v>
      </c>
      <c r="H40" s="344">
        <f t="shared" si="0"/>
        <v>-850</v>
      </c>
      <c r="I40" s="314">
        <f t="shared" si="1"/>
        <v>0.943333333333333</v>
      </c>
      <c r="J40" s="345">
        <f t="shared" si="2"/>
        <v>0</v>
      </c>
    </row>
    <row r="41" spans="1:10" x14ac:dyDescent="0.25">
      <c r="A41" s="342">
        <v>46174</v>
      </c>
      <c r="B41" s="346" t="s">
        <v>3877</v>
      </c>
      <c r="C41" s="310" t="s">
        <v>2966</v>
      </c>
      <c r="D41" s="310" t="s">
        <v>2901</v>
      </c>
      <c r="E41" s="310" t="s">
        <v>2970</v>
      </c>
      <c r="F41" s="343">
        <v>14500</v>
      </c>
      <c r="G41" s="343">
        <v>15000</v>
      </c>
      <c r="H41" s="344">
        <f t="shared" si="0"/>
        <v>-500</v>
      </c>
      <c r="I41" s="314">
        <f t="shared" si="1"/>
        <v>0.966666666666667</v>
      </c>
      <c r="J41" s="345">
        <f t="shared" si="2"/>
        <v>0</v>
      </c>
    </row>
    <row r="42" spans="1:10" x14ac:dyDescent="0.25">
      <c r="A42" s="342">
        <v>46174</v>
      </c>
      <c r="B42" s="346" t="s">
        <v>3878</v>
      </c>
      <c r="C42" s="310" t="s">
        <v>2966</v>
      </c>
      <c r="D42" s="310" t="s">
        <v>2967</v>
      </c>
      <c r="E42" s="310" t="s">
        <v>3202</v>
      </c>
      <c r="F42" s="343">
        <v>12600</v>
      </c>
      <c r="G42" s="343">
        <v>15000</v>
      </c>
      <c r="H42" s="344">
        <f t="shared" si="0"/>
        <v>-2400</v>
      </c>
      <c r="I42" s="314">
        <f t="shared" si="1"/>
        <v>0.84</v>
      </c>
      <c r="J42" s="345">
        <f t="shared" si="2"/>
        <v>0</v>
      </c>
    </row>
    <row r="43" spans="1:10" x14ac:dyDescent="0.25">
      <c r="A43" s="342">
        <v>46174</v>
      </c>
      <c r="B43" s="346" t="s">
        <v>3879</v>
      </c>
      <c r="C43" s="310" t="s">
        <v>2965</v>
      </c>
      <c r="D43" s="310" t="s">
        <v>2901</v>
      </c>
      <c r="E43" s="310" t="s">
        <v>2956</v>
      </c>
      <c r="F43" s="343">
        <v>14700</v>
      </c>
      <c r="G43" s="343">
        <v>15000</v>
      </c>
      <c r="H43" s="344">
        <f t="shared" si="0"/>
        <v>-300</v>
      </c>
      <c r="I43" s="314">
        <f t="shared" si="1"/>
        <v>0.98</v>
      </c>
      <c r="J43" s="345">
        <f t="shared" si="2"/>
        <v>0</v>
      </c>
    </row>
    <row r="44" spans="1:10" x14ac:dyDescent="0.25">
      <c r="A44" s="342">
        <v>46174</v>
      </c>
      <c r="B44" s="346" t="s">
        <v>3880</v>
      </c>
      <c r="C44" s="310" t="s">
        <v>2965</v>
      </c>
      <c r="D44" s="310" t="s">
        <v>2901</v>
      </c>
      <c r="E44" s="310" t="s">
        <v>2958</v>
      </c>
      <c r="F44" s="343">
        <v>9300</v>
      </c>
      <c r="G44" s="343">
        <v>15000</v>
      </c>
      <c r="H44" s="344">
        <f t="shared" si="0"/>
        <v>-5700</v>
      </c>
      <c r="I44" s="314">
        <f t="shared" si="1"/>
        <v>0.62</v>
      </c>
      <c r="J44" s="345">
        <f t="shared" si="2"/>
        <v>0</v>
      </c>
    </row>
    <row r="45" spans="1:10" x14ac:dyDescent="0.25">
      <c r="A45" s="342">
        <v>46174</v>
      </c>
      <c r="B45" s="346" t="s">
        <v>3881</v>
      </c>
      <c r="C45" s="310" t="s">
        <v>2965</v>
      </c>
      <c r="D45" s="310" t="s">
        <v>2901</v>
      </c>
      <c r="E45" s="310" t="s">
        <v>2960</v>
      </c>
      <c r="F45" s="343">
        <v>8350</v>
      </c>
      <c r="G45" s="343">
        <v>15000</v>
      </c>
      <c r="H45" s="344">
        <f t="shared" si="0"/>
        <v>-6650</v>
      </c>
      <c r="I45" s="314">
        <f t="shared" si="1"/>
        <v>0.556666666666667</v>
      </c>
      <c r="J45" s="345">
        <f t="shared" si="2"/>
        <v>0</v>
      </c>
    </row>
    <row r="46" spans="1:10" s="391" customFormat="1" ht="15.75" thickBot="1" x14ac:dyDescent="0.3">
      <c r="A46" s="384">
        <v>46174</v>
      </c>
      <c r="B46" s="385" t="s">
        <v>3882</v>
      </c>
      <c r="C46" s="386" t="s">
        <v>2965</v>
      </c>
      <c r="D46" s="386" t="s">
        <v>2901</v>
      </c>
      <c r="E46" s="386" t="s">
        <v>2961</v>
      </c>
      <c r="F46" s="387">
        <v>11500</v>
      </c>
      <c r="G46" s="387">
        <v>15000</v>
      </c>
      <c r="H46" s="388">
        <f t="shared" si="0"/>
        <v>-3500</v>
      </c>
      <c r="I46" s="389">
        <f t="shared" si="1"/>
        <v>0.766666666666667</v>
      </c>
      <c r="J46" s="390">
        <f t="shared" si="2"/>
        <v>0</v>
      </c>
    </row>
    <row r="47" spans="1:10" x14ac:dyDescent="0.25">
      <c r="A47" s="342">
        <v>46204</v>
      </c>
      <c r="B47" s="346" t="s">
        <v>3874</v>
      </c>
      <c r="C47" s="310" t="s">
        <v>2965</v>
      </c>
      <c r="D47" s="310" t="s">
        <v>2901</v>
      </c>
      <c r="E47" s="310" t="s">
        <v>2902</v>
      </c>
      <c r="F47" s="343">
        <v>13050</v>
      </c>
      <c r="G47" s="343">
        <v>15000</v>
      </c>
      <c r="H47" s="344">
        <f t="shared" si="0"/>
        <v>-1950</v>
      </c>
      <c r="I47" s="314">
        <f t="shared" si="1"/>
        <v>0.87</v>
      </c>
      <c r="J47" s="345">
        <f t="shared" si="2"/>
        <v>0</v>
      </c>
    </row>
    <row r="48" spans="1:10" x14ac:dyDescent="0.25">
      <c r="A48" s="342">
        <v>46204</v>
      </c>
      <c r="B48" s="346" t="s">
        <v>2929</v>
      </c>
      <c r="C48" s="310" t="s">
        <v>2965</v>
      </c>
      <c r="D48" s="310" t="s">
        <v>2901</v>
      </c>
      <c r="E48" s="310" t="s">
        <v>2968</v>
      </c>
      <c r="F48" s="343">
        <v>15450</v>
      </c>
      <c r="G48" s="343">
        <v>15000</v>
      </c>
      <c r="H48" s="344">
        <f t="shared" si="0"/>
        <v>450</v>
      </c>
      <c r="I48" s="314">
        <f t="shared" si="1"/>
        <v>1.03</v>
      </c>
      <c r="J48" s="345">
        <f t="shared" si="2"/>
        <v>450</v>
      </c>
    </row>
    <row r="49" spans="1:10" x14ac:dyDescent="0.25">
      <c r="A49" s="342">
        <v>46204</v>
      </c>
      <c r="B49" s="346" t="s">
        <v>3875</v>
      </c>
      <c r="C49" s="310" t="s">
        <v>2965</v>
      </c>
      <c r="D49" s="310" t="s">
        <v>2901</v>
      </c>
      <c r="E49" s="310" t="s">
        <v>3120</v>
      </c>
      <c r="F49" s="343">
        <v>12950</v>
      </c>
      <c r="G49" s="343">
        <v>15000</v>
      </c>
      <c r="H49" s="344">
        <f t="shared" si="0"/>
        <v>-2050</v>
      </c>
      <c r="I49" s="314">
        <f t="shared" si="1"/>
        <v>0.863333333333333</v>
      </c>
      <c r="J49" s="345">
        <f t="shared" si="2"/>
        <v>0</v>
      </c>
    </row>
    <row r="50" spans="1:10" x14ac:dyDescent="0.25">
      <c r="A50" s="342">
        <v>46204</v>
      </c>
      <c r="B50" s="346" t="s">
        <v>3876</v>
      </c>
      <c r="C50" s="310" t="s">
        <v>2965</v>
      </c>
      <c r="D50" s="310" t="s">
        <v>2901</v>
      </c>
      <c r="E50" s="310" t="s">
        <v>2936</v>
      </c>
      <c r="F50" s="343">
        <v>11950</v>
      </c>
      <c r="G50" s="343">
        <v>15000</v>
      </c>
      <c r="H50" s="344">
        <f t="shared" si="0"/>
        <v>-3050</v>
      </c>
      <c r="I50" s="314">
        <f t="shared" si="1"/>
        <v>0.796666666666667</v>
      </c>
      <c r="J50" s="345">
        <f t="shared" si="2"/>
        <v>0</v>
      </c>
    </row>
    <row r="51" spans="1:10" x14ac:dyDescent="0.25">
      <c r="A51" s="342">
        <v>46204</v>
      </c>
      <c r="B51" s="346" t="s">
        <v>3877</v>
      </c>
      <c r="C51" s="310" t="s">
        <v>2966</v>
      </c>
      <c r="D51" s="310" t="s">
        <v>2901</v>
      </c>
      <c r="E51" s="310" t="s">
        <v>2970</v>
      </c>
      <c r="F51" s="343">
        <v>12600</v>
      </c>
      <c r="G51" s="343">
        <v>15000</v>
      </c>
      <c r="H51" s="344">
        <f t="shared" si="0"/>
        <v>-2400</v>
      </c>
      <c r="I51" s="314">
        <f t="shared" si="1"/>
        <v>0.84</v>
      </c>
      <c r="J51" s="345">
        <f t="shared" si="2"/>
        <v>0</v>
      </c>
    </row>
    <row r="52" spans="1:10" x14ac:dyDescent="0.25">
      <c r="A52" s="342">
        <v>46204</v>
      </c>
      <c r="B52" s="346" t="s">
        <v>3878</v>
      </c>
      <c r="C52" s="310" t="s">
        <v>2966</v>
      </c>
      <c r="D52" s="310" t="s">
        <v>2967</v>
      </c>
      <c r="E52" s="310" t="s">
        <v>3202</v>
      </c>
      <c r="F52" s="343">
        <v>14500</v>
      </c>
      <c r="G52" s="343">
        <v>15000</v>
      </c>
      <c r="H52" s="344">
        <f t="shared" si="0"/>
        <v>-500</v>
      </c>
      <c r="I52" s="314">
        <f t="shared" si="1"/>
        <v>0.966666666666667</v>
      </c>
      <c r="J52" s="345">
        <f t="shared" si="2"/>
        <v>0</v>
      </c>
    </row>
    <row r="53" spans="1:10" x14ac:dyDescent="0.25">
      <c r="A53" s="342">
        <v>46204</v>
      </c>
      <c r="B53" s="346" t="s">
        <v>3879</v>
      </c>
      <c r="C53" s="310" t="s">
        <v>2965</v>
      </c>
      <c r="D53" s="310" t="s">
        <v>2901</v>
      </c>
      <c r="E53" s="310" t="s">
        <v>2956</v>
      </c>
      <c r="F53" s="343">
        <v>13850</v>
      </c>
      <c r="G53" s="343">
        <v>15000</v>
      </c>
      <c r="H53" s="344">
        <f t="shared" si="0"/>
        <v>-1150</v>
      </c>
      <c r="I53" s="314">
        <f t="shared" si="1"/>
        <v>0.923333333333333</v>
      </c>
      <c r="J53" s="345">
        <f t="shared" si="2"/>
        <v>0</v>
      </c>
    </row>
    <row r="54" spans="1:10" x14ac:dyDescent="0.25">
      <c r="A54" s="342">
        <v>46204</v>
      </c>
      <c r="B54" s="346" t="s">
        <v>3880</v>
      </c>
      <c r="C54" s="310" t="s">
        <v>2965</v>
      </c>
      <c r="D54" s="310" t="s">
        <v>2901</v>
      </c>
      <c r="E54" s="310" t="s">
        <v>2958</v>
      </c>
      <c r="F54" s="343">
        <v>13300</v>
      </c>
      <c r="G54" s="343">
        <v>15000</v>
      </c>
      <c r="H54" s="344">
        <f t="shared" si="0"/>
        <v>-1700</v>
      </c>
      <c r="I54" s="314">
        <f t="shared" si="1"/>
        <v>0.886666666666667</v>
      </c>
      <c r="J54" s="345">
        <f t="shared" si="2"/>
        <v>0</v>
      </c>
    </row>
    <row r="55" spans="1:10" x14ac:dyDescent="0.25">
      <c r="A55" s="342">
        <v>46204</v>
      </c>
      <c r="B55" s="346" t="s">
        <v>3881</v>
      </c>
      <c r="C55" s="310" t="s">
        <v>2965</v>
      </c>
      <c r="D55" s="310" t="s">
        <v>2901</v>
      </c>
      <c r="E55" s="310" t="s">
        <v>2960</v>
      </c>
      <c r="F55" s="343">
        <v>10200</v>
      </c>
      <c r="G55" s="343">
        <v>15000</v>
      </c>
      <c r="H55" s="344">
        <f t="shared" si="0"/>
        <v>-4800</v>
      </c>
      <c r="I55" s="314">
        <f t="shared" si="1"/>
        <v>0.68</v>
      </c>
      <c r="J55" s="345">
        <f t="shared" si="2"/>
        <v>0</v>
      </c>
    </row>
    <row r="56" spans="1:10" s="391" customFormat="1" ht="15.75" thickBot="1" x14ac:dyDescent="0.3">
      <c r="A56" s="384">
        <v>46204</v>
      </c>
      <c r="B56" s="385" t="s">
        <v>3882</v>
      </c>
      <c r="C56" s="386" t="s">
        <v>2965</v>
      </c>
      <c r="D56" s="386" t="s">
        <v>2901</v>
      </c>
      <c r="E56" s="386" t="s">
        <v>2961</v>
      </c>
      <c r="F56" s="387">
        <v>6100</v>
      </c>
      <c r="G56" s="387">
        <v>15000</v>
      </c>
      <c r="H56" s="388">
        <f t="shared" si="0"/>
        <v>-8900</v>
      </c>
      <c r="I56" s="389">
        <f t="shared" si="1"/>
        <v>0.406666666666667</v>
      </c>
      <c r="J56" s="390">
        <f t="shared" si="2"/>
        <v>0</v>
      </c>
    </row>
    <row r="57" spans="1:10" x14ac:dyDescent="0.25">
      <c r="A57" s="342">
        <v>46235</v>
      </c>
      <c r="B57" s="346" t="s">
        <v>3874</v>
      </c>
      <c r="C57" s="310" t="s">
        <v>2965</v>
      </c>
      <c r="D57" s="310" t="s">
        <v>2901</v>
      </c>
      <c r="E57" s="310" t="s">
        <v>2902</v>
      </c>
      <c r="F57" s="343">
        <v>9800</v>
      </c>
      <c r="G57" s="343">
        <v>15000</v>
      </c>
      <c r="H57" s="344">
        <f t="shared" si="0"/>
        <v>-5200</v>
      </c>
      <c r="I57" s="314">
        <f t="shared" si="1"/>
        <v>0.653333333333333</v>
      </c>
      <c r="J57" s="345">
        <f t="shared" si="2"/>
        <v>0</v>
      </c>
    </row>
    <row r="58" spans="1:10" x14ac:dyDescent="0.25">
      <c r="A58" s="342">
        <v>46235</v>
      </c>
      <c r="B58" s="346" t="s">
        <v>2929</v>
      </c>
      <c r="C58" s="310" t="s">
        <v>2965</v>
      </c>
      <c r="D58" s="310" t="s">
        <v>2901</v>
      </c>
      <c r="E58" s="310" t="s">
        <v>2968</v>
      </c>
      <c r="F58" s="343">
        <v>11700</v>
      </c>
      <c r="G58" s="343">
        <v>15000</v>
      </c>
      <c r="H58" s="344">
        <f t="shared" si="0"/>
        <v>-3300</v>
      </c>
      <c r="I58" s="314">
        <f t="shared" si="1"/>
        <v>0.78</v>
      </c>
      <c r="J58" s="345">
        <f t="shared" si="2"/>
        <v>0</v>
      </c>
    </row>
    <row r="59" spans="1:10" x14ac:dyDescent="0.25">
      <c r="A59" s="342">
        <v>46235</v>
      </c>
      <c r="B59" s="346" t="s">
        <v>3875</v>
      </c>
      <c r="C59" s="310" t="s">
        <v>2965</v>
      </c>
      <c r="D59" s="310" t="s">
        <v>2901</v>
      </c>
      <c r="E59" s="310" t="s">
        <v>3120</v>
      </c>
      <c r="F59" s="343">
        <v>11050</v>
      </c>
      <c r="G59" s="343">
        <v>15000</v>
      </c>
      <c r="H59" s="344">
        <f t="shared" si="0"/>
        <v>-3950</v>
      </c>
      <c r="I59" s="314">
        <f t="shared" si="1"/>
        <v>0.736666666666667</v>
      </c>
      <c r="J59" s="345">
        <f t="shared" si="2"/>
        <v>0</v>
      </c>
    </row>
    <row r="60" spans="1:10" x14ac:dyDescent="0.25">
      <c r="A60" s="342">
        <v>46235</v>
      </c>
      <c r="B60" s="346" t="s">
        <v>3876</v>
      </c>
      <c r="C60" s="310" t="s">
        <v>2965</v>
      </c>
      <c r="D60" s="310" t="s">
        <v>2901</v>
      </c>
      <c r="E60" s="310" t="s">
        <v>2936</v>
      </c>
      <c r="F60" s="343">
        <v>15000</v>
      </c>
      <c r="G60" s="343">
        <v>15000</v>
      </c>
      <c r="H60" s="344">
        <f t="shared" si="0"/>
        <v>0</v>
      </c>
      <c r="I60" s="314">
        <f t="shared" si="1"/>
        <v>1</v>
      </c>
      <c r="J60" s="345">
        <f t="shared" si="2"/>
        <v>0</v>
      </c>
    </row>
    <row r="61" spans="1:10" x14ac:dyDescent="0.25">
      <c r="A61" s="342">
        <v>46235</v>
      </c>
      <c r="B61" s="346" t="s">
        <v>3877</v>
      </c>
      <c r="C61" s="310" t="s">
        <v>2966</v>
      </c>
      <c r="D61" s="310" t="s">
        <v>2901</v>
      </c>
      <c r="E61" s="310" t="s">
        <v>2970</v>
      </c>
      <c r="F61" s="343">
        <v>10300</v>
      </c>
      <c r="G61" s="343">
        <v>15000</v>
      </c>
      <c r="H61" s="344">
        <f t="shared" si="0"/>
        <v>-4700</v>
      </c>
      <c r="I61" s="314">
        <f t="shared" si="1"/>
        <v>0.686666666666667</v>
      </c>
      <c r="J61" s="345">
        <f t="shared" si="2"/>
        <v>0</v>
      </c>
    </row>
    <row r="62" spans="1:10" x14ac:dyDescent="0.25">
      <c r="A62" s="342">
        <v>46235</v>
      </c>
      <c r="B62" s="346" t="s">
        <v>3878</v>
      </c>
      <c r="C62" s="310" t="s">
        <v>2966</v>
      </c>
      <c r="D62" s="310" t="s">
        <v>2967</v>
      </c>
      <c r="E62" s="310" t="s">
        <v>3202</v>
      </c>
      <c r="F62" s="343">
        <v>2300</v>
      </c>
      <c r="G62" s="343">
        <v>15000</v>
      </c>
      <c r="H62" s="344">
        <f t="shared" si="0"/>
        <v>-12700</v>
      </c>
      <c r="I62" s="314">
        <f t="shared" si="1"/>
        <v>0.153333333333333</v>
      </c>
      <c r="J62" s="345">
        <f t="shared" si="2"/>
        <v>0</v>
      </c>
    </row>
    <row r="63" spans="1:10" x14ac:dyDescent="0.25">
      <c r="A63" s="342">
        <v>46235</v>
      </c>
      <c r="B63" s="346" t="s">
        <v>3879</v>
      </c>
      <c r="C63" s="310" t="s">
        <v>2965</v>
      </c>
      <c r="D63" s="310" t="s">
        <v>2901</v>
      </c>
      <c r="E63" s="310" t="s">
        <v>2956</v>
      </c>
      <c r="F63" s="343">
        <v>10400</v>
      </c>
      <c r="G63" s="343">
        <v>15000</v>
      </c>
      <c r="H63" s="344">
        <f t="shared" si="0"/>
        <v>-4600</v>
      </c>
      <c r="I63" s="314">
        <f t="shared" si="1"/>
        <v>0.693333333333333</v>
      </c>
      <c r="J63" s="345">
        <f t="shared" si="2"/>
        <v>0</v>
      </c>
    </row>
    <row r="64" spans="1:10" x14ac:dyDescent="0.25">
      <c r="A64" s="342">
        <v>46235</v>
      </c>
      <c r="B64" s="346" t="s">
        <v>3880</v>
      </c>
      <c r="C64" s="310" t="s">
        <v>2965</v>
      </c>
      <c r="D64" s="310" t="s">
        <v>2901</v>
      </c>
      <c r="E64" s="310" t="s">
        <v>2960</v>
      </c>
      <c r="F64" s="343">
        <v>11800</v>
      </c>
      <c r="G64" s="343">
        <v>15000</v>
      </c>
      <c r="H64" s="344">
        <f t="shared" si="0"/>
        <v>-3200</v>
      </c>
      <c r="I64" s="314">
        <f t="shared" si="1"/>
        <v>0.786666666666667</v>
      </c>
      <c r="J64" s="345">
        <f t="shared" si="2"/>
        <v>0</v>
      </c>
    </row>
    <row r="65" spans="1:10" x14ac:dyDescent="0.25">
      <c r="A65" s="342">
        <v>46235</v>
      </c>
      <c r="B65" s="346" t="s">
        <v>3881</v>
      </c>
      <c r="C65" s="310" t="s">
        <v>2965</v>
      </c>
      <c r="D65" s="310" t="s">
        <v>2901</v>
      </c>
      <c r="E65" s="310" t="s">
        <v>2958</v>
      </c>
      <c r="F65" s="343">
        <v>11900</v>
      </c>
      <c r="G65" s="343">
        <v>15000</v>
      </c>
      <c r="H65" s="344">
        <f t="shared" si="0"/>
        <v>-3100</v>
      </c>
      <c r="I65" s="314">
        <f t="shared" si="1"/>
        <v>0.793333333333333</v>
      </c>
      <c r="J65" s="345">
        <f t="shared" si="2"/>
        <v>0</v>
      </c>
    </row>
    <row r="66" spans="1:10" s="391" customFormat="1" ht="15.75" thickBot="1" x14ac:dyDescent="0.3">
      <c r="A66" s="384">
        <v>46235</v>
      </c>
      <c r="B66" s="385" t="s">
        <v>3882</v>
      </c>
      <c r="C66" s="386" t="s">
        <v>2965</v>
      </c>
      <c r="D66" s="386" t="s">
        <v>2901</v>
      </c>
      <c r="E66" s="386" t="s">
        <v>2961</v>
      </c>
      <c r="F66" s="387">
        <v>5800</v>
      </c>
      <c r="G66" s="387">
        <v>15000</v>
      </c>
      <c r="H66" s="388">
        <f t="shared" si="0"/>
        <v>-9200</v>
      </c>
      <c r="I66" s="389">
        <f t="shared" si="1"/>
        <v>0.386666666666667</v>
      </c>
      <c r="J66" s="390">
        <f t="shared" si="2"/>
        <v>0</v>
      </c>
    </row>
    <row r="67" spans="1:10" x14ac:dyDescent="0.25">
      <c r="A67" s="342">
        <v>46266</v>
      </c>
      <c r="B67" s="346"/>
      <c r="C67" s="310"/>
      <c r="D67" s="310"/>
      <c r="E67" s="310"/>
      <c r="F67" s="343"/>
      <c r="G67" s="343"/>
      <c r="H67" s="344" t="str">
        <f>IF(OR($F67="",$G67=""),"",$F67-$G67)</f>
        <v/>
      </c>
      <c r="I67" s="314" t="str">
        <f>IF(OR($F67="",$G67="",$G67=0),"",$F67/$G67)</f>
        <v/>
      </c>
      <c r="J67" s="345" t="str">
        <f>IF($H67="","",MAX(0,$H67)*$D$2)</f>
        <v/>
      </c>
    </row>
  </sheetData>
  <conditionalFormatting sqref="I7:I67">
    <cfRule type="colorScale" priority="1">
      <colorScale>
        <cfvo type="num" val="0.4"/>
        <cfvo type="num" val="0.7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D7BE-6FAE-40F6-A337-4D692AC012E6}">
  <dimension ref="B1:II41"/>
  <sheetViews>
    <sheetView workbookViewId="0">
      <selection activeCell="HA1" sqref="HA1"/>
    </sheetView>
  </sheetViews>
  <sheetFormatPr defaultColWidth="12.42578125" defaultRowHeight="15" x14ac:dyDescent="0.25"/>
  <cols>
    <col min="2" max="2" width="10.28515625" customWidth="1"/>
    <col min="4" max="4" width="14.42578125" customWidth="1"/>
    <col min="5" max="5" width="13.28515625" bestFit="1" customWidth="1"/>
    <col min="6" max="6" width="7.5703125" bestFit="1" customWidth="1"/>
    <col min="7" max="7" width="26.42578125" style="51" hidden="1" customWidth="1"/>
    <col min="8" max="8" width="17.7109375" style="51" hidden="1" customWidth="1"/>
    <col min="9" max="9" width="2.28515625" style="51" hidden="1" customWidth="1"/>
    <col min="10" max="10" width="28.28515625" style="51" hidden="1" customWidth="1"/>
    <col min="11" max="11" width="29.42578125" style="51" hidden="1" customWidth="1"/>
    <col min="12" max="12" width="2.28515625" style="51" hidden="1" customWidth="1"/>
    <col min="13" max="13" width="30.28515625" style="51" hidden="1" customWidth="1"/>
    <col min="14" max="14" width="11.85546875" style="51" hidden="1" customWidth="1"/>
    <col min="15" max="15" width="2.28515625" style="51" hidden="1" customWidth="1"/>
    <col min="16" max="16" width="26.85546875" style="51" hidden="1" customWidth="1"/>
    <col min="17" max="17" width="26.42578125" style="51" hidden="1" customWidth="1"/>
    <col min="18" max="18" width="21.5703125" style="51" hidden="1" customWidth="1"/>
    <col min="19" max="19" width="3.42578125" style="51" hidden="1" customWidth="1"/>
    <col min="20" max="20" width="26.85546875" style="51" hidden="1" customWidth="1"/>
    <col min="21" max="21" width="28.28515625" style="51" hidden="1" customWidth="1"/>
    <col min="22" max="22" width="26.42578125" style="51" hidden="1" customWidth="1"/>
    <col min="23" max="23" width="27" style="51" hidden="1" customWidth="1"/>
    <col min="24" max="25" width="19.140625" style="51" hidden="1" customWidth="1"/>
    <col min="26" max="26" width="18.7109375" style="51" hidden="1" customWidth="1"/>
    <col min="27" max="27" width="24.28515625" style="51" hidden="1" customWidth="1"/>
    <col min="28" max="28" width="3.42578125" style="51" hidden="1" customWidth="1"/>
    <col min="29" max="29" width="26.85546875" style="51" hidden="1" customWidth="1"/>
    <col min="30" max="30" width="22.7109375" style="51" hidden="1" customWidth="1"/>
    <col min="31" max="31" width="3.42578125" style="51" hidden="1" customWidth="1"/>
    <col min="32" max="32" width="19.7109375" style="51" hidden="1" customWidth="1"/>
    <col min="33" max="33" width="26.42578125" style="51" hidden="1" customWidth="1"/>
    <col min="34" max="34" width="18.5703125" style="51" hidden="1" customWidth="1"/>
    <col min="35" max="35" width="17.28515625" style="51" hidden="1" customWidth="1"/>
    <col min="36" max="36" width="18.140625" style="51" hidden="1" customWidth="1"/>
    <col min="37" max="37" width="18" style="51" hidden="1" customWidth="1"/>
    <col min="38" max="38" width="8.85546875" hidden="1" customWidth="1"/>
    <col min="39" max="39" width="10" hidden="1" customWidth="1"/>
    <col min="40" max="40" width="26.42578125" style="51" hidden="1" customWidth="1"/>
    <col min="41" max="41" width="24.5703125" style="51" hidden="1" customWidth="1"/>
    <col min="42" max="42" width="20.28515625" style="51" hidden="1" customWidth="1"/>
    <col min="43" max="43" width="28.28515625" style="51" hidden="1" customWidth="1"/>
    <col min="44" max="44" width="29.42578125" style="51" hidden="1" customWidth="1"/>
    <col min="45" max="45" width="17" style="51" hidden="1" customWidth="1"/>
    <col min="46" max="46" width="30.28515625" style="51" hidden="1" customWidth="1"/>
    <col min="47" max="47" width="30.5703125" style="51" hidden="1" customWidth="1"/>
    <col min="48" max="48" width="38.42578125" style="51" hidden="1" customWidth="1"/>
    <col min="49" max="49" width="26.85546875" style="51" hidden="1" customWidth="1"/>
    <col min="50" max="50" width="26.42578125" style="51" hidden="1" customWidth="1"/>
    <col min="51" max="51" width="21.5703125" style="51" hidden="1" customWidth="1"/>
    <col min="52" max="52" width="22.7109375" style="51" hidden="1" customWidth="1"/>
    <col min="53" max="53" width="26.85546875" style="51" hidden="1" customWidth="1"/>
    <col min="54" max="54" width="28.28515625" style="51" hidden="1" customWidth="1"/>
    <col min="55" max="55" width="26.42578125" style="51" hidden="1" customWidth="1"/>
    <col min="56" max="56" width="27" style="51" hidden="1" customWidth="1"/>
    <col min="57" max="58" width="19.140625" style="51" hidden="1" customWidth="1"/>
    <col min="59" max="59" width="22" style="51" hidden="1" customWidth="1"/>
    <col min="60" max="60" width="24.28515625" style="51" hidden="1" customWidth="1"/>
    <col min="61" max="61" width="25.85546875" style="51" hidden="1" customWidth="1"/>
    <col min="62" max="62" width="26.85546875" style="51" hidden="1" customWidth="1"/>
    <col min="63" max="63" width="22.7109375" style="51" hidden="1" customWidth="1"/>
    <col min="64" max="64" width="25.85546875" style="51" hidden="1" customWidth="1"/>
    <col min="65" max="65" width="19.7109375" style="51" hidden="1" customWidth="1"/>
    <col min="66" max="66" width="26.42578125" style="51" hidden="1" customWidth="1"/>
    <col min="67" max="67" width="25.85546875" style="51" hidden="1" customWidth="1"/>
    <col min="68" max="69" width="25" style="51" hidden="1" customWidth="1"/>
    <col min="70" max="70" width="9.42578125" style="51" hidden="1" customWidth="1"/>
    <col min="71" max="71" width="8.85546875" hidden="1" customWidth="1"/>
    <col min="72" max="72" width="10" hidden="1" customWidth="1"/>
    <col min="73" max="73" width="0" style="165" hidden="1" customWidth="1"/>
    <col min="74" max="74" width="15.140625" style="165" hidden="1" customWidth="1"/>
    <col min="75" max="76" width="16.28515625" style="165" hidden="1" customWidth="1"/>
    <col min="77" max="77" width="32.140625" style="165" hidden="1" customWidth="1"/>
    <col min="78" max="78" width="25.5703125" style="165" hidden="1" customWidth="1"/>
    <col min="79" max="79" width="18.7109375" style="165" hidden="1" customWidth="1"/>
    <col min="80" max="80" width="25.42578125" style="165" hidden="1" customWidth="1"/>
    <col min="81" max="81" width="16.7109375" style="165" hidden="1" customWidth="1"/>
    <col min="82" max="82" width="16" style="165" hidden="1" customWidth="1"/>
    <col min="83" max="84" width="25.5703125" style="165" hidden="1" customWidth="1"/>
    <col min="85" max="85" width="20.42578125" style="165" hidden="1" customWidth="1"/>
    <col min="86" max="86" width="20" style="165" hidden="1" customWidth="1"/>
    <col min="87" max="87" width="25.7109375" style="165" hidden="1" customWidth="1"/>
    <col min="88" max="88" width="22.28515625" style="165" hidden="1" customWidth="1"/>
    <col min="89" max="89" width="16.7109375" style="165" hidden="1" customWidth="1"/>
    <col min="90" max="90" width="15.140625" style="165" hidden="1" customWidth="1"/>
    <col min="91" max="91" width="25.85546875" style="165" hidden="1" customWidth="1"/>
    <col min="92" max="92" width="26" style="165" hidden="1" customWidth="1"/>
    <col min="93" max="93" width="25.5703125" style="165" hidden="1" customWidth="1"/>
    <col min="94" max="94" width="25.85546875" style="165" hidden="1" customWidth="1"/>
    <col min="95" max="95" width="18.28515625" style="165" hidden="1" customWidth="1"/>
    <col min="96" max="96" width="0" style="165" hidden="1" customWidth="1"/>
    <col min="97" max="97" width="22.42578125" style="165" hidden="1" customWidth="1"/>
    <col min="98" max="98" width="21.7109375" style="165" hidden="1" customWidth="1"/>
    <col min="99" max="99" width="26" style="165" hidden="1" customWidth="1"/>
    <col min="100" max="100" width="17.7109375" style="165" hidden="1" customWidth="1"/>
    <col min="101" max="101" width="25.5703125" style="165" hidden="1" customWidth="1"/>
    <col min="102" max="102" width="20.7109375" style="165" hidden="1" customWidth="1"/>
    <col min="103" max="103" width="25.85546875" style="165" hidden="1" customWidth="1"/>
    <col min="104" max="104" width="9.85546875" bestFit="1" customWidth="1"/>
    <col min="105" max="105" width="0" hidden="1" customWidth="1"/>
    <col min="106" max="106" width="14.42578125" hidden="1" customWidth="1"/>
    <col min="107" max="107" width="16.7109375" style="165" hidden="1" customWidth="1"/>
    <col min="108" max="108" width="28.7109375" style="165" hidden="1" customWidth="1"/>
    <col min="109" max="109" width="24.85546875" style="165" hidden="1" customWidth="1"/>
    <col min="110" max="110" width="27.140625" style="165" hidden="1" customWidth="1"/>
    <col min="111" max="111" width="32.140625" style="165" hidden="1" customWidth="1"/>
    <col min="112" max="112" width="27.140625" style="165" hidden="1" customWidth="1"/>
    <col min="113" max="113" width="23.140625" style="165" hidden="1" customWidth="1"/>
    <col min="114" max="114" width="25.42578125" style="165" hidden="1" customWidth="1"/>
    <col min="115" max="115" width="28.140625" style="165" hidden="1" customWidth="1"/>
    <col min="116" max="116" width="26.7109375" style="165" hidden="1" customWidth="1"/>
    <col min="117" max="118" width="25.5703125" style="165" hidden="1" customWidth="1"/>
    <col min="119" max="119" width="26.7109375" style="165" hidden="1" customWidth="1"/>
    <col min="120" max="120" width="20" style="165" hidden="1" customWidth="1"/>
    <col min="121" max="121" width="25.7109375" style="165" hidden="1" customWidth="1"/>
    <col min="122" max="122" width="22.28515625" style="165" hidden="1" customWidth="1"/>
    <col min="123" max="123" width="26.7109375" style="165" hidden="1" customWidth="1"/>
    <col min="124" max="124" width="16.7109375" style="165" hidden="1" customWidth="1"/>
    <col min="125" max="125" width="27.5703125" style="165" hidden="1" customWidth="1"/>
    <col min="126" max="126" width="32.28515625" style="165" hidden="1" customWidth="1"/>
    <col min="127" max="127" width="19.140625" style="165" hidden="1" customWidth="1"/>
    <col min="128" max="128" width="14.5703125" style="165" hidden="1" customWidth="1"/>
    <col min="129" max="129" width="28.28515625" style="165" hidden="1" customWidth="1"/>
    <col min="130" max="130" width="26.7109375" style="165" hidden="1" customWidth="1"/>
    <col min="131" max="131" width="25.28515625" style="165" hidden="1" customWidth="1"/>
    <col min="132" max="132" width="22.5703125" style="165" hidden="1" customWidth="1"/>
    <col min="133" max="133" width="25.28515625" style="165" hidden="1" customWidth="1"/>
    <col min="134" max="134" width="16.85546875" style="165" hidden="1" customWidth="1"/>
    <col min="135" max="135" width="25.28515625" style="165" hidden="1" customWidth="1"/>
    <col min="136" max="136" width="20.7109375" style="165" hidden="1" customWidth="1"/>
    <col min="137" max="138" width="0" hidden="1" customWidth="1"/>
    <col min="139" max="139" width="14.42578125" hidden="1" customWidth="1"/>
    <col min="140" max="140" width="25.7109375" hidden="1" customWidth="1"/>
    <col min="141" max="141" width="23.7109375" hidden="1" customWidth="1"/>
    <col min="142" max="142" width="16.5703125" hidden="1" customWidth="1"/>
    <col min="143" max="143" width="16.85546875" hidden="1" customWidth="1"/>
    <col min="144" max="144" width="0" hidden="1" customWidth="1"/>
    <col min="145" max="145" width="32.42578125" hidden="1" customWidth="1"/>
    <col min="146" max="150" width="25" hidden="1" customWidth="1"/>
    <col min="151" max="151" width="22.42578125" hidden="1" customWidth="1"/>
    <col min="152" max="152" width="24.140625" hidden="1" customWidth="1"/>
    <col min="153" max="153" width="25" hidden="1" customWidth="1"/>
    <col min="154" max="154" width="32.42578125" hidden="1" customWidth="1"/>
    <col min="155" max="155" width="0" hidden="1" customWidth="1"/>
    <col min="156" max="156" width="23.28515625" hidden="1" customWidth="1"/>
    <col min="157" max="157" width="22.42578125" hidden="1" customWidth="1"/>
    <col min="158" max="158" width="20.5703125" hidden="1" customWidth="1"/>
    <col min="159" max="159" width="18.28515625" hidden="1" customWidth="1"/>
    <col min="160" max="161" width="25" hidden="1" customWidth="1"/>
    <col min="162" max="163" width="25.42578125" hidden="1" customWidth="1"/>
    <col min="164" max="165" width="28.5703125" hidden="1" customWidth="1"/>
    <col min="166" max="166" width="25" hidden="1" customWidth="1"/>
    <col min="167" max="167" width="19.7109375" hidden="1" customWidth="1"/>
    <col min="168" max="168" width="25" hidden="1" customWidth="1"/>
    <col min="169" max="169" width="24.42578125" hidden="1" customWidth="1"/>
    <col min="170" max="170" width="24.5703125" hidden="1" customWidth="1"/>
    <col min="171" max="172" width="0" hidden="1" customWidth="1"/>
    <col min="173" max="173" width="14.42578125" hidden="1" customWidth="1"/>
    <col min="174" max="174" width="0" hidden="1" customWidth="1"/>
    <col min="175" max="175" width="16.42578125" hidden="1" customWidth="1"/>
    <col min="176" max="176" width="15.28515625" hidden="1" customWidth="1"/>
    <col min="177" max="177" width="0" hidden="1" customWidth="1"/>
    <col min="178" max="178" width="18.140625" hidden="1" customWidth="1"/>
    <col min="179" max="179" width="24.42578125" hidden="1" customWidth="1"/>
    <col min="180" max="180" width="24.85546875" hidden="1" customWidth="1"/>
    <col min="181" max="181" width="18.140625" hidden="1" customWidth="1"/>
    <col min="182" max="182" width="16.7109375" hidden="1" customWidth="1"/>
    <col min="183" max="183" width="17.85546875" hidden="1" customWidth="1"/>
    <col min="184" max="184" width="23.7109375" hidden="1" customWidth="1"/>
    <col min="185" max="185" width="24.85546875" hidden="1" customWidth="1"/>
    <col min="186" max="186" width="24.42578125" hidden="1" customWidth="1"/>
    <col min="187" max="187" width="21.7109375" hidden="1" customWidth="1"/>
    <col min="188" max="188" width="23.85546875" hidden="1" customWidth="1"/>
    <col min="189" max="189" width="25.28515625" hidden="1" customWidth="1"/>
    <col min="190" max="190" width="0" hidden="1" customWidth="1"/>
    <col min="191" max="191" width="24.42578125" hidden="1" customWidth="1"/>
    <col min="192" max="193" width="24.85546875" hidden="1" customWidth="1"/>
    <col min="194" max="194" width="24.42578125" hidden="1" customWidth="1"/>
    <col min="195" max="195" width="13.28515625" hidden="1" customWidth="1"/>
    <col min="196" max="197" width="24.42578125" hidden="1" customWidth="1"/>
    <col min="198" max="198" width="16.7109375" hidden="1" customWidth="1"/>
    <col min="199" max="199" width="16.42578125" hidden="1" customWidth="1"/>
    <col min="200" max="200" width="24.42578125" hidden="1" customWidth="1"/>
    <col min="201" max="201" width="18.42578125" hidden="1" customWidth="1"/>
    <col min="202" max="202" width="18.140625" hidden="1" customWidth="1"/>
    <col min="203" max="203" width="25.42578125" hidden="1" customWidth="1"/>
    <col min="204" max="204" width="0" hidden="1" customWidth="1"/>
    <col min="205" max="205" width="24.85546875" hidden="1" customWidth="1"/>
    <col min="206" max="208" width="0" hidden="1" customWidth="1"/>
    <col min="209" max="209" width="25.7109375" bestFit="1" customWidth="1"/>
    <col min="210" max="210" width="17.28515625" bestFit="1" customWidth="1"/>
    <col min="211" max="213" width="25.28515625" bestFit="1" customWidth="1"/>
    <col min="245" max="245" width="16.85546875" bestFit="1" customWidth="1"/>
  </cols>
  <sheetData>
    <row r="1" spans="2:243" ht="21" x14ac:dyDescent="0.35">
      <c r="B1" s="50" t="s">
        <v>2890</v>
      </c>
    </row>
    <row r="2" spans="2:243" ht="21" x14ac:dyDescent="0.35">
      <c r="B2" s="50" t="s">
        <v>2891</v>
      </c>
    </row>
    <row r="3" spans="2:243" ht="16.5" thickBot="1" x14ac:dyDescent="0.3">
      <c r="B3" s="52" t="s">
        <v>2892</v>
      </c>
      <c r="C3" s="53">
        <v>46266</v>
      </c>
      <c r="D3" s="52"/>
    </row>
    <row r="4" spans="2:243" s="52" customFormat="1" ht="16.5" thickBot="1" x14ac:dyDescent="0.3">
      <c r="B4" s="54" t="s">
        <v>2893</v>
      </c>
      <c r="C4" s="55" t="s">
        <v>2894</v>
      </c>
      <c r="D4" s="56" t="s">
        <v>2895</v>
      </c>
      <c r="E4" s="56" t="s">
        <v>2896</v>
      </c>
      <c r="F4" s="57" t="s">
        <v>2897</v>
      </c>
      <c r="G4" s="58">
        <v>1</v>
      </c>
      <c r="H4" s="55">
        <v>2</v>
      </c>
      <c r="I4" s="55">
        <v>3</v>
      </c>
      <c r="J4" s="55">
        <v>4</v>
      </c>
      <c r="K4" s="55">
        <v>5</v>
      </c>
      <c r="L4" s="55">
        <v>6</v>
      </c>
      <c r="M4" s="55">
        <v>7</v>
      </c>
      <c r="N4" s="55">
        <v>8</v>
      </c>
      <c r="O4" s="55">
        <v>9</v>
      </c>
      <c r="P4" s="55">
        <v>10</v>
      </c>
      <c r="Q4" s="55">
        <v>11</v>
      </c>
      <c r="R4" s="55">
        <v>12</v>
      </c>
      <c r="S4" s="55">
        <v>13</v>
      </c>
      <c r="T4" s="55">
        <v>14</v>
      </c>
      <c r="U4" s="55">
        <v>15</v>
      </c>
      <c r="V4" s="55">
        <v>16</v>
      </c>
      <c r="W4" s="55">
        <v>17</v>
      </c>
      <c r="X4" s="55">
        <v>18</v>
      </c>
      <c r="Y4" s="55">
        <v>19</v>
      </c>
      <c r="Z4" s="55">
        <v>20</v>
      </c>
      <c r="AA4" s="55">
        <v>21</v>
      </c>
      <c r="AB4" s="55">
        <v>22</v>
      </c>
      <c r="AC4" s="55">
        <v>23</v>
      </c>
      <c r="AD4" s="55">
        <v>24</v>
      </c>
      <c r="AE4" s="55">
        <v>25</v>
      </c>
      <c r="AF4" s="55">
        <v>26</v>
      </c>
      <c r="AG4" s="55">
        <v>27</v>
      </c>
      <c r="AH4" s="55">
        <v>28</v>
      </c>
      <c r="AI4" s="55">
        <v>29</v>
      </c>
      <c r="AJ4" s="55">
        <v>30</v>
      </c>
      <c r="AK4" s="55">
        <v>31</v>
      </c>
      <c r="AL4" s="52" t="s">
        <v>2899</v>
      </c>
      <c r="AM4" s="52" t="s">
        <v>2900</v>
      </c>
      <c r="AN4" s="58">
        <v>1</v>
      </c>
      <c r="AO4" s="55">
        <v>2</v>
      </c>
      <c r="AP4" s="55">
        <v>3</v>
      </c>
      <c r="AQ4" s="55">
        <v>4</v>
      </c>
      <c r="AR4" s="55">
        <v>5</v>
      </c>
      <c r="AS4" s="55">
        <v>6</v>
      </c>
      <c r="AT4" s="55">
        <v>7</v>
      </c>
      <c r="AU4" s="55">
        <v>8</v>
      </c>
      <c r="AV4" s="55">
        <v>9</v>
      </c>
      <c r="AW4" s="55">
        <v>10</v>
      </c>
      <c r="AX4" s="55">
        <v>11</v>
      </c>
      <c r="AY4" s="55">
        <v>12</v>
      </c>
      <c r="AZ4" s="55">
        <v>13</v>
      </c>
      <c r="BA4" s="55">
        <v>14</v>
      </c>
      <c r="BB4" s="55">
        <v>15</v>
      </c>
      <c r="BC4" s="55">
        <v>16</v>
      </c>
      <c r="BD4" s="55">
        <v>17</v>
      </c>
      <c r="BE4" s="55">
        <v>18</v>
      </c>
      <c r="BF4" s="55">
        <v>19</v>
      </c>
      <c r="BG4" s="55">
        <v>20</v>
      </c>
      <c r="BH4" s="55">
        <v>21</v>
      </c>
      <c r="BI4" s="55">
        <v>22</v>
      </c>
      <c r="BJ4" s="55">
        <v>23</v>
      </c>
      <c r="BK4" s="55">
        <v>24</v>
      </c>
      <c r="BL4" s="55">
        <v>25</v>
      </c>
      <c r="BM4" s="55">
        <v>26</v>
      </c>
      <c r="BN4" s="55">
        <v>27</v>
      </c>
      <c r="BO4" s="55">
        <v>28</v>
      </c>
      <c r="BP4" s="55">
        <v>29</v>
      </c>
      <c r="BQ4" s="55">
        <v>30</v>
      </c>
      <c r="BR4" s="59" t="s">
        <v>2898</v>
      </c>
      <c r="BS4" s="52" t="s">
        <v>2899</v>
      </c>
      <c r="BT4" s="52" t="s">
        <v>2900</v>
      </c>
      <c r="BU4" s="166">
        <v>1</v>
      </c>
      <c r="BV4" s="167">
        <v>2</v>
      </c>
      <c r="BW4" s="167">
        <v>3</v>
      </c>
      <c r="BX4" s="167">
        <v>4</v>
      </c>
      <c r="BY4" s="167">
        <v>5</v>
      </c>
      <c r="BZ4" s="167">
        <v>6</v>
      </c>
      <c r="CA4" s="167">
        <v>7</v>
      </c>
      <c r="CB4" s="167">
        <v>8</v>
      </c>
      <c r="CC4" s="167">
        <v>9</v>
      </c>
      <c r="CD4" s="167">
        <v>10</v>
      </c>
      <c r="CE4" s="167">
        <v>11</v>
      </c>
      <c r="CF4" s="167">
        <v>12</v>
      </c>
      <c r="CG4" s="167">
        <v>13</v>
      </c>
      <c r="CH4" s="167">
        <v>14</v>
      </c>
      <c r="CI4" s="167">
        <v>15</v>
      </c>
      <c r="CJ4" s="167">
        <v>16</v>
      </c>
      <c r="CK4" s="167">
        <v>17</v>
      </c>
      <c r="CL4" s="167">
        <v>18</v>
      </c>
      <c r="CM4" s="167">
        <v>19</v>
      </c>
      <c r="CN4" s="167">
        <v>20</v>
      </c>
      <c r="CO4" s="167">
        <v>21</v>
      </c>
      <c r="CP4" s="167">
        <v>22</v>
      </c>
      <c r="CQ4" s="167">
        <v>23</v>
      </c>
      <c r="CR4" s="167">
        <v>24</v>
      </c>
      <c r="CS4" s="167">
        <v>25</v>
      </c>
      <c r="CT4" s="167">
        <v>26</v>
      </c>
      <c r="CU4" s="167">
        <v>27</v>
      </c>
      <c r="CV4" s="167">
        <v>28</v>
      </c>
      <c r="CW4" s="167">
        <v>29</v>
      </c>
      <c r="CX4" s="167">
        <v>30</v>
      </c>
      <c r="CY4" s="168">
        <v>31</v>
      </c>
      <c r="CZ4" s="59" t="s">
        <v>2898</v>
      </c>
      <c r="DA4" s="178" t="s">
        <v>2899</v>
      </c>
      <c r="DB4" s="178" t="s">
        <v>2900</v>
      </c>
      <c r="DC4" s="166">
        <v>1</v>
      </c>
      <c r="DD4" s="167">
        <v>2</v>
      </c>
      <c r="DE4" s="167">
        <v>3</v>
      </c>
      <c r="DF4" s="167">
        <v>4</v>
      </c>
      <c r="DG4" s="167">
        <v>5</v>
      </c>
      <c r="DH4" s="209">
        <v>6</v>
      </c>
      <c r="DI4" s="167">
        <v>7</v>
      </c>
      <c r="DJ4" s="167">
        <v>8</v>
      </c>
      <c r="DK4" s="167">
        <v>9</v>
      </c>
      <c r="DL4" s="167">
        <v>10</v>
      </c>
      <c r="DM4" s="167">
        <v>11</v>
      </c>
      <c r="DN4" s="167">
        <v>12</v>
      </c>
      <c r="DO4" s="167">
        <v>13</v>
      </c>
      <c r="DP4" s="167">
        <v>14</v>
      </c>
      <c r="DQ4" s="167">
        <v>15</v>
      </c>
      <c r="DR4" s="209">
        <v>16</v>
      </c>
      <c r="DS4" s="167">
        <v>17</v>
      </c>
      <c r="DT4" s="167">
        <v>18</v>
      </c>
      <c r="DU4" s="167">
        <v>19</v>
      </c>
      <c r="DV4" s="167">
        <v>20</v>
      </c>
      <c r="DW4" s="167">
        <v>21</v>
      </c>
      <c r="DX4" s="167">
        <v>22</v>
      </c>
      <c r="DY4" s="167">
        <v>23</v>
      </c>
      <c r="DZ4" s="167">
        <v>24</v>
      </c>
      <c r="EA4" s="167">
        <v>25</v>
      </c>
      <c r="EB4" s="167">
        <v>26</v>
      </c>
      <c r="EC4" s="167">
        <v>27</v>
      </c>
      <c r="ED4" s="167">
        <v>28</v>
      </c>
      <c r="EE4" s="209">
        <v>29</v>
      </c>
      <c r="EF4" s="209">
        <v>30</v>
      </c>
      <c r="EG4" s="213" t="s">
        <v>2898</v>
      </c>
      <c r="EH4" s="178" t="s">
        <v>2899</v>
      </c>
      <c r="EI4" s="178" t="s">
        <v>2900</v>
      </c>
      <c r="EJ4" s="58">
        <v>1</v>
      </c>
      <c r="EK4" s="55">
        <v>2</v>
      </c>
      <c r="EL4" s="55">
        <v>3</v>
      </c>
      <c r="EM4" s="55">
        <v>4</v>
      </c>
      <c r="EN4" s="55">
        <v>5</v>
      </c>
      <c r="EO4" s="55">
        <v>6</v>
      </c>
      <c r="EP4" s="55">
        <v>7</v>
      </c>
      <c r="EQ4" s="55">
        <v>8</v>
      </c>
      <c r="ER4" s="55">
        <v>9</v>
      </c>
      <c r="ES4" s="55">
        <v>10</v>
      </c>
      <c r="ET4" s="55">
        <v>11</v>
      </c>
      <c r="EU4" s="55">
        <v>12</v>
      </c>
      <c r="EV4" s="55">
        <v>13</v>
      </c>
      <c r="EW4" s="55">
        <v>14</v>
      </c>
      <c r="EX4" s="55">
        <v>15</v>
      </c>
      <c r="EY4" s="55">
        <v>16</v>
      </c>
      <c r="EZ4" s="55">
        <v>17</v>
      </c>
      <c r="FA4" s="55">
        <v>18</v>
      </c>
      <c r="FB4" s="55">
        <v>19</v>
      </c>
      <c r="FC4" s="265">
        <v>20</v>
      </c>
      <c r="FD4" s="55">
        <v>21</v>
      </c>
      <c r="FE4" s="55">
        <v>22</v>
      </c>
      <c r="FF4" s="55">
        <v>23</v>
      </c>
      <c r="FG4" s="55">
        <v>24</v>
      </c>
      <c r="FH4" s="55">
        <v>25</v>
      </c>
      <c r="FI4" s="55">
        <v>26</v>
      </c>
      <c r="FJ4" s="55">
        <v>27</v>
      </c>
      <c r="FK4" s="55">
        <v>28</v>
      </c>
      <c r="FL4" s="55">
        <v>29</v>
      </c>
      <c r="FM4" s="55">
        <v>30</v>
      </c>
      <c r="FN4" s="55">
        <v>31</v>
      </c>
      <c r="FO4" s="213" t="s">
        <v>2898</v>
      </c>
      <c r="FP4" s="178" t="s">
        <v>2899</v>
      </c>
      <c r="FQ4" s="178" t="s">
        <v>2900</v>
      </c>
      <c r="FS4" s="58">
        <v>1</v>
      </c>
      <c r="FT4" s="55">
        <v>2</v>
      </c>
      <c r="FU4" s="55">
        <v>3</v>
      </c>
      <c r="FV4" s="55">
        <v>4</v>
      </c>
      <c r="FW4" s="55">
        <v>5</v>
      </c>
      <c r="FX4" s="55">
        <v>6</v>
      </c>
      <c r="FY4" s="55">
        <v>7</v>
      </c>
      <c r="FZ4" s="55">
        <v>8</v>
      </c>
      <c r="GA4" s="55">
        <v>9</v>
      </c>
      <c r="GB4" s="55">
        <v>10</v>
      </c>
      <c r="GC4" s="55">
        <v>11</v>
      </c>
      <c r="GD4" s="55">
        <v>12</v>
      </c>
      <c r="GE4" s="55">
        <v>13</v>
      </c>
      <c r="GF4" s="55">
        <v>14</v>
      </c>
      <c r="GG4" s="55">
        <v>15</v>
      </c>
      <c r="GH4" s="55">
        <v>16</v>
      </c>
      <c r="GI4" s="55">
        <v>17</v>
      </c>
      <c r="GJ4" s="55">
        <v>18</v>
      </c>
      <c r="GK4" s="55">
        <v>19</v>
      </c>
      <c r="GL4" s="55">
        <v>20</v>
      </c>
      <c r="GM4" s="55">
        <v>21</v>
      </c>
      <c r="GN4" s="55">
        <v>22</v>
      </c>
      <c r="GO4" s="55">
        <v>23</v>
      </c>
      <c r="GP4" s="55">
        <v>24</v>
      </c>
      <c r="GQ4" s="55">
        <v>25</v>
      </c>
      <c r="GR4" s="55">
        <v>26</v>
      </c>
      <c r="GS4" s="55">
        <v>27</v>
      </c>
      <c r="GT4" s="55">
        <v>28</v>
      </c>
      <c r="GU4" s="55">
        <v>29</v>
      </c>
      <c r="GV4" s="55">
        <v>30</v>
      </c>
      <c r="GW4" s="55">
        <v>31</v>
      </c>
      <c r="GX4" s="213" t="s">
        <v>2898</v>
      </c>
      <c r="GY4" s="178" t="s">
        <v>2899</v>
      </c>
      <c r="GZ4" s="178" t="s">
        <v>2900</v>
      </c>
      <c r="HA4" s="58">
        <v>1</v>
      </c>
      <c r="HB4" s="55">
        <v>2</v>
      </c>
      <c r="HC4" s="55">
        <v>3</v>
      </c>
      <c r="HD4" s="55">
        <v>4</v>
      </c>
      <c r="HE4" s="55">
        <v>5</v>
      </c>
      <c r="HF4" s="55">
        <v>6</v>
      </c>
      <c r="HG4" s="55">
        <v>7</v>
      </c>
      <c r="HH4" s="55">
        <v>8</v>
      </c>
      <c r="HI4" s="55">
        <v>9</v>
      </c>
      <c r="HJ4" s="55">
        <v>10</v>
      </c>
      <c r="HK4" s="55">
        <v>11</v>
      </c>
      <c r="HL4" s="55">
        <v>12</v>
      </c>
      <c r="HM4" s="55">
        <v>13</v>
      </c>
      <c r="HN4" s="55">
        <v>14</v>
      </c>
      <c r="HO4" s="55">
        <v>15</v>
      </c>
      <c r="HP4" s="55">
        <v>16</v>
      </c>
      <c r="HQ4" s="55">
        <v>17</v>
      </c>
      <c r="HR4" s="55">
        <v>18</v>
      </c>
      <c r="HS4" s="55">
        <v>19</v>
      </c>
      <c r="HT4" s="55">
        <v>20</v>
      </c>
      <c r="HU4" s="55">
        <v>21</v>
      </c>
      <c r="HV4" s="55">
        <v>22</v>
      </c>
      <c r="HW4" s="55">
        <v>23</v>
      </c>
      <c r="HX4" s="55">
        <v>24</v>
      </c>
      <c r="HY4" s="55">
        <v>25</v>
      </c>
      <c r="HZ4" s="55">
        <v>26</v>
      </c>
      <c r="IA4" s="55">
        <v>27</v>
      </c>
      <c r="IB4" s="55">
        <v>28</v>
      </c>
      <c r="IC4" s="55">
        <v>29</v>
      </c>
      <c r="ID4" s="55">
        <v>30</v>
      </c>
      <c r="IE4" s="55">
        <v>31</v>
      </c>
      <c r="IF4" s="213" t="s">
        <v>2898</v>
      </c>
      <c r="IG4" s="392" t="s">
        <v>3905</v>
      </c>
      <c r="IH4" s="178" t="s">
        <v>2899</v>
      </c>
      <c r="II4" s="178" t="s">
        <v>2900</v>
      </c>
    </row>
    <row r="5" spans="2:243" ht="16.5" thickBot="1" x14ac:dyDescent="0.3">
      <c r="B5" s="60">
        <v>1</v>
      </c>
      <c r="C5" s="61" t="s">
        <v>2901</v>
      </c>
      <c r="D5" s="61"/>
      <c r="E5" s="61" t="s">
        <v>2902</v>
      </c>
      <c r="F5" s="62" t="s">
        <v>2903</v>
      </c>
      <c r="G5" s="63" t="s">
        <v>2904</v>
      </c>
      <c r="H5" s="64"/>
      <c r="I5" s="64"/>
      <c r="J5" s="65" t="s">
        <v>2905</v>
      </c>
      <c r="K5" s="66"/>
      <c r="L5" s="66"/>
      <c r="M5" s="66"/>
      <c r="N5" s="67" t="s">
        <v>2906</v>
      </c>
      <c r="O5" s="67"/>
      <c r="P5" s="67"/>
      <c r="Q5" s="68" t="s">
        <v>2907</v>
      </c>
      <c r="R5" s="64"/>
      <c r="S5" s="64"/>
      <c r="T5" s="64"/>
      <c r="U5" s="64"/>
      <c r="V5" s="69" t="s">
        <v>2908</v>
      </c>
      <c r="W5" s="70"/>
      <c r="X5" s="70"/>
      <c r="Y5" s="70"/>
      <c r="AA5" s="71" t="s">
        <v>2909</v>
      </c>
      <c r="AB5" s="64"/>
      <c r="AC5" s="64"/>
      <c r="AD5" s="72" t="s">
        <v>2910</v>
      </c>
      <c r="AE5" s="73"/>
      <c r="AF5" s="73"/>
      <c r="AG5" s="74" t="s">
        <v>2911</v>
      </c>
      <c r="AH5" s="74"/>
      <c r="AI5" s="74"/>
      <c r="AJ5" s="74"/>
      <c r="AK5" s="73" t="s">
        <v>2912</v>
      </c>
      <c r="AN5" s="76" t="s">
        <v>2913</v>
      </c>
      <c r="AO5" s="77" t="s">
        <v>3081</v>
      </c>
      <c r="AP5" s="97" t="s">
        <v>2921</v>
      </c>
      <c r="AQ5" s="117"/>
      <c r="AR5" s="97"/>
      <c r="AS5" s="97"/>
      <c r="AT5" s="97"/>
      <c r="AU5" s="118" t="s">
        <v>3096</v>
      </c>
      <c r="AV5" s="118"/>
      <c r="AW5" s="119" t="s">
        <v>3101</v>
      </c>
      <c r="AX5" s="121"/>
      <c r="AY5" s="77"/>
      <c r="AZ5" s="77"/>
      <c r="BA5" s="61" t="s">
        <v>3115</v>
      </c>
      <c r="BB5" s="120"/>
      <c r="BC5" s="125" t="s">
        <v>2921</v>
      </c>
      <c r="BD5" s="130"/>
      <c r="BE5" s="115"/>
      <c r="BF5" s="130"/>
      <c r="BG5" s="140" t="s">
        <v>2926</v>
      </c>
      <c r="BH5" s="141"/>
      <c r="BI5" s="132"/>
      <c r="BJ5" s="132"/>
      <c r="BK5" s="132"/>
      <c r="BL5" s="129" t="s">
        <v>3158</v>
      </c>
      <c r="BM5" s="129"/>
      <c r="BN5" s="129"/>
      <c r="BO5" s="129"/>
      <c r="BP5" s="129"/>
      <c r="BQ5" s="129"/>
      <c r="BR5" s="75"/>
      <c r="BU5" s="169"/>
      <c r="BV5" s="120"/>
      <c r="BW5" s="120"/>
      <c r="BX5" s="170"/>
      <c r="BY5" s="171"/>
      <c r="BZ5" s="180" t="s">
        <v>2925</v>
      </c>
      <c r="CA5" s="181"/>
      <c r="CB5" s="128" t="s">
        <v>3330</v>
      </c>
      <c r="CC5" s="128"/>
      <c r="CD5" s="128"/>
      <c r="CE5" s="128"/>
      <c r="CF5" s="189"/>
      <c r="CG5" s="120" t="s">
        <v>3235</v>
      </c>
      <c r="CH5" s="129" t="s">
        <v>3322</v>
      </c>
      <c r="CI5" s="129"/>
      <c r="CJ5" s="190"/>
      <c r="CK5" s="191"/>
      <c r="CL5" s="129"/>
      <c r="CM5" s="139" t="s">
        <v>2926</v>
      </c>
      <c r="CN5" s="139"/>
      <c r="CO5" s="139"/>
      <c r="CP5" s="120" t="s">
        <v>3184</v>
      </c>
      <c r="CQ5" s="133" t="s">
        <v>3189</v>
      </c>
      <c r="CR5" s="133"/>
      <c r="CS5" s="133"/>
      <c r="CT5" s="127" t="s">
        <v>2945</v>
      </c>
      <c r="CU5" s="186"/>
      <c r="CV5" s="186"/>
      <c r="CW5" s="161"/>
      <c r="CX5" s="192" t="s">
        <v>3323</v>
      </c>
      <c r="CY5" s="192"/>
      <c r="DC5" s="169"/>
      <c r="DD5" s="120"/>
      <c r="DE5" s="120"/>
      <c r="DF5" s="202" t="s">
        <v>3345</v>
      </c>
      <c r="DG5" s="203"/>
      <c r="DH5" s="208"/>
      <c r="DI5" s="202"/>
      <c r="DJ5" s="124"/>
      <c r="DK5" s="133" t="s">
        <v>3361</v>
      </c>
      <c r="DL5" s="133"/>
      <c r="DM5" s="133"/>
      <c r="DN5" s="211"/>
      <c r="DO5" s="133"/>
      <c r="DP5" s="133"/>
      <c r="DQ5" s="133"/>
      <c r="DR5" s="217" t="s">
        <v>3372</v>
      </c>
      <c r="DS5" s="218"/>
      <c r="DT5" s="120" t="s">
        <v>2932</v>
      </c>
      <c r="DU5" s="129" t="s">
        <v>2948</v>
      </c>
      <c r="DV5" s="129"/>
      <c r="DW5" s="129"/>
      <c r="DX5" s="129"/>
      <c r="DY5" s="120" t="s">
        <v>3408</v>
      </c>
      <c r="DZ5" s="120" t="s">
        <v>3151</v>
      </c>
      <c r="EA5" s="193" t="s">
        <v>2918</v>
      </c>
      <c r="EB5" s="193"/>
      <c r="EC5" s="234"/>
      <c r="ED5" s="234"/>
      <c r="EE5" s="235" t="s">
        <v>2948</v>
      </c>
      <c r="EF5" s="235"/>
      <c r="EJ5" s="169"/>
      <c r="EK5" s="120"/>
      <c r="EL5" s="169" t="s">
        <v>3463</v>
      </c>
      <c r="EM5" s="253" t="s">
        <v>2918</v>
      </c>
      <c r="EN5" s="139"/>
      <c r="EO5" s="139"/>
      <c r="EP5" s="139"/>
      <c r="EQ5" s="254" t="s">
        <v>2911</v>
      </c>
      <c r="ER5" s="255"/>
      <c r="ES5" s="255"/>
      <c r="ET5" s="120" t="s">
        <v>3150</v>
      </c>
      <c r="EU5" s="120"/>
      <c r="EV5" s="120"/>
      <c r="EW5" s="122" t="s">
        <v>2918</v>
      </c>
      <c r="EX5" s="122"/>
      <c r="EY5" s="263"/>
      <c r="EZ5" s="122"/>
      <c r="FA5" s="127" t="s">
        <v>2935</v>
      </c>
      <c r="FB5" s="127"/>
      <c r="FC5" s="162"/>
      <c r="FD5" s="264"/>
      <c r="FE5" s="267"/>
      <c r="FF5" s="268" t="s">
        <v>3539</v>
      </c>
      <c r="FG5" s="269"/>
      <c r="FH5" s="139" t="s">
        <v>2921</v>
      </c>
      <c r="FI5" s="139"/>
      <c r="FJ5" s="139"/>
      <c r="FK5" s="139"/>
      <c r="FL5" s="74" t="s">
        <v>2911</v>
      </c>
      <c r="FM5" s="74"/>
      <c r="FN5" s="74"/>
      <c r="FS5" s="169"/>
      <c r="FT5" s="120"/>
      <c r="FU5" s="120"/>
      <c r="FV5" s="189" t="s">
        <v>3584</v>
      </c>
      <c r="FW5" s="128"/>
      <c r="FX5" s="128"/>
      <c r="FY5" s="128"/>
      <c r="FZ5" s="274"/>
      <c r="GA5" s="275" t="s">
        <v>3402</v>
      </c>
      <c r="GB5" s="275"/>
      <c r="GC5" s="202" t="s">
        <v>2948</v>
      </c>
      <c r="GD5" s="124"/>
      <c r="GE5" s="124"/>
      <c r="GF5" s="124"/>
      <c r="GG5" s="120" t="s">
        <v>3353</v>
      </c>
      <c r="GH5" s="170"/>
      <c r="GI5" s="120"/>
      <c r="GJ5" s="139" t="s">
        <v>2921</v>
      </c>
      <c r="GK5" s="139"/>
      <c r="GL5" s="276"/>
      <c r="GM5" s="277"/>
      <c r="GN5" s="123" t="s">
        <v>2911</v>
      </c>
      <c r="GO5" s="123"/>
      <c r="GP5" s="278"/>
      <c r="GQ5" s="123"/>
      <c r="GR5" s="132" t="s">
        <v>3661</v>
      </c>
      <c r="GS5" s="132"/>
      <c r="GT5" s="132"/>
      <c r="GU5" s="132"/>
      <c r="GV5" s="132"/>
      <c r="GW5" s="132"/>
      <c r="HA5" s="295" t="s">
        <v>3701</v>
      </c>
      <c r="HB5" s="73"/>
      <c r="HC5" s="73"/>
      <c r="HD5" s="189" t="s">
        <v>3606</v>
      </c>
      <c r="HE5" s="128"/>
      <c r="HF5" s="128"/>
      <c r="HG5" s="128"/>
      <c r="HH5" s="67"/>
      <c r="HI5" s="67"/>
      <c r="HJ5" s="67"/>
      <c r="HK5" s="170"/>
      <c r="HL5" s="120"/>
      <c r="HM5" s="120"/>
      <c r="HN5" s="120"/>
      <c r="HO5" s="120"/>
      <c r="HP5" s="170"/>
      <c r="HQ5" s="120"/>
      <c r="HR5" s="120"/>
      <c r="HS5" s="120"/>
      <c r="HT5" s="201"/>
      <c r="HU5" s="267"/>
      <c r="HV5" s="120"/>
      <c r="HW5" s="120"/>
      <c r="HX5" s="170"/>
      <c r="HY5" s="120"/>
      <c r="HZ5" s="120"/>
      <c r="IA5" s="120"/>
      <c r="IB5" s="120"/>
      <c r="IC5" s="120"/>
      <c r="ID5" s="120"/>
      <c r="IE5" s="120"/>
      <c r="IF5" s="165"/>
      <c r="IG5" s="395"/>
      <c r="IH5" s="165"/>
      <c r="II5" s="165"/>
    </row>
    <row r="6" spans="2:243" ht="15.75" x14ac:dyDescent="0.25">
      <c r="B6" s="78"/>
      <c r="C6" s="79">
        <v>2417</v>
      </c>
      <c r="D6" s="79">
        <v>9</v>
      </c>
      <c r="E6" s="79"/>
      <c r="F6" s="80" t="s">
        <v>2914</v>
      </c>
      <c r="G6" s="81"/>
      <c r="H6" s="82"/>
      <c r="I6" s="82"/>
      <c r="J6" s="82"/>
      <c r="K6" s="82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N6" s="84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83"/>
      <c r="BU6" s="81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173"/>
      <c r="CZ6" s="83"/>
      <c r="DC6" s="81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3"/>
      <c r="EJ6" s="81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  <c r="EY6" s="82"/>
      <c r="EZ6" s="82"/>
      <c r="FA6" s="82"/>
      <c r="FB6" s="82"/>
      <c r="FC6" s="82"/>
      <c r="FD6" s="82"/>
      <c r="FE6" s="82"/>
      <c r="FF6" s="82"/>
      <c r="FG6" s="82"/>
      <c r="FH6" s="82"/>
      <c r="FI6" s="82"/>
      <c r="FJ6" s="82"/>
      <c r="FK6" s="82"/>
      <c r="FL6" s="82"/>
      <c r="FM6" s="82"/>
      <c r="FN6" s="82"/>
      <c r="FO6" s="83"/>
      <c r="FS6" s="81"/>
      <c r="FT6" s="82"/>
      <c r="FU6" s="82"/>
      <c r="FV6" s="82"/>
      <c r="FW6" s="82"/>
      <c r="FX6" s="82"/>
      <c r="FY6" s="82"/>
      <c r="FZ6" s="82"/>
      <c r="GA6" s="82"/>
      <c r="GB6" s="82"/>
      <c r="GC6" s="82"/>
      <c r="GD6" s="82"/>
      <c r="GE6" s="82"/>
      <c r="GF6" s="82"/>
      <c r="GG6" s="82"/>
      <c r="GH6" s="82"/>
      <c r="GI6" s="82"/>
      <c r="GJ6" s="82"/>
      <c r="GK6" s="82"/>
      <c r="GL6" s="82"/>
      <c r="GM6" s="82"/>
      <c r="GN6" s="82"/>
      <c r="GO6" s="82"/>
      <c r="GP6" s="82"/>
      <c r="GQ6" s="82"/>
      <c r="GR6" s="82"/>
      <c r="GS6" s="82"/>
      <c r="GT6" s="82"/>
      <c r="GU6" s="82"/>
      <c r="GV6" s="82"/>
      <c r="GW6" s="82"/>
      <c r="GX6" s="83"/>
      <c r="HA6" s="81"/>
      <c r="HB6" s="82"/>
      <c r="HC6" s="82"/>
      <c r="HD6" s="82"/>
      <c r="HE6" s="82"/>
      <c r="HF6" s="82"/>
      <c r="HG6" s="82"/>
      <c r="HH6" s="82"/>
      <c r="HI6" s="82"/>
      <c r="HJ6" s="82"/>
      <c r="HK6" s="82"/>
      <c r="HL6" s="82"/>
      <c r="HM6" s="82"/>
      <c r="HN6" s="82"/>
      <c r="HO6" s="82"/>
      <c r="HP6" s="82"/>
      <c r="HQ6" s="82"/>
      <c r="HR6" s="82"/>
      <c r="HS6" s="82"/>
      <c r="HT6" s="82"/>
      <c r="HU6" s="82"/>
      <c r="HV6" s="82"/>
      <c r="HW6" s="82"/>
      <c r="HX6" s="82"/>
      <c r="HY6" s="82"/>
      <c r="HZ6" s="82"/>
      <c r="IA6" s="82"/>
      <c r="IB6" s="82"/>
      <c r="IC6" s="82"/>
      <c r="ID6" s="82"/>
      <c r="IE6" s="82"/>
      <c r="IF6" s="173"/>
      <c r="IG6" s="396"/>
      <c r="IH6" s="165"/>
      <c r="II6" s="165"/>
    </row>
    <row r="7" spans="2:243" ht="16.5" thickBot="1" x14ac:dyDescent="0.3">
      <c r="B7" s="85"/>
      <c r="C7" s="86"/>
      <c r="D7" s="86"/>
      <c r="E7" s="86"/>
      <c r="F7" s="87" t="s">
        <v>2915</v>
      </c>
      <c r="G7" s="88">
        <v>2300</v>
      </c>
      <c r="H7" s="86"/>
      <c r="I7" s="86"/>
      <c r="J7" s="86">
        <v>1900</v>
      </c>
      <c r="K7" s="86"/>
      <c r="L7" s="86"/>
      <c r="M7" s="86"/>
      <c r="N7" s="86"/>
      <c r="O7" s="86"/>
      <c r="P7" s="86"/>
      <c r="Q7" s="86">
        <v>2300</v>
      </c>
      <c r="R7" s="86"/>
      <c r="S7" s="86"/>
      <c r="T7" s="86"/>
      <c r="U7" s="86"/>
      <c r="V7" s="86">
        <v>1900</v>
      </c>
      <c r="W7" s="86"/>
      <c r="X7" s="86"/>
      <c r="Y7" s="86"/>
      <c r="Z7" s="86"/>
      <c r="AA7" s="86">
        <v>1900</v>
      </c>
      <c r="AB7" s="86"/>
      <c r="AC7" s="86"/>
      <c r="AD7" s="86">
        <v>390</v>
      </c>
      <c r="AE7" s="86"/>
      <c r="AF7" s="86"/>
      <c r="AG7" s="86">
        <v>1900</v>
      </c>
      <c r="AH7" s="86"/>
      <c r="AI7" s="86"/>
      <c r="AJ7" s="86"/>
      <c r="AK7" s="86">
        <v>240</v>
      </c>
      <c r="AL7" s="90">
        <v>15000</v>
      </c>
      <c r="AM7" s="91" t="e">
        <f>#REF!-AL7</f>
        <v>#REF!</v>
      </c>
      <c r="AN7" s="88"/>
      <c r="AO7" s="86">
        <v>200</v>
      </c>
      <c r="AP7" s="86">
        <v>2300</v>
      </c>
      <c r="AQ7" s="86"/>
      <c r="AR7" s="86"/>
      <c r="AS7" s="86"/>
      <c r="AT7" s="86"/>
      <c r="AU7" s="86">
        <v>500</v>
      </c>
      <c r="AV7" s="86"/>
      <c r="AW7" s="86">
        <v>1500</v>
      </c>
      <c r="AX7" s="86"/>
      <c r="AY7" s="86"/>
      <c r="AZ7" s="86"/>
      <c r="BA7" s="86"/>
      <c r="BB7" s="86"/>
      <c r="BC7" s="86">
        <v>2300</v>
      </c>
      <c r="BD7" s="86"/>
      <c r="BE7" s="86"/>
      <c r="BF7" s="86"/>
      <c r="BG7" s="86">
        <v>1900</v>
      </c>
      <c r="BH7" s="86"/>
      <c r="BI7" s="86"/>
      <c r="BJ7" s="86"/>
      <c r="BK7" s="86"/>
      <c r="BL7" s="86">
        <v>1900</v>
      </c>
      <c r="BM7" s="86"/>
      <c r="BN7" s="86"/>
      <c r="BO7" s="86"/>
      <c r="BP7" s="86"/>
      <c r="BQ7" s="86"/>
      <c r="BR7" s="89">
        <f>SUM(AN7:BQ7)</f>
        <v>10600</v>
      </c>
      <c r="BS7" s="90">
        <v>15000</v>
      </c>
      <c r="BT7" s="91">
        <f>BR7-BS7</f>
        <v>-4400</v>
      </c>
      <c r="BU7" s="174"/>
      <c r="BV7" s="175"/>
      <c r="BW7" s="175"/>
      <c r="BX7" s="175"/>
      <c r="BY7" s="175">
        <v>1900</v>
      </c>
      <c r="BZ7" s="175">
        <v>450</v>
      </c>
      <c r="CA7" s="175"/>
      <c r="CB7" s="175">
        <v>1900</v>
      </c>
      <c r="CC7" s="175"/>
      <c r="CD7" s="175"/>
      <c r="CE7" s="175"/>
      <c r="CF7" s="175"/>
      <c r="CG7" s="175"/>
      <c r="CH7" s="175">
        <v>2300</v>
      </c>
      <c r="CI7" s="175"/>
      <c r="CJ7" s="175"/>
      <c r="CK7" s="175"/>
      <c r="CL7" s="175"/>
      <c r="CM7" s="175">
        <v>1900</v>
      </c>
      <c r="CN7" s="175"/>
      <c r="CO7" s="175"/>
      <c r="CP7" s="175"/>
      <c r="CQ7" s="175">
        <v>2100</v>
      </c>
      <c r="CR7" s="175"/>
      <c r="CS7" s="175"/>
      <c r="CT7" s="175">
        <v>1900</v>
      </c>
      <c r="CU7" s="175"/>
      <c r="CV7" s="175"/>
      <c r="CW7" s="175"/>
      <c r="CX7" s="175">
        <v>2000</v>
      </c>
      <c r="CY7" s="176"/>
      <c r="CZ7" s="89">
        <v>12550</v>
      </c>
      <c r="DA7" s="90">
        <v>15000</v>
      </c>
      <c r="DB7" s="91">
        <f>CZ7-DA7</f>
        <v>-2450</v>
      </c>
      <c r="DC7" s="174"/>
      <c r="DD7" s="175"/>
      <c r="DE7" s="175"/>
      <c r="DF7" s="175">
        <v>1900</v>
      </c>
      <c r="DG7" s="175"/>
      <c r="DH7" s="175"/>
      <c r="DI7" s="175"/>
      <c r="DJ7" s="175"/>
      <c r="DK7" s="175">
        <v>2300</v>
      </c>
      <c r="DL7" s="175"/>
      <c r="DM7" s="175"/>
      <c r="DN7" s="175"/>
      <c r="DO7" s="175"/>
      <c r="DP7" s="175"/>
      <c r="DQ7" s="175"/>
      <c r="DR7" s="175">
        <v>1000</v>
      </c>
      <c r="DS7" s="175"/>
      <c r="DT7" s="175"/>
      <c r="DU7" s="175">
        <v>1900</v>
      </c>
      <c r="DV7" s="175"/>
      <c r="DW7" s="175"/>
      <c r="DX7" s="175"/>
      <c r="DY7" s="175"/>
      <c r="DZ7" s="175"/>
      <c r="EA7" s="175">
        <v>2300</v>
      </c>
      <c r="EB7" s="175"/>
      <c r="EC7" s="175"/>
      <c r="ED7" s="175"/>
      <c r="EE7" s="175">
        <v>1900</v>
      </c>
      <c r="EF7" s="175"/>
      <c r="EG7" s="220">
        <v>11300</v>
      </c>
      <c r="EH7" s="221">
        <v>15000</v>
      </c>
      <c r="EI7" s="221">
        <f>EG7-EH7</f>
        <v>-3700</v>
      </c>
      <c r="EJ7" s="174"/>
      <c r="EK7" s="175"/>
      <c r="EL7" s="174"/>
      <c r="EM7" s="175">
        <v>2300</v>
      </c>
      <c r="EN7" s="175"/>
      <c r="EO7" s="175"/>
      <c r="EP7" s="175"/>
      <c r="EQ7" s="175">
        <v>1900</v>
      </c>
      <c r="ER7" s="175"/>
      <c r="ES7" s="175"/>
      <c r="ET7" s="175"/>
      <c r="EU7" s="175"/>
      <c r="EV7" s="175"/>
      <c r="EW7" s="175">
        <v>2300</v>
      </c>
      <c r="EX7" s="175"/>
      <c r="EY7" s="175"/>
      <c r="EZ7" s="175"/>
      <c r="FA7" s="175">
        <v>1900</v>
      </c>
      <c r="FB7" s="175"/>
      <c r="FC7" s="175"/>
      <c r="FD7" s="175"/>
      <c r="FE7" s="175"/>
      <c r="FF7" s="175">
        <v>450</v>
      </c>
      <c r="FG7" s="175"/>
      <c r="FH7" s="175">
        <v>2300</v>
      </c>
      <c r="FI7" s="175"/>
      <c r="FJ7" s="175"/>
      <c r="FK7" s="175"/>
      <c r="FL7" s="175">
        <v>1900</v>
      </c>
      <c r="FM7" s="175"/>
      <c r="FN7" s="175"/>
      <c r="FO7" s="220">
        <v>13050</v>
      </c>
      <c r="FP7" s="221">
        <v>15000</v>
      </c>
      <c r="FQ7" s="221">
        <v>1950</v>
      </c>
      <c r="FS7" s="174"/>
      <c r="FT7" s="175"/>
      <c r="FU7" s="175"/>
      <c r="FV7" s="175">
        <v>1300</v>
      </c>
      <c r="FW7" s="175"/>
      <c r="FX7" s="175"/>
      <c r="FY7" s="175"/>
      <c r="FZ7" s="175"/>
      <c r="GA7" s="175">
        <v>400</v>
      </c>
      <c r="GB7" s="175"/>
      <c r="GC7" s="175">
        <v>1900</v>
      </c>
      <c r="GD7" s="175"/>
      <c r="GE7" s="175"/>
      <c r="GF7" s="175"/>
      <c r="GG7" s="175"/>
      <c r="GH7" s="175"/>
      <c r="GI7" s="175"/>
      <c r="GJ7" s="175">
        <v>2300</v>
      </c>
      <c r="GK7" s="175"/>
      <c r="GL7" s="175"/>
      <c r="GM7" s="175"/>
      <c r="GN7" s="175">
        <v>1900</v>
      </c>
      <c r="GO7" s="175"/>
      <c r="GP7" s="175"/>
      <c r="GQ7" s="175"/>
      <c r="GR7" s="175">
        <v>2000</v>
      </c>
      <c r="GS7" s="175"/>
      <c r="GT7" s="175"/>
      <c r="GU7" s="175"/>
      <c r="GV7" s="175"/>
      <c r="GW7" s="175"/>
      <c r="GX7" s="220">
        <v>9800</v>
      </c>
      <c r="GY7" s="221">
        <v>15000</v>
      </c>
      <c r="GZ7" s="221">
        <v>5200</v>
      </c>
      <c r="HA7" s="174">
        <v>400</v>
      </c>
      <c r="HB7" s="175"/>
      <c r="HC7" s="175"/>
      <c r="HD7" s="175">
        <v>2300</v>
      </c>
      <c r="HE7" s="175"/>
      <c r="HF7" s="175"/>
      <c r="HG7" s="175"/>
      <c r="HH7" s="175"/>
      <c r="HI7" s="175"/>
      <c r="HJ7" s="175"/>
      <c r="HK7" s="175"/>
      <c r="HL7" s="175"/>
      <c r="HM7" s="175"/>
      <c r="HN7" s="175"/>
      <c r="HO7" s="175"/>
      <c r="HP7" s="175"/>
      <c r="HQ7" s="175"/>
      <c r="HR7" s="175"/>
      <c r="HS7" s="175"/>
      <c r="HT7" s="175"/>
      <c r="HU7" s="175"/>
      <c r="HV7" s="175"/>
      <c r="HW7" s="175"/>
      <c r="HX7" s="175"/>
      <c r="HY7" s="175"/>
      <c r="HZ7" s="175"/>
      <c r="IA7" s="175"/>
      <c r="IB7" s="175"/>
      <c r="IC7" s="175"/>
      <c r="ID7" s="175"/>
      <c r="IE7" s="175"/>
      <c r="IF7" s="290">
        <f>SUM(HA7:IE7)</f>
        <v>2700</v>
      </c>
      <c r="IG7" s="397">
        <f>IFERROR(IF7/IH7,"")</f>
        <v>0.18</v>
      </c>
      <c r="IH7" s="291">
        <v>15000</v>
      </c>
      <c r="II7" s="291">
        <v>12300</v>
      </c>
    </row>
    <row r="8" spans="2:243" ht="15.75" x14ac:dyDescent="0.25">
      <c r="B8" s="60">
        <v>2</v>
      </c>
      <c r="C8" s="61" t="s">
        <v>2916</v>
      </c>
      <c r="D8" s="61"/>
      <c r="E8" s="61" t="s">
        <v>2917</v>
      </c>
      <c r="F8" s="62" t="s">
        <v>2903</v>
      </c>
      <c r="G8" s="92"/>
      <c r="H8" s="74" t="s">
        <v>2918</v>
      </c>
      <c r="I8" s="74"/>
      <c r="J8" s="74"/>
      <c r="K8" s="74"/>
      <c r="L8" s="64"/>
      <c r="M8" s="64" t="s">
        <v>2919</v>
      </c>
      <c r="N8" s="64"/>
      <c r="O8" s="64"/>
      <c r="P8" s="61" t="s">
        <v>2920</v>
      </c>
      <c r="Q8" s="77"/>
      <c r="R8" s="77" t="s">
        <v>2921</v>
      </c>
      <c r="S8" s="77"/>
      <c r="T8" s="77"/>
      <c r="U8" s="93"/>
      <c r="V8" s="93" t="s">
        <v>2911</v>
      </c>
      <c r="W8" s="93"/>
      <c r="X8" s="93"/>
      <c r="Y8" s="93"/>
      <c r="Z8" s="61" t="s">
        <v>2922</v>
      </c>
      <c r="AA8" s="74" t="s">
        <v>2923</v>
      </c>
      <c r="AB8" s="74"/>
      <c r="AC8" s="74"/>
      <c r="AD8" s="74"/>
      <c r="AE8" s="74"/>
      <c r="AF8" s="77" t="s">
        <v>2924</v>
      </c>
      <c r="AG8" s="77"/>
      <c r="AH8" s="74" t="s">
        <v>2925</v>
      </c>
      <c r="AI8" s="74"/>
      <c r="AJ8" s="64" t="s">
        <v>2926</v>
      </c>
      <c r="AK8" s="64"/>
      <c r="AN8" s="94"/>
      <c r="AO8" s="61" t="s">
        <v>2927</v>
      </c>
      <c r="AP8" s="74" t="s">
        <v>2928</v>
      </c>
      <c r="AQ8" s="77"/>
      <c r="AR8" s="77"/>
      <c r="AS8" s="77"/>
      <c r="AT8" s="77"/>
      <c r="AU8" s="64" t="s">
        <v>3082</v>
      </c>
      <c r="AV8" s="64"/>
      <c r="AW8" s="61" t="s">
        <v>3097</v>
      </c>
      <c r="AX8" s="97" t="s">
        <v>3105</v>
      </c>
      <c r="AY8" s="97"/>
      <c r="AZ8" s="97"/>
      <c r="BA8" s="97"/>
      <c r="BB8" s="97"/>
      <c r="BC8" s="74" t="s">
        <v>3123</v>
      </c>
      <c r="BD8" s="74"/>
      <c r="BE8" s="74"/>
      <c r="BF8" s="74"/>
      <c r="BG8" s="74"/>
      <c r="BH8" s="136" t="s">
        <v>3146</v>
      </c>
      <c r="BI8" s="138"/>
      <c r="BJ8" s="136"/>
      <c r="BK8" s="122" t="s">
        <v>2926</v>
      </c>
      <c r="BL8" s="122"/>
      <c r="BM8" s="122"/>
      <c r="BN8" s="120" t="s">
        <v>3182</v>
      </c>
      <c r="BO8" s="73" t="s">
        <v>2921</v>
      </c>
      <c r="BP8" s="73"/>
      <c r="BQ8" s="73"/>
      <c r="BR8" s="75"/>
      <c r="BU8" s="177"/>
      <c r="BV8" s="120"/>
      <c r="BW8" s="120"/>
      <c r="BX8" s="120"/>
      <c r="BY8" s="133" t="s">
        <v>3233</v>
      </c>
      <c r="BZ8" s="133"/>
      <c r="CA8" s="133"/>
      <c r="CB8" s="133"/>
      <c r="CC8" s="123" t="s">
        <v>2923</v>
      </c>
      <c r="CD8" s="123"/>
      <c r="CE8" s="123"/>
      <c r="CF8" s="123"/>
      <c r="CG8" s="123"/>
      <c r="CH8" s="123"/>
      <c r="CI8" s="123"/>
      <c r="CJ8" s="133" t="s">
        <v>3338</v>
      </c>
      <c r="CK8" s="133"/>
      <c r="CL8" s="133"/>
      <c r="CM8" s="133"/>
      <c r="CN8" s="124" t="s">
        <v>3339</v>
      </c>
      <c r="CO8" s="124"/>
      <c r="CP8" s="124"/>
      <c r="CQ8" s="124"/>
      <c r="CR8" s="124"/>
      <c r="CS8" s="124"/>
      <c r="CT8" s="124"/>
      <c r="CU8" s="120" t="s">
        <v>2942</v>
      </c>
      <c r="CV8" s="139" t="s">
        <v>2926</v>
      </c>
      <c r="CW8" s="139"/>
      <c r="CX8" s="139"/>
      <c r="CY8" s="195"/>
      <c r="CZ8" s="75"/>
      <c r="DC8" s="177"/>
      <c r="DD8" s="139" t="s">
        <v>2918</v>
      </c>
      <c r="DE8" s="139"/>
      <c r="DF8" s="139"/>
      <c r="DG8" s="139"/>
      <c r="DH8" s="131" t="s">
        <v>2948</v>
      </c>
      <c r="DI8" s="131"/>
      <c r="DJ8" s="131"/>
      <c r="DK8" s="120" t="s">
        <v>3150</v>
      </c>
      <c r="DL8" s="120"/>
      <c r="DM8" s="124" t="s">
        <v>2918</v>
      </c>
      <c r="DN8" s="124"/>
      <c r="DO8" s="124"/>
      <c r="DP8" s="124"/>
      <c r="DQ8" s="124"/>
      <c r="DR8" s="124"/>
      <c r="DS8" s="133" t="s">
        <v>2911</v>
      </c>
      <c r="DT8" s="133"/>
      <c r="DU8" s="133"/>
      <c r="DV8" s="133"/>
      <c r="DW8" s="120" t="s">
        <v>3401</v>
      </c>
      <c r="DX8" s="120"/>
      <c r="DY8" s="120"/>
      <c r="DZ8" s="135" t="s">
        <v>3405</v>
      </c>
      <c r="EA8" s="135"/>
      <c r="EB8" s="135"/>
      <c r="EC8" s="124" t="s">
        <v>3413</v>
      </c>
      <c r="ED8" s="124"/>
      <c r="EE8" s="124"/>
      <c r="EF8" s="120"/>
      <c r="EG8" s="222"/>
      <c r="EH8" s="221"/>
      <c r="EI8" s="221"/>
      <c r="EJ8" s="177"/>
      <c r="EK8" s="252" t="s">
        <v>2921</v>
      </c>
      <c r="EL8" s="135"/>
      <c r="EM8" s="135"/>
      <c r="EN8" s="135"/>
      <c r="EO8" s="133" t="s">
        <v>3467</v>
      </c>
      <c r="EP8" s="133"/>
      <c r="EQ8" s="133"/>
      <c r="ER8" s="120" t="s">
        <v>2949</v>
      </c>
      <c r="ES8" s="120"/>
      <c r="ET8" s="120"/>
      <c r="EU8" s="129" t="s">
        <v>3474</v>
      </c>
      <c r="EV8" s="129"/>
      <c r="EW8" s="129"/>
      <c r="EX8" s="136" t="s">
        <v>3508</v>
      </c>
      <c r="EY8" s="136"/>
      <c r="EZ8" s="136"/>
      <c r="FA8" s="136"/>
      <c r="FB8" s="136"/>
      <c r="FC8" s="136"/>
      <c r="FD8" s="120" t="s">
        <v>2934</v>
      </c>
      <c r="FE8" s="120"/>
      <c r="FF8" s="128" t="s">
        <v>2918</v>
      </c>
      <c r="FG8" s="128"/>
      <c r="FH8" s="128"/>
      <c r="FI8" s="128"/>
      <c r="FJ8" s="129" t="s">
        <v>2911</v>
      </c>
      <c r="FK8" s="129"/>
      <c r="FL8" s="129"/>
      <c r="FM8" s="139" t="s">
        <v>3410</v>
      </c>
      <c r="FN8" s="139"/>
      <c r="FO8" s="222"/>
      <c r="FP8" s="221"/>
      <c r="FQ8" s="221"/>
      <c r="FS8" s="177"/>
      <c r="FT8" s="120"/>
      <c r="FU8" s="120"/>
      <c r="FV8" s="123" t="s">
        <v>3585</v>
      </c>
      <c r="FW8" s="123"/>
      <c r="FX8" s="123"/>
      <c r="FY8" s="133" t="s">
        <v>3410</v>
      </c>
      <c r="FZ8" s="133"/>
      <c r="GA8" s="133"/>
      <c r="GB8" s="136" t="s">
        <v>3321</v>
      </c>
      <c r="GC8" s="136"/>
      <c r="GD8" s="136"/>
      <c r="GE8" s="120" t="s">
        <v>3604</v>
      </c>
      <c r="GF8" s="120"/>
      <c r="GG8" s="128" t="s">
        <v>3605</v>
      </c>
      <c r="GH8" s="128"/>
      <c r="GI8" s="128"/>
      <c r="GJ8" s="128"/>
      <c r="GK8" s="128"/>
      <c r="GL8" s="129" t="s">
        <v>2911</v>
      </c>
      <c r="GM8" s="129"/>
      <c r="GN8" s="129"/>
      <c r="GO8" s="129"/>
      <c r="GP8" s="129"/>
      <c r="GQ8" s="129"/>
      <c r="GR8" s="120" t="s">
        <v>3662</v>
      </c>
      <c r="GS8" s="97" t="s">
        <v>3663</v>
      </c>
      <c r="GT8" s="97"/>
      <c r="GU8" s="97"/>
      <c r="GV8" s="97"/>
      <c r="GW8" s="97"/>
      <c r="GX8" s="222"/>
      <c r="GY8" s="221"/>
      <c r="GZ8" s="221"/>
      <c r="HA8" s="177"/>
      <c r="HB8" s="120"/>
      <c r="HC8" s="120"/>
      <c r="HD8" s="135" t="s">
        <v>3351</v>
      </c>
      <c r="HE8" s="135"/>
      <c r="HF8" s="135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20"/>
      <c r="HS8" s="120"/>
      <c r="HT8" s="120"/>
      <c r="HU8" s="120"/>
      <c r="HV8" s="120"/>
      <c r="HW8" s="120"/>
      <c r="HX8" s="120"/>
      <c r="HY8" s="120"/>
      <c r="HZ8" s="120"/>
      <c r="IA8" s="120"/>
      <c r="IB8" s="120"/>
      <c r="IC8" s="120"/>
      <c r="ID8" s="120"/>
      <c r="IE8" s="120"/>
      <c r="IF8" s="292"/>
      <c r="IG8" s="397"/>
      <c r="IH8" s="291"/>
      <c r="II8" s="291"/>
    </row>
    <row r="9" spans="2:243" ht="15.75" x14ac:dyDescent="0.25">
      <c r="B9" s="78"/>
      <c r="C9" s="95" t="s">
        <v>2929</v>
      </c>
      <c r="D9" s="79">
        <v>9</v>
      </c>
      <c r="E9" s="79"/>
      <c r="F9" s="80" t="s">
        <v>2914</v>
      </c>
      <c r="G9" s="84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N9" s="84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83"/>
      <c r="BU9" s="81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173"/>
      <c r="CZ9" s="83"/>
      <c r="DC9" s="81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82"/>
      <c r="EG9" s="223"/>
      <c r="EH9" s="221"/>
      <c r="EI9" s="221"/>
      <c r="EJ9" s="81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N9" s="82"/>
      <c r="FO9" s="223"/>
      <c r="FP9" s="221"/>
      <c r="FQ9" s="221"/>
      <c r="FS9" s="81"/>
      <c r="FT9" s="82"/>
      <c r="FU9" s="82"/>
      <c r="FV9" s="82"/>
      <c r="FW9" s="82"/>
      <c r="FX9" s="82"/>
      <c r="FY9" s="82"/>
      <c r="FZ9" s="82"/>
      <c r="GA9" s="82"/>
      <c r="GB9" s="82"/>
      <c r="GC9" s="82"/>
      <c r="GD9" s="82"/>
      <c r="GE9" s="82"/>
      <c r="GF9" s="82"/>
      <c r="GG9" s="82"/>
      <c r="GH9" s="82"/>
      <c r="GI9" s="82"/>
      <c r="GJ9" s="82"/>
      <c r="GK9" s="82"/>
      <c r="GL9" s="82"/>
      <c r="GM9" s="82"/>
      <c r="GN9" s="82"/>
      <c r="GO9" s="82"/>
      <c r="GP9" s="82"/>
      <c r="GQ9" s="82"/>
      <c r="GR9" s="82"/>
      <c r="GS9" s="82"/>
      <c r="GT9" s="82"/>
      <c r="GU9" s="82"/>
      <c r="GV9" s="82"/>
      <c r="GW9" s="82"/>
      <c r="GX9" s="223"/>
      <c r="GY9" s="221"/>
      <c r="GZ9" s="221"/>
      <c r="HA9" s="81"/>
      <c r="HB9" s="82"/>
      <c r="HC9" s="82"/>
      <c r="HD9" s="82"/>
      <c r="HE9" s="82"/>
      <c r="HF9" s="82"/>
      <c r="HG9" s="82"/>
      <c r="HH9" s="82"/>
      <c r="HI9" s="82"/>
      <c r="HJ9" s="82"/>
      <c r="HK9" s="82"/>
      <c r="HL9" s="82"/>
      <c r="HM9" s="82"/>
      <c r="HN9" s="82"/>
      <c r="HO9" s="82"/>
      <c r="HP9" s="82"/>
      <c r="HQ9" s="82"/>
      <c r="HR9" s="82"/>
      <c r="HS9" s="82"/>
      <c r="HT9" s="82"/>
      <c r="HU9" s="82"/>
      <c r="HV9" s="82"/>
      <c r="HW9" s="82"/>
      <c r="HX9" s="82"/>
      <c r="HY9" s="82"/>
      <c r="HZ9" s="82"/>
      <c r="IA9" s="82"/>
      <c r="IB9" s="82"/>
      <c r="IC9" s="82"/>
      <c r="ID9" s="82"/>
      <c r="IE9" s="82"/>
      <c r="IF9" s="293"/>
      <c r="IG9" s="397"/>
      <c r="IH9" s="291"/>
      <c r="II9" s="291"/>
    </row>
    <row r="10" spans="2:243" ht="16.5" thickBot="1" x14ac:dyDescent="0.3">
      <c r="B10" s="85"/>
      <c r="C10" s="86"/>
      <c r="D10" s="86"/>
      <c r="E10" s="86"/>
      <c r="F10" s="87" t="s">
        <v>2915</v>
      </c>
      <c r="G10" s="88"/>
      <c r="H10" s="86">
        <v>2300</v>
      </c>
      <c r="I10" s="86"/>
      <c r="J10" s="86"/>
      <c r="K10" s="86"/>
      <c r="L10" s="86"/>
      <c r="M10" s="86">
        <v>1900</v>
      </c>
      <c r="N10" s="86"/>
      <c r="O10" s="86"/>
      <c r="P10" s="86"/>
      <c r="Q10" s="86"/>
      <c r="R10" s="86">
        <v>2300</v>
      </c>
      <c r="S10" s="86"/>
      <c r="T10" s="86"/>
      <c r="U10" s="86"/>
      <c r="V10" s="86">
        <v>1900</v>
      </c>
      <c r="W10" s="86"/>
      <c r="X10" s="86"/>
      <c r="Y10" s="86"/>
      <c r="Z10" s="86"/>
      <c r="AA10" s="86">
        <v>2150</v>
      </c>
      <c r="AB10" s="86"/>
      <c r="AC10" s="86"/>
      <c r="AD10" s="86"/>
      <c r="AE10" s="86"/>
      <c r="AF10" s="86">
        <v>580</v>
      </c>
      <c r="AG10" s="86"/>
      <c r="AH10" s="86">
        <v>390</v>
      </c>
      <c r="AI10" s="86"/>
      <c r="AJ10" s="86">
        <v>1900</v>
      </c>
      <c r="AK10" s="86"/>
      <c r="AL10" s="90">
        <v>15000</v>
      </c>
      <c r="AM10" s="91" t="e">
        <f>#REF!-AL10</f>
        <v>#REF!</v>
      </c>
      <c r="AN10" s="88"/>
      <c r="AO10" s="86"/>
      <c r="AP10" s="86">
        <v>2180</v>
      </c>
      <c r="AQ10" s="86"/>
      <c r="AR10" s="86"/>
      <c r="AS10" s="86"/>
      <c r="AT10" s="86"/>
      <c r="AU10" s="86">
        <v>500</v>
      </c>
      <c r="AV10" s="86"/>
      <c r="AW10" s="86"/>
      <c r="AX10" s="86">
        <v>1600</v>
      </c>
      <c r="AY10" s="86"/>
      <c r="AZ10" s="86"/>
      <c r="BA10" s="86"/>
      <c r="BB10" s="86"/>
      <c r="BC10" s="86">
        <v>2100</v>
      </c>
      <c r="BD10" s="86"/>
      <c r="BE10" s="86"/>
      <c r="BF10" s="86"/>
      <c r="BG10" s="86"/>
      <c r="BH10" s="86">
        <v>300</v>
      </c>
      <c r="BI10" s="86"/>
      <c r="BJ10" s="86"/>
      <c r="BK10" s="86">
        <v>1900</v>
      </c>
      <c r="BL10" s="86"/>
      <c r="BM10" s="86"/>
      <c r="BN10" s="86"/>
      <c r="BO10" s="86">
        <v>2300</v>
      </c>
      <c r="BP10" s="86"/>
      <c r="BQ10" s="86"/>
      <c r="BR10" s="89">
        <f>SUM(AN10:BQ10)</f>
        <v>10880</v>
      </c>
      <c r="BS10" s="90">
        <v>15000</v>
      </c>
      <c r="BT10" s="91">
        <f>BR10-BS10</f>
        <v>-4120</v>
      </c>
      <c r="BU10" s="174"/>
      <c r="BV10" s="175"/>
      <c r="BW10" s="175"/>
      <c r="BX10" s="175"/>
      <c r="BY10" s="175">
        <v>1900</v>
      </c>
      <c r="BZ10" s="175"/>
      <c r="CA10" s="175"/>
      <c r="CB10" s="175"/>
      <c r="CC10" s="175">
        <v>2100</v>
      </c>
      <c r="CD10" s="175"/>
      <c r="CE10" s="175"/>
      <c r="CF10" s="175"/>
      <c r="CG10" s="175"/>
      <c r="CH10" s="175"/>
      <c r="CI10" s="175"/>
      <c r="CJ10" s="175">
        <v>2100</v>
      </c>
      <c r="CK10" s="175"/>
      <c r="CL10" s="175"/>
      <c r="CM10" s="175"/>
      <c r="CN10" s="175">
        <v>1500</v>
      </c>
      <c r="CO10" s="175"/>
      <c r="CP10" s="175"/>
      <c r="CQ10" s="175"/>
      <c r="CR10" s="175"/>
      <c r="CS10" s="175"/>
      <c r="CT10" s="175"/>
      <c r="CU10" s="175"/>
      <c r="CV10" s="175">
        <v>1900</v>
      </c>
      <c r="CW10" s="175"/>
      <c r="CX10" s="175"/>
      <c r="CY10" s="176"/>
      <c r="CZ10" s="89">
        <v>9500</v>
      </c>
      <c r="DA10" s="90">
        <v>15000</v>
      </c>
      <c r="DB10" s="91">
        <f>CZ10-DA10</f>
        <v>-5500</v>
      </c>
      <c r="DC10" s="174"/>
      <c r="DD10" s="175">
        <v>2300</v>
      </c>
      <c r="DE10" s="175"/>
      <c r="DF10" s="175"/>
      <c r="DG10" s="175"/>
      <c r="DH10" s="175">
        <v>1900</v>
      </c>
      <c r="DI10" s="175"/>
      <c r="DJ10" s="175"/>
      <c r="DK10" s="175"/>
      <c r="DL10" s="175"/>
      <c r="DM10" s="175">
        <v>2300</v>
      </c>
      <c r="DN10" s="175"/>
      <c r="DO10" s="175"/>
      <c r="DP10" s="175"/>
      <c r="DQ10" s="175"/>
      <c r="DR10" s="175"/>
      <c r="DS10" s="175">
        <v>1900</v>
      </c>
      <c r="DT10" s="175"/>
      <c r="DU10" s="175"/>
      <c r="DV10" s="175"/>
      <c r="DW10" s="175"/>
      <c r="DX10" s="175"/>
      <c r="DY10" s="175"/>
      <c r="DZ10" s="175">
        <v>1900</v>
      </c>
      <c r="EA10" s="175"/>
      <c r="EB10" s="175"/>
      <c r="EC10" s="175">
        <v>1900</v>
      </c>
      <c r="ED10" s="175"/>
      <c r="EE10" s="175"/>
      <c r="EF10" s="175"/>
      <c r="EG10" s="220">
        <v>12300</v>
      </c>
      <c r="EH10" s="221">
        <v>15000</v>
      </c>
      <c r="EI10" s="221">
        <f>EG10-EH10</f>
        <v>-2700</v>
      </c>
      <c r="EJ10" s="174"/>
      <c r="EK10" s="174">
        <v>2300</v>
      </c>
      <c r="EL10" s="175"/>
      <c r="EM10" s="175"/>
      <c r="EN10" s="175"/>
      <c r="EO10" s="175">
        <v>2250</v>
      </c>
      <c r="EP10" s="175"/>
      <c r="EQ10" s="175"/>
      <c r="ER10" s="175"/>
      <c r="ES10" s="175"/>
      <c r="ET10" s="175"/>
      <c r="EU10" s="175">
        <v>2300</v>
      </c>
      <c r="EV10" s="175"/>
      <c r="EW10" s="175"/>
      <c r="EX10" s="175">
        <v>2300</v>
      </c>
      <c r="EY10" s="175"/>
      <c r="EZ10" s="175"/>
      <c r="FA10" s="175"/>
      <c r="FB10" s="175"/>
      <c r="FC10" s="175"/>
      <c r="FD10" s="175"/>
      <c r="FE10" s="175"/>
      <c r="FF10" s="175">
        <v>2300</v>
      </c>
      <c r="FG10" s="175"/>
      <c r="FH10" s="175"/>
      <c r="FI10" s="175"/>
      <c r="FJ10" s="175">
        <v>1900</v>
      </c>
      <c r="FK10" s="175"/>
      <c r="FL10" s="175"/>
      <c r="FM10" s="175">
        <v>2100</v>
      </c>
      <c r="FN10" s="175"/>
      <c r="FO10" s="220">
        <v>15450</v>
      </c>
      <c r="FP10" s="221">
        <v>15000</v>
      </c>
      <c r="FQ10" s="221" t="s">
        <v>1874</v>
      </c>
      <c r="FS10" s="174"/>
      <c r="FT10" s="175"/>
      <c r="FU10" s="175"/>
      <c r="FV10" s="175">
        <v>1900</v>
      </c>
      <c r="FW10" s="175"/>
      <c r="FX10" s="175"/>
      <c r="FY10" s="175">
        <v>2000</v>
      </c>
      <c r="FZ10" s="175"/>
      <c r="GA10" s="175"/>
      <c r="GB10" s="175">
        <v>1900</v>
      </c>
      <c r="GC10" s="175"/>
      <c r="GD10" s="175"/>
      <c r="GE10" s="175"/>
      <c r="GF10" s="175"/>
      <c r="GG10" s="175">
        <v>2000</v>
      </c>
      <c r="GH10" s="175"/>
      <c r="GI10" s="175"/>
      <c r="GJ10" s="175"/>
      <c r="GK10" s="175"/>
      <c r="GL10" s="175">
        <v>1900</v>
      </c>
      <c r="GM10" s="175"/>
      <c r="GN10" s="175"/>
      <c r="GO10" s="175"/>
      <c r="GP10" s="175"/>
      <c r="GQ10" s="175"/>
      <c r="GR10" s="175"/>
      <c r="GS10" s="175">
        <v>2000</v>
      </c>
      <c r="GT10" s="175"/>
      <c r="GU10" s="175"/>
      <c r="GV10" s="175"/>
      <c r="GW10" s="175"/>
      <c r="GX10" s="220">
        <v>11700</v>
      </c>
      <c r="GY10" s="221">
        <v>15000</v>
      </c>
      <c r="GZ10" s="221">
        <v>3300</v>
      </c>
      <c r="HA10" s="174"/>
      <c r="HB10" s="175"/>
      <c r="HC10" s="175"/>
      <c r="HD10" s="175">
        <v>400</v>
      </c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5"/>
      <c r="HP10" s="175"/>
      <c r="HQ10" s="175"/>
      <c r="HR10" s="175"/>
      <c r="HS10" s="175"/>
      <c r="HT10" s="175"/>
      <c r="HU10" s="175"/>
      <c r="HV10" s="175"/>
      <c r="HW10" s="175"/>
      <c r="HX10" s="175"/>
      <c r="HY10" s="175"/>
      <c r="HZ10" s="175"/>
      <c r="IA10" s="175"/>
      <c r="IB10" s="175"/>
      <c r="IC10" s="175"/>
      <c r="ID10" s="175"/>
      <c r="IE10" s="175"/>
      <c r="IF10" s="290">
        <f>SUM(HA10:IE10)</f>
        <v>400</v>
      </c>
      <c r="IG10" s="397">
        <f>IFERROR(IF10/IH10,"")</f>
        <v>0.0266666666666667</v>
      </c>
      <c r="IH10" s="291">
        <v>15000</v>
      </c>
      <c r="II10" s="291">
        <v>14600</v>
      </c>
    </row>
    <row r="11" spans="2:243" ht="15.75" x14ac:dyDescent="0.25">
      <c r="B11" s="60">
        <v>3</v>
      </c>
      <c r="C11" s="61" t="s">
        <v>2930</v>
      </c>
      <c r="D11" s="61">
        <v>9</v>
      </c>
      <c r="E11" s="61" t="s">
        <v>3120</v>
      </c>
      <c r="F11" s="62" t="s">
        <v>2903</v>
      </c>
      <c r="G11" s="96"/>
      <c r="H11" s="77"/>
      <c r="I11" s="77"/>
      <c r="J11" s="77" t="s">
        <v>2918</v>
      </c>
      <c r="K11" s="77"/>
      <c r="L11" s="77"/>
      <c r="M11" s="77"/>
      <c r="N11" s="77"/>
      <c r="O11" s="77"/>
      <c r="P11" s="97"/>
      <c r="Q11" s="97" t="s">
        <v>2911</v>
      </c>
      <c r="R11" s="97"/>
      <c r="S11" s="98"/>
      <c r="T11" s="64"/>
      <c r="U11" s="64" t="s">
        <v>2931</v>
      </c>
      <c r="V11" s="64"/>
      <c r="W11" s="64"/>
      <c r="X11" s="64"/>
      <c r="Y11" s="61" t="s">
        <v>2932</v>
      </c>
      <c r="Z11" s="77" t="s">
        <v>2933</v>
      </c>
      <c r="AA11" s="77"/>
      <c r="AB11" s="77"/>
      <c r="AC11" s="77"/>
      <c r="AD11" s="61" t="s">
        <v>2934</v>
      </c>
      <c r="AE11" s="99"/>
      <c r="AF11" s="100" t="s">
        <v>2921</v>
      </c>
      <c r="AG11" s="101"/>
      <c r="AH11" s="101"/>
      <c r="AI11" s="9" t="s">
        <v>2935</v>
      </c>
      <c r="AJ11" s="9"/>
      <c r="AK11" s="9"/>
      <c r="AL11" s="90"/>
      <c r="AM11" s="91"/>
      <c r="AN11" s="114"/>
      <c r="AO11" s="115"/>
      <c r="AP11" s="61" t="s">
        <v>2949</v>
      </c>
      <c r="AQ11" s="64" t="s">
        <v>2918</v>
      </c>
      <c r="AR11" s="64"/>
      <c r="AS11" s="64"/>
      <c r="AT11" s="64"/>
      <c r="AU11" s="64"/>
      <c r="AV11" s="104" t="s">
        <v>3071</v>
      </c>
      <c r="AW11" s="104"/>
      <c r="AX11" s="104"/>
      <c r="AY11" s="126" t="s">
        <v>3106</v>
      </c>
      <c r="AZ11" s="126"/>
      <c r="BA11" s="126"/>
      <c r="BB11" s="126"/>
      <c r="BC11" s="126"/>
      <c r="BD11" s="131"/>
      <c r="BE11" s="134"/>
      <c r="BF11" s="135" t="s">
        <v>3144</v>
      </c>
      <c r="BG11" s="135"/>
      <c r="BH11" s="135"/>
      <c r="BI11" s="135"/>
      <c r="BJ11" s="135"/>
      <c r="BK11" s="74" t="s">
        <v>2925</v>
      </c>
      <c r="BL11" s="145"/>
      <c r="BM11" s="4"/>
      <c r="BN11" s="4"/>
      <c r="BO11" s="146" t="s">
        <v>2911</v>
      </c>
      <c r="BP11" s="146"/>
      <c r="BQ11" s="148" t="s">
        <v>3196</v>
      </c>
      <c r="BR11"/>
      <c r="BS11" s="90"/>
      <c r="BT11" s="91"/>
      <c r="BU11" s="177"/>
      <c r="BV11" s="124" t="s">
        <v>3203</v>
      </c>
      <c r="BW11" s="124"/>
      <c r="BX11" s="124"/>
      <c r="BY11" s="124"/>
      <c r="BZ11" s="147" t="s">
        <v>2911</v>
      </c>
      <c r="CA11" s="147"/>
      <c r="CB11" s="147"/>
      <c r="CC11" s="147"/>
      <c r="CD11" s="133" t="s">
        <v>3196</v>
      </c>
      <c r="CE11" s="133"/>
      <c r="CF11" s="133"/>
      <c r="CG11" s="133"/>
      <c r="CH11" s="133"/>
      <c r="CI11" s="120" t="s">
        <v>3118</v>
      </c>
      <c r="CJ11" s="77" t="s">
        <v>3313</v>
      </c>
      <c r="CK11" s="77"/>
      <c r="CL11" s="77"/>
      <c r="CM11" s="77"/>
      <c r="CN11" s="182" t="s">
        <v>3314</v>
      </c>
      <c r="CO11" s="182"/>
      <c r="CP11" s="182"/>
      <c r="CQ11" s="182"/>
      <c r="CR11" s="182"/>
      <c r="CS11" s="183"/>
      <c r="CT11" s="184"/>
      <c r="CU11" s="165" t="s">
        <v>3315</v>
      </c>
      <c r="CV11" s="9" t="s">
        <v>3196</v>
      </c>
      <c r="CW11" s="9"/>
      <c r="CX11" s="185"/>
      <c r="CY11" s="9"/>
      <c r="DA11" s="90"/>
      <c r="DB11" s="91"/>
      <c r="DC11" s="177"/>
      <c r="DD11" s="73" t="s">
        <v>2948</v>
      </c>
      <c r="DE11" s="73"/>
      <c r="DF11" s="73"/>
      <c r="DG11" s="73"/>
      <c r="DH11" s="120" t="s">
        <v>3353</v>
      </c>
      <c r="DI11" s="193" t="s">
        <v>2918</v>
      </c>
      <c r="DJ11" s="193"/>
      <c r="DK11" s="193"/>
      <c r="DL11" s="122" t="s">
        <v>2911</v>
      </c>
      <c r="DM11" s="122"/>
      <c r="DN11" s="122"/>
      <c r="DO11" s="122"/>
      <c r="DP11" s="70" t="s">
        <v>3370</v>
      </c>
      <c r="DQ11" s="70"/>
      <c r="DR11" s="70" t="s">
        <v>3353</v>
      </c>
      <c r="DS11" s="124" t="s">
        <v>2921</v>
      </c>
      <c r="DT11" s="124"/>
      <c r="DU11" s="124"/>
      <c r="DV11" s="133" t="s">
        <v>2911</v>
      </c>
      <c r="DW11" s="133"/>
      <c r="DX11" s="133"/>
      <c r="DY11" s="120" t="s">
        <v>3151</v>
      </c>
      <c r="DZ11" s="231" t="s">
        <v>2918</v>
      </c>
      <c r="EA11" s="232"/>
      <c r="EB11" s="233"/>
      <c r="EC11" s="236"/>
      <c r="ED11" s="236"/>
      <c r="EE11" s="237" t="s">
        <v>3435</v>
      </c>
      <c r="EF11" s="237"/>
      <c r="EG11" s="221"/>
      <c r="EH11" s="221"/>
      <c r="EI11" s="221"/>
      <c r="EJ11" s="177"/>
      <c r="EK11" s="120" t="s">
        <v>3072</v>
      </c>
      <c r="EL11" s="120"/>
      <c r="EM11" s="212" t="s">
        <v>3464</v>
      </c>
      <c r="EN11" s="212"/>
      <c r="EO11" s="212"/>
      <c r="EP11" s="212"/>
      <c r="EQ11" s="212"/>
      <c r="ER11" s="132" t="s">
        <v>3471</v>
      </c>
      <c r="ES11" s="132"/>
      <c r="ET11" s="132"/>
      <c r="EU11" s="132"/>
      <c r="EV11" s="123" t="s">
        <v>3480</v>
      </c>
      <c r="EW11" s="123"/>
      <c r="EX11" s="123"/>
      <c r="EY11" s="123"/>
      <c r="EZ11" s="123"/>
      <c r="FA11" s="122" t="s">
        <v>3522</v>
      </c>
      <c r="FB11" s="122"/>
      <c r="FC11" s="122"/>
      <c r="FD11" s="122"/>
      <c r="FE11" s="120" t="s">
        <v>3527</v>
      </c>
      <c r="FF11" s="120"/>
      <c r="FG11" s="73" t="s">
        <v>2948</v>
      </c>
      <c r="FH11" s="266"/>
      <c r="FI11" s="101"/>
      <c r="FJ11" s="201" t="s">
        <v>3353</v>
      </c>
      <c r="FK11" s="226" t="s">
        <v>2918</v>
      </c>
      <c r="FL11" s="226"/>
      <c r="FM11" s="226"/>
      <c r="FN11" s="101" t="s">
        <v>3327</v>
      </c>
      <c r="FO11" s="221"/>
      <c r="FP11" s="221"/>
      <c r="FQ11" s="221"/>
      <c r="FS11" s="177"/>
      <c r="FT11" s="120"/>
      <c r="FU11" s="120"/>
      <c r="FV11" s="74" t="s">
        <v>3586</v>
      </c>
      <c r="FW11" s="74"/>
      <c r="FX11" s="74"/>
      <c r="FY11" s="74"/>
      <c r="FZ11" s="74"/>
      <c r="GA11" s="74"/>
      <c r="GB11" s="120" t="s">
        <v>3331</v>
      </c>
      <c r="GC11" s="120"/>
      <c r="GD11" s="216" t="s">
        <v>2911</v>
      </c>
      <c r="GE11" s="216"/>
      <c r="GF11" s="216"/>
      <c r="GG11" s="216"/>
      <c r="GH11" s="216"/>
      <c r="GI11" s="216"/>
      <c r="GJ11" s="120" t="s">
        <v>3664</v>
      </c>
      <c r="GK11" s="74" t="s">
        <v>3665</v>
      </c>
      <c r="GL11" s="64" t="s">
        <v>3666</v>
      </c>
      <c r="GM11" s="64"/>
      <c r="GN11" s="64"/>
      <c r="GO11" s="64"/>
      <c r="GP11" s="115" t="s">
        <v>2926</v>
      </c>
      <c r="GQ11" s="279"/>
      <c r="GR11" s="236"/>
      <c r="GS11" s="236"/>
      <c r="GT11" s="165" t="s">
        <v>3150</v>
      </c>
      <c r="GU11" s="280" t="s">
        <v>2918</v>
      </c>
      <c r="GV11" s="280"/>
      <c r="GW11" s="280"/>
      <c r="GX11" s="221"/>
      <c r="GY11" s="221"/>
      <c r="GZ11" s="221"/>
      <c r="HA11" s="177"/>
      <c r="HB11" s="120"/>
      <c r="HC11" s="139" t="s">
        <v>2911</v>
      </c>
      <c r="HD11" s="139"/>
      <c r="HE11" s="139"/>
      <c r="HF11" s="139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72"/>
      <c r="HZ11" s="165"/>
      <c r="IA11" s="165"/>
      <c r="IB11" s="165"/>
      <c r="IC11" s="165"/>
      <c r="ID11" s="165"/>
      <c r="IE11" s="165"/>
      <c r="IF11" s="291"/>
      <c r="IG11" s="398"/>
      <c r="IH11" s="291"/>
      <c r="II11" s="291"/>
    </row>
    <row r="12" spans="2:243" ht="15.75" x14ac:dyDescent="0.25">
      <c r="B12" s="78"/>
      <c r="C12" s="79">
        <v>3958</v>
      </c>
      <c r="D12" s="79"/>
      <c r="E12" s="79"/>
      <c r="F12" s="80" t="s">
        <v>2914</v>
      </c>
      <c r="G12" s="84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90"/>
      <c r="AM12" s="91"/>
      <c r="AN12" s="84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83"/>
      <c r="BS12" s="90"/>
      <c r="BT12" s="91"/>
      <c r="BU12" s="81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173"/>
      <c r="CZ12" s="83"/>
      <c r="DA12" s="90"/>
      <c r="DB12" s="91"/>
      <c r="DC12" s="81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223"/>
      <c r="EH12" s="221"/>
      <c r="EI12" s="221"/>
      <c r="EJ12" s="81"/>
      <c r="EK12" s="82"/>
      <c r="EL12" s="82"/>
      <c r="EM12" s="82"/>
      <c r="EN12" s="82"/>
      <c r="EO12" s="82"/>
      <c r="EP12" s="82"/>
      <c r="EQ12" s="82"/>
      <c r="ER12" s="82"/>
      <c r="ES12" s="82"/>
      <c r="ET12" s="82"/>
      <c r="EU12" s="82"/>
      <c r="EV12" s="82"/>
      <c r="EW12" s="82"/>
      <c r="EX12" s="82"/>
      <c r="EY12" s="82"/>
      <c r="EZ12" s="82"/>
      <c r="FA12" s="82"/>
      <c r="FB12" s="82"/>
      <c r="FC12" s="82"/>
      <c r="FD12" s="82"/>
      <c r="FE12" s="82"/>
      <c r="FF12" s="82"/>
      <c r="FG12" s="82"/>
      <c r="FH12" s="82"/>
      <c r="FI12" s="82"/>
      <c r="FJ12" s="82"/>
      <c r="FK12" s="82"/>
      <c r="FL12" s="82"/>
      <c r="FM12" s="82"/>
      <c r="FN12" s="82"/>
      <c r="FO12" s="223"/>
      <c r="FP12" s="221"/>
      <c r="FQ12" s="221"/>
      <c r="FS12" s="81"/>
      <c r="FT12" s="82"/>
      <c r="FU12" s="82"/>
      <c r="FV12" s="82"/>
      <c r="FW12" s="82"/>
      <c r="FX12" s="82"/>
      <c r="FY12" s="82"/>
      <c r="FZ12" s="82"/>
      <c r="GA12" s="82"/>
      <c r="GB12" s="82"/>
      <c r="GC12" s="82"/>
      <c r="GD12" s="82"/>
      <c r="GE12" s="82"/>
      <c r="GF12" s="82"/>
      <c r="GG12" s="82"/>
      <c r="GH12" s="82"/>
      <c r="GI12" s="82"/>
      <c r="GJ12" s="82"/>
      <c r="GK12" s="82"/>
      <c r="GL12" s="82"/>
      <c r="GM12" s="82"/>
      <c r="GN12" s="82"/>
      <c r="GO12" s="82"/>
      <c r="GP12" s="82"/>
      <c r="GQ12" s="82"/>
      <c r="GR12" s="82"/>
      <c r="GS12" s="82"/>
      <c r="GT12" s="82"/>
      <c r="GU12" s="82"/>
      <c r="GV12" s="82"/>
      <c r="GW12" s="82"/>
      <c r="GX12" s="223"/>
      <c r="GY12" s="221"/>
      <c r="GZ12" s="221"/>
      <c r="HA12" s="81"/>
      <c r="HB12" s="82"/>
      <c r="HC12" s="82"/>
      <c r="HD12" s="82"/>
      <c r="HE12" s="82"/>
      <c r="HF12" s="82"/>
      <c r="HG12" s="82"/>
      <c r="HH12" s="82"/>
      <c r="HI12" s="82"/>
      <c r="HJ12" s="82"/>
      <c r="HK12" s="82"/>
      <c r="HL12" s="82"/>
      <c r="HM12" s="82"/>
      <c r="HN12" s="82"/>
      <c r="HO12" s="82"/>
      <c r="HP12" s="82"/>
      <c r="HQ12" s="82"/>
      <c r="HR12" s="82"/>
      <c r="HS12" s="82"/>
      <c r="HT12" s="82"/>
      <c r="HU12" s="82"/>
      <c r="HV12" s="82"/>
      <c r="HW12" s="82"/>
      <c r="HX12" s="82"/>
      <c r="HY12" s="82"/>
      <c r="HZ12" s="82"/>
      <c r="IA12" s="82"/>
      <c r="IB12" s="82"/>
      <c r="IC12" s="82"/>
      <c r="ID12" s="82"/>
      <c r="IE12" s="82"/>
      <c r="IF12" s="293"/>
      <c r="IG12" s="397"/>
      <c r="IH12" s="291"/>
      <c r="II12" s="291"/>
    </row>
    <row r="13" spans="2:243" ht="16.5" thickBot="1" x14ac:dyDescent="0.3">
      <c r="B13" s="85"/>
      <c r="C13" s="86"/>
      <c r="D13" s="86"/>
      <c r="E13" s="86"/>
      <c r="F13" s="87" t="s">
        <v>2915</v>
      </c>
      <c r="G13" s="88"/>
      <c r="H13" s="86"/>
      <c r="I13" s="86"/>
      <c r="J13" s="86">
        <v>2300</v>
      </c>
      <c r="K13" s="86"/>
      <c r="L13" s="86"/>
      <c r="M13" s="86"/>
      <c r="N13" s="86"/>
      <c r="O13" s="86"/>
      <c r="P13" s="86"/>
      <c r="Q13" s="86">
        <v>1900</v>
      </c>
      <c r="R13" s="86"/>
      <c r="S13" s="86"/>
      <c r="T13" s="86"/>
      <c r="U13" s="86">
        <v>1600</v>
      </c>
      <c r="V13" s="86"/>
      <c r="W13" s="86"/>
      <c r="X13" s="86"/>
      <c r="Y13" s="86"/>
      <c r="Z13" s="86">
        <v>2150</v>
      </c>
      <c r="AA13" s="86"/>
      <c r="AB13" s="86"/>
      <c r="AC13" s="86"/>
      <c r="AD13" s="86"/>
      <c r="AE13" s="86"/>
      <c r="AF13" s="86">
        <v>2300</v>
      </c>
      <c r="AG13" s="86"/>
      <c r="AH13" s="86"/>
      <c r="AI13" s="86">
        <v>1900</v>
      </c>
      <c r="AJ13" s="86"/>
      <c r="AK13" s="86"/>
      <c r="AL13" s="90">
        <v>15000</v>
      </c>
      <c r="AM13" s="91" t="e">
        <f>#REF!-AL13</f>
        <v>#REF!</v>
      </c>
      <c r="AN13" s="88"/>
      <c r="AO13" s="86"/>
      <c r="AP13" s="86"/>
      <c r="AQ13" s="86">
        <v>2300</v>
      </c>
      <c r="AR13" s="86"/>
      <c r="AS13" s="86"/>
      <c r="AT13" s="86"/>
      <c r="AU13" s="86"/>
      <c r="AV13" s="86">
        <v>350</v>
      </c>
      <c r="AW13" s="86"/>
      <c r="AX13" s="86"/>
      <c r="AY13" s="86">
        <v>2100</v>
      </c>
      <c r="AZ13" s="86"/>
      <c r="BA13" s="86"/>
      <c r="BB13" s="86"/>
      <c r="BC13" s="86"/>
      <c r="BD13" s="86"/>
      <c r="BE13" s="86"/>
      <c r="BF13" s="86">
        <v>1900</v>
      </c>
      <c r="BG13" s="86"/>
      <c r="BH13" s="86"/>
      <c r="BI13" s="86"/>
      <c r="BJ13" s="86"/>
      <c r="BK13" s="86">
        <v>400</v>
      </c>
      <c r="BL13" s="86"/>
      <c r="BM13" s="86"/>
      <c r="BN13" s="86"/>
      <c r="BO13" s="86">
        <v>1900</v>
      </c>
      <c r="BP13" s="86"/>
      <c r="BQ13" s="86">
        <v>2300</v>
      </c>
      <c r="BR13" s="89">
        <f>SUM(AN13:BQ13)</f>
        <v>11250</v>
      </c>
      <c r="BS13" s="90">
        <v>15000</v>
      </c>
      <c r="BT13" s="91">
        <f>BR13-BS13</f>
        <v>-3750</v>
      </c>
      <c r="BU13" s="174"/>
      <c r="BV13" s="175">
        <v>2300</v>
      </c>
      <c r="BW13" s="175"/>
      <c r="BX13" s="175"/>
      <c r="BY13" s="175"/>
      <c r="BZ13" s="175">
        <v>1900</v>
      </c>
      <c r="CA13" s="175"/>
      <c r="CB13" s="175"/>
      <c r="CC13" s="175"/>
      <c r="CD13" s="175">
        <v>2300</v>
      </c>
      <c r="CE13" s="175"/>
      <c r="CF13" s="175"/>
      <c r="CG13" s="175"/>
      <c r="CH13" s="175"/>
      <c r="CI13" s="175"/>
      <c r="CJ13" s="175">
        <v>2100</v>
      </c>
      <c r="CK13" s="175"/>
      <c r="CL13" s="175"/>
      <c r="CM13" s="175"/>
      <c r="CN13" s="175">
        <v>650</v>
      </c>
      <c r="CO13" s="175"/>
      <c r="CP13" s="175"/>
      <c r="CQ13" s="175"/>
      <c r="CR13" s="175"/>
      <c r="CS13" s="175"/>
      <c r="CT13" s="175"/>
      <c r="CU13" s="175"/>
      <c r="CV13" s="175">
        <v>2300</v>
      </c>
      <c r="CW13" s="175"/>
      <c r="CX13" s="175"/>
      <c r="CY13" s="176"/>
      <c r="CZ13" s="89">
        <v>11550</v>
      </c>
      <c r="DA13" s="90">
        <v>15000</v>
      </c>
      <c r="DB13" s="91">
        <f>CZ13-DA13</f>
        <v>-3450</v>
      </c>
      <c r="DC13" s="174"/>
      <c r="DD13" s="175">
        <v>1900</v>
      </c>
      <c r="DE13" s="175"/>
      <c r="DF13" s="175"/>
      <c r="DG13" s="175"/>
      <c r="DH13" s="175"/>
      <c r="DI13" s="175">
        <v>2300</v>
      </c>
      <c r="DJ13" s="175"/>
      <c r="DK13" s="175"/>
      <c r="DL13" s="175">
        <v>1900</v>
      </c>
      <c r="DM13" s="175"/>
      <c r="DN13" s="175"/>
      <c r="DO13" s="175"/>
      <c r="DP13" s="175"/>
      <c r="DQ13" s="175"/>
      <c r="DR13" s="175"/>
      <c r="DS13" s="175">
        <v>2300</v>
      </c>
      <c r="DT13" s="175"/>
      <c r="DU13" s="175"/>
      <c r="DV13" s="175">
        <v>1900</v>
      </c>
      <c r="DW13" s="175"/>
      <c r="DX13" s="175"/>
      <c r="DY13" s="175"/>
      <c r="DZ13" s="175">
        <v>2300</v>
      </c>
      <c r="EA13" s="175"/>
      <c r="EB13" s="175"/>
      <c r="EC13" s="175"/>
      <c r="ED13" s="175"/>
      <c r="EE13" s="175">
        <v>1700</v>
      </c>
      <c r="EF13" s="175"/>
      <c r="EG13" s="220">
        <v>14300</v>
      </c>
      <c r="EH13" s="221">
        <v>15000</v>
      </c>
      <c r="EI13" s="221">
        <f>EG13-EH13</f>
        <v>-700</v>
      </c>
      <c r="EJ13" s="174"/>
      <c r="EK13" s="175"/>
      <c r="EL13" s="175"/>
      <c r="EM13" s="175">
        <v>2200</v>
      </c>
      <c r="EN13" s="175"/>
      <c r="EO13" s="175"/>
      <c r="EP13" s="175"/>
      <c r="EQ13" s="175"/>
      <c r="ER13" s="175">
        <v>1100</v>
      </c>
      <c r="ES13" s="175"/>
      <c r="ET13" s="175"/>
      <c r="EU13" s="175"/>
      <c r="EV13" s="175">
        <v>1550</v>
      </c>
      <c r="EW13" s="175"/>
      <c r="EX13" s="175"/>
      <c r="EY13" s="175"/>
      <c r="EZ13" s="175"/>
      <c r="FA13" s="175">
        <v>2000</v>
      </c>
      <c r="FB13" s="175"/>
      <c r="FC13" s="175"/>
      <c r="FD13" s="175"/>
      <c r="FE13" s="175"/>
      <c r="FF13" s="175"/>
      <c r="FG13" s="175">
        <v>1900</v>
      </c>
      <c r="FH13" s="175"/>
      <c r="FI13" s="175"/>
      <c r="FJ13" s="175"/>
      <c r="FK13" s="175">
        <v>2300</v>
      </c>
      <c r="FL13" s="175"/>
      <c r="FM13" s="175"/>
      <c r="FN13" s="175">
        <v>1900</v>
      </c>
      <c r="FO13" s="220">
        <v>12950</v>
      </c>
      <c r="FP13" s="221">
        <v>15000</v>
      </c>
      <c r="FQ13" s="221">
        <v>2050</v>
      </c>
      <c r="FS13" s="174"/>
      <c r="FT13" s="175"/>
      <c r="FU13" s="175"/>
      <c r="FV13" s="175">
        <v>2300</v>
      </c>
      <c r="FW13" s="175"/>
      <c r="FX13" s="175"/>
      <c r="FY13" s="175"/>
      <c r="FZ13" s="175"/>
      <c r="GA13" s="175"/>
      <c r="GB13" s="175"/>
      <c r="GC13" s="175"/>
      <c r="GD13" s="175">
        <v>1900</v>
      </c>
      <c r="GE13" s="175"/>
      <c r="GF13" s="175"/>
      <c r="GG13" s="175"/>
      <c r="GH13" s="175"/>
      <c r="GI13" s="175"/>
      <c r="GJ13" s="175"/>
      <c r="GK13" s="175">
        <v>350</v>
      </c>
      <c r="GL13" s="175">
        <v>2300</v>
      </c>
      <c r="GM13" s="175"/>
      <c r="GN13" s="175"/>
      <c r="GO13" s="175"/>
      <c r="GP13" s="175">
        <v>1900</v>
      </c>
      <c r="GQ13" s="175"/>
      <c r="GR13" s="175"/>
      <c r="GS13" s="175"/>
      <c r="GT13" s="175"/>
      <c r="GU13" s="175">
        <v>2300</v>
      </c>
      <c r="GV13" s="175"/>
      <c r="GW13" s="175"/>
      <c r="GX13" s="220">
        <v>11050</v>
      </c>
      <c r="GY13" s="221">
        <v>15000</v>
      </c>
      <c r="GZ13" s="221">
        <v>3950</v>
      </c>
      <c r="HA13" s="174"/>
      <c r="HB13" s="175"/>
      <c r="HC13" s="175">
        <v>1900</v>
      </c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290">
        <f>SUM(HA13:IE13)</f>
        <v>1900</v>
      </c>
      <c r="IG13" s="397">
        <f>IFERROR(IF13/IH13,"")</f>
        <v>0.126666666666667</v>
      </c>
      <c r="IH13" s="291">
        <v>15000</v>
      </c>
      <c r="II13" s="291">
        <v>13100</v>
      </c>
    </row>
    <row r="14" spans="2:243" ht="15.75" x14ac:dyDescent="0.25">
      <c r="B14" s="60">
        <v>4</v>
      </c>
      <c r="C14" s="61" t="s">
        <v>2930</v>
      </c>
      <c r="D14" s="61">
        <v>9</v>
      </c>
      <c r="E14" s="61" t="s">
        <v>2936</v>
      </c>
      <c r="F14" s="62" t="s">
        <v>2903</v>
      </c>
      <c r="G14" s="92"/>
      <c r="H14" s="74"/>
      <c r="I14" s="74"/>
      <c r="J14" s="74"/>
      <c r="K14" s="74"/>
      <c r="L14" s="74"/>
      <c r="M14" s="74" t="s">
        <v>2911</v>
      </c>
      <c r="N14" s="74"/>
      <c r="O14" s="74"/>
      <c r="P14" s="74"/>
      <c r="Q14" s="61" t="s">
        <v>2937</v>
      </c>
      <c r="R14" s="64" t="s">
        <v>2938</v>
      </c>
      <c r="S14" s="64"/>
      <c r="T14" s="64"/>
      <c r="U14" s="64"/>
      <c r="V14" s="61" t="s">
        <v>2925</v>
      </c>
      <c r="W14" s="97" t="s">
        <v>2939</v>
      </c>
      <c r="X14" s="98"/>
      <c r="Y14" s="98"/>
      <c r="Z14" s="61" t="s">
        <v>2940</v>
      </c>
      <c r="AA14" s="64" t="s">
        <v>2941</v>
      </c>
      <c r="AB14" s="64"/>
      <c r="AC14" s="64"/>
      <c r="AD14" s="74" t="s">
        <v>2942</v>
      </c>
      <c r="AE14" s="74"/>
      <c r="AF14" s="77" t="s">
        <v>2943</v>
      </c>
      <c r="AG14" s="61" t="s">
        <v>2944</v>
      </c>
      <c r="AH14" s="74" t="s">
        <v>2945</v>
      </c>
      <c r="AI14" s="74"/>
      <c r="AJ14" s="74"/>
      <c r="AK14" s="74"/>
      <c r="AL14" s="90"/>
      <c r="AM14" s="91"/>
      <c r="AN14" s="102" t="s">
        <v>2918</v>
      </c>
      <c r="AO14" s="64"/>
      <c r="AP14" s="64"/>
      <c r="AQ14" s="64"/>
      <c r="AR14" s="77" t="s">
        <v>3070</v>
      </c>
      <c r="AS14" s="77"/>
      <c r="AT14" s="77"/>
      <c r="AU14" s="77"/>
      <c r="AV14" s="120" t="s">
        <v>2950</v>
      </c>
      <c r="AW14" s="122" t="s">
        <v>3102</v>
      </c>
      <c r="AX14" s="122"/>
      <c r="AY14" s="122"/>
      <c r="AZ14" s="122"/>
      <c r="BA14" s="123" t="s">
        <v>3121</v>
      </c>
      <c r="BB14" s="123"/>
      <c r="BC14" s="127"/>
      <c r="BD14" s="61" t="s">
        <v>3134</v>
      </c>
      <c r="BE14" s="132" t="s">
        <v>2921</v>
      </c>
      <c r="BF14" s="132"/>
      <c r="BG14" s="132"/>
      <c r="BH14" s="132"/>
      <c r="BI14" s="123" t="s">
        <v>2911</v>
      </c>
      <c r="BJ14" s="123"/>
      <c r="BK14" s="123"/>
      <c r="BL14" s="128" t="s">
        <v>3144</v>
      </c>
      <c r="BM14" s="128"/>
      <c r="BN14" s="128"/>
      <c r="BO14" s="128"/>
      <c r="BP14" s="128"/>
      <c r="BQ14" s="135" t="s">
        <v>2926</v>
      </c>
      <c r="BR14" s="75"/>
      <c r="BS14" s="90"/>
      <c r="BT14" s="91"/>
      <c r="BU14" s="177"/>
      <c r="BV14" s="120"/>
      <c r="BW14" s="139" t="s">
        <v>2935</v>
      </c>
      <c r="BX14" s="139"/>
      <c r="BY14" s="139"/>
      <c r="BZ14" s="120" t="s">
        <v>3235</v>
      </c>
      <c r="CA14" s="124" t="s">
        <v>3234</v>
      </c>
      <c r="CB14" s="124"/>
      <c r="CC14" s="124"/>
      <c r="CD14" s="124"/>
      <c r="CE14" s="182" t="s">
        <v>3316</v>
      </c>
      <c r="CF14" s="182"/>
      <c r="CG14" s="182"/>
      <c r="CH14" s="182"/>
      <c r="CI14" s="139" t="s">
        <v>3189</v>
      </c>
      <c r="CJ14" s="139"/>
      <c r="CK14" s="139"/>
      <c r="CL14" s="139"/>
      <c r="CM14" s="139"/>
      <c r="CN14" s="139"/>
      <c r="CO14" s="139"/>
      <c r="CP14" s="124" t="s">
        <v>2926</v>
      </c>
      <c r="CQ14" s="124"/>
      <c r="CR14" s="124"/>
      <c r="CS14" s="124"/>
      <c r="CT14" s="120" t="s">
        <v>3317</v>
      </c>
      <c r="CU14" s="136" t="s">
        <v>3234</v>
      </c>
      <c r="CV14" s="136"/>
      <c r="CW14" s="127" t="s">
        <v>2911</v>
      </c>
      <c r="CX14" s="127"/>
      <c r="CY14" s="186"/>
      <c r="CZ14" s="75"/>
      <c r="DA14" s="90"/>
      <c r="DB14" s="91"/>
      <c r="DC14" s="177"/>
      <c r="DD14" s="120"/>
      <c r="DE14" s="132" t="s">
        <v>2918</v>
      </c>
      <c r="DF14" s="132"/>
      <c r="DG14" s="132"/>
      <c r="DH14" s="129" t="s">
        <v>2935</v>
      </c>
      <c r="DI14" s="129"/>
      <c r="DJ14" s="129"/>
      <c r="DK14" s="120" t="s">
        <v>3072</v>
      </c>
      <c r="DL14" s="120"/>
      <c r="DM14" s="133" t="s">
        <v>2923</v>
      </c>
      <c r="DN14" s="133"/>
      <c r="DO14" s="133"/>
      <c r="DP14" s="133"/>
      <c r="DQ14" s="133"/>
      <c r="DR14" s="133"/>
      <c r="DS14" s="219" t="s">
        <v>3375</v>
      </c>
      <c r="DT14" s="219"/>
      <c r="DU14" s="219"/>
      <c r="DV14" s="227"/>
      <c r="DW14" s="120" t="s">
        <v>2932</v>
      </c>
      <c r="DX14" s="120"/>
      <c r="DY14" s="122" t="s">
        <v>2948</v>
      </c>
      <c r="DZ14" s="122"/>
      <c r="EA14" s="122"/>
      <c r="EB14" s="216" t="s">
        <v>3414</v>
      </c>
      <c r="EC14" s="133" t="s">
        <v>2918</v>
      </c>
      <c r="ED14" s="133"/>
      <c r="EE14" s="133"/>
      <c r="EF14" s="97" t="s">
        <v>3233</v>
      </c>
      <c r="EG14" s="222"/>
      <c r="EH14" s="221"/>
      <c r="EI14" s="221"/>
      <c r="EJ14" s="177"/>
      <c r="EK14" s="124" t="s">
        <v>3447</v>
      </c>
      <c r="EL14" s="124"/>
      <c r="EM14" s="124"/>
      <c r="EN14" s="128" t="s">
        <v>3464</v>
      </c>
      <c r="EO14" s="128"/>
      <c r="EP14" s="128"/>
      <c r="EQ14" s="128"/>
      <c r="ER14" s="216" t="s">
        <v>3471</v>
      </c>
      <c r="ES14" s="216"/>
      <c r="ET14" s="216"/>
      <c r="EU14" s="216"/>
      <c r="EV14" s="204" t="s">
        <v>3481</v>
      </c>
      <c r="EW14" s="204"/>
      <c r="EX14" s="204"/>
      <c r="EY14" s="64"/>
      <c r="EZ14" s="64"/>
      <c r="FA14" s="64"/>
      <c r="FB14" s="64"/>
      <c r="FC14" s="64"/>
      <c r="FD14" s="129" t="s">
        <v>3516</v>
      </c>
      <c r="FE14" s="129"/>
      <c r="FF14" s="129"/>
      <c r="FG14" s="129"/>
      <c r="FH14" s="129"/>
      <c r="FI14" s="122" t="s">
        <v>3540</v>
      </c>
      <c r="FJ14" s="122"/>
      <c r="FK14" s="122"/>
      <c r="FL14" s="122"/>
      <c r="FM14" s="120" t="s">
        <v>3551</v>
      </c>
      <c r="FN14" s="128" t="s">
        <v>2918</v>
      </c>
      <c r="FO14" s="222"/>
      <c r="FP14" s="221"/>
      <c r="FQ14" s="221"/>
      <c r="FS14" s="272" t="s">
        <v>2918</v>
      </c>
      <c r="FT14" s="139"/>
      <c r="FU14" s="139"/>
      <c r="FV14" s="139"/>
      <c r="FW14" s="139"/>
      <c r="FX14" s="73" t="s">
        <v>2948</v>
      </c>
      <c r="FY14" s="73"/>
      <c r="FZ14" s="73"/>
      <c r="GA14" s="73"/>
      <c r="GB14" s="73"/>
      <c r="GC14" s="73"/>
      <c r="GD14" s="204" t="s">
        <v>3603</v>
      </c>
      <c r="GE14" s="204"/>
      <c r="GF14" s="204"/>
      <c r="GG14" s="124" t="s">
        <v>3606</v>
      </c>
      <c r="GH14" s="124"/>
      <c r="GI14" s="124"/>
      <c r="GJ14" s="124"/>
      <c r="GK14" s="120" t="s">
        <v>3667</v>
      </c>
      <c r="GL14" s="127" t="s">
        <v>3663</v>
      </c>
      <c r="GM14" s="127"/>
      <c r="GN14" s="127"/>
      <c r="GO14" s="122" t="s">
        <v>2911</v>
      </c>
      <c r="GP14" s="122"/>
      <c r="GQ14" s="122"/>
      <c r="GR14" s="122"/>
      <c r="GS14" s="120" t="s">
        <v>3353</v>
      </c>
      <c r="GT14" s="129" t="s">
        <v>2918</v>
      </c>
      <c r="GU14" s="129"/>
      <c r="GV14" s="129"/>
      <c r="GW14" s="129"/>
      <c r="GX14" s="222"/>
      <c r="GY14" s="221"/>
      <c r="GZ14" s="221"/>
      <c r="HA14" s="294" t="s">
        <v>2948</v>
      </c>
      <c r="HB14" s="133"/>
      <c r="HC14" s="133"/>
      <c r="HD14" s="120" t="s">
        <v>3699</v>
      </c>
      <c r="HE14" s="124" t="s">
        <v>3700</v>
      </c>
      <c r="HF14" s="124"/>
      <c r="HG14" s="124"/>
      <c r="HH14" s="124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20"/>
      <c r="IA14" s="120"/>
      <c r="IB14" s="120"/>
      <c r="IC14" s="120"/>
      <c r="ID14" s="120"/>
      <c r="IE14" s="120"/>
      <c r="IF14" s="292"/>
      <c r="IG14" s="397"/>
      <c r="IH14" s="291"/>
      <c r="II14" s="291"/>
    </row>
    <row r="15" spans="2:243" ht="15.75" x14ac:dyDescent="0.25">
      <c r="B15" s="78"/>
      <c r="C15" s="79">
        <v>6142</v>
      </c>
      <c r="D15" s="79"/>
      <c r="E15" s="79"/>
      <c r="F15" s="80" t="s">
        <v>2914</v>
      </c>
      <c r="G15" s="84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N15" s="84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83"/>
      <c r="BU15" s="81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173"/>
      <c r="CZ15" s="83"/>
      <c r="DC15" s="81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82"/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223"/>
      <c r="EH15" s="221"/>
      <c r="EI15" s="221"/>
      <c r="EJ15" s="81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/>
      <c r="EW15" s="82"/>
      <c r="EX15" s="82"/>
      <c r="EY15" s="82"/>
      <c r="EZ15" s="82"/>
      <c r="FA15" s="82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N15" s="82"/>
      <c r="FO15" s="223"/>
      <c r="FP15" s="221"/>
      <c r="FQ15" s="221"/>
      <c r="FS15" s="81"/>
      <c r="FT15" s="82"/>
      <c r="FU15" s="82"/>
      <c r="FV15" s="82"/>
      <c r="FW15" s="82"/>
      <c r="FX15" s="82"/>
      <c r="FY15" s="82"/>
      <c r="FZ15" s="82"/>
      <c r="GA15" s="82"/>
      <c r="GB15" s="82"/>
      <c r="GC15" s="82"/>
      <c r="GD15" s="82"/>
      <c r="GE15" s="82"/>
      <c r="GF15" s="82"/>
      <c r="GG15" s="82"/>
      <c r="GH15" s="82"/>
      <c r="GI15" s="82"/>
      <c r="GJ15" s="82"/>
      <c r="GK15" s="82"/>
      <c r="GL15" s="82"/>
      <c r="GM15" s="82"/>
      <c r="GN15" s="82"/>
      <c r="GO15" s="82"/>
      <c r="GP15" s="82"/>
      <c r="GQ15" s="82"/>
      <c r="GR15" s="82"/>
      <c r="GS15" s="82"/>
      <c r="GT15" s="82"/>
      <c r="GU15" s="82"/>
      <c r="GV15" s="82"/>
      <c r="GW15" s="82"/>
      <c r="GX15" s="223"/>
      <c r="GY15" s="221"/>
      <c r="GZ15" s="221"/>
      <c r="HA15" s="81"/>
      <c r="HB15" s="82"/>
      <c r="HC15" s="82"/>
      <c r="HD15" s="82"/>
      <c r="HE15" s="82"/>
      <c r="HF15" s="82"/>
      <c r="HG15" s="82"/>
      <c r="HH15" s="82"/>
      <c r="HI15" s="82"/>
      <c r="HJ15" s="82"/>
      <c r="HK15" s="82"/>
      <c r="HL15" s="82"/>
      <c r="HM15" s="82"/>
      <c r="HN15" s="82"/>
      <c r="HO15" s="82"/>
      <c r="HP15" s="82"/>
      <c r="HQ15" s="82"/>
      <c r="HR15" s="82"/>
      <c r="HS15" s="82"/>
      <c r="HT15" s="82"/>
      <c r="HU15" s="82"/>
      <c r="HV15" s="82"/>
      <c r="HW15" s="82"/>
      <c r="HX15" s="82"/>
      <c r="HY15" s="82"/>
      <c r="HZ15" s="82"/>
      <c r="IA15" s="82"/>
      <c r="IB15" s="82"/>
      <c r="IC15" s="82"/>
      <c r="ID15" s="82"/>
      <c r="IE15" s="82"/>
      <c r="IF15" s="293"/>
      <c r="IG15" s="397"/>
      <c r="IH15" s="291"/>
      <c r="II15" s="291"/>
    </row>
    <row r="16" spans="2:243" ht="16.5" thickBot="1" x14ac:dyDescent="0.3">
      <c r="B16" s="85"/>
      <c r="C16" s="86"/>
      <c r="D16" s="86"/>
      <c r="E16" s="86"/>
      <c r="F16" s="87" t="s">
        <v>2915</v>
      </c>
      <c r="G16" s="88"/>
      <c r="H16" s="86"/>
      <c r="I16" s="86"/>
      <c r="J16" s="86"/>
      <c r="K16" s="86"/>
      <c r="L16" s="86"/>
      <c r="M16" s="86">
        <v>1900</v>
      </c>
      <c r="N16" s="86"/>
      <c r="O16" s="86"/>
      <c r="P16" s="86"/>
      <c r="Q16" s="86"/>
      <c r="R16" s="86">
        <v>1900</v>
      </c>
      <c r="S16" s="86"/>
      <c r="T16" s="86"/>
      <c r="U16" s="86"/>
      <c r="V16" s="86"/>
      <c r="W16" s="86">
        <v>1900</v>
      </c>
      <c r="X16" s="86"/>
      <c r="Y16" s="86"/>
      <c r="Z16" s="86"/>
      <c r="AA16" s="86">
        <v>1500</v>
      </c>
      <c r="AB16" s="86"/>
      <c r="AC16" s="86"/>
      <c r="AD16" s="86">
        <v>500</v>
      </c>
      <c r="AE16" s="86"/>
      <c r="AF16" s="86">
        <v>350</v>
      </c>
      <c r="AG16" s="86"/>
      <c r="AH16" s="86">
        <v>1900</v>
      </c>
      <c r="AI16" s="86"/>
      <c r="AJ16" s="86"/>
      <c r="AK16" s="86"/>
      <c r="AL16" s="90">
        <v>15000</v>
      </c>
      <c r="AM16" s="91" t="e">
        <f>#REF!-AL16</f>
        <v>#REF!</v>
      </c>
      <c r="AN16" s="88">
        <v>2300</v>
      </c>
      <c r="AO16" s="86"/>
      <c r="AP16" s="86"/>
      <c r="AQ16" s="86"/>
      <c r="AR16" s="86">
        <v>320</v>
      </c>
      <c r="AS16" s="86"/>
      <c r="AT16" s="86"/>
      <c r="AU16" s="86"/>
      <c r="AV16" s="86"/>
      <c r="AW16" s="86">
        <v>850</v>
      </c>
      <c r="AX16" s="86"/>
      <c r="AY16" s="86"/>
      <c r="AZ16" s="86"/>
      <c r="BA16" s="86">
        <v>1500</v>
      </c>
      <c r="BB16" s="86"/>
      <c r="BC16" s="86"/>
      <c r="BD16" s="86"/>
      <c r="BE16" s="86">
        <v>2300</v>
      </c>
      <c r="BF16" s="86"/>
      <c r="BG16" s="86"/>
      <c r="BH16" s="86"/>
      <c r="BI16" s="86">
        <v>1900</v>
      </c>
      <c r="BJ16" s="86"/>
      <c r="BK16" s="86"/>
      <c r="BL16" s="86">
        <v>1900</v>
      </c>
      <c r="BM16" s="86"/>
      <c r="BN16" s="86"/>
      <c r="BO16" s="86"/>
      <c r="BP16" s="86"/>
      <c r="BQ16" s="86">
        <v>1900</v>
      </c>
      <c r="BR16" s="89">
        <f>SUM(AN16:BQ16)</f>
        <v>12970</v>
      </c>
      <c r="BS16" s="90">
        <v>15000</v>
      </c>
      <c r="BT16" s="91">
        <f>BR16-BS16</f>
        <v>-2030</v>
      </c>
      <c r="BU16" s="174"/>
      <c r="BV16" s="175"/>
      <c r="BW16" s="175">
        <v>1900</v>
      </c>
      <c r="BX16" s="175"/>
      <c r="BY16" s="175"/>
      <c r="BZ16" s="175"/>
      <c r="CA16" s="175">
        <v>2300</v>
      </c>
      <c r="CB16" s="175"/>
      <c r="CC16" s="175"/>
      <c r="CD16" s="175"/>
      <c r="CE16" s="175">
        <v>1900</v>
      </c>
      <c r="CF16" s="175"/>
      <c r="CG16" s="175"/>
      <c r="CH16" s="175"/>
      <c r="CI16" s="175">
        <v>2100</v>
      </c>
      <c r="CJ16" s="175"/>
      <c r="CK16" s="175"/>
      <c r="CL16" s="175"/>
      <c r="CM16" s="175"/>
      <c r="CN16" s="175"/>
      <c r="CO16" s="175"/>
      <c r="CP16" s="175">
        <v>1900</v>
      </c>
      <c r="CQ16" s="175"/>
      <c r="CR16" s="175"/>
      <c r="CS16" s="175"/>
      <c r="CT16" s="175"/>
      <c r="CU16" s="175">
        <v>2300</v>
      </c>
      <c r="CV16" s="175"/>
      <c r="CW16" s="175">
        <v>1900</v>
      </c>
      <c r="CX16" s="175"/>
      <c r="CY16" s="176"/>
      <c r="CZ16" s="89">
        <v>14300</v>
      </c>
      <c r="DA16" s="90">
        <v>15000</v>
      </c>
      <c r="DB16" s="91">
        <f>CZ16-DA16</f>
        <v>-700</v>
      </c>
      <c r="DC16" s="174"/>
      <c r="DD16" s="175"/>
      <c r="DE16" s="175">
        <v>2300</v>
      </c>
      <c r="DF16" s="175"/>
      <c r="DG16" s="175"/>
      <c r="DH16" s="175">
        <v>1900</v>
      </c>
      <c r="DI16" s="175"/>
      <c r="DJ16" s="175"/>
      <c r="DK16" s="175"/>
      <c r="DL16" s="175"/>
      <c r="DM16" s="175">
        <v>2100</v>
      </c>
      <c r="DN16" s="175"/>
      <c r="DO16" s="175"/>
      <c r="DP16" s="175"/>
      <c r="DQ16" s="175"/>
      <c r="DR16" s="175"/>
      <c r="DS16" s="175">
        <v>1300</v>
      </c>
      <c r="DT16" s="175"/>
      <c r="DU16" s="175"/>
      <c r="DV16" s="175"/>
      <c r="DW16" s="175"/>
      <c r="DX16" s="175"/>
      <c r="DY16" s="175">
        <v>1900</v>
      </c>
      <c r="DZ16" s="175"/>
      <c r="EA16" s="175"/>
      <c r="EB16" s="175">
        <v>350</v>
      </c>
      <c r="EC16" s="175">
        <v>2300</v>
      </c>
      <c r="ED16" s="175"/>
      <c r="EE16" s="175"/>
      <c r="EF16" s="175">
        <v>2000</v>
      </c>
      <c r="EG16" s="220">
        <v>14150</v>
      </c>
      <c r="EH16" s="221">
        <v>15000</v>
      </c>
      <c r="EI16" s="221">
        <f>EG16-EH16</f>
        <v>-850</v>
      </c>
      <c r="EJ16" s="174"/>
      <c r="EK16" s="175">
        <v>1900</v>
      </c>
      <c r="EL16" s="175"/>
      <c r="EM16" s="175"/>
      <c r="EN16" s="175">
        <v>2200</v>
      </c>
      <c r="EO16" s="175"/>
      <c r="EP16" s="175"/>
      <c r="EQ16" s="175"/>
      <c r="ER16" s="175">
        <v>900</v>
      </c>
      <c r="ES16" s="175"/>
      <c r="ET16" s="175"/>
      <c r="EU16" s="175"/>
      <c r="EV16" s="175">
        <v>1550</v>
      </c>
      <c r="EW16" s="175"/>
      <c r="EX16" s="175"/>
      <c r="EY16" s="175"/>
      <c r="EZ16" s="175"/>
      <c r="FA16" s="175"/>
      <c r="FB16" s="175"/>
      <c r="FC16" s="175"/>
      <c r="FD16" s="175">
        <v>1500</v>
      </c>
      <c r="FE16" s="175"/>
      <c r="FF16" s="175"/>
      <c r="FG16" s="175"/>
      <c r="FH16" s="175"/>
      <c r="FI16" s="175">
        <v>1600</v>
      </c>
      <c r="FJ16" s="175"/>
      <c r="FK16" s="175"/>
      <c r="FL16" s="175"/>
      <c r="FM16" s="175"/>
      <c r="FN16" s="175">
        <v>2300</v>
      </c>
      <c r="FO16" s="220">
        <v>11950</v>
      </c>
      <c r="FP16" s="221">
        <v>15000</v>
      </c>
      <c r="FQ16" s="221">
        <v>3050</v>
      </c>
      <c r="FS16" s="174">
        <v>2300</v>
      </c>
      <c r="FT16" s="175"/>
      <c r="FU16" s="175"/>
      <c r="FV16" s="175"/>
      <c r="FW16" s="175"/>
      <c r="FX16" s="175">
        <v>1900</v>
      </c>
      <c r="FY16" s="175"/>
      <c r="FZ16" s="175"/>
      <c r="GA16" s="175"/>
      <c r="GB16" s="175"/>
      <c r="GC16" s="175"/>
      <c r="GD16" s="175">
        <v>2300</v>
      </c>
      <c r="GE16" s="175"/>
      <c r="GF16" s="175"/>
      <c r="GG16" s="175">
        <v>2300</v>
      </c>
      <c r="GH16" s="175"/>
      <c r="GI16" s="175"/>
      <c r="GJ16" s="175"/>
      <c r="GK16" s="175"/>
      <c r="GL16" s="175">
        <v>2000</v>
      </c>
      <c r="GM16" s="175"/>
      <c r="GN16" s="175"/>
      <c r="GO16" s="175">
        <v>1900</v>
      </c>
      <c r="GP16" s="175"/>
      <c r="GQ16" s="175"/>
      <c r="GR16" s="175"/>
      <c r="GS16" s="175"/>
      <c r="GT16" s="175">
        <v>2300</v>
      </c>
      <c r="GU16" s="175"/>
      <c r="GV16" s="175"/>
      <c r="GW16" s="175"/>
      <c r="GX16" s="220">
        <v>15000</v>
      </c>
      <c r="GY16" s="221">
        <v>15000</v>
      </c>
      <c r="GZ16" s="221">
        <v>0</v>
      </c>
      <c r="HA16" s="174">
        <v>1900</v>
      </c>
      <c r="HB16" s="175"/>
      <c r="HC16" s="175"/>
      <c r="HD16" s="175"/>
      <c r="HE16" s="175">
        <v>2300</v>
      </c>
      <c r="HF16" s="175"/>
      <c r="HG16" s="175"/>
      <c r="HH16" s="175"/>
      <c r="HI16" s="175"/>
      <c r="HJ16" s="175"/>
      <c r="HK16" s="175"/>
      <c r="HL16" s="175"/>
      <c r="HM16" s="175"/>
      <c r="HN16" s="175"/>
      <c r="HO16" s="175"/>
      <c r="HP16" s="175"/>
      <c r="HQ16" s="175"/>
      <c r="HR16" s="175"/>
      <c r="HS16" s="175"/>
      <c r="HT16" s="175"/>
      <c r="HU16" s="175"/>
      <c r="HV16" s="175"/>
      <c r="HW16" s="175"/>
      <c r="HX16" s="175"/>
      <c r="HY16" s="175"/>
      <c r="HZ16" s="175"/>
      <c r="IA16" s="175"/>
      <c r="IB16" s="175"/>
      <c r="IC16" s="175"/>
      <c r="ID16" s="175"/>
      <c r="IE16" s="175"/>
      <c r="IF16" s="290">
        <f>SUM(HA16:IE16)</f>
        <v>4200</v>
      </c>
      <c r="IG16" s="397">
        <f>IFERROR(IF16/IH16,"")</f>
        <v>0.28</v>
      </c>
      <c r="IH16" s="291">
        <v>15000</v>
      </c>
      <c r="II16" s="291">
        <v>10800</v>
      </c>
    </row>
    <row r="17" spans="2:243" ht="15.75" x14ac:dyDescent="0.25">
      <c r="B17" s="60">
        <v>5</v>
      </c>
      <c r="C17" s="61" t="s">
        <v>2930</v>
      </c>
      <c r="D17" s="61">
        <v>9</v>
      </c>
      <c r="E17" s="61" t="s">
        <v>2970</v>
      </c>
      <c r="F17" s="62" t="s">
        <v>2903</v>
      </c>
      <c r="G17" s="103" t="s">
        <v>2911</v>
      </c>
      <c r="H17" s="104"/>
      <c r="I17" s="104"/>
      <c r="J17" s="104"/>
      <c r="K17" s="61" t="s">
        <v>2946</v>
      </c>
      <c r="L17" s="64"/>
      <c r="M17" s="64" t="s">
        <v>2947</v>
      </c>
      <c r="N17" s="64"/>
      <c r="O17" s="64"/>
      <c r="P17" s="64"/>
      <c r="Q17" s="64"/>
      <c r="R17" s="64"/>
      <c r="S17" s="64"/>
      <c r="T17" s="74" t="s">
        <v>2948</v>
      </c>
      <c r="U17" s="74"/>
      <c r="V17" s="74"/>
      <c r="W17" s="74"/>
      <c r="X17" s="61" t="s">
        <v>2949</v>
      </c>
      <c r="Y17" s="74" t="s">
        <v>2918</v>
      </c>
      <c r="Z17" s="74"/>
      <c r="AA17" s="74"/>
      <c r="AB17" s="74"/>
      <c r="AC17" s="64" t="s">
        <v>2948</v>
      </c>
      <c r="AD17" s="64"/>
      <c r="AE17" s="64"/>
      <c r="AF17" s="64"/>
      <c r="AG17" s="77" t="s">
        <v>2923</v>
      </c>
      <c r="AH17" s="77"/>
      <c r="AI17" s="77"/>
      <c r="AJ17" s="77"/>
      <c r="AK17" s="77"/>
      <c r="AN17" s="94" t="s">
        <v>2950</v>
      </c>
      <c r="AO17" s="77" t="s">
        <v>2951</v>
      </c>
      <c r="AP17" s="116" t="s">
        <v>3064</v>
      </c>
      <c r="AQ17" s="64" t="s">
        <v>3072</v>
      </c>
      <c r="AR17" s="64"/>
      <c r="AS17" s="74" t="s">
        <v>3071</v>
      </c>
      <c r="AT17" s="74"/>
      <c r="AU17" s="74"/>
      <c r="AV17" s="61" t="s">
        <v>3103</v>
      </c>
      <c r="AW17" s="73" t="s">
        <v>3104</v>
      </c>
      <c r="AX17" s="73"/>
      <c r="AY17" s="73"/>
      <c r="AZ17" s="73"/>
      <c r="BA17" s="73"/>
      <c r="BB17" s="73"/>
      <c r="BC17" s="73"/>
      <c r="BD17" s="128" t="s">
        <v>3133</v>
      </c>
      <c r="BE17" s="128"/>
      <c r="BF17" s="128"/>
      <c r="BG17" s="128"/>
      <c r="BH17" s="61" t="s">
        <v>3152</v>
      </c>
      <c r="BI17" s="61"/>
      <c r="BJ17" s="61"/>
      <c r="BK17" s="133" t="s">
        <v>3159</v>
      </c>
      <c r="BL17" s="133"/>
      <c r="BM17" s="133"/>
      <c r="BN17" s="132"/>
      <c r="BO17" s="132"/>
      <c r="BP17" s="132"/>
      <c r="BQ17" s="124" t="s">
        <v>2911</v>
      </c>
      <c r="BR17" s="75"/>
      <c r="BU17" s="177"/>
      <c r="BV17" s="120"/>
      <c r="BW17" s="120"/>
      <c r="BX17" s="120" t="s">
        <v>3235</v>
      </c>
      <c r="BY17" s="179" t="s">
        <v>3234</v>
      </c>
      <c r="BZ17" s="179"/>
      <c r="CA17" s="179"/>
      <c r="CB17" s="179"/>
      <c r="CC17" s="136"/>
      <c r="CD17" s="136"/>
      <c r="CE17" s="136"/>
      <c r="CF17" s="136"/>
      <c r="CG17" s="120" t="s">
        <v>3324</v>
      </c>
      <c r="CH17" s="133" t="s">
        <v>3325</v>
      </c>
      <c r="CI17" s="133"/>
      <c r="CJ17" s="133"/>
      <c r="CK17" s="133"/>
      <c r="CL17" s="74" t="s">
        <v>3326</v>
      </c>
      <c r="CM17" s="74"/>
      <c r="CN17" s="74"/>
      <c r="CO17" s="74"/>
      <c r="CP17" s="132" t="s">
        <v>2948</v>
      </c>
      <c r="CQ17" s="132"/>
      <c r="CR17" s="132"/>
      <c r="CS17" s="139" t="s">
        <v>3328</v>
      </c>
      <c r="CT17" s="139"/>
      <c r="CU17" s="139"/>
      <c r="CV17" s="139"/>
      <c r="CW17" s="139"/>
      <c r="CX17" s="120" t="s">
        <v>3329</v>
      </c>
      <c r="CY17" s="188" t="s">
        <v>3327</v>
      </c>
      <c r="CZ17" s="75"/>
      <c r="DC17" s="177"/>
      <c r="DD17" s="120"/>
      <c r="DE17" s="120" t="s">
        <v>2949</v>
      </c>
      <c r="DF17" s="120"/>
      <c r="DG17" s="127" t="s">
        <v>2921</v>
      </c>
      <c r="DH17" s="127"/>
      <c r="DI17" s="127"/>
      <c r="DJ17" s="127"/>
      <c r="DK17" s="124" t="s">
        <v>2911</v>
      </c>
      <c r="DL17" s="124"/>
      <c r="DM17" s="124"/>
      <c r="DN17" s="120" t="s">
        <v>3353</v>
      </c>
      <c r="DO17" s="216" t="s">
        <v>2918</v>
      </c>
      <c r="DP17" s="216"/>
      <c r="DQ17" s="216"/>
      <c r="DR17" s="216"/>
      <c r="DS17" s="132" t="s">
        <v>2926</v>
      </c>
      <c r="DT17" s="132"/>
      <c r="DU17" s="132"/>
      <c r="DV17" s="120" t="s">
        <v>3151</v>
      </c>
      <c r="DW17" s="129" t="s">
        <v>2921</v>
      </c>
      <c r="DX17" s="129"/>
      <c r="DY17" s="129"/>
      <c r="DZ17" s="129"/>
      <c r="EA17" s="133" t="s">
        <v>2948</v>
      </c>
      <c r="EB17" s="133"/>
      <c r="EC17" s="133"/>
      <c r="ED17" s="133"/>
      <c r="EE17" s="129" t="s">
        <v>3144</v>
      </c>
      <c r="EF17" s="129"/>
      <c r="EG17" s="222"/>
      <c r="EH17" s="221"/>
      <c r="EI17" s="221"/>
      <c r="EJ17" s="177"/>
      <c r="EK17" s="120"/>
      <c r="EL17" s="120"/>
      <c r="EM17" s="135" t="s">
        <v>3413</v>
      </c>
      <c r="EN17" s="135"/>
      <c r="EO17" s="135"/>
      <c r="EP17" s="135"/>
      <c r="EQ17" s="135"/>
      <c r="ER17" s="135"/>
      <c r="ES17" s="129" t="s">
        <v>3410</v>
      </c>
      <c r="ET17" s="129"/>
      <c r="EU17" s="129"/>
      <c r="EV17" s="129"/>
      <c r="EW17" s="139" t="s">
        <v>3482</v>
      </c>
      <c r="EX17" s="139"/>
      <c r="EY17" s="139"/>
      <c r="EZ17" s="139"/>
      <c r="FA17" s="139"/>
      <c r="FB17" s="120" t="s">
        <v>3509</v>
      </c>
      <c r="FC17" s="120"/>
      <c r="FD17" s="120"/>
      <c r="FE17" s="73" t="s">
        <v>3517</v>
      </c>
      <c r="FF17" s="73"/>
      <c r="FG17" s="73"/>
      <c r="FH17" s="77" t="s">
        <v>2911</v>
      </c>
      <c r="FI17" s="77"/>
      <c r="FJ17" s="77"/>
      <c r="FK17" s="120" t="s">
        <v>2949</v>
      </c>
      <c r="FL17" s="120"/>
      <c r="FM17" s="136" t="s">
        <v>2921</v>
      </c>
      <c r="FN17" s="136"/>
      <c r="FO17" s="222"/>
      <c r="FP17" s="221"/>
      <c r="FQ17" s="221"/>
      <c r="FS17" s="177"/>
      <c r="FT17" s="120"/>
      <c r="FU17" s="120"/>
      <c r="FV17" s="120"/>
      <c r="FW17" s="77" t="s">
        <v>2911</v>
      </c>
      <c r="FX17" s="77"/>
      <c r="FY17" s="77"/>
      <c r="FZ17" s="77"/>
      <c r="GA17" s="77"/>
      <c r="GB17" s="136" t="s">
        <v>2912</v>
      </c>
      <c r="GC17" s="133" t="s">
        <v>3595</v>
      </c>
      <c r="GD17" s="133"/>
      <c r="GE17" s="133"/>
      <c r="GF17" s="122" t="s">
        <v>2911</v>
      </c>
      <c r="GG17" s="122"/>
      <c r="GH17" s="122"/>
      <c r="GI17" s="122"/>
      <c r="GJ17" s="122"/>
      <c r="GK17" s="122"/>
      <c r="GL17" s="120" t="s">
        <v>3353</v>
      </c>
      <c r="GM17" s="120"/>
      <c r="GN17" s="77" t="s">
        <v>2918</v>
      </c>
      <c r="GO17" s="77"/>
      <c r="GP17" s="77"/>
      <c r="GQ17" s="77"/>
      <c r="GR17" s="128" t="s">
        <v>2911</v>
      </c>
      <c r="GS17" s="128"/>
      <c r="GT17" s="128"/>
      <c r="GU17" s="128"/>
      <c r="GV17" s="128"/>
      <c r="GW17" s="120" t="s">
        <v>2949</v>
      </c>
      <c r="GX17" s="222"/>
      <c r="GY17" s="221"/>
      <c r="GZ17" s="221"/>
      <c r="HA17" s="114" t="s">
        <v>3702</v>
      </c>
      <c r="HB17" s="115"/>
      <c r="HC17" s="115"/>
      <c r="HD17" s="115"/>
      <c r="HE17" s="133" t="s">
        <v>2911</v>
      </c>
      <c r="HF17" s="133"/>
      <c r="HG17" s="133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20"/>
      <c r="IA17" s="120"/>
      <c r="IB17" s="120"/>
      <c r="IC17" s="120"/>
      <c r="ID17" s="120"/>
      <c r="IE17" s="120"/>
      <c r="IF17" s="292"/>
      <c r="IG17" s="397"/>
      <c r="IH17" s="291"/>
      <c r="II17" s="291"/>
    </row>
    <row r="18" spans="2:243" ht="15.75" x14ac:dyDescent="0.25">
      <c r="B18" s="78"/>
      <c r="C18" s="79">
        <v>8803</v>
      </c>
      <c r="D18" s="79"/>
      <c r="E18" s="79"/>
      <c r="F18" s="80" t="s">
        <v>2914</v>
      </c>
      <c r="G18" s="84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N18" s="84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83"/>
      <c r="BU18" s="81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173"/>
      <c r="CZ18" s="83"/>
      <c r="DC18" s="81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82"/>
      <c r="DT18" s="82"/>
      <c r="DU18" s="82"/>
      <c r="DV18" s="82"/>
      <c r="DW18" s="82"/>
      <c r="DX18" s="82"/>
      <c r="DY18" s="82"/>
      <c r="DZ18" s="82"/>
      <c r="EA18" s="82"/>
      <c r="EB18" s="82"/>
      <c r="EC18" s="82"/>
      <c r="ED18" s="82"/>
      <c r="EE18" s="82"/>
      <c r="EF18" s="82"/>
      <c r="EG18" s="223"/>
      <c r="EH18" s="221"/>
      <c r="EI18" s="221"/>
      <c r="EJ18" s="81"/>
      <c r="EK18" s="82"/>
      <c r="EL18" s="82"/>
      <c r="EM18" s="82"/>
      <c r="EN18" s="82"/>
      <c r="EO18" s="82"/>
      <c r="EP18" s="82"/>
      <c r="EQ18" s="82"/>
      <c r="ER18" s="82"/>
      <c r="ES18" s="82"/>
      <c r="ET18" s="82"/>
      <c r="EU18" s="82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F18" s="82"/>
      <c r="FG18" s="82"/>
      <c r="FH18" s="82"/>
      <c r="FI18" s="82"/>
      <c r="FJ18" s="82"/>
      <c r="FK18" s="82"/>
      <c r="FL18" s="82"/>
      <c r="FM18" s="82"/>
      <c r="FN18" s="82"/>
      <c r="FO18" s="223"/>
      <c r="FP18" s="221"/>
      <c r="FQ18" s="221"/>
      <c r="FS18" s="81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  <c r="GG18" s="82"/>
      <c r="GH18" s="82"/>
      <c r="GI18" s="82"/>
      <c r="GJ18" s="82"/>
      <c r="GK18" s="82"/>
      <c r="GL18" s="82"/>
      <c r="GM18" s="82"/>
      <c r="GN18" s="82"/>
      <c r="GO18" s="82"/>
      <c r="GP18" s="82"/>
      <c r="GQ18" s="82"/>
      <c r="GR18" s="82"/>
      <c r="GS18" s="82"/>
      <c r="GT18" s="82"/>
      <c r="GU18" s="82"/>
      <c r="GV18" s="82"/>
      <c r="GW18" s="82"/>
      <c r="GX18" s="223"/>
      <c r="GY18" s="221"/>
      <c r="GZ18" s="221"/>
      <c r="HA18" s="81"/>
      <c r="HB18" s="82"/>
      <c r="HC18" s="82"/>
      <c r="HD18" s="82"/>
      <c r="HE18" s="82"/>
      <c r="HF18" s="82"/>
      <c r="HG18" s="82"/>
      <c r="HH18" s="82"/>
      <c r="HI18" s="82"/>
      <c r="HJ18" s="82"/>
      <c r="HK18" s="82"/>
      <c r="HL18" s="82"/>
      <c r="HM18" s="82"/>
      <c r="HN18" s="82"/>
      <c r="HO18" s="82"/>
      <c r="HP18" s="82"/>
      <c r="HQ18" s="82"/>
      <c r="HR18" s="82"/>
      <c r="HS18" s="82"/>
      <c r="HT18" s="82"/>
      <c r="HU18" s="82"/>
      <c r="HV18" s="82"/>
      <c r="HW18" s="82"/>
      <c r="HX18" s="82"/>
      <c r="HY18" s="82"/>
      <c r="HZ18" s="82"/>
      <c r="IA18" s="82"/>
      <c r="IB18" s="82"/>
      <c r="IC18" s="82"/>
      <c r="ID18" s="82"/>
      <c r="IE18" s="82"/>
      <c r="IF18" s="293"/>
      <c r="IG18" s="397"/>
      <c r="IH18" s="291"/>
      <c r="II18" s="291"/>
    </row>
    <row r="19" spans="2:243" ht="16.5" thickBot="1" x14ac:dyDescent="0.3">
      <c r="B19" s="85"/>
      <c r="C19" s="86"/>
      <c r="D19" s="86"/>
      <c r="E19" s="86"/>
      <c r="F19" s="87" t="s">
        <v>2915</v>
      </c>
      <c r="G19" s="88">
        <v>1900</v>
      </c>
      <c r="H19" s="86"/>
      <c r="I19" s="86"/>
      <c r="J19" s="86"/>
      <c r="K19" s="86"/>
      <c r="L19" s="86"/>
      <c r="M19" s="86">
        <v>2200</v>
      </c>
      <c r="N19" s="86"/>
      <c r="O19" s="86"/>
      <c r="P19" s="86"/>
      <c r="Q19" s="86"/>
      <c r="R19" s="86"/>
      <c r="S19" s="86"/>
      <c r="T19" s="86">
        <v>1900</v>
      </c>
      <c r="U19" s="86"/>
      <c r="V19" s="86"/>
      <c r="W19" s="86"/>
      <c r="X19" s="86"/>
      <c r="Y19" s="86">
        <v>2300</v>
      </c>
      <c r="Z19" s="86"/>
      <c r="AA19" s="86"/>
      <c r="AB19" s="86"/>
      <c r="AC19" s="86">
        <v>1900</v>
      </c>
      <c r="AD19" s="86"/>
      <c r="AE19" s="86"/>
      <c r="AF19" s="86"/>
      <c r="AG19" s="86">
        <v>2300</v>
      </c>
      <c r="AH19" s="86"/>
      <c r="AI19" s="86"/>
      <c r="AJ19" s="86"/>
      <c r="AK19" s="86"/>
      <c r="AL19" s="90">
        <v>15000</v>
      </c>
      <c r="AM19" s="91" t="e">
        <f>#REF!-AL19</f>
        <v>#REF!</v>
      </c>
      <c r="AN19" s="88"/>
      <c r="AO19" s="86">
        <v>300</v>
      </c>
      <c r="AP19" s="86"/>
      <c r="AQ19" s="86"/>
      <c r="AR19" s="86"/>
      <c r="AS19" s="86">
        <v>350</v>
      </c>
      <c r="AT19" s="86"/>
      <c r="AU19" s="86"/>
      <c r="AV19" s="86"/>
      <c r="AW19" s="86">
        <v>400</v>
      </c>
      <c r="AX19" s="86"/>
      <c r="AY19" s="86"/>
      <c r="AZ19" s="86"/>
      <c r="BA19" s="86"/>
      <c r="BB19" s="86"/>
      <c r="BC19" s="86"/>
      <c r="BD19" s="86">
        <v>1250</v>
      </c>
      <c r="BE19" s="86"/>
      <c r="BF19" s="86"/>
      <c r="BG19" s="86"/>
      <c r="BH19" s="86"/>
      <c r="BI19" s="86"/>
      <c r="BJ19" s="86"/>
      <c r="BK19" s="86">
        <v>2300</v>
      </c>
      <c r="BL19" s="86"/>
      <c r="BM19" s="86"/>
      <c r="BN19" s="86"/>
      <c r="BO19" s="86"/>
      <c r="BP19" s="86"/>
      <c r="BQ19" s="86">
        <v>1900</v>
      </c>
      <c r="BR19" s="89">
        <f>SUM(AN19:BQ19)</f>
        <v>6500</v>
      </c>
      <c r="BS19" s="90">
        <v>15000</v>
      </c>
      <c r="BT19" s="91">
        <f>BR19-BS19</f>
        <v>-8500</v>
      </c>
      <c r="BU19" s="174"/>
      <c r="BV19" s="175"/>
      <c r="BW19" s="175"/>
      <c r="BX19" s="175"/>
      <c r="BY19" s="175">
        <v>2300</v>
      </c>
      <c r="BZ19" s="175"/>
      <c r="CA19" s="175"/>
      <c r="CB19" s="175"/>
      <c r="CC19" s="175"/>
      <c r="CD19" s="175"/>
      <c r="CE19" s="175"/>
      <c r="CF19" s="175"/>
      <c r="CG19" s="175"/>
      <c r="CH19" s="175">
        <v>1600</v>
      </c>
      <c r="CI19" s="175"/>
      <c r="CJ19" s="175"/>
      <c r="CK19" s="175"/>
      <c r="CL19" s="175">
        <v>1700</v>
      </c>
      <c r="CM19" s="175"/>
      <c r="CN19" s="175"/>
      <c r="CO19" s="175"/>
      <c r="CP19" s="175">
        <v>1900</v>
      </c>
      <c r="CQ19" s="175"/>
      <c r="CR19" s="175"/>
      <c r="CS19" s="175">
        <v>2200</v>
      </c>
      <c r="CT19" s="175"/>
      <c r="CU19" s="175"/>
      <c r="CV19" s="175"/>
      <c r="CW19" s="175"/>
      <c r="CX19" s="175"/>
      <c r="CY19" s="176">
        <v>1900</v>
      </c>
      <c r="CZ19" s="89">
        <v>11600</v>
      </c>
      <c r="DA19" s="90">
        <v>15000</v>
      </c>
      <c r="DB19" s="91">
        <f>CZ19-DA19</f>
        <v>-3400</v>
      </c>
      <c r="DC19" s="174"/>
      <c r="DD19" s="175"/>
      <c r="DE19" s="175"/>
      <c r="DF19" s="175"/>
      <c r="DG19" s="175">
        <v>2300</v>
      </c>
      <c r="DH19" s="175"/>
      <c r="DI19" s="175"/>
      <c r="DJ19" s="175"/>
      <c r="DK19" s="175">
        <v>1900</v>
      </c>
      <c r="DL19" s="175"/>
      <c r="DM19" s="175"/>
      <c r="DN19" s="175"/>
      <c r="DO19" s="175">
        <v>2300</v>
      </c>
      <c r="DP19" s="175"/>
      <c r="DQ19" s="175"/>
      <c r="DR19" s="175"/>
      <c r="DS19" s="175">
        <v>1900</v>
      </c>
      <c r="DT19" s="175"/>
      <c r="DU19" s="175"/>
      <c r="DV19" s="175"/>
      <c r="DW19" s="175">
        <v>2300</v>
      </c>
      <c r="DX19" s="175"/>
      <c r="DY19" s="175"/>
      <c r="DZ19" s="175"/>
      <c r="EA19" s="175">
        <v>1900</v>
      </c>
      <c r="EB19" s="175"/>
      <c r="EC19" s="175"/>
      <c r="ED19" s="175"/>
      <c r="EE19" s="175">
        <v>1900</v>
      </c>
      <c r="EF19" s="175"/>
      <c r="EG19" s="220">
        <v>14500</v>
      </c>
      <c r="EH19" s="221">
        <v>15000</v>
      </c>
      <c r="EI19" s="221">
        <f>EG19-EH19</f>
        <v>-500</v>
      </c>
      <c r="EJ19" s="174"/>
      <c r="EK19" s="175"/>
      <c r="EL19" s="175"/>
      <c r="EM19" s="175">
        <v>1900</v>
      </c>
      <c r="EN19" s="175"/>
      <c r="EO19" s="175"/>
      <c r="EP19" s="175"/>
      <c r="EQ19" s="175"/>
      <c r="ER19" s="175"/>
      <c r="ES19" s="175">
        <v>2000</v>
      </c>
      <c r="ET19" s="175"/>
      <c r="EU19" s="175"/>
      <c r="EV19" s="175"/>
      <c r="EW19" s="175">
        <v>1950</v>
      </c>
      <c r="EX19" s="175"/>
      <c r="EY19" s="175"/>
      <c r="EZ19" s="175"/>
      <c r="FA19" s="175"/>
      <c r="FB19" s="175"/>
      <c r="FC19" s="175"/>
      <c r="FD19" s="175"/>
      <c r="FE19" s="175">
        <v>2550</v>
      </c>
      <c r="FF19" s="175"/>
      <c r="FG19" s="175"/>
      <c r="FH19" s="175">
        <v>1900</v>
      </c>
      <c r="FI19" s="175"/>
      <c r="FJ19" s="175"/>
      <c r="FK19" s="175"/>
      <c r="FL19" s="175"/>
      <c r="FM19" s="175">
        <v>2300</v>
      </c>
      <c r="FN19" s="175"/>
      <c r="FO19" s="220">
        <v>12600</v>
      </c>
      <c r="FP19" s="221">
        <v>15000</v>
      </c>
      <c r="FQ19" s="221">
        <v>2400</v>
      </c>
      <c r="FS19" s="174"/>
      <c r="FT19" s="175"/>
      <c r="FU19" s="175"/>
      <c r="FV19" s="175"/>
      <c r="FW19" s="175">
        <v>1900</v>
      </c>
      <c r="FX19" s="175"/>
      <c r="FY19" s="175"/>
      <c r="FZ19" s="175"/>
      <c r="GA19" s="175"/>
      <c r="GB19" s="175"/>
      <c r="GC19" s="175">
        <v>2300</v>
      </c>
      <c r="GD19" s="175"/>
      <c r="GE19" s="175"/>
      <c r="GF19" s="175">
        <v>1900</v>
      </c>
      <c r="GG19" s="175"/>
      <c r="GH19" s="175"/>
      <c r="GI19" s="175"/>
      <c r="GJ19" s="175"/>
      <c r="GK19" s="175"/>
      <c r="GL19" s="175"/>
      <c r="GM19" s="175"/>
      <c r="GN19" s="175">
        <v>2300</v>
      </c>
      <c r="GO19" s="175"/>
      <c r="GP19" s="175"/>
      <c r="GQ19" s="175"/>
      <c r="GR19" s="175">
        <v>1900</v>
      </c>
      <c r="GS19" s="175"/>
      <c r="GT19" s="175"/>
      <c r="GU19" s="175"/>
      <c r="GV19" s="175"/>
      <c r="GW19" s="175"/>
      <c r="GX19" s="220">
        <v>10300</v>
      </c>
      <c r="GY19" s="221">
        <v>15000</v>
      </c>
      <c r="GZ19" s="221">
        <v>4700</v>
      </c>
      <c r="HA19" s="174">
        <v>1900</v>
      </c>
      <c r="HB19" s="175"/>
      <c r="HC19" s="175"/>
      <c r="HD19" s="175"/>
      <c r="HE19" s="175">
        <v>1900</v>
      </c>
      <c r="HF19" s="175"/>
      <c r="HG19" s="175"/>
      <c r="HH19" s="175"/>
      <c r="HI19" s="175"/>
      <c r="HJ19" s="175"/>
      <c r="HK19" s="175"/>
      <c r="HL19" s="175"/>
      <c r="HM19" s="175"/>
      <c r="HN19" s="175"/>
      <c r="HO19" s="175"/>
      <c r="HP19" s="175"/>
      <c r="HQ19" s="175"/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5"/>
      <c r="IC19" s="175"/>
      <c r="ID19" s="175"/>
      <c r="IE19" s="175"/>
      <c r="IF19" s="290">
        <f>SUM(HA19:IE19)</f>
        <v>3800</v>
      </c>
      <c r="IG19" s="397">
        <f>IFERROR(IF19/IH19,"")</f>
        <v>0.253333333333333</v>
      </c>
      <c r="IH19" s="291">
        <v>15000</v>
      </c>
      <c r="II19" s="291">
        <v>11200</v>
      </c>
    </row>
    <row r="20" spans="2:243" ht="15.75" x14ac:dyDescent="0.25">
      <c r="B20" s="60">
        <v>6</v>
      </c>
      <c r="C20" s="61" t="s">
        <v>2952</v>
      </c>
      <c r="D20" s="61">
        <v>9</v>
      </c>
      <c r="E20" s="61" t="s">
        <v>3087</v>
      </c>
      <c r="F20" s="62" t="s">
        <v>2903</v>
      </c>
      <c r="G20" s="102"/>
      <c r="H20" s="64" t="s">
        <v>2918</v>
      </c>
      <c r="I20" s="64"/>
      <c r="J20" s="64"/>
      <c r="K20" s="64"/>
      <c r="L20" s="64"/>
      <c r="M20" s="64"/>
      <c r="N20" s="64"/>
      <c r="O20" s="64"/>
      <c r="P20" s="70" t="s">
        <v>2948</v>
      </c>
      <c r="Q20" s="70"/>
      <c r="R20" s="70"/>
      <c r="S20" s="70"/>
      <c r="T20" s="61" t="s">
        <v>2949</v>
      </c>
      <c r="U20" s="77"/>
      <c r="V20" s="77" t="s">
        <v>2918</v>
      </c>
      <c r="W20" s="77"/>
      <c r="X20" s="77"/>
      <c r="Y20" s="70" t="s">
        <v>2953</v>
      </c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N20" s="105" t="s">
        <v>2954</v>
      </c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124" t="s">
        <v>2945</v>
      </c>
      <c r="BC20" s="124"/>
      <c r="BD20" s="124"/>
      <c r="BE20" s="124"/>
      <c r="BF20" s="120" t="s">
        <v>3150</v>
      </c>
      <c r="BG20" s="61"/>
      <c r="BH20" s="127" t="s">
        <v>2918</v>
      </c>
      <c r="BI20" s="127"/>
      <c r="BJ20" s="127"/>
      <c r="BK20" s="127"/>
      <c r="BL20" s="97" t="s">
        <v>2911</v>
      </c>
      <c r="BM20" s="97"/>
      <c r="BN20" s="97"/>
      <c r="BO20" s="61" t="s">
        <v>3184</v>
      </c>
      <c r="BP20" s="73" t="s">
        <v>3189</v>
      </c>
      <c r="BQ20" s="73"/>
      <c r="BR20"/>
      <c r="BU20" s="177"/>
      <c r="BV20" s="120"/>
      <c r="BW20" s="120"/>
      <c r="BX20" s="120"/>
      <c r="BY20" s="123" t="s">
        <v>3236</v>
      </c>
      <c r="BZ20" s="123"/>
      <c r="CA20" s="123"/>
      <c r="CB20" s="123"/>
      <c r="CC20" s="120" t="s">
        <v>3318</v>
      </c>
      <c r="CD20" s="128" t="s">
        <v>3196</v>
      </c>
      <c r="CE20" s="128"/>
      <c r="CF20" s="128"/>
      <c r="CG20" s="128"/>
      <c r="CH20" s="128"/>
      <c r="CI20" s="134" t="s">
        <v>2948</v>
      </c>
      <c r="CJ20" s="134"/>
      <c r="CK20" s="134"/>
      <c r="CL20" s="134"/>
      <c r="CM20" s="120" t="s">
        <v>3319</v>
      </c>
      <c r="CN20" s="129" t="s">
        <v>3234</v>
      </c>
      <c r="CO20" s="129"/>
      <c r="CP20" s="129"/>
      <c r="CQ20" s="135" t="s">
        <v>2945</v>
      </c>
      <c r="CR20" s="135"/>
      <c r="CS20" s="135"/>
      <c r="CT20" s="135"/>
      <c r="CU20" s="135"/>
      <c r="CV20" s="135"/>
      <c r="CW20" s="187"/>
      <c r="CX20" s="75" t="s">
        <v>3320</v>
      </c>
      <c r="CY20" s="4" t="s">
        <v>3234</v>
      </c>
      <c r="DC20" s="177"/>
      <c r="DD20" s="120"/>
      <c r="DE20" s="120"/>
      <c r="DF20" s="136" t="s">
        <v>2948</v>
      </c>
      <c r="DG20" s="136"/>
      <c r="DH20" s="136"/>
      <c r="DI20" s="138"/>
      <c r="DJ20" s="139" t="s">
        <v>3362</v>
      </c>
      <c r="DK20" s="139"/>
      <c r="DL20" s="123" t="s">
        <v>2921</v>
      </c>
      <c r="DM20" s="123"/>
      <c r="DN20" s="123"/>
      <c r="DO20" s="123"/>
      <c r="DP20" s="123"/>
      <c r="DQ20" s="123"/>
      <c r="DR20" s="122" t="s">
        <v>2926</v>
      </c>
      <c r="DS20" s="122"/>
      <c r="DT20" s="122"/>
      <c r="DU20" s="120" t="s">
        <v>3151</v>
      </c>
      <c r="DV20" s="142" t="s">
        <v>2918</v>
      </c>
      <c r="DW20" s="142"/>
      <c r="DX20" s="142"/>
      <c r="DY20" s="142"/>
      <c r="DZ20" s="122" t="s">
        <v>2948</v>
      </c>
      <c r="EA20" s="122"/>
      <c r="EB20" s="122"/>
      <c r="EC20" s="123" t="s">
        <v>3341</v>
      </c>
      <c r="ED20" s="123"/>
      <c r="EE20" s="238"/>
      <c r="EF20" s="172"/>
      <c r="EG20" s="221"/>
      <c r="EH20" s="221"/>
      <c r="EI20" s="221"/>
      <c r="EJ20" s="251" t="s">
        <v>3448</v>
      </c>
      <c r="EK20" s="204"/>
      <c r="EL20" s="204"/>
      <c r="EM20" s="204"/>
      <c r="EN20" s="204"/>
      <c r="EO20" s="120" t="s">
        <v>2949</v>
      </c>
      <c r="EP20" s="120"/>
      <c r="EQ20" s="97" t="s">
        <v>2918</v>
      </c>
      <c r="ER20" s="97"/>
      <c r="ES20" s="97"/>
      <c r="ET20" s="97"/>
      <c r="EU20" s="97"/>
      <c r="EV20" s="97"/>
      <c r="EW20" s="122" t="s">
        <v>2911</v>
      </c>
      <c r="EX20" s="122"/>
      <c r="EY20" s="122"/>
      <c r="EZ20" s="122"/>
      <c r="FA20" s="124" t="s">
        <v>2921</v>
      </c>
      <c r="FB20" s="124"/>
      <c r="FC20" s="124"/>
      <c r="FD20" s="133" t="s">
        <v>2911</v>
      </c>
      <c r="FE20" s="133"/>
      <c r="FF20" s="133"/>
      <c r="FG20" s="120" t="s">
        <v>2949</v>
      </c>
      <c r="FH20" s="123" t="s">
        <v>2918</v>
      </c>
      <c r="FI20" s="123"/>
      <c r="FJ20" s="123"/>
      <c r="FK20" s="123"/>
      <c r="FL20" s="123"/>
      <c r="FM20" s="129" t="s">
        <v>3547</v>
      </c>
      <c r="FN20" s="129"/>
      <c r="FO20" s="221"/>
      <c r="FP20" s="221"/>
      <c r="FQ20" s="221"/>
      <c r="FS20" s="177"/>
      <c r="FT20" s="120"/>
      <c r="FU20" s="120"/>
      <c r="FV20" s="120" t="s">
        <v>3150</v>
      </c>
      <c r="FW20" s="136" t="s">
        <v>2921</v>
      </c>
      <c r="FX20" s="136"/>
      <c r="FY20" s="136"/>
      <c r="FZ20" s="136"/>
      <c r="GA20" s="270" t="s">
        <v>3510</v>
      </c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21"/>
      <c r="GY20" s="221"/>
      <c r="GZ20" s="221"/>
      <c r="HA20" s="273" t="s">
        <v>3510</v>
      </c>
      <c r="HB20" s="270"/>
      <c r="HC20" s="270"/>
      <c r="HD20" s="270"/>
      <c r="HE20" s="270"/>
      <c r="HF20" s="27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20"/>
      <c r="HS20" s="120"/>
      <c r="HT20" s="120"/>
      <c r="HU20" s="120"/>
      <c r="HV20" s="120"/>
      <c r="HW20" s="120"/>
      <c r="HX20" s="120"/>
      <c r="HY20" s="120"/>
      <c r="HZ20" s="120"/>
      <c r="IA20" s="120"/>
      <c r="IB20" s="120"/>
      <c r="IC20" s="120"/>
      <c r="ID20" s="120"/>
      <c r="IE20" s="120"/>
      <c r="IF20" s="291"/>
      <c r="IG20" s="398"/>
      <c r="IH20" s="291"/>
      <c r="II20" s="291"/>
    </row>
    <row r="21" spans="2:243" ht="15.75" x14ac:dyDescent="0.25">
      <c r="B21" s="78"/>
      <c r="C21" s="79">
        <v>4371</v>
      </c>
      <c r="D21" s="79"/>
      <c r="E21" s="79"/>
      <c r="F21" s="80" t="s">
        <v>2914</v>
      </c>
      <c r="G21" s="84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90"/>
      <c r="AM21" s="91"/>
      <c r="AN21" s="84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83"/>
      <c r="BS21" s="90"/>
      <c r="BT21" s="91"/>
      <c r="BU21" s="81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173"/>
      <c r="CZ21" s="83"/>
      <c r="DA21" s="90"/>
      <c r="DB21" s="91"/>
      <c r="DC21" s="81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223"/>
      <c r="EH21" s="221"/>
      <c r="EI21" s="221"/>
      <c r="EJ21" s="81"/>
      <c r="EK21" s="82"/>
      <c r="EL21" s="82"/>
      <c r="EM21" s="82"/>
      <c r="EN21" s="82"/>
      <c r="EO21" s="82"/>
      <c r="EP21" s="82"/>
      <c r="EQ21" s="82"/>
      <c r="ER21" s="82"/>
      <c r="ES21" s="82"/>
      <c r="ET21" s="82"/>
      <c r="EU21" s="82"/>
      <c r="EV21" s="82"/>
      <c r="EW21" s="82"/>
      <c r="EX21" s="82"/>
      <c r="EY21" s="82"/>
      <c r="EZ21" s="82"/>
      <c r="FA21" s="82"/>
      <c r="FB21" s="82"/>
      <c r="FC21" s="82"/>
      <c r="FD21" s="82"/>
      <c r="FE21" s="82"/>
      <c r="FF21" s="82"/>
      <c r="FG21" s="82"/>
      <c r="FH21" s="82"/>
      <c r="FI21" s="82"/>
      <c r="FJ21" s="82"/>
      <c r="FK21" s="82"/>
      <c r="FL21" s="82"/>
      <c r="FM21" s="82"/>
      <c r="FN21" s="82"/>
      <c r="FO21" s="223"/>
      <c r="FP21" s="221"/>
      <c r="FQ21" s="221"/>
      <c r="FS21" s="81"/>
      <c r="FT21" s="82"/>
      <c r="FU21" s="82"/>
      <c r="FV21" s="82"/>
      <c r="FW21" s="82"/>
      <c r="FX21" s="82"/>
      <c r="FY21" s="82"/>
      <c r="FZ21" s="82"/>
      <c r="GA21" s="82"/>
      <c r="GB21" s="82"/>
      <c r="GC21" s="82"/>
      <c r="GD21" s="82"/>
      <c r="GE21" s="82"/>
      <c r="GF21" s="82"/>
      <c r="GG21" s="82"/>
      <c r="GH21" s="82"/>
      <c r="GI21" s="82"/>
      <c r="GJ21" s="82"/>
      <c r="GK21" s="82"/>
      <c r="GL21" s="82"/>
      <c r="GM21" s="82"/>
      <c r="GN21" s="82"/>
      <c r="GO21" s="82"/>
      <c r="GP21" s="82"/>
      <c r="GQ21" s="82"/>
      <c r="GR21" s="82"/>
      <c r="GS21" s="82"/>
      <c r="GT21" s="82"/>
      <c r="GU21" s="82"/>
      <c r="GV21" s="82"/>
      <c r="GW21" s="82"/>
      <c r="GX21" s="223"/>
      <c r="GY21" s="221"/>
      <c r="GZ21" s="221"/>
      <c r="HA21" s="81"/>
      <c r="HB21" s="82"/>
      <c r="HC21" s="82"/>
      <c r="HD21" s="82"/>
      <c r="HE21" s="82"/>
      <c r="HF21" s="82"/>
      <c r="HG21" s="82"/>
      <c r="HH21" s="82"/>
      <c r="HI21" s="82"/>
      <c r="HJ21" s="82"/>
      <c r="HK21" s="82"/>
      <c r="HL21" s="82"/>
      <c r="HM21" s="82"/>
      <c r="HN21" s="82"/>
      <c r="HO21" s="82"/>
      <c r="HP21" s="82"/>
      <c r="HQ21" s="82"/>
      <c r="HR21" s="82"/>
      <c r="HS21" s="82"/>
      <c r="HT21" s="82"/>
      <c r="HU21" s="82"/>
      <c r="HV21" s="82"/>
      <c r="HW21" s="82"/>
      <c r="HX21" s="82"/>
      <c r="HY21" s="82"/>
      <c r="HZ21" s="82"/>
      <c r="IA21" s="82"/>
      <c r="IB21" s="82"/>
      <c r="IC21" s="82"/>
      <c r="ID21" s="82"/>
      <c r="IE21" s="82"/>
      <c r="IF21" s="293"/>
      <c r="IG21" s="397"/>
      <c r="IH21" s="291"/>
      <c r="II21" s="291"/>
    </row>
    <row r="22" spans="2:243" ht="16.5" thickBot="1" x14ac:dyDescent="0.3">
      <c r="B22" s="85"/>
      <c r="C22" s="86"/>
      <c r="D22" s="86"/>
      <c r="E22" s="86"/>
      <c r="F22" s="87" t="s">
        <v>2915</v>
      </c>
      <c r="G22" s="88"/>
      <c r="H22" s="86">
        <v>2300</v>
      </c>
      <c r="I22" s="86"/>
      <c r="J22" s="86"/>
      <c r="K22" s="86"/>
      <c r="L22" s="86"/>
      <c r="M22" s="86"/>
      <c r="N22" s="86"/>
      <c r="O22" s="86"/>
      <c r="P22" s="86">
        <v>1900</v>
      </c>
      <c r="Q22" s="86"/>
      <c r="R22" s="86"/>
      <c r="S22" s="86"/>
      <c r="T22" s="86"/>
      <c r="U22" s="86"/>
      <c r="V22" s="86">
        <v>2300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90">
        <v>15000</v>
      </c>
      <c r="AM22" s="91" t="e">
        <f>#REF!-AL22</f>
        <v>#REF!</v>
      </c>
      <c r="AN22" s="88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>
        <v>1900</v>
      </c>
      <c r="BC22" s="86"/>
      <c r="BD22" s="86"/>
      <c r="BE22" s="86"/>
      <c r="BF22" s="86"/>
      <c r="BG22" s="86"/>
      <c r="BH22" s="86">
        <v>2300</v>
      </c>
      <c r="BI22" s="86"/>
      <c r="BJ22" s="86"/>
      <c r="BK22" s="86"/>
      <c r="BL22" s="86">
        <v>1900</v>
      </c>
      <c r="BM22" s="86"/>
      <c r="BN22" s="86"/>
      <c r="BO22" s="86"/>
      <c r="BP22" s="86">
        <v>2150</v>
      </c>
      <c r="BQ22" s="86"/>
      <c r="BR22" s="89">
        <f>SUM(AN22:BQ22)</f>
        <v>8250</v>
      </c>
      <c r="BS22" s="90">
        <v>15000</v>
      </c>
      <c r="BT22" s="91">
        <f>BR22-BS22</f>
        <v>-6750</v>
      </c>
      <c r="BU22" s="174"/>
      <c r="BV22" s="175"/>
      <c r="BW22" s="175"/>
      <c r="BX22" s="175"/>
      <c r="BY22" s="175">
        <v>2300</v>
      </c>
      <c r="BZ22" s="175"/>
      <c r="CA22" s="175"/>
      <c r="CB22" s="175"/>
      <c r="CC22" s="175"/>
      <c r="CD22" s="175">
        <v>2300</v>
      </c>
      <c r="CE22" s="175"/>
      <c r="CF22" s="175"/>
      <c r="CG22" s="175"/>
      <c r="CH22" s="175"/>
      <c r="CI22" s="175">
        <v>1900</v>
      </c>
      <c r="CJ22" s="175"/>
      <c r="CK22" s="175"/>
      <c r="CL22" s="175"/>
      <c r="CM22" s="175"/>
      <c r="CN22" s="175">
        <v>2300</v>
      </c>
      <c r="CO22" s="175"/>
      <c r="CP22" s="175"/>
      <c r="CQ22" s="175">
        <v>1900</v>
      </c>
      <c r="CR22" s="175"/>
      <c r="CS22" s="175"/>
      <c r="CT22" s="175"/>
      <c r="CU22" s="175"/>
      <c r="CV22" s="175"/>
      <c r="CW22" s="175"/>
      <c r="CX22" s="175"/>
      <c r="CY22" s="176">
        <v>2300</v>
      </c>
      <c r="CZ22" s="89">
        <v>13000</v>
      </c>
      <c r="DA22" s="90">
        <v>15000</v>
      </c>
      <c r="DB22" s="91">
        <f>CZ22-DA22</f>
        <v>-2000</v>
      </c>
      <c r="DC22" s="174"/>
      <c r="DD22" s="175"/>
      <c r="DE22" s="175"/>
      <c r="DF22" s="175">
        <v>1900</v>
      </c>
      <c r="DG22" s="175"/>
      <c r="DH22" s="175"/>
      <c r="DI22" s="175"/>
      <c r="DJ22" s="175">
        <v>300</v>
      </c>
      <c r="DK22" s="175"/>
      <c r="DL22" s="175">
        <v>2300</v>
      </c>
      <c r="DM22" s="175"/>
      <c r="DN22" s="214"/>
      <c r="DO22" s="214"/>
      <c r="DP22" s="214"/>
      <c r="DQ22" s="175"/>
      <c r="DR22" s="175">
        <v>1900</v>
      </c>
      <c r="DS22" s="175"/>
      <c r="DT22" s="175"/>
      <c r="DU22" s="175"/>
      <c r="DV22" s="175">
        <v>2300</v>
      </c>
      <c r="DW22" s="175"/>
      <c r="DX22" s="175"/>
      <c r="DY22" s="175"/>
      <c r="DZ22" s="175">
        <v>1900</v>
      </c>
      <c r="EA22" s="175"/>
      <c r="EB22" s="175"/>
      <c r="EC22" s="175">
        <v>2000</v>
      </c>
      <c r="ED22" s="175"/>
      <c r="EE22" s="175"/>
      <c r="EF22" s="175"/>
      <c r="EG22" s="220">
        <v>12600</v>
      </c>
      <c r="EH22" s="221">
        <v>15000</v>
      </c>
      <c r="EI22" s="221">
        <f>EG22-EH22</f>
        <v>-2400</v>
      </c>
      <c r="EJ22" s="174">
        <v>1900</v>
      </c>
      <c r="EK22" s="175"/>
      <c r="EL22" s="175"/>
      <c r="EM22" s="175"/>
      <c r="EN22" s="175"/>
      <c r="EO22" s="175"/>
      <c r="EP22" s="175"/>
      <c r="EQ22" s="175">
        <v>2300</v>
      </c>
      <c r="ER22" s="175"/>
      <c r="ES22" s="175"/>
      <c r="ET22" s="175"/>
      <c r="EU22" s="175"/>
      <c r="EV22" s="175"/>
      <c r="EW22" s="175">
        <v>1900</v>
      </c>
      <c r="EX22" s="175"/>
      <c r="EY22" s="175"/>
      <c r="EZ22" s="175"/>
      <c r="FA22" s="175">
        <v>2300</v>
      </c>
      <c r="FB22" s="175"/>
      <c r="FC22" s="175"/>
      <c r="FD22" s="175">
        <v>1900</v>
      </c>
      <c r="FE22" s="175"/>
      <c r="FF22" s="175"/>
      <c r="FG22" s="175"/>
      <c r="FH22" s="175">
        <v>2300</v>
      </c>
      <c r="FI22" s="175"/>
      <c r="FJ22" s="175"/>
      <c r="FK22" s="175"/>
      <c r="FL22" s="175"/>
      <c r="FM22" s="175">
        <v>1900</v>
      </c>
      <c r="FN22" s="175"/>
      <c r="FO22" s="220">
        <v>14500</v>
      </c>
      <c r="FP22" s="221">
        <v>15000</v>
      </c>
      <c r="FQ22" s="221">
        <v>500</v>
      </c>
      <c r="FS22" s="174"/>
      <c r="FT22" s="175"/>
      <c r="FU22" s="175"/>
      <c r="FV22" s="175"/>
      <c r="FW22" s="175">
        <v>2300</v>
      </c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220">
        <v>2300</v>
      </c>
      <c r="GY22" s="221">
        <v>15000</v>
      </c>
      <c r="GZ22" s="221">
        <v>12700</v>
      </c>
      <c r="HA22" s="174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290"/>
      <c r="IG22" s="397">
        <f>IFERROR(IF22/IH22,"")</f>
        <v>0</v>
      </c>
      <c r="IH22" s="291">
        <v>15000</v>
      </c>
      <c r="II22" s="291">
        <v>15000</v>
      </c>
    </row>
    <row r="23" spans="2:243" ht="15.75" x14ac:dyDescent="0.25">
      <c r="B23" s="60">
        <v>7</v>
      </c>
      <c r="C23" s="61" t="s">
        <v>2955</v>
      </c>
      <c r="D23" s="61">
        <v>9</v>
      </c>
      <c r="E23" s="61" t="s">
        <v>2956</v>
      </c>
      <c r="F23" s="62" t="s">
        <v>2903</v>
      </c>
      <c r="G23" s="94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N23" s="96"/>
      <c r="AO23" s="77"/>
      <c r="AP23" s="77" t="s">
        <v>2957</v>
      </c>
      <c r="AQ23" s="61" t="s">
        <v>3063</v>
      </c>
      <c r="AR23" s="97" t="s">
        <v>3073</v>
      </c>
      <c r="AS23" s="97"/>
      <c r="AT23" s="97"/>
      <c r="AU23" s="74" t="s">
        <v>2926</v>
      </c>
      <c r="AV23" s="74"/>
      <c r="AW23" s="74"/>
      <c r="AX23" s="74"/>
      <c r="AY23" s="61" t="s">
        <v>3116</v>
      </c>
      <c r="AZ23" s="77" t="s">
        <v>3117</v>
      </c>
      <c r="BA23" s="77"/>
      <c r="BB23" s="115" t="s">
        <v>2918</v>
      </c>
      <c r="BC23" s="115"/>
      <c r="BD23" s="115"/>
      <c r="BE23" s="133" t="s">
        <v>2926</v>
      </c>
      <c r="BF23" s="133"/>
      <c r="BG23" s="133"/>
      <c r="BH23" s="61" t="s">
        <v>3151</v>
      </c>
      <c r="BI23" s="74" t="s">
        <v>2921</v>
      </c>
      <c r="BJ23" s="74"/>
      <c r="BK23" s="74"/>
      <c r="BL23" s="74"/>
      <c r="BM23" s="74"/>
      <c r="BN23" s="61" t="s">
        <v>3118</v>
      </c>
      <c r="BO23" s="120"/>
      <c r="BP23" s="147" t="s">
        <v>3193</v>
      </c>
      <c r="BQ23" s="147"/>
      <c r="BR23" s="75"/>
      <c r="BU23" s="177"/>
      <c r="BV23" s="120"/>
      <c r="BW23" s="120"/>
      <c r="BX23" s="120"/>
      <c r="BY23" s="122" t="s">
        <v>3237</v>
      </c>
      <c r="BZ23" s="122"/>
      <c r="CA23" s="120" t="s">
        <v>3320</v>
      </c>
      <c r="CB23" s="133" t="s">
        <v>3234</v>
      </c>
      <c r="CC23" s="133"/>
      <c r="CD23" s="133"/>
      <c r="CE23" s="133"/>
      <c r="CF23" s="133"/>
      <c r="CG23" s="133"/>
      <c r="CH23" s="123" t="s">
        <v>2945</v>
      </c>
      <c r="CI23" s="123"/>
      <c r="CJ23" s="123"/>
      <c r="CK23" s="139" t="s">
        <v>2923</v>
      </c>
      <c r="CL23" s="139"/>
      <c r="CM23" s="139"/>
      <c r="CN23" s="139"/>
      <c r="CO23" s="139"/>
      <c r="CP23" s="129" t="s">
        <v>3331</v>
      </c>
      <c r="CQ23" s="97" t="s">
        <v>2945</v>
      </c>
      <c r="CR23" s="97"/>
      <c r="CS23" s="97"/>
      <c r="CT23" s="97"/>
      <c r="CU23" s="193" t="s">
        <v>3332</v>
      </c>
      <c r="CV23" s="193"/>
      <c r="CW23" s="193"/>
      <c r="CX23" s="193"/>
      <c r="CY23" s="172" t="s">
        <v>3333</v>
      </c>
      <c r="CZ23" s="75"/>
      <c r="DC23" s="177"/>
      <c r="DD23" s="120"/>
      <c r="DE23" s="204" t="s">
        <v>2948</v>
      </c>
      <c r="DF23" s="204"/>
      <c r="DG23" s="204"/>
      <c r="DH23" s="204"/>
      <c r="DI23" s="97" t="s">
        <v>3328</v>
      </c>
      <c r="DJ23" s="97"/>
      <c r="DK23" s="97"/>
      <c r="DL23" s="97"/>
      <c r="DM23" s="120" t="s">
        <v>3329</v>
      </c>
      <c r="DN23" s="205" t="s">
        <v>2926</v>
      </c>
      <c r="DO23" s="205"/>
      <c r="DP23" s="205"/>
      <c r="DQ23" s="120" t="s">
        <v>3151</v>
      </c>
      <c r="DR23" s="132" t="s">
        <v>2918</v>
      </c>
      <c r="DS23" s="132"/>
      <c r="DT23" s="132"/>
      <c r="DU23" s="73" t="s">
        <v>2911</v>
      </c>
      <c r="DV23" s="73"/>
      <c r="DW23" s="73"/>
      <c r="DX23" s="73"/>
      <c r="DY23" s="212" t="s">
        <v>3409</v>
      </c>
      <c r="DZ23" s="77" t="s">
        <v>2918</v>
      </c>
      <c r="EA23" s="77"/>
      <c r="EB23" s="77"/>
      <c r="EC23" s="128" t="s">
        <v>2948</v>
      </c>
      <c r="ED23" s="128"/>
      <c r="EE23" s="128"/>
      <c r="EF23" s="128"/>
      <c r="EG23" s="222"/>
      <c r="EH23" s="221"/>
      <c r="EI23" s="221"/>
      <c r="EJ23" s="177"/>
      <c r="EK23" s="120"/>
      <c r="EL23" s="120"/>
      <c r="EM23" s="231" t="s">
        <v>3449</v>
      </c>
      <c r="EN23" s="115"/>
      <c r="EO23" s="115"/>
      <c r="EP23" s="115"/>
      <c r="EQ23" s="219"/>
      <c r="ER23" s="115"/>
      <c r="ES23" s="74" t="s">
        <v>2911</v>
      </c>
      <c r="ET23" s="74"/>
      <c r="EU23" s="74"/>
      <c r="EV23" s="136" t="s">
        <v>3410</v>
      </c>
      <c r="EW23" s="136"/>
      <c r="EX23" s="136"/>
      <c r="EY23" s="136"/>
      <c r="EZ23" s="128" t="s">
        <v>2945</v>
      </c>
      <c r="FA23" s="128"/>
      <c r="FB23" s="128"/>
      <c r="FC23" s="128"/>
      <c r="FD23" s="130" t="s">
        <v>3518</v>
      </c>
      <c r="FE23" s="130"/>
      <c r="FF23" s="130"/>
      <c r="FG23" s="120" t="s">
        <v>3541</v>
      </c>
      <c r="FH23" s="120"/>
      <c r="FI23" s="120"/>
      <c r="FJ23" s="128" t="s">
        <v>2911</v>
      </c>
      <c r="FK23" s="128"/>
      <c r="FL23" s="128"/>
      <c r="FM23" s="120" t="s">
        <v>3353</v>
      </c>
      <c r="FN23" s="216" t="s">
        <v>2918</v>
      </c>
      <c r="FO23" s="222"/>
      <c r="FP23" s="221"/>
      <c r="FQ23" s="221"/>
      <c r="FS23" s="177"/>
      <c r="FT23" s="120"/>
      <c r="FU23" s="120"/>
      <c r="FV23" s="120"/>
      <c r="FW23" s="120"/>
      <c r="FX23" s="122" t="s">
        <v>3585</v>
      </c>
      <c r="FY23" s="122"/>
      <c r="FZ23" s="122"/>
      <c r="GA23" s="122"/>
      <c r="GB23" s="120" t="s">
        <v>3596</v>
      </c>
      <c r="GC23" s="120"/>
      <c r="GD23" s="182" t="s">
        <v>2918</v>
      </c>
      <c r="GE23" s="182"/>
      <c r="GF23" s="182"/>
      <c r="GG23" s="182"/>
      <c r="GH23" s="182"/>
      <c r="GI23" s="133" t="s">
        <v>2911</v>
      </c>
      <c r="GJ23" s="133"/>
      <c r="GK23" s="133"/>
      <c r="GL23" s="133"/>
      <c r="GM23" s="133"/>
      <c r="GN23" s="133"/>
      <c r="GO23" s="120" t="s">
        <v>3353</v>
      </c>
      <c r="GP23" s="120"/>
      <c r="GQ23" s="212" t="s">
        <v>2918</v>
      </c>
      <c r="GR23" s="212"/>
      <c r="GS23" s="212"/>
      <c r="GT23" s="212"/>
      <c r="GU23" s="212"/>
      <c r="GV23" s="212"/>
      <c r="GW23" s="204" t="s">
        <v>2948</v>
      </c>
      <c r="GX23" s="222"/>
      <c r="GY23" s="221"/>
      <c r="GZ23" s="221"/>
      <c r="HA23" s="177"/>
      <c r="HB23" s="120"/>
      <c r="HC23" s="120" t="s">
        <v>2949</v>
      </c>
      <c r="HD23" s="120"/>
      <c r="HE23" s="136" t="s">
        <v>2918</v>
      </c>
      <c r="HF23" s="136"/>
      <c r="HG23" s="136"/>
      <c r="HH23" s="120"/>
      <c r="HI23" s="120"/>
      <c r="HJ23" s="120"/>
      <c r="HK23" s="120"/>
      <c r="HL23" s="120"/>
      <c r="HM23" s="120"/>
      <c r="HN23" s="120"/>
      <c r="HO23" s="120"/>
      <c r="HP23" s="120"/>
      <c r="HQ23" s="120"/>
      <c r="HR23" s="120"/>
      <c r="HS23" s="120"/>
      <c r="HT23" s="120"/>
      <c r="HU23" s="120"/>
      <c r="HV23" s="120"/>
      <c r="HW23" s="120"/>
      <c r="HX23" s="120"/>
      <c r="HY23" s="120"/>
      <c r="HZ23" s="120"/>
      <c r="IA23" s="120"/>
      <c r="IB23" s="120"/>
      <c r="IC23" s="120"/>
      <c r="ID23" s="120"/>
      <c r="IE23" s="120"/>
      <c r="IF23" s="292"/>
      <c r="IG23" s="397"/>
      <c r="IH23" s="291"/>
      <c r="II23" s="291"/>
    </row>
    <row r="24" spans="2:243" ht="15.75" x14ac:dyDescent="0.25">
      <c r="B24" s="78"/>
      <c r="C24" s="79"/>
      <c r="D24" s="79"/>
      <c r="E24" s="79"/>
      <c r="F24" s="80" t="s">
        <v>2914</v>
      </c>
      <c r="G24" s="84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N24" s="84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83"/>
      <c r="BU24" s="81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173"/>
      <c r="CZ24" s="83"/>
      <c r="DC24" s="81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215"/>
      <c r="DO24" s="215"/>
      <c r="DP24" s="215"/>
      <c r="DQ24" s="82"/>
      <c r="DR24" s="82"/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223"/>
      <c r="EH24" s="221"/>
      <c r="EI24" s="221"/>
      <c r="EJ24" s="81"/>
      <c r="EK24" s="82"/>
      <c r="EL24" s="82"/>
      <c r="EM24" s="82"/>
      <c r="EN24" s="82"/>
      <c r="EO24" s="82"/>
      <c r="EP24" s="82"/>
      <c r="EQ24" s="82"/>
      <c r="ER24" s="82"/>
      <c r="ES24" s="82"/>
      <c r="ET24" s="82"/>
      <c r="EU24" s="82"/>
      <c r="EV24" s="82"/>
      <c r="EW24" s="82"/>
      <c r="EX24" s="82"/>
      <c r="EY24" s="82"/>
      <c r="EZ24" s="82"/>
      <c r="FA24" s="82"/>
      <c r="FB24" s="82"/>
      <c r="FC24" s="82"/>
      <c r="FD24" s="82"/>
      <c r="FE24" s="82"/>
      <c r="FF24" s="82"/>
      <c r="FG24" s="82"/>
      <c r="FH24" s="82"/>
      <c r="FI24" s="82"/>
      <c r="FJ24" s="82"/>
      <c r="FK24" s="82"/>
      <c r="FL24" s="82"/>
      <c r="FM24" s="82"/>
      <c r="FN24" s="82"/>
      <c r="FO24" s="223"/>
      <c r="FP24" s="221"/>
      <c r="FQ24" s="221"/>
      <c r="FS24" s="81"/>
      <c r="FT24" s="82"/>
      <c r="FU24" s="82"/>
      <c r="FV24" s="82"/>
      <c r="FW24" s="82"/>
      <c r="FX24" s="82"/>
      <c r="FY24" s="82"/>
      <c r="FZ24" s="82"/>
      <c r="GA24" s="82"/>
      <c r="GB24" s="82"/>
      <c r="GC24" s="82"/>
      <c r="GD24" s="82"/>
      <c r="GE24" s="82"/>
      <c r="GF24" s="82"/>
      <c r="GG24" s="82"/>
      <c r="GH24" s="82"/>
      <c r="GI24" s="82"/>
      <c r="GJ24" s="82"/>
      <c r="GK24" s="82"/>
      <c r="GL24" s="82"/>
      <c r="GM24" s="82"/>
      <c r="GN24" s="82"/>
      <c r="GO24" s="82"/>
      <c r="GP24" s="82"/>
      <c r="GQ24" s="82"/>
      <c r="GR24" s="82"/>
      <c r="GS24" s="82"/>
      <c r="GT24" s="82"/>
      <c r="GU24" s="82"/>
      <c r="GV24" s="82"/>
      <c r="GW24" s="82"/>
      <c r="GX24" s="223"/>
      <c r="GY24" s="221"/>
      <c r="GZ24" s="221"/>
      <c r="HA24" s="81"/>
      <c r="HB24" s="82"/>
      <c r="HC24" s="82"/>
      <c r="HD24" s="82"/>
      <c r="HE24" s="82"/>
      <c r="HF24" s="82"/>
      <c r="HG24" s="82"/>
      <c r="HH24" s="82"/>
      <c r="HI24" s="82"/>
      <c r="HJ24" s="82"/>
      <c r="HK24" s="82"/>
      <c r="HL24" s="82"/>
      <c r="HM24" s="82"/>
      <c r="HN24" s="82"/>
      <c r="HO24" s="82"/>
      <c r="HP24" s="82"/>
      <c r="HQ24" s="82"/>
      <c r="HR24" s="82"/>
      <c r="HS24" s="82"/>
      <c r="HT24" s="82"/>
      <c r="HU24" s="82"/>
      <c r="HV24" s="82"/>
      <c r="HW24" s="82"/>
      <c r="HX24" s="82"/>
      <c r="HY24" s="82"/>
      <c r="HZ24" s="82"/>
      <c r="IA24" s="82"/>
      <c r="IB24" s="82"/>
      <c r="IC24" s="82"/>
      <c r="ID24" s="82"/>
      <c r="IE24" s="82"/>
      <c r="IF24" s="293"/>
      <c r="IG24" s="397"/>
      <c r="IH24" s="291"/>
      <c r="II24" s="291"/>
    </row>
    <row r="25" spans="2:243" ht="16.5" thickBot="1" x14ac:dyDescent="0.3">
      <c r="B25" s="85"/>
      <c r="C25" s="86">
        <v>1695</v>
      </c>
      <c r="D25" s="86"/>
      <c r="E25" s="86"/>
      <c r="F25" s="87" t="s">
        <v>2915</v>
      </c>
      <c r="G25" s="88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M25" t="e">
        <f>#REF!-AL25</f>
        <v>#REF!</v>
      </c>
      <c r="AN25" s="88"/>
      <c r="AO25" s="86"/>
      <c r="AP25" s="86">
        <v>300</v>
      </c>
      <c r="AQ25" s="86"/>
      <c r="AR25" s="86">
        <v>350</v>
      </c>
      <c r="AS25" s="86"/>
      <c r="AT25" s="86"/>
      <c r="AU25" s="86">
        <v>1900</v>
      </c>
      <c r="AV25" s="86"/>
      <c r="AW25" s="86"/>
      <c r="AX25" s="86"/>
      <c r="AY25" s="86"/>
      <c r="AZ25" s="86">
        <v>600</v>
      </c>
      <c r="BA25" s="86"/>
      <c r="BB25" s="86">
        <v>2300</v>
      </c>
      <c r="BC25" s="86"/>
      <c r="BD25" s="86"/>
      <c r="BE25" s="86">
        <v>1900</v>
      </c>
      <c r="BF25" s="86"/>
      <c r="BG25" s="86"/>
      <c r="BH25" s="86"/>
      <c r="BI25" s="86">
        <v>2300</v>
      </c>
      <c r="BJ25" s="86"/>
      <c r="BK25" s="86"/>
      <c r="BL25" s="86"/>
      <c r="BM25" s="86"/>
      <c r="BN25" s="86"/>
      <c r="BO25" s="86"/>
      <c r="BP25" s="86">
        <v>1900</v>
      </c>
      <c r="BQ25" s="86"/>
      <c r="BR25" s="89">
        <f>SUM(AN25:BQ25)</f>
        <v>11550</v>
      </c>
      <c r="BS25" s="90">
        <v>15000</v>
      </c>
      <c r="BT25" s="91">
        <f>BR25-BS25</f>
        <v>-3450</v>
      </c>
      <c r="BU25" s="174"/>
      <c r="BV25" s="175"/>
      <c r="BW25" s="175"/>
      <c r="BX25" s="175"/>
      <c r="BY25" s="175">
        <v>550</v>
      </c>
      <c r="BZ25" s="175"/>
      <c r="CA25" s="175"/>
      <c r="CB25" s="175">
        <v>2300</v>
      </c>
      <c r="CC25" s="175"/>
      <c r="CD25" s="175"/>
      <c r="CE25" s="175"/>
      <c r="CF25" s="175"/>
      <c r="CG25" s="175"/>
      <c r="CH25" s="175">
        <v>1900</v>
      </c>
      <c r="CI25" s="175"/>
      <c r="CJ25" s="175"/>
      <c r="CK25" s="175">
        <v>2100</v>
      </c>
      <c r="CL25" s="175"/>
      <c r="CM25" s="175"/>
      <c r="CN25" s="175"/>
      <c r="CO25" s="175"/>
      <c r="CP25" s="175">
        <v>350</v>
      </c>
      <c r="CQ25" s="175">
        <v>1900</v>
      </c>
      <c r="CR25" s="175"/>
      <c r="CS25" s="175"/>
      <c r="CT25" s="175"/>
      <c r="CU25" s="175">
        <v>1500</v>
      </c>
      <c r="CV25" s="175"/>
      <c r="CW25" s="175"/>
      <c r="CX25" s="175"/>
      <c r="CY25" s="176"/>
      <c r="CZ25" s="89">
        <v>10600</v>
      </c>
      <c r="DA25" s="90">
        <v>15000</v>
      </c>
      <c r="DB25" s="91">
        <f>CZ25-DA25</f>
        <v>-4400</v>
      </c>
      <c r="DC25" s="174"/>
      <c r="DD25" s="175"/>
      <c r="DE25" s="175">
        <v>1900</v>
      </c>
      <c r="DF25" s="175"/>
      <c r="DG25" s="175"/>
      <c r="DH25" s="175"/>
      <c r="DI25" s="175">
        <v>2200</v>
      </c>
      <c r="DJ25" s="175"/>
      <c r="DK25" s="175"/>
      <c r="DL25" s="175"/>
      <c r="DM25" s="175"/>
      <c r="DN25" s="175">
        <v>1900</v>
      </c>
      <c r="DO25" s="175"/>
      <c r="DP25" s="175"/>
      <c r="DQ25" s="175"/>
      <c r="DR25" s="175">
        <v>2300</v>
      </c>
      <c r="DS25" s="175"/>
      <c r="DT25" s="175"/>
      <c r="DU25" s="175">
        <v>1900</v>
      </c>
      <c r="DV25" s="175"/>
      <c r="DW25" s="175"/>
      <c r="DX25" s="175"/>
      <c r="DY25" s="175">
        <v>300</v>
      </c>
      <c r="DZ25" s="175">
        <v>2300</v>
      </c>
      <c r="EA25" s="175"/>
      <c r="EB25" s="175"/>
      <c r="EC25" s="175">
        <v>1900</v>
      </c>
      <c r="ED25" s="175"/>
      <c r="EE25" s="175"/>
      <c r="EF25" s="175"/>
      <c r="EG25" s="220">
        <v>14700</v>
      </c>
      <c r="EH25" s="221">
        <v>15000</v>
      </c>
      <c r="EI25" s="221">
        <f>EG25-EH25</f>
        <v>-300</v>
      </c>
      <c r="EJ25" s="174"/>
      <c r="EK25" s="175"/>
      <c r="EL25" s="175"/>
      <c r="EM25" s="175">
        <v>2150</v>
      </c>
      <c r="EN25" s="175"/>
      <c r="EO25" s="175"/>
      <c r="EP25" s="175"/>
      <c r="EQ25" s="175"/>
      <c r="ER25" s="175"/>
      <c r="ES25" s="175">
        <v>1900</v>
      </c>
      <c r="ET25" s="175"/>
      <c r="EU25" s="175"/>
      <c r="EV25" s="175">
        <v>2000</v>
      </c>
      <c r="EW25" s="175"/>
      <c r="EX25" s="175"/>
      <c r="EY25" s="175"/>
      <c r="EZ25" s="175">
        <v>1900</v>
      </c>
      <c r="FA25" s="175"/>
      <c r="FB25" s="175"/>
      <c r="FC25" s="175"/>
      <c r="FD25" s="175">
        <v>1700</v>
      </c>
      <c r="FE25" s="175"/>
      <c r="FF25" s="175"/>
      <c r="FG25" s="175"/>
      <c r="FH25" s="175"/>
      <c r="FI25" s="175"/>
      <c r="FJ25" s="175">
        <v>1900</v>
      </c>
      <c r="FK25" s="175"/>
      <c r="FL25" s="175"/>
      <c r="FM25" s="175"/>
      <c r="FN25" s="175">
        <v>2300</v>
      </c>
      <c r="FO25" s="220">
        <v>13850</v>
      </c>
      <c r="FP25" s="221">
        <v>15000</v>
      </c>
      <c r="FQ25" s="221">
        <v>1150</v>
      </c>
      <c r="FS25" s="174"/>
      <c r="FT25" s="175"/>
      <c r="FU25" s="175"/>
      <c r="FV25" s="175"/>
      <c r="FW25" s="175"/>
      <c r="FX25" s="175">
        <v>2000</v>
      </c>
      <c r="FY25" s="175"/>
      <c r="FZ25" s="175"/>
      <c r="GA25" s="175"/>
      <c r="GB25" s="175"/>
      <c r="GC25" s="175"/>
      <c r="GD25" s="175">
        <v>2300</v>
      </c>
      <c r="GE25" s="175"/>
      <c r="GF25" s="175"/>
      <c r="GG25" s="175"/>
      <c r="GH25" s="175"/>
      <c r="GI25" s="175">
        <v>1900</v>
      </c>
      <c r="GJ25" s="175"/>
      <c r="GK25" s="175"/>
      <c r="GL25" s="175"/>
      <c r="GM25" s="175"/>
      <c r="GN25" s="175"/>
      <c r="GO25" s="175"/>
      <c r="GP25" s="175"/>
      <c r="GQ25" s="175">
        <v>2300</v>
      </c>
      <c r="GR25" s="175"/>
      <c r="GS25" s="175"/>
      <c r="GT25" s="175"/>
      <c r="GU25" s="175"/>
      <c r="GV25" s="175"/>
      <c r="GW25" s="175">
        <v>1900</v>
      </c>
      <c r="GX25" s="220">
        <v>10400</v>
      </c>
      <c r="GY25" s="221">
        <v>15000</v>
      </c>
      <c r="GZ25" s="221">
        <v>4600</v>
      </c>
      <c r="HA25" s="174"/>
      <c r="HB25" s="175"/>
      <c r="HC25" s="175"/>
      <c r="HD25" s="175"/>
      <c r="HE25" s="175">
        <v>2300</v>
      </c>
      <c r="HF25" s="175"/>
      <c r="HG25" s="175"/>
      <c r="HH25" s="175"/>
      <c r="HI25" s="175"/>
      <c r="HJ25" s="175"/>
      <c r="HK25" s="175"/>
      <c r="HL25" s="175"/>
      <c r="HM25" s="175"/>
      <c r="HN25" s="175"/>
      <c r="HO25" s="175"/>
      <c r="HP25" s="175"/>
      <c r="HQ25" s="175"/>
      <c r="HR25" s="175"/>
      <c r="HS25" s="175"/>
      <c r="HT25" s="175"/>
      <c r="HU25" s="175"/>
      <c r="HV25" s="175"/>
      <c r="HW25" s="175"/>
      <c r="HX25" s="175"/>
      <c r="HY25" s="175"/>
      <c r="HZ25" s="175"/>
      <c r="IA25" s="175"/>
      <c r="IB25" s="175"/>
      <c r="IC25" s="175"/>
      <c r="ID25" s="175"/>
      <c r="IE25" s="175"/>
      <c r="IF25" s="290">
        <f>SUM(HA25:IE25)</f>
        <v>2300</v>
      </c>
      <c r="IG25" s="397">
        <f>IFERROR(IF25/IH25,"")</f>
        <v>0.153333333333333</v>
      </c>
      <c r="IH25" s="291">
        <v>15000</v>
      </c>
      <c r="II25" s="291">
        <v>12700</v>
      </c>
    </row>
    <row r="26" spans="2:243" ht="15.75" x14ac:dyDescent="0.25">
      <c r="B26" s="60">
        <v>8</v>
      </c>
      <c r="C26" s="61" t="s">
        <v>2955</v>
      </c>
      <c r="D26" s="61">
        <v>9</v>
      </c>
      <c r="E26" s="61" t="s">
        <v>2960</v>
      </c>
      <c r="F26" s="62" t="s">
        <v>2903</v>
      </c>
      <c r="G26" s="94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N26" s="92"/>
      <c r="AO26" s="74" t="s">
        <v>2959</v>
      </c>
      <c r="AP26" s="74"/>
      <c r="AQ26" s="74"/>
      <c r="AR26" s="74"/>
      <c r="AS26" s="74"/>
      <c r="AT26" s="61" t="s">
        <v>3098</v>
      </c>
      <c r="AU26" s="77" t="s">
        <v>3099</v>
      </c>
      <c r="AV26" s="64" t="s">
        <v>2918</v>
      </c>
      <c r="AW26" s="64"/>
      <c r="AX26" s="64"/>
      <c r="AY26" s="61" t="s">
        <v>3118</v>
      </c>
      <c r="AZ26" s="73" t="s">
        <v>3105</v>
      </c>
      <c r="BA26" s="73"/>
      <c r="BB26" s="73"/>
      <c r="BC26" s="73"/>
      <c r="BD26" s="129" t="s">
        <v>3123</v>
      </c>
      <c r="BE26" s="129"/>
      <c r="BF26" s="129"/>
      <c r="BG26" s="129"/>
      <c r="BH26" s="129"/>
      <c r="BI26" s="61" t="s">
        <v>3153</v>
      </c>
      <c r="BJ26" s="97" t="s">
        <v>3160</v>
      </c>
      <c r="BK26" s="97"/>
      <c r="BL26" s="97"/>
      <c r="BM26" s="97"/>
      <c r="BN26" s="97"/>
      <c r="BO26" s="133" t="s">
        <v>3183</v>
      </c>
      <c r="BP26" s="133"/>
      <c r="BQ26" s="133"/>
      <c r="BR26" s="75"/>
      <c r="BU26" s="177"/>
      <c r="BV26" s="120"/>
      <c r="BW26" s="120"/>
      <c r="BX26" s="120"/>
      <c r="BY26" s="74" t="s">
        <v>3334</v>
      </c>
      <c r="BZ26" s="74"/>
      <c r="CA26" s="120" t="s">
        <v>3335</v>
      </c>
      <c r="CB26" s="97" t="s">
        <v>3336</v>
      </c>
      <c r="CC26" s="97"/>
      <c r="CD26" s="97"/>
      <c r="CE26" s="97"/>
      <c r="CF26" s="97"/>
      <c r="CG26" s="97"/>
      <c r="CH26" s="120" t="s">
        <v>3337</v>
      </c>
      <c r="CI26" s="132" t="s">
        <v>3234</v>
      </c>
      <c r="CJ26" s="132"/>
      <c r="CK26" s="132"/>
      <c r="CL26" s="132"/>
      <c r="CM26" s="132"/>
      <c r="CN26" s="128" t="s">
        <v>2948</v>
      </c>
      <c r="CO26" s="128"/>
      <c r="CP26" s="128"/>
      <c r="CQ26" s="124" t="s">
        <v>3234</v>
      </c>
      <c r="CR26" s="124"/>
      <c r="CS26" s="124"/>
      <c r="CT26" s="124"/>
      <c r="CU26" s="122" t="s">
        <v>2948</v>
      </c>
      <c r="CV26" s="122"/>
      <c r="CW26" s="122"/>
      <c r="CX26" s="122"/>
      <c r="CY26" s="194"/>
      <c r="CZ26" s="75"/>
      <c r="DC26" s="177"/>
      <c r="DD26" s="120"/>
      <c r="DE26" s="124" t="s">
        <v>2923</v>
      </c>
      <c r="DF26" s="124"/>
      <c r="DG26" s="124"/>
      <c r="DH26" s="124"/>
      <c r="DI26" s="124"/>
      <c r="DJ26" s="120" t="s">
        <v>3331</v>
      </c>
      <c r="DK26" s="212" t="s">
        <v>2911</v>
      </c>
      <c r="DL26" s="212"/>
      <c r="DM26" s="212"/>
      <c r="DN26" s="212"/>
      <c r="DO26" s="212"/>
      <c r="DP26" s="212"/>
      <c r="DQ26" s="212"/>
      <c r="DR26" s="74" t="s">
        <v>3371</v>
      </c>
      <c r="DS26" s="74"/>
      <c r="DT26" s="74"/>
      <c r="DU26" s="120" t="s">
        <v>2932</v>
      </c>
      <c r="DV26" s="128" t="s">
        <v>2948</v>
      </c>
      <c r="DW26" s="128"/>
      <c r="DX26" s="128"/>
      <c r="DY26" s="128"/>
      <c r="DZ26" s="128"/>
      <c r="EA26" s="97" t="s">
        <v>3410</v>
      </c>
      <c r="EB26" s="97"/>
      <c r="EC26" s="97"/>
      <c r="ED26" s="97"/>
      <c r="EE26" s="120"/>
      <c r="EF26" s="120"/>
      <c r="EG26" s="222"/>
      <c r="EH26" s="221"/>
      <c r="EI26" s="221"/>
      <c r="EJ26" s="177"/>
      <c r="EK26" s="120"/>
      <c r="EL26" s="216" t="s">
        <v>3460</v>
      </c>
      <c r="EM26" s="216"/>
      <c r="EN26" s="216"/>
      <c r="EO26" s="216"/>
      <c r="EP26" s="120" t="s">
        <v>3470</v>
      </c>
      <c r="EQ26" s="120"/>
      <c r="ER26" s="64" t="s">
        <v>2921</v>
      </c>
      <c r="ES26" s="64"/>
      <c r="ET26" s="64"/>
      <c r="EU26" s="64"/>
      <c r="EV26" s="64"/>
      <c r="EW26" s="97" t="s">
        <v>3483</v>
      </c>
      <c r="EX26" s="97"/>
      <c r="EY26" s="97"/>
      <c r="EZ26" s="97"/>
      <c r="FA26" s="139" t="s">
        <v>3519</v>
      </c>
      <c r="FB26" s="139"/>
      <c r="FC26" s="139"/>
      <c r="FD26" s="120" t="s">
        <v>3520</v>
      </c>
      <c r="FE26" s="120"/>
      <c r="FF26" s="73" t="s">
        <v>2911</v>
      </c>
      <c r="FG26" s="73"/>
      <c r="FH26" s="120" t="s">
        <v>2949</v>
      </c>
      <c r="FI26" s="120"/>
      <c r="FJ26" s="97" t="s">
        <v>2918</v>
      </c>
      <c r="FK26" s="97"/>
      <c r="FL26" s="97"/>
      <c r="FM26" s="64" t="s">
        <v>2911</v>
      </c>
      <c r="FN26" s="64"/>
      <c r="FO26" s="222"/>
      <c r="FP26" s="221"/>
      <c r="FQ26" s="221"/>
      <c r="FS26" s="177"/>
      <c r="FT26" s="120"/>
      <c r="FU26" s="120"/>
      <c r="FV26" s="97" t="s">
        <v>3587</v>
      </c>
      <c r="FW26" s="97"/>
      <c r="FX26" s="97"/>
      <c r="FY26" s="120" t="s">
        <v>3591</v>
      </c>
      <c r="FZ26" s="74" t="s">
        <v>2926</v>
      </c>
      <c r="GA26" s="74"/>
      <c r="GB26" s="74"/>
      <c r="GC26" s="120" t="s">
        <v>3151</v>
      </c>
      <c r="GD26" s="120"/>
      <c r="GE26" s="97" t="s">
        <v>3474</v>
      </c>
      <c r="GF26" s="97"/>
      <c r="GG26" s="97"/>
      <c r="GH26" s="97"/>
      <c r="GI26" s="136" t="s">
        <v>2926</v>
      </c>
      <c r="GJ26" s="136"/>
      <c r="GK26" s="136"/>
      <c r="GL26" s="136"/>
      <c r="GM26" s="128" t="s">
        <v>3405</v>
      </c>
      <c r="GN26" s="128"/>
      <c r="GO26" s="128"/>
      <c r="GP26" s="128"/>
      <c r="GQ26" s="120" t="s">
        <v>2925</v>
      </c>
      <c r="GR26" s="124" t="s">
        <v>2926</v>
      </c>
      <c r="GS26" s="124"/>
      <c r="GT26" s="124"/>
      <c r="GU26" s="124"/>
      <c r="GV26" s="124"/>
      <c r="GW26" s="120" t="s">
        <v>3151</v>
      </c>
      <c r="GX26" s="222"/>
      <c r="GY26" s="221"/>
      <c r="GZ26" s="221"/>
      <c r="HA26" s="177"/>
      <c r="HB26" s="74" t="s">
        <v>2918</v>
      </c>
      <c r="HC26" s="74"/>
      <c r="HD26" s="74"/>
      <c r="HE26" s="131" t="s">
        <v>2911</v>
      </c>
      <c r="HF26" s="131"/>
      <c r="HG26" s="131"/>
      <c r="HH26" s="131"/>
      <c r="HI26" s="120"/>
      <c r="HJ26" s="120"/>
      <c r="HK26" s="120"/>
      <c r="HL26" s="120"/>
      <c r="HM26" s="120"/>
      <c r="HN26" s="120"/>
      <c r="HO26" s="120"/>
      <c r="HP26" s="120"/>
      <c r="HQ26" s="120"/>
      <c r="HR26" s="120"/>
      <c r="HS26" s="120"/>
      <c r="HT26" s="120"/>
      <c r="HU26" s="120"/>
      <c r="HV26" s="120"/>
      <c r="HW26" s="120"/>
      <c r="HX26" s="120"/>
      <c r="HY26" s="120"/>
      <c r="HZ26" s="120"/>
      <c r="IA26" s="120"/>
      <c r="IB26" s="120"/>
      <c r="IC26" s="120"/>
      <c r="ID26" s="120"/>
      <c r="IE26" s="120"/>
      <c r="IF26" s="292"/>
      <c r="IG26" s="397"/>
      <c r="IH26" s="291"/>
      <c r="II26" s="291"/>
    </row>
    <row r="27" spans="2:243" ht="15.75" x14ac:dyDescent="0.25">
      <c r="B27" s="78"/>
      <c r="C27" s="79"/>
      <c r="D27" s="79"/>
      <c r="E27" s="79"/>
      <c r="F27" s="80" t="s">
        <v>2914</v>
      </c>
      <c r="G27" s="84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N27" s="84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83"/>
      <c r="BU27" s="81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173"/>
      <c r="CZ27" s="83"/>
      <c r="DC27" s="81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223"/>
      <c r="EH27" s="221"/>
      <c r="EI27" s="221"/>
      <c r="EJ27" s="81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N27" s="82"/>
      <c r="FO27" s="223"/>
      <c r="FP27" s="221"/>
      <c r="FQ27" s="221"/>
      <c r="FS27" s="81"/>
      <c r="FT27" s="82"/>
      <c r="FU27" s="82"/>
      <c r="FV27" s="82"/>
      <c r="FW27" s="82"/>
      <c r="FX27" s="82"/>
      <c r="FY27" s="82"/>
      <c r="FZ27" s="82"/>
      <c r="GA27" s="82"/>
      <c r="GB27" s="82"/>
      <c r="GC27" s="82"/>
      <c r="GD27" s="82"/>
      <c r="GE27" s="82"/>
      <c r="GF27" s="82"/>
      <c r="GG27" s="82"/>
      <c r="GH27" s="82"/>
      <c r="GI27" s="82"/>
      <c r="GJ27" s="82"/>
      <c r="GK27" s="82"/>
      <c r="GL27" s="82"/>
      <c r="GM27" s="82"/>
      <c r="GN27" s="82"/>
      <c r="GO27" s="82"/>
      <c r="GP27" s="82"/>
      <c r="GQ27" s="82"/>
      <c r="GR27" s="82"/>
      <c r="GS27" s="82"/>
      <c r="GT27" s="82"/>
      <c r="GU27" s="82"/>
      <c r="GV27" s="82"/>
      <c r="GW27" s="82"/>
      <c r="GX27" s="223"/>
      <c r="GY27" s="221"/>
      <c r="GZ27" s="221"/>
      <c r="HA27" s="81"/>
      <c r="HB27" s="82"/>
      <c r="HC27" s="82"/>
      <c r="HD27" s="82"/>
      <c r="HE27" s="82"/>
      <c r="HF27" s="82"/>
      <c r="HG27" s="82"/>
      <c r="HH27" s="82"/>
      <c r="HI27" s="82"/>
      <c r="HJ27" s="82"/>
      <c r="HK27" s="82"/>
      <c r="HL27" s="82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2"/>
      <c r="IC27" s="82"/>
      <c r="ID27" s="82"/>
      <c r="IE27" s="82"/>
      <c r="IF27" s="293"/>
      <c r="IG27" s="397"/>
      <c r="IH27" s="291"/>
      <c r="II27" s="291"/>
    </row>
    <row r="28" spans="2:243" ht="16.5" thickBot="1" x14ac:dyDescent="0.3">
      <c r="B28" s="85"/>
      <c r="C28" s="86">
        <v>7230</v>
      </c>
      <c r="D28" s="86"/>
      <c r="E28" s="86"/>
      <c r="F28" s="87" t="s">
        <v>2915</v>
      </c>
      <c r="G28" s="88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M28" t="e">
        <f>#REF!-AL28</f>
        <v>#REF!</v>
      </c>
      <c r="AN28" s="88"/>
      <c r="AO28" s="86">
        <v>2150</v>
      </c>
      <c r="AP28" s="86"/>
      <c r="AQ28" s="86"/>
      <c r="AR28" s="86"/>
      <c r="AS28" s="86"/>
      <c r="AT28" s="86"/>
      <c r="AU28" s="86">
        <v>70</v>
      </c>
      <c r="AV28" s="86">
        <v>2300</v>
      </c>
      <c r="AW28" s="86"/>
      <c r="AX28" s="86"/>
      <c r="AY28" s="86"/>
      <c r="AZ28" s="86">
        <v>1600</v>
      </c>
      <c r="BA28" s="86"/>
      <c r="BB28" s="86"/>
      <c r="BC28" s="86"/>
      <c r="BD28" s="86">
        <v>2100</v>
      </c>
      <c r="BE28" s="86"/>
      <c r="BF28" s="86"/>
      <c r="BG28" s="86"/>
      <c r="BH28" s="86"/>
      <c r="BI28" s="86"/>
      <c r="BJ28" s="86">
        <v>1900</v>
      </c>
      <c r="BK28" s="86"/>
      <c r="BL28" s="86"/>
      <c r="BM28" s="86"/>
      <c r="BN28" s="86"/>
      <c r="BO28" s="86">
        <v>2900</v>
      </c>
      <c r="BP28" s="86"/>
      <c r="BQ28" s="86"/>
      <c r="BR28" s="89">
        <f>SUM(AN28:BQ28)</f>
        <v>13020</v>
      </c>
      <c r="BS28" s="90">
        <v>15000</v>
      </c>
      <c r="BT28" s="91">
        <f>BR28-BS28</f>
        <v>-1980</v>
      </c>
      <c r="BU28" s="174"/>
      <c r="BV28" s="175"/>
      <c r="BW28" s="175"/>
      <c r="BX28" s="175"/>
      <c r="BY28" s="175">
        <v>800</v>
      </c>
      <c r="BZ28" s="175"/>
      <c r="CA28" s="175"/>
      <c r="CB28" s="175">
        <v>1800</v>
      </c>
      <c r="CC28" s="175"/>
      <c r="CD28" s="175"/>
      <c r="CE28" s="175"/>
      <c r="CF28" s="175"/>
      <c r="CG28" s="175"/>
      <c r="CH28" s="175"/>
      <c r="CI28" s="175">
        <v>2300</v>
      </c>
      <c r="CJ28" s="175"/>
      <c r="CK28" s="175"/>
      <c r="CL28" s="175"/>
      <c r="CM28" s="175"/>
      <c r="CN28" s="175">
        <v>1900</v>
      </c>
      <c r="CO28" s="175"/>
      <c r="CP28" s="175"/>
      <c r="CQ28" s="175">
        <v>2300</v>
      </c>
      <c r="CR28" s="175"/>
      <c r="CS28" s="175"/>
      <c r="CT28" s="175"/>
      <c r="CU28" s="175">
        <v>1900</v>
      </c>
      <c r="CV28" s="175"/>
      <c r="CW28" s="175"/>
      <c r="CX28" s="175"/>
      <c r="CY28" s="176"/>
      <c r="CZ28" s="89">
        <v>11000</v>
      </c>
      <c r="DA28" s="90">
        <v>15000</v>
      </c>
      <c r="DB28" s="91">
        <f>CZ28-DA28</f>
        <v>-4000</v>
      </c>
      <c r="DC28" s="174"/>
      <c r="DD28" s="175"/>
      <c r="DE28" s="175">
        <v>2100</v>
      </c>
      <c r="DF28" s="175"/>
      <c r="DG28" s="175"/>
      <c r="DH28" s="175"/>
      <c r="DI28" s="175"/>
      <c r="DJ28" s="175"/>
      <c r="DK28" s="175">
        <v>1900</v>
      </c>
      <c r="DL28" s="175"/>
      <c r="DM28" s="175"/>
      <c r="DN28" s="175"/>
      <c r="DO28" s="175"/>
      <c r="DP28" s="175"/>
      <c r="DQ28" s="175"/>
      <c r="DR28" s="175">
        <v>1300</v>
      </c>
      <c r="DS28" s="175"/>
      <c r="DT28" s="175"/>
      <c r="DU28" s="175"/>
      <c r="DV28" s="175">
        <v>1900</v>
      </c>
      <c r="DW28" s="175"/>
      <c r="DX28" s="175"/>
      <c r="DY28" s="175"/>
      <c r="DZ28" s="175"/>
      <c r="EA28" s="175">
        <v>2100</v>
      </c>
      <c r="EB28" s="175"/>
      <c r="EC28" s="175"/>
      <c r="ED28" s="175"/>
      <c r="EE28" s="175"/>
      <c r="EF28" s="175"/>
      <c r="EG28" s="220">
        <v>9300</v>
      </c>
      <c r="EH28" s="221">
        <v>15000</v>
      </c>
      <c r="EI28" s="221">
        <f>EG28-EH28</f>
        <v>-5700</v>
      </c>
      <c r="EJ28" s="174"/>
      <c r="EK28" s="175"/>
      <c r="EL28" s="175">
        <v>2100</v>
      </c>
      <c r="EM28" s="175"/>
      <c r="EN28" s="175"/>
      <c r="EO28" s="175"/>
      <c r="EP28" s="175"/>
      <c r="EQ28" s="175"/>
      <c r="ER28" s="175">
        <v>2300</v>
      </c>
      <c r="ES28" s="175"/>
      <c r="ET28" s="175"/>
      <c r="EU28" s="175"/>
      <c r="EV28" s="175"/>
      <c r="EW28" s="175">
        <v>1300</v>
      </c>
      <c r="EX28" s="175"/>
      <c r="EY28" s="175"/>
      <c r="EZ28" s="175"/>
      <c r="FA28" s="175">
        <v>1500</v>
      </c>
      <c r="FB28" s="175"/>
      <c r="FC28" s="175"/>
      <c r="FD28" s="175"/>
      <c r="FE28" s="175"/>
      <c r="FF28" s="175">
        <v>1900</v>
      </c>
      <c r="FG28" s="175"/>
      <c r="FH28" s="175"/>
      <c r="FI28" s="175"/>
      <c r="FJ28" s="175">
        <v>2300</v>
      </c>
      <c r="FK28" s="175"/>
      <c r="FL28" s="175"/>
      <c r="FM28" s="175">
        <v>1900</v>
      </c>
      <c r="FN28" s="175"/>
      <c r="FO28" s="220">
        <v>13300</v>
      </c>
      <c r="FP28" s="221">
        <v>15000</v>
      </c>
      <c r="FQ28" s="221">
        <v>1700</v>
      </c>
      <c r="FS28" s="174"/>
      <c r="FT28" s="175"/>
      <c r="FU28" s="175"/>
      <c r="FV28" s="175">
        <v>1800</v>
      </c>
      <c r="FW28" s="175"/>
      <c r="FX28" s="175"/>
      <c r="FY28" s="175"/>
      <c r="FZ28" s="175">
        <v>1900</v>
      </c>
      <c r="GA28" s="175"/>
      <c r="GB28" s="175"/>
      <c r="GC28" s="175"/>
      <c r="GD28" s="175"/>
      <c r="GE28" s="175">
        <v>2300</v>
      </c>
      <c r="GF28" s="175"/>
      <c r="GG28" s="175"/>
      <c r="GH28" s="175"/>
      <c r="GI28" s="175">
        <v>1900</v>
      </c>
      <c r="GJ28" s="175"/>
      <c r="GK28" s="175"/>
      <c r="GL28" s="175"/>
      <c r="GM28" s="175">
        <v>2000</v>
      </c>
      <c r="GN28" s="175"/>
      <c r="GO28" s="175"/>
      <c r="GP28" s="175"/>
      <c r="GQ28" s="175"/>
      <c r="GR28" s="175">
        <v>1900</v>
      </c>
      <c r="GS28" s="175"/>
      <c r="GT28" s="175"/>
      <c r="GU28" s="175"/>
      <c r="GV28" s="175"/>
      <c r="GW28" s="175"/>
      <c r="GX28" s="220">
        <v>11800</v>
      </c>
      <c r="GY28" s="221">
        <v>15000</v>
      </c>
      <c r="GZ28" s="221">
        <v>3200</v>
      </c>
      <c r="HA28" s="174"/>
      <c r="HB28" s="175">
        <v>2300</v>
      </c>
      <c r="HC28" s="175"/>
      <c r="HD28" s="175"/>
      <c r="HE28" s="175">
        <v>1900</v>
      </c>
      <c r="HF28" s="175"/>
      <c r="HG28" s="175"/>
      <c r="HH28" s="175"/>
      <c r="HI28" s="175"/>
      <c r="HJ28" s="175"/>
      <c r="HK28" s="175"/>
      <c r="HL28" s="175"/>
      <c r="HM28" s="175"/>
      <c r="HN28" s="175"/>
      <c r="HO28" s="175"/>
      <c r="HP28" s="175"/>
      <c r="HQ28" s="175"/>
      <c r="HR28" s="175"/>
      <c r="HS28" s="175"/>
      <c r="HT28" s="175"/>
      <c r="HU28" s="175"/>
      <c r="HV28" s="175"/>
      <c r="HW28" s="175"/>
      <c r="HX28" s="175"/>
      <c r="HY28" s="175"/>
      <c r="HZ28" s="175"/>
      <c r="IA28" s="175"/>
      <c r="IB28" s="175"/>
      <c r="IC28" s="175"/>
      <c r="ID28" s="175"/>
      <c r="IE28" s="175"/>
      <c r="IF28" s="290">
        <f>SUM(HA28:IE28)</f>
        <v>4200</v>
      </c>
      <c r="IG28" s="397">
        <f>IFERROR(IF28/IH28,"")</f>
        <v>0.28</v>
      </c>
      <c r="IH28" s="291">
        <v>15000</v>
      </c>
      <c r="II28" s="291">
        <v>10800</v>
      </c>
    </row>
    <row r="29" spans="2:243" ht="15.75" x14ac:dyDescent="0.25">
      <c r="B29" s="60">
        <v>9</v>
      </c>
      <c r="C29" s="61" t="s">
        <v>2955</v>
      </c>
      <c r="D29" s="61">
        <v>9</v>
      </c>
      <c r="E29" s="61" t="s">
        <v>2958</v>
      </c>
      <c r="F29" s="62" t="s">
        <v>2903</v>
      </c>
      <c r="G29" s="94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N29" s="94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 t="s">
        <v>3118</v>
      </c>
      <c r="BB29" s="120"/>
      <c r="BC29" s="74" t="s">
        <v>3119</v>
      </c>
      <c r="BD29" s="74"/>
      <c r="BE29" s="74"/>
      <c r="BF29" s="74"/>
      <c r="BG29" s="139" t="s">
        <v>3145</v>
      </c>
      <c r="BH29" s="139"/>
      <c r="BI29" s="139"/>
      <c r="BJ29" s="139"/>
      <c r="BK29" s="139"/>
      <c r="BL29" s="124" t="s">
        <v>2918</v>
      </c>
      <c r="BM29" s="124"/>
      <c r="BN29" s="124"/>
      <c r="BO29" s="124"/>
      <c r="BP29" s="115" t="s">
        <v>2911</v>
      </c>
      <c r="BQ29" s="115"/>
      <c r="BR29" s="75"/>
      <c r="BU29" s="177"/>
      <c r="BV29" s="120"/>
      <c r="BW29" s="120"/>
      <c r="BX29" s="120" t="s">
        <v>3231</v>
      </c>
      <c r="BY29" s="124" t="s">
        <v>3238</v>
      </c>
      <c r="BZ29" s="124"/>
      <c r="CA29" s="124"/>
      <c r="CB29" s="124"/>
      <c r="CC29" s="124"/>
      <c r="CD29" s="124"/>
      <c r="CE29" s="127" t="s">
        <v>3321</v>
      </c>
      <c r="CF29" s="127"/>
      <c r="CG29" s="127"/>
      <c r="CH29" s="97" t="s">
        <v>3322</v>
      </c>
      <c r="CI29" s="97"/>
      <c r="CJ29" s="97"/>
      <c r="CK29" s="97"/>
      <c r="CL29" s="97"/>
      <c r="CM29" s="97"/>
      <c r="CN29" s="97"/>
      <c r="CO29" s="132" t="s">
        <v>2911</v>
      </c>
      <c r="CP29" s="132"/>
      <c r="CQ29" s="132"/>
      <c r="CR29" s="132"/>
      <c r="CS29" s="132"/>
      <c r="CT29" s="182" t="s">
        <v>3323</v>
      </c>
      <c r="CU29" s="182"/>
      <c r="CV29" s="182"/>
      <c r="CW29" s="182"/>
      <c r="CX29" s="182"/>
      <c r="CY29" s="183"/>
      <c r="CZ29" s="75"/>
      <c r="DC29" s="177"/>
      <c r="DD29" s="92" t="s">
        <v>3351</v>
      </c>
      <c r="DE29" s="74"/>
      <c r="DF29" s="74"/>
      <c r="DG29" s="115" t="s">
        <v>3352</v>
      </c>
      <c r="DH29" s="115"/>
      <c r="DI29" s="115"/>
      <c r="DJ29" s="115"/>
      <c r="DK29" s="129" t="s">
        <v>3363</v>
      </c>
      <c r="DL29" s="129"/>
      <c r="DM29" s="129"/>
      <c r="DN29" s="120" t="s">
        <v>3153</v>
      </c>
      <c r="DO29" s="182" t="s">
        <v>2911</v>
      </c>
      <c r="DP29" s="182"/>
      <c r="DQ29" s="182"/>
      <c r="DR29" s="182"/>
      <c r="DS29" s="120" t="s">
        <v>3380</v>
      </c>
      <c r="DT29" s="120"/>
      <c r="DU29" s="120"/>
      <c r="DV29" s="129" t="s">
        <v>2918</v>
      </c>
      <c r="DW29" s="129"/>
      <c r="DX29" s="129"/>
      <c r="DY29" s="147" t="s">
        <v>3406</v>
      </c>
      <c r="DZ29" s="147"/>
      <c r="EA29" s="147"/>
      <c r="EB29" s="147"/>
      <c r="EC29" s="147"/>
      <c r="ED29" s="147"/>
      <c r="EE29" s="147"/>
      <c r="EF29" s="147"/>
      <c r="EG29" s="222"/>
      <c r="EH29" s="221"/>
      <c r="EI29" s="221"/>
      <c r="EJ29" s="105" t="s">
        <v>3461</v>
      </c>
      <c r="EK29" s="70"/>
      <c r="EL29" s="70"/>
      <c r="EM29" s="70"/>
      <c r="EN29" s="70"/>
      <c r="EO29" s="70"/>
      <c r="EP29" s="70"/>
      <c r="EQ29" s="70"/>
      <c r="ER29" s="70"/>
      <c r="ES29" s="70"/>
      <c r="ET29" s="124" t="s">
        <v>2911</v>
      </c>
      <c r="EU29" s="124"/>
      <c r="EV29" s="124"/>
      <c r="EW29" s="120" t="s">
        <v>2949</v>
      </c>
      <c r="EX29" s="193" t="s">
        <v>2921</v>
      </c>
      <c r="EY29" s="193"/>
      <c r="EZ29" s="193"/>
      <c r="FA29" s="193"/>
      <c r="FB29" s="128" t="s">
        <v>2945</v>
      </c>
      <c r="FC29" s="128"/>
      <c r="FD29" s="128"/>
      <c r="FE29" s="129" t="s">
        <v>3521</v>
      </c>
      <c r="FF29" s="129"/>
      <c r="FG29" s="120" t="s">
        <v>3063</v>
      </c>
      <c r="FH29" s="74" t="s">
        <v>3073</v>
      </c>
      <c r="FI29" s="74"/>
      <c r="FJ29" s="74"/>
      <c r="FK29" s="74"/>
      <c r="FL29" s="73" t="s">
        <v>3544</v>
      </c>
      <c r="FM29" s="73"/>
      <c r="FN29" s="73"/>
      <c r="FO29" s="222"/>
      <c r="FP29" s="221"/>
      <c r="FQ29" s="221"/>
      <c r="FS29" s="177"/>
      <c r="FT29" s="120"/>
      <c r="FU29" s="120"/>
      <c r="FV29" s="64" t="s">
        <v>3588</v>
      </c>
      <c r="FW29" s="64"/>
      <c r="FX29" s="64"/>
      <c r="FY29" s="64"/>
      <c r="FZ29" s="64"/>
      <c r="GA29" s="64"/>
      <c r="GB29" s="120" t="s">
        <v>3591</v>
      </c>
      <c r="GC29" s="77" t="s">
        <v>2911</v>
      </c>
      <c r="GD29" s="77"/>
      <c r="GE29" s="77"/>
      <c r="GF29" s="120" t="s">
        <v>2949</v>
      </c>
      <c r="GG29" s="73" t="s">
        <v>2918</v>
      </c>
      <c r="GH29" s="73"/>
      <c r="GI29" s="73"/>
      <c r="GJ29" s="77" t="s">
        <v>2948</v>
      </c>
      <c r="GK29" s="77"/>
      <c r="GL29" s="77"/>
      <c r="GM29" s="77"/>
      <c r="GN29" s="120" t="s">
        <v>2949</v>
      </c>
      <c r="GO29" s="132" t="s">
        <v>2918</v>
      </c>
      <c r="GP29" s="132"/>
      <c r="GQ29" s="132"/>
      <c r="GR29" s="128" t="s">
        <v>2948</v>
      </c>
      <c r="GS29" s="128"/>
      <c r="GT29" s="128"/>
      <c r="GU29" s="128"/>
      <c r="GV29" s="128"/>
      <c r="GW29" s="128"/>
      <c r="GX29" s="222"/>
      <c r="GY29" s="221"/>
      <c r="GZ29" s="221"/>
      <c r="HA29" s="177"/>
      <c r="HB29" s="120"/>
      <c r="HC29" s="204" t="s">
        <v>2918</v>
      </c>
      <c r="HD29" s="204"/>
      <c r="HE29" s="204"/>
      <c r="HF29" s="204"/>
      <c r="HG29" s="120"/>
      <c r="HH29" s="120"/>
      <c r="HI29" s="120"/>
      <c r="HJ29" s="120"/>
      <c r="HK29" s="120"/>
      <c r="HL29" s="120"/>
      <c r="HM29" s="120"/>
      <c r="HN29" s="120"/>
      <c r="HO29" s="120"/>
      <c r="HP29" s="120"/>
      <c r="HQ29" s="120"/>
      <c r="HR29" s="120"/>
      <c r="HS29" s="120"/>
      <c r="HT29" s="120"/>
      <c r="HU29" s="120"/>
      <c r="HV29" s="120"/>
      <c r="HW29" s="120"/>
      <c r="HX29" s="120"/>
      <c r="HY29" s="120"/>
      <c r="HZ29" s="120"/>
      <c r="IA29" s="120"/>
      <c r="IB29" s="120"/>
      <c r="IC29" s="120"/>
      <c r="ID29" s="120"/>
      <c r="IE29" s="120"/>
      <c r="IF29" s="292"/>
      <c r="IG29" s="397"/>
      <c r="IH29" s="291"/>
      <c r="II29" s="291"/>
    </row>
    <row r="30" spans="2:243" ht="15.75" x14ac:dyDescent="0.25">
      <c r="B30" s="78"/>
      <c r="C30" s="79"/>
      <c r="D30" s="79"/>
      <c r="E30" s="79"/>
      <c r="F30" s="80" t="s">
        <v>2914</v>
      </c>
      <c r="G30" s="84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N30" s="84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83"/>
      <c r="BU30" s="81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173"/>
      <c r="CZ30" s="83"/>
      <c r="DC30" s="81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223"/>
      <c r="EH30" s="221"/>
      <c r="EI30" s="221"/>
      <c r="EJ30" s="81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223"/>
      <c r="FP30" s="221"/>
      <c r="FQ30" s="221"/>
      <c r="FS30" s="81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223"/>
      <c r="GY30" s="221"/>
      <c r="GZ30" s="221"/>
      <c r="HA30" s="81"/>
      <c r="HB30" s="82"/>
      <c r="HC30" s="82"/>
      <c r="HD30" s="82"/>
      <c r="HE30" s="82"/>
      <c r="HF30" s="82"/>
      <c r="HG30" s="82"/>
      <c r="HH30" s="82"/>
      <c r="HI30" s="82"/>
      <c r="HJ30" s="82"/>
      <c r="HK30" s="82"/>
      <c r="HL30" s="82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2"/>
      <c r="IC30" s="82"/>
      <c r="ID30" s="82"/>
      <c r="IE30" s="82"/>
      <c r="IF30" s="293"/>
      <c r="IG30" s="397"/>
      <c r="IH30" s="291"/>
      <c r="II30" s="291"/>
    </row>
    <row r="31" spans="2:243" ht="16.5" thickBot="1" x14ac:dyDescent="0.3">
      <c r="B31" s="85"/>
      <c r="C31" s="86">
        <v>9064</v>
      </c>
      <c r="D31" s="86"/>
      <c r="E31" s="86"/>
      <c r="F31" s="87" t="s">
        <v>2915</v>
      </c>
      <c r="G31" s="88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M31" t="e">
        <f>#REF!-AL31</f>
        <v>#REF!</v>
      </c>
      <c r="AN31" s="88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>
        <v>350</v>
      </c>
      <c r="BD31" s="86"/>
      <c r="BE31" s="86"/>
      <c r="BF31" s="86"/>
      <c r="BG31" s="86">
        <v>1800</v>
      </c>
      <c r="BH31" s="86"/>
      <c r="BI31" s="86"/>
      <c r="BJ31" s="86"/>
      <c r="BK31" s="86"/>
      <c r="BL31" s="86">
        <v>2300</v>
      </c>
      <c r="BM31" s="86"/>
      <c r="BN31" s="86"/>
      <c r="BO31" s="86"/>
      <c r="BP31" s="86">
        <v>1900</v>
      </c>
      <c r="BQ31" s="86"/>
      <c r="BR31" s="89">
        <f>SUM(AN31:BQ31)</f>
        <v>6350</v>
      </c>
      <c r="BS31" s="90">
        <v>15000</v>
      </c>
      <c r="BT31" s="91">
        <f>BR31-BS31</f>
        <v>-8650</v>
      </c>
      <c r="BU31" s="174"/>
      <c r="BV31" s="175"/>
      <c r="BW31" s="175"/>
      <c r="BX31" s="175"/>
      <c r="BY31" s="175">
        <v>2350</v>
      </c>
      <c r="BZ31" s="175"/>
      <c r="CA31" s="175"/>
      <c r="CB31" s="175"/>
      <c r="CC31" s="175"/>
      <c r="CD31" s="175"/>
      <c r="CE31" s="175">
        <v>1900</v>
      </c>
      <c r="CF31" s="175"/>
      <c r="CG31" s="175"/>
      <c r="CH31" s="175">
        <v>2300</v>
      </c>
      <c r="CI31" s="175"/>
      <c r="CJ31" s="175"/>
      <c r="CK31" s="175"/>
      <c r="CL31" s="175"/>
      <c r="CM31" s="175"/>
      <c r="CN31" s="175"/>
      <c r="CO31" s="175">
        <v>1900</v>
      </c>
      <c r="CP31" s="175"/>
      <c r="CQ31" s="175"/>
      <c r="CR31" s="175"/>
      <c r="CS31" s="175"/>
      <c r="CT31" s="175">
        <v>2050</v>
      </c>
      <c r="CU31" s="175"/>
      <c r="CV31" s="175"/>
      <c r="CW31" s="175"/>
      <c r="CX31" s="175"/>
      <c r="CY31" s="176"/>
      <c r="CZ31" s="89">
        <v>10500</v>
      </c>
      <c r="DA31" s="90">
        <v>15000</v>
      </c>
      <c r="DB31" s="91">
        <f>CZ31-DA31</f>
        <v>-4500</v>
      </c>
      <c r="DC31" s="174"/>
      <c r="DD31" s="175">
        <v>350</v>
      </c>
      <c r="DE31" s="175"/>
      <c r="DF31" s="175"/>
      <c r="DG31" s="175">
        <v>1700</v>
      </c>
      <c r="DH31" s="175"/>
      <c r="DI31" s="175"/>
      <c r="DJ31" s="175"/>
      <c r="DK31" s="175">
        <v>2100</v>
      </c>
      <c r="DL31" s="175"/>
      <c r="DM31" s="175"/>
      <c r="DN31" s="175"/>
      <c r="DO31" s="175">
        <v>1900</v>
      </c>
      <c r="DP31" s="175"/>
      <c r="DQ31" s="175"/>
      <c r="DR31" s="175"/>
      <c r="DS31" s="175"/>
      <c r="DT31" s="175"/>
      <c r="DU31" s="175"/>
      <c r="DV31" s="175">
        <v>2300</v>
      </c>
      <c r="DW31" s="175"/>
      <c r="DX31" s="175"/>
      <c r="DY31" s="175"/>
      <c r="DZ31" s="175"/>
      <c r="EA31" s="175"/>
      <c r="EB31" s="175"/>
      <c r="EC31" s="175"/>
      <c r="ED31" s="175"/>
      <c r="EE31" s="175"/>
      <c r="EF31" s="175"/>
      <c r="EG31" s="220">
        <v>8350</v>
      </c>
      <c r="EH31" s="221">
        <v>15000</v>
      </c>
      <c r="EI31" s="221">
        <f>EG31-EH31</f>
        <v>-6650</v>
      </c>
      <c r="EJ31" s="174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>
        <v>1900</v>
      </c>
      <c r="EU31" s="175"/>
      <c r="EV31" s="175"/>
      <c r="EW31" s="175"/>
      <c r="EX31" s="175">
        <v>2300</v>
      </c>
      <c r="EY31" s="175"/>
      <c r="EZ31" s="175"/>
      <c r="FA31" s="175"/>
      <c r="FB31" s="175">
        <v>1900</v>
      </c>
      <c r="FC31" s="175"/>
      <c r="FD31" s="175"/>
      <c r="FE31" s="175">
        <v>1800</v>
      </c>
      <c r="FF31" s="175"/>
      <c r="FG31" s="175"/>
      <c r="FH31" s="175">
        <v>500</v>
      </c>
      <c r="FI31" s="175"/>
      <c r="FJ31" s="175"/>
      <c r="FK31" s="175"/>
      <c r="FL31" s="175">
        <v>1800</v>
      </c>
      <c r="FM31" s="175"/>
      <c r="FN31" s="175"/>
      <c r="FO31" s="220">
        <v>10200</v>
      </c>
      <c r="FP31" s="221">
        <v>15000</v>
      </c>
      <c r="FQ31" s="221">
        <v>4800</v>
      </c>
      <c r="FS31" s="174"/>
      <c r="FT31" s="175"/>
      <c r="FU31" s="175"/>
      <c r="FV31" s="175">
        <v>1600</v>
      </c>
      <c r="FW31" s="175"/>
      <c r="FX31" s="175"/>
      <c r="FY31" s="175"/>
      <c r="FZ31" s="175"/>
      <c r="GA31" s="175"/>
      <c r="GB31" s="175"/>
      <c r="GC31" s="175">
        <v>1900</v>
      </c>
      <c r="GD31" s="175"/>
      <c r="GE31" s="175"/>
      <c r="GF31" s="175"/>
      <c r="GG31" s="175">
        <v>2300</v>
      </c>
      <c r="GH31" s="175"/>
      <c r="GI31" s="175"/>
      <c r="GJ31" s="175">
        <v>1900</v>
      </c>
      <c r="GK31" s="175"/>
      <c r="GL31" s="175"/>
      <c r="GM31" s="175"/>
      <c r="GN31" s="175"/>
      <c r="GO31" s="175">
        <v>2300</v>
      </c>
      <c r="GP31" s="175"/>
      <c r="GQ31" s="175"/>
      <c r="GR31" s="175">
        <v>1900</v>
      </c>
      <c r="GS31" s="175"/>
      <c r="GT31" s="175"/>
      <c r="GU31" s="175"/>
      <c r="GV31" s="175"/>
      <c r="GW31" s="175"/>
      <c r="GX31" s="220">
        <v>11900</v>
      </c>
      <c r="GY31" s="221">
        <v>15000</v>
      </c>
      <c r="GZ31" s="221">
        <v>3100</v>
      </c>
      <c r="HA31" s="174"/>
      <c r="HB31" s="175"/>
      <c r="HC31" s="175">
        <v>2300</v>
      </c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290">
        <f>SUM(HA31:IE31)</f>
        <v>2300</v>
      </c>
      <c r="IG31" s="397">
        <f>IFERROR(IF31/IH31,"")</f>
        <v>0.153333333333333</v>
      </c>
      <c r="IH31" s="291">
        <v>15000</v>
      </c>
      <c r="II31" s="291">
        <v>12700</v>
      </c>
    </row>
    <row r="32" spans="2:243" ht="15.75" x14ac:dyDescent="0.25">
      <c r="B32" s="60">
        <v>10</v>
      </c>
      <c r="C32" s="61" t="s">
        <v>2955</v>
      </c>
      <c r="D32" s="61">
        <v>9</v>
      </c>
      <c r="E32" s="61" t="s">
        <v>2961</v>
      </c>
      <c r="F32" s="62" t="s">
        <v>2903</v>
      </c>
      <c r="G32" s="94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N32" s="94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77" t="s">
        <v>2926</v>
      </c>
      <c r="BB32" s="77"/>
      <c r="BC32" s="129"/>
      <c r="BD32" s="77"/>
      <c r="BE32" s="127" t="s">
        <v>2923</v>
      </c>
      <c r="BF32" s="127"/>
      <c r="BG32" s="127"/>
      <c r="BH32" s="127"/>
      <c r="BI32" s="142" t="s">
        <v>3154</v>
      </c>
      <c r="BJ32" s="142"/>
      <c r="BK32" s="142"/>
      <c r="BL32" s="122" t="s">
        <v>3160</v>
      </c>
      <c r="BM32" s="122"/>
      <c r="BN32" s="122"/>
      <c r="BO32" s="61" t="s">
        <v>3190</v>
      </c>
      <c r="BP32" s="74" t="s">
        <v>3192</v>
      </c>
      <c r="BQ32" s="74"/>
      <c r="BR32" s="75"/>
      <c r="BU32" s="177"/>
      <c r="BV32" s="120"/>
      <c r="BW32" s="120"/>
      <c r="BX32" s="120"/>
      <c r="BY32" s="132" t="s">
        <v>3232</v>
      </c>
      <c r="BZ32" s="132"/>
      <c r="CA32" s="132"/>
      <c r="CB32" s="73" t="s">
        <v>3340</v>
      </c>
      <c r="CC32" s="73"/>
      <c r="CD32" s="73"/>
      <c r="CE32" s="122" t="s">
        <v>3341</v>
      </c>
      <c r="CF32" s="122"/>
      <c r="CG32" s="122"/>
      <c r="CH32" s="122"/>
      <c r="CI32" s="122"/>
      <c r="CJ32" s="122"/>
      <c r="CK32" s="122"/>
      <c r="CL32" s="122"/>
      <c r="CM32" s="116" t="s">
        <v>2948</v>
      </c>
      <c r="CN32" s="116"/>
      <c r="CO32" s="116"/>
      <c r="CP32" s="120" t="s">
        <v>3342</v>
      </c>
      <c r="CQ32" s="128" t="s">
        <v>3234</v>
      </c>
      <c r="CR32" s="128"/>
      <c r="CS32" s="128"/>
      <c r="CT32" s="133" t="s">
        <v>2945</v>
      </c>
      <c r="CU32" s="133"/>
      <c r="CV32" s="133"/>
      <c r="CW32" s="124" t="s">
        <v>2923</v>
      </c>
      <c r="CX32" s="124"/>
      <c r="CY32" s="188"/>
      <c r="CZ32" s="75"/>
      <c r="DC32" s="177"/>
      <c r="DD32" s="120"/>
      <c r="DE32" s="193" t="s">
        <v>3338</v>
      </c>
      <c r="DF32" s="193"/>
      <c r="DG32" s="193"/>
      <c r="DH32" s="193"/>
      <c r="DI32" s="193"/>
      <c r="DJ32" s="193"/>
      <c r="DK32" s="127" t="s">
        <v>2923</v>
      </c>
      <c r="DL32" s="127"/>
      <c r="DM32" s="127"/>
      <c r="DN32" s="120" t="s">
        <v>3153</v>
      </c>
      <c r="DO32" s="122" t="s">
        <v>2911</v>
      </c>
      <c r="DP32" s="122"/>
      <c r="DQ32" s="122"/>
      <c r="DR32" s="122"/>
      <c r="DS32" s="124" t="s">
        <v>3376</v>
      </c>
      <c r="DT32" s="124"/>
      <c r="DU32" s="124"/>
      <c r="DV32" s="124"/>
      <c r="DW32" s="120" t="s">
        <v>3402</v>
      </c>
      <c r="DX32" s="120"/>
      <c r="DY32" s="120"/>
      <c r="DZ32" s="139" t="s">
        <v>2948</v>
      </c>
      <c r="EA32" s="139"/>
      <c r="EB32" s="120" t="s">
        <v>3415</v>
      </c>
      <c r="EC32" s="120"/>
      <c r="ED32" s="73" t="s">
        <v>2918</v>
      </c>
      <c r="EE32" s="73"/>
      <c r="EF32" s="120"/>
      <c r="EG32" s="222"/>
      <c r="EH32" s="221"/>
      <c r="EI32" s="221"/>
      <c r="EJ32" s="177" t="s">
        <v>3462</v>
      </c>
      <c r="EK32" s="120"/>
      <c r="EL32" s="120"/>
      <c r="EM32" s="129" t="s">
        <v>3193</v>
      </c>
      <c r="EN32" s="129"/>
      <c r="EO32" s="129"/>
      <c r="EP32" s="120" t="s">
        <v>3470</v>
      </c>
      <c r="EQ32" s="120"/>
      <c r="ER32" s="120"/>
      <c r="ES32" s="122" t="s">
        <v>2918</v>
      </c>
      <c r="ET32" s="122"/>
      <c r="EU32" s="122"/>
      <c r="EV32" s="122"/>
      <c r="EW32" s="122"/>
      <c r="EX32" s="77" t="s">
        <v>2911</v>
      </c>
      <c r="EY32" s="270" t="s">
        <v>3510</v>
      </c>
      <c r="EZ32" s="270"/>
      <c r="FA32" s="270"/>
      <c r="FB32" s="270"/>
      <c r="FC32" s="270"/>
      <c r="FD32" s="270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22"/>
      <c r="FP32" s="221"/>
      <c r="FQ32" s="221"/>
      <c r="FS32" s="273" t="s">
        <v>3510</v>
      </c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0"/>
      <c r="GG32" s="270"/>
      <c r="GH32" s="270"/>
      <c r="GI32" s="270"/>
      <c r="GJ32" s="270"/>
      <c r="GK32" s="73" t="s">
        <v>2948</v>
      </c>
      <c r="GL32" s="73"/>
      <c r="GM32" s="73"/>
      <c r="GN32" s="73"/>
      <c r="GO32" s="73"/>
      <c r="GP32" s="73"/>
      <c r="GQ32" s="129" t="s">
        <v>3405</v>
      </c>
      <c r="GR32" s="129"/>
      <c r="GS32" s="129"/>
      <c r="GT32" s="120" t="s">
        <v>2925</v>
      </c>
      <c r="GU32" s="136" t="s">
        <v>3448</v>
      </c>
      <c r="GV32" s="136"/>
      <c r="GW32" s="136"/>
      <c r="GX32" s="222"/>
      <c r="GY32" s="221"/>
      <c r="GZ32" s="221"/>
      <c r="HA32" s="296"/>
      <c r="HB32" s="136"/>
      <c r="HC32" s="270" t="s">
        <v>3703</v>
      </c>
      <c r="HD32" s="270"/>
      <c r="HE32" s="270"/>
      <c r="HF32" s="27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120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292"/>
      <c r="IG32" s="397"/>
      <c r="IH32" s="291"/>
      <c r="II32" s="291"/>
    </row>
    <row r="33" spans="2:243" ht="15.75" x14ac:dyDescent="0.25">
      <c r="B33" s="78"/>
      <c r="C33" s="79"/>
      <c r="D33" s="79"/>
      <c r="E33" s="79"/>
      <c r="F33" s="80" t="s">
        <v>2914</v>
      </c>
      <c r="G33" s="84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N33" s="84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83"/>
      <c r="BU33" s="81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173"/>
      <c r="CZ33" s="83"/>
      <c r="DC33" s="81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223"/>
      <c r="EH33" s="221"/>
      <c r="EI33" s="221"/>
      <c r="EJ33" s="81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N33" s="82"/>
      <c r="FO33" s="223"/>
      <c r="FP33" s="221"/>
      <c r="FQ33" s="221"/>
      <c r="FS33" s="81"/>
      <c r="FT33" s="82"/>
      <c r="FU33" s="82"/>
      <c r="FV33" s="82"/>
      <c r="FW33" s="82"/>
      <c r="FX33" s="82"/>
      <c r="FY33" s="82"/>
      <c r="FZ33" s="82"/>
      <c r="GA33" s="82"/>
      <c r="GB33" s="82"/>
      <c r="GC33" s="82"/>
      <c r="GD33" s="82"/>
      <c r="GE33" s="82"/>
      <c r="GF33" s="82"/>
      <c r="GG33" s="82"/>
      <c r="GH33" s="82"/>
      <c r="GI33" s="82"/>
      <c r="GJ33" s="82"/>
      <c r="GK33" s="82"/>
      <c r="GL33" s="82"/>
      <c r="GM33" s="82"/>
      <c r="GN33" s="82"/>
      <c r="GO33" s="82"/>
      <c r="GP33" s="82"/>
      <c r="GQ33" s="82"/>
      <c r="GR33" s="82"/>
      <c r="GS33" s="82"/>
      <c r="GT33" s="82"/>
      <c r="GU33" s="82"/>
      <c r="GV33" s="82"/>
      <c r="GW33" s="82"/>
      <c r="GX33" s="223"/>
      <c r="GY33" s="221"/>
      <c r="GZ33" s="221"/>
      <c r="HA33" s="81"/>
      <c r="HB33" s="82"/>
      <c r="HC33" s="82"/>
      <c r="HD33" s="82"/>
      <c r="HE33" s="82"/>
      <c r="HF33" s="82"/>
      <c r="HG33" s="82"/>
      <c r="HH33" s="82"/>
      <c r="HI33" s="82"/>
      <c r="HJ33" s="82"/>
      <c r="HK33" s="82"/>
      <c r="HL33" s="82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2"/>
      <c r="IC33" s="82"/>
      <c r="ID33" s="82"/>
      <c r="IE33" s="82"/>
      <c r="IF33" s="293"/>
      <c r="IG33" s="397"/>
      <c r="IH33" s="291"/>
      <c r="II33" s="291"/>
    </row>
    <row r="34" spans="2:243" ht="16.5" thickBot="1" x14ac:dyDescent="0.3">
      <c r="B34" s="85"/>
      <c r="C34" s="86">
        <v>5582</v>
      </c>
      <c r="D34" s="86"/>
      <c r="E34" s="86"/>
      <c r="F34" s="87" t="s">
        <v>2915</v>
      </c>
      <c r="G34" s="88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M34" t="e">
        <f>#REF!-AL34</f>
        <v>#REF!</v>
      </c>
      <c r="AN34" s="88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>
        <v>1900</v>
      </c>
      <c r="BB34" s="86"/>
      <c r="BC34" s="86"/>
      <c r="BD34" s="86"/>
      <c r="BE34" s="86">
        <v>2250</v>
      </c>
      <c r="BF34" s="86"/>
      <c r="BG34" s="86"/>
      <c r="BH34" s="86"/>
      <c r="BI34" s="86">
        <v>450</v>
      </c>
      <c r="BJ34" s="86"/>
      <c r="BK34" s="86"/>
      <c r="BL34" s="86">
        <v>1900</v>
      </c>
      <c r="BM34" s="86"/>
      <c r="BN34" s="86"/>
      <c r="BO34" s="86"/>
      <c r="BP34" s="86">
        <v>1600</v>
      </c>
      <c r="BQ34" s="86"/>
      <c r="BR34" s="89">
        <f>SUM(AN34:BQ34)</f>
        <v>8100</v>
      </c>
      <c r="BS34" s="90">
        <v>15000</v>
      </c>
      <c r="BT34" s="91">
        <f>BR34-BS34</f>
        <v>-6900</v>
      </c>
      <c r="BU34" s="174"/>
      <c r="BV34" s="175"/>
      <c r="BW34" s="175"/>
      <c r="BX34" s="175"/>
      <c r="BY34" s="175">
        <v>1200</v>
      </c>
      <c r="BZ34" s="175"/>
      <c r="CA34" s="175"/>
      <c r="CB34" s="175">
        <v>600</v>
      </c>
      <c r="CC34" s="175"/>
      <c r="CD34" s="175"/>
      <c r="CE34" s="175">
        <v>2000</v>
      </c>
      <c r="CF34" s="175"/>
      <c r="CG34" s="175"/>
      <c r="CH34" s="175"/>
      <c r="CI34" s="175"/>
      <c r="CJ34" s="175"/>
      <c r="CK34" s="175"/>
      <c r="CL34" s="175"/>
      <c r="CM34" s="175">
        <v>1900</v>
      </c>
      <c r="CN34" s="175"/>
      <c r="CO34" s="175"/>
      <c r="CP34" s="175"/>
      <c r="CQ34" s="175">
        <v>2300</v>
      </c>
      <c r="CR34" s="175"/>
      <c r="CS34" s="175"/>
      <c r="CT34" s="175">
        <v>1900</v>
      </c>
      <c r="CU34" s="175"/>
      <c r="CV34" s="175"/>
      <c r="CW34" s="175">
        <v>2100</v>
      </c>
      <c r="CX34" s="175"/>
      <c r="CY34" s="176"/>
      <c r="CZ34" s="83">
        <v>12000</v>
      </c>
      <c r="DA34" s="91">
        <v>15000</v>
      </c>
      <c r="DB34" s="91">
        <f>CZ34-DA34</f>
        <v>-3000</v>
      </c>
      <c r="DC34" s="174"/>
      <c r="DD34" s="175"/>
      <c r="DE34" s="175">
        <v>2100</v>
      </c>
      <c r="DF34" s="175"/>
      <c r="DG34" s="175"/>
      <c r="DH34" s="175"/>
      <c r="DI34" s="175"/>
      <c r="DJ34" s="175"/>
      <c r="DK34" s="175">
        <v>2100</v>
      </c>
      <c r="DL34" s="175"/>
      <c r="DM34" s="175"/>
      <c r="DN34" s="175"/>
      <c r="DO34" s="175">
        <v>1900</v>
      </c>
      <c r="DP34" s="175"/>
      <c r="DQ34" s="175"/>
      <c r="DR34" s="175"/>
      <c r="DS34" s="175">
        <v>1200</v>
      </c>
      <c r="DT34" s="175"/>
      <c r="DU34" s="175"/>
      <c r="DV34" s="175"/>
      <c r="DW34" s="175"/>
      <c r="DX34" s="175"/>
      <c r="DY34" s="175"/>
      <c r="DZ34" s="175">
        <v>1900</v>
      </c>
      <c r="EA34" s="175"/>
      <c r="EB34" s="175"/>
      <c r="EC34" s="175"/>
      <c r="ED34" s="175">
        <v>2300</v>
      </c>
      <c r="EE34" s="175"/>
      <c r="EF34" s="175"/>
      <c r="EG34" s="223">
        <v>11500</v>
      </c>
      <c r="EH34" s="221">
        <v>15000</v>
      </c>
      <c r="EI34" s="221">
        <f>EG34-EH34</f>
        <v>-3500</v>
      </c>
      <c r="EJ34" s="174"/>
      <c r="EK34" s="175"/>
      <c r="EL34" s="175"/>
      <c r="EM34" s="175">
        <v>1900</v>
      </c>
      <c r="EN34" s="175"/>
      <c r="EO34" s="175"/>
      <c r="EP34" s="175"/>
      <c r="EQ34" s="175"/>
      <c r="ER34" s="175"/>
      <c r="ES34" s="175">
        <v>2300</v>
      </c>
      <c r="ET34" s="175"/>
      <c r="EU34" s="175"/>
      <c r="EV34" s="175"/>
      <c r="EW34" s="175"/>
      <c r="EX34" s="175">
        <v>1900</v>
      </c>
      <c r="EY34" s="175"/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223">
        <v>6100</v>
      </c>
      <c r="FP34" s="221">
        <v>15000</v>
      </c>
      <c r="FQ34" s="221">
        <v>8900</v>
      </c>
      <c r="FS34" s="174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>
        <v>1900</v>
      </c>
      <c r="GL34" s="175"/>
      <c r="GM34" s="175"/>
      <c r="GN34" s="175"/>
      <c r="GO34" s="175"/>
      <c r="GP34" s="175"/>
      <c r="GQ34" s="175">
        <v>2000</v>
      </c>
      <c r="GR34" s="175"/>
      <c r="GS34" s="175"/>
      <c r="GT34" s="175"/>
      <c r="GU34" s="175">
        <v>1900</v>
      </c>
      <c r="GV34" s="175"/>
      <c r="GW34" s="175"/>
      <c r="GX34" s="223">
        <v>5800</v>
      </c>
      <c r="GY34" s="221">
        <v>15000</v>
      </c>
      <c r="GZ34" s="221">
        <v>9200</v>
      </c>
      <c r="HA34" s="174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  <c r="HN34" s="175"/>
      <c r="HO34" s="175"/>
      <c r="HP34" s="175"/>
      <c r="HQ34" s="175"/>
      <c r="HR34" s="175"/>
      <c r="HS34" s="175"/>
      <c r="HT34" s="175"/>
      <c r="HU34" s="175"/>
      <c r="HV34" s="175"/>
      <c r="HW34" s="175"/>
      <c r="HX34" s="175"/>
      <c r="HY34" s="175"/>
      <c r="HZ34" s="175"/>
      <c r="IA34" s="175"/>
      <c r="IB34" s="175"/>
      <c r="IC34" s="175"/>
      <c r="ID34" s="175"/>
      <c r="IE34" s="175"/>
      <c r="IF34" s="293"/>
      <c r="IG34" s="397">
        <f>IFERROR(IF34/IH34,"")</f>
        <v>0</v>
      </c>
      <c r="IH34" s="291">
        <v>15000</v>
      </c>
      <c r="II34" s="291">
        <v>15000</v>
      </c>
    </row>
    <row r="35" spans="2:243" x14ac:dyDescent="0.25">
      <c r="C35" s="51"/>
      <c r="D35" s="51"/>
      <c r="E35" s="51"/>
      <c r="EG35" s="221"/>
      <c r="EH35" s="221"/>
      <c r="EI35" s="221"/>
      <c r="FO35" s="221"/>
      <c r="FP35" s="221"/>
      <c r="FQ35" s="221"/>
      <c r="IG35" s="300"/>
    </row>
    <row r="36" spans="2:243" x14ac:dyDescent="0.25">
      <c r="EG36" s="221"/>
      <c r="EH36" s="221"/>
      <c r="EI36" s="221"/>
      <c r="FO36" s="224">
        <v>123950</v>
      </c>
      <c r="FP36" s="224">
        <v>150000</v>
      </c>
      <c r="FQ36" s="224">
        <v>26500</v>
      </c>
      <c r="GX36" s="224">
        <v>100050</v>
      </c>
      <c r="GY36" s="224">
        <v>150000</v>
      </c>
      <c r="GZ36" s="224">
        <v>49950</v>
      </c>
      <c r="IF36" s="224">
        <v>21800</v>
      </c>
      <c r="IG36" s="393">
        <f>IFERROR(IF36/IH36,"")</f>
        <v>0.145333333333333</v>
      </c>
      <c r="IH36" s="224">
        <v>150000</v>
      </c>
      <c r="II36" s="224">
        <v>128200</v>
      </c>
    </row>
    <row r="37" spans="2:243" x14ac:dyDescent="0.25">
      <c r="EG37" s="224">
        <v>123000</v>
      </c>
      <c r="EH37" s="224">
        <f>SUM(EH5:EH34)</f>
        <v>150000</v>
      </c>
      <c r="EI37" s="224">
        <f>SUM(EI5:EI34)</f>
        <v>-27000</v>
      </c>
      <c r="IG37" s="300"/>
    </row>
    <row r="38" spans="2:243" x14ac:dyDescent="0.25">
      <c r="FO38" s="225">
        <f>FO36/FP36</f>
        <v>0.826333333333333</v>
      </c>
      <c r="FP38" s="226"/>
      <c r="FQ38" s="225">
        <f>FQ36/FP36</f>
        <v>0.176666666666667</v>
      </c>
      <c r="GX38" s="225">
        <f>GX36/GY36</f>
        <v>0.667</v>
      </c>
      <c r="GY38" s="226"/>
      <c r="GZ38" s="225">
        <f>GZ36/GY36</f>
        <v>0.333</v>
      </c>
      <c r="IF38" s="225">
        <f>IF36/IH36</f>
        <v>0.145333333333333</v>
      </c>
      <c r="IG38" s="394"/>
      <c r="IH38" s="226"/>
      <c r="II38" s="225">
        <f>II36/IH36</f>
        <v>0.854666666666667</v>
      </c>
    </row>
    <row r="39" spans="2:243" x14ac:dyDescent="0.25">
      <c r="EG39" s="225">
        <f>EG37/EH37</f>
        <v>0.82</v>
      </c>
      <c r="EH39" s="226"/>
      <c r="EI39" s="225">
        <f>EI37/EH37</f>
        <v>-0.18</v>
      </c>
      <c r="FO39" s="250"/>
      <c r="FP39" s="165"/>
      <c r="FQ39" s="250"/>
    </row>
    <row r="41" spans="2:243" x14ac:dyDescent="0.25">
      <c r="BO41" s="51">
        <v>8069535555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28C7-02BC-4FF6-AD80-D435A4B973D6}">
  <dimension ref="A3:I327"/>
  <sheetViews>
    <sheetView workbookViewId="0"/>
  </sheetViews>
  <sheetFormatPr defaultRowHeight="15" x14ac:dyDescent="0.25"/>
  <cols>
    <col min="1" max="1" width="15.85546875" bestFit="1" customWidth="1"/>
    <col min="2" max="2" width="15.28515625" bestFit="1" customWidth="1"/>
    <col min="3" max="3" width="15.42578125" customWidth="1"/>
    <col min="4" max="4" width="44.85546875" bestFit="1" customWidth="1"/>
    <col min="5" max="5" width="12.5703125" bestFit="1" customWidth="1"/>
    <col min="6" max="6" width="18" bestFit="1" customWidth="1"/>
    <col min="7" max="7" width="11.5703125" bestFit="1" customWidth="1"/>
    <col min="8" max="8" width="16.7109375" bestFit="1" customWidth="1"/>
    <col min="9" max="9" width="14.28515625" bestFit="1" customWidth="1"/>
  </cols>
  <sheetData>
    <row r="3" spans="1:9" x14ac:dyDescent="0.25">
      <c r="E3" s="3" t="s">
        <v>66</v>
      </c>
    </row>
    <row r="4" spans="1:9" x14ac:dyDescent="0.25">
      <c r="A4" s="3" t="s">
        <v>48</v>
      </c>
      <c r="B4" s="3" t="s">
        <v>50</v>
      </c>
      <c r="C4" s="3" t="s">
        <v>53</v>
      </c>
      <c r="D4" s="3" t="s">
        <v>3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</row>
    <row r="5" spans="1:9" x14ac:dyDescent="0.25">
      <c r="A5" t="s">
        <v>49</v>
      </c>
      <c r="B5" t="s">
        <v>51</v>
      </c>
      <c r="C5" t="s">
        <v>54</v>
      </c>
      <c r="D5" t="s">
        <v>8</v>
      </c>
      <c r="E5" s="5">
        <v>70880</v>
      </c>
      <c r="F5" s="5">
        <v>86940</v>
      </c>
      <c r="G5" s="5">
        <v>16060</v>
      </c>
      <c r="H5" s="5">
        <v>70880</v>
      </c>
      <c r="I5" s="5">
        <v>0</v>
      </c>
    </row>
    <row r="6" spans="1:9" x14ac:dyDescent="0.25">
      <c r="D6" t="s">
        <v>12</v>
      </c>
      <c r="E6" s="5">
        <v>154360</v>
      </c>
      <c r="F6" s="5">
        <v>207900</v>
      </c>
      <c r="G6" s="5">
        <v>53540</v>
      </c>
      <c r="H6" s="5">
        <v>154360</v>
      </c>
      <c r="I6" s="5">
        <v>0</v>
      </c>
    </row>
    <row r="7" spans="1:9" x14ac:dyDescent="0.25">
      <c r="C7" s="4" t="s">
        <v>72</v>
      </c>
      <c r="D7" s="4"/>
      <c r="E7" s="6">
        <v>225240</v>
      </c>
      <c r="F7" s="6">
        <v>294840</v>
      </c>
      <c r="G7" s="6">
        <v>69600</v>
      </c>
      <c r="H7" s="6">
        <v>225240</v>
      </c>
      <c r="I7" s="6">
        <v>0</v>
      </c>
    </row>
    <row r="8" spans="1:9" x14ac:dyDescent="0.25">
      <c r="B8" s="7" t="s">
        <v>78</v>
      </c>
      <c r="C8" s="7"/>
      <c r="D8" s="7"/>
      <c r="E8" s="8">
        <v>225240</v>
      </c>
      <c r="F8" s="8">
        <v>294840</v>
      </c>
      <c r="G8" s="8">
        <v>69600</v>
      </c>
      <c r="H8" s="8">
        <v>225240</v>
      </c>
      <c r="I8" s="8">
        <v>0</v>
      </c>
    </row>
    <row r="9" spans="1:9" x14ac:dyDescent="0.25">
      <c r="B9" t="s">
        <v>57</v>
      </c>
      <c r="C9" t="s">
        <v>54</v>
      </c>
      <c r="D9" t="s">
        <v>73</v>
      </c>
      <c r="E9" s="5">
        <v>43990</v>
      </c>
      <c r="F9" s="5">
        <v>38740</v>
      </c>
      <c r="G9" s="5">
        <v>-5250</v>
      </c>
      <c r="H9" s="5"/>
      <c r="I9" s="5"/>
    </row>
    <row r="10" spans="1:9" x14ac:dyDescent="0.25">
      <c r="D10" t="s">
        <v>56</v>
      </c>
      <c r="E10" s="5">
        <v>143540</v>
      </c>
      <c r="F10" s="5">
        <v>199710</v>
      </c>
      <c r="G10" s="5">
        <v>56170</v>
      </c>
      <c r="H10" s="5"/>
      <c r="I10" s="5"/>
    </row>
    <row r="11" spans="1:9" x14ac:dyDescent="0.25">
      <c r="C11" s="4" t="s">
        <v>72</v>
      </c>
      <c r="D11" s="4"/>
      <c r="E11" s="6">
        <v>187530</v>
      </c>
      <c r="F11" s="6">
        <v>238450</v>
      </c>
      <c r="G11" s="6">
        <v>50920</v>
      </c>
      <c r="H11" s="6"/>
      <c r="I11" s="6"/>
    </row>
    <row r="12" spans="1:9" x14ac:dyDescent="0.25">
      <c r="B12" s="7" t="s">
        <v>79</v>
      </c>
      <c r="C12" s="7"/>
      <c r="D12" s="7"/>
      <c r="E12" s="8">
        <v>187530</v>
      </c>
      <c r="F12" s="8">
        <v>238450</v>
      </c>
      <c r="G12" s="8">
        <v>50920</v>
      </c>
      <c r="H12" s="8"/>
      <c r="I12" s="8"/>
    </row>
    <row r="13" spans="1:9" x14ac:dyDescent="0.25">
      <c r="A13" s="9" t="s">
        <v>65</v>
      </c>
      <c r="B13" s="9"/>
      <c r="C13" s="9"/>
      <c r="D13" s="9"/>
      <c r="E13" s="10">
        <v>412770</v>
      </c>
      <c r="F13" s="10">
        <v>533290</v>
      </c>
      <c r="G13" s="10">
        <v>120520</v>
      </c>
      <c r="H13" s="10">
        <v>225240</v>
      </c>
      <c r="I13" s="10">
        <v>0</v>
      </c>
    </row>
    <row r="14" spans="1:9" x14ac:dyDescent="0.25">
      <c r="A14" t="s">
        <v>889</v>
      </c>
      <c r="B14" t="s">
        <v>889</v>
      </c>
      <c r="C14" t="s">
        <v>889</v>
      </c>
      <c r="D14" t="s">
        <v>889</v>
      </c>
      <c r="E14" s="5"/>
      <c r="F14" s="5"/>
      <c r="G14" s="5">
        <v>0</v>
      </c>
      <c r="H14" s="5"/>
      <c r="I14" s="5">
        <v>0</v>
      </c>
    </row>
    <row r="15" spans="1:9" x14ac:dyDescent="0.25">
      <c r="C15" s="4" t="s">
        <v>890</v>
      </c>
      <c r="D15" s="4"/>
      <c r="E15" s="6"/>
      <c r="F15" s="6"/>
      <c r="G15" s="6">
        <v>0</v>
      </c>
      <c r="H15" s="6"/>
      <c r="I15" s="6">
        <v>0</v>
      </c>
    </row>
    <row r="16" spans="1:9" x14ac:dyDescent="0.25">
      <c r="B16" s="7" t="s">
        <v>890</v>
      </c>
      <c r="C16" s="7"/>
      <c r="D16" s="7"/>
      <c r="E16" s="8"/>
      <c r="F16" s="8"/>
      <c r="G16" s="8">
        <v>0</v>
      </c>
      <c r="H16" s="8"/>
      <c r="I16" s="8">
        <v>0</v>
      </c>
    </row>
    <row r="17" spans="1:9" x14ac:dyDescent="0.25">
      <c r="A17" s="9" t="s">
        <v>890</v>
      </c>
      <c r="B17" s="9"/>
      <c r="C17" s="9"/>
      <c r="D17" s="9"/>
      <c r="E17" s="10"/>
      <c r="F17" s="10"/>
      <c r="G17" s="10">
        <v>0</v>
      </c>
      <c r="H17" s="10"/>
      <c r="I17" s="10">
        <v>0</v>
      </c>
    </row>
    <row r="18" spans="1:9" x14ac:dyDescent="0.25">
      <c r="A18" t="s">
        <v>76</v>
      </c>
      <c r="B18" t="s">
        <v>51</v>
      </c>
      <c r="C18" t="s">
        <v>54</v>
      </c>
      <c r="D18" t="s">
        <v>12</v>
      </c>
      <c r="E18" s="5">
        <v>34840</v>
      </c>
      <c r="F18" s="5">
        <v>46620</v>
      </c>
      <c r="G18" s="5">
        <v>11780</v>
      </c>
      <c r="H18" s="5">
        <v>34840</v>
      </c>
      <c r="I18" s="5">
        <v>0</v>
      </c>
    </row>
    <row r="19" spans="1:9" x14ac:dyDescent="0.25">
      <c r="C19" s="4" t="s">
        <v>72</v>
      </c>
      <c r="D19" s="4"/>
      <c r="E19" s="6">
        <v>34840</v>
      </c>
      <c r="F19" s="6">
        <v>46620</v>
      </c>
      <c r="G19" s="6">
        <v>11780</v>
      </c>
      <c r="H19" s="6">
        <v>34840</v>
      </c>
      <c r="I19" s="6">
        <v>0</v>
      </c>
    </row>
    <row r="20" spans="1:9" x14ac:dyDescent="0.25">
      <c r="C20" t="s">
        <v>98</v>
      </c>
      <c r="D20" t="s">
        <v>12</v>
      </c>
      <c r="E20" s="5">
        <v>33890</v>
      </c>
      <c r="F20" s="5">
        <v>40320</v>
      </c>
      <c r="G20" s="5">
        <v>6430</v>
      </c>
      <c r="H20" s="5">
        <v>33890</v>
      </c>
      <c r="I20" s="5">
        <v>0</v>
      </c>
    </row>
    <row r="21" spans="1:9" x14ac:dyDescent="0.25">
      <c r="C21" s="4" t="s">
        <v>101</v>
      </c>
      <c r="D21" s="4"/>
      <c r="E21" s="6">
        <v>33890</v>
      </c>
      <c r="F21" s="6">
        <v>40320</v>
      </c>
      <c r="G21" s="6">
        <v>6430</v>
      </c>
      <c r="H21" s="6">
        <v>33890</v>
      </c>
      <c r="I21" s="6">
        <v>0</v>
      </c>
    </row>
    <row r="22" spans="1:9" x14ac:dyDescent="0.25">
      <c r="B22" s="7" t="s">
        <v>78</v>
      </c>
      <c r="C22" s="7"/>
      <c r="D22" s="7"/>
      <c r="E22" s="8">
        <v>68730</v>
      </c>
      <c r="F22" s="8">
        <v>86940</v>
      </c>
      <c r="G22" s="8">
        <v>18210</v>
      </c>
      <c r="H22" s="8">
        <v>68730</v>
      </c>
      <c r="I22" s="8">
        <v>0</v>
      </c>
    </row>
    <row r="23" spans="1:9" x14ac:dyDescent="0.25">
      <c r="B23" t="s">
        <v>74</v>
      </c>
      <c r="C23" t="s">
        <v>54</v>
      </c>
      <c r="D23" t="s">
        <v>12</v>
      </c>
      <c r="E23" s="5">
        <v>137910</v>
      </c>
      <c r="F23" s="5">
        <v>200020</v>
      </c>
      <c r="G23" s="5">
        <v>62110</v>
      </c>
      <c r="H23" s="5">
        <v>137910</v>
      </c>
      <c r="I23" s="5">
        <v>0</v>
      </c>
    </row>
    <row r="24" spans="1:9" x14ac:dyDescent="0.25">
      <c r="D24" t="s">
        <v>108</v>
      </c>
      <c r="E24" s="5">
        <v>75570</v>
      </c>
      <c r="F24" s="5">
        <v>93240</v>
      </c>
      <c r="G24" s="5">
        <v>17670</v>
      </c>
      <c r="H24" s="5">
        <v>75570</v>
      </c>
      <c r="I24" s="5">
        <v>0</v>
      </c>
    </row>
    <row r="25" spans="1:9" x14ac:dyDescent="0.25">
      <c r="C25" s="4" t="s">
        <v>72</v>
      </c>
      <c r="D25" s="4"/>
      <c r="E25" s="6">
        <v>213480</v>
      </c>
      <c r="F25" s="6">
        <v>293260</v>
      </c>
      <c r="G25" s="6">
        <v>79780</v>
      </c>
      <c r="H25" s="6">
        <v>213480</v>
      </c>
      <c r="I25" s="6">
        <v>0</v>
      </c>
    </row>
    <row r="26" spans="1:9" x14ac:dyDescent="0.25">
      <c r="C26" t="s">
        <v>98</v>
      </c>
      <c r="D26" t="s">
        <v>12</v>
      </c>
      <c r="E26" s="5">
        <v>33110</v>
      </c>
      <c r="F26" s="5">
        <v>52920</v>
      </c>
      <c r="G26" s="5">
        <v>19810</v>
      </c>
      <c r="H26" s="5">
        <v>33110</v>
      </c>
      <c r="I26" s="5">
        <v>0</v>
      </c>
    </row>
    <row r="27" spans="1:9" x14ac:dyDescent="0.25">
      <c r="C27" s="4" t="s">
        <v>101</v>
      </c>
      <c r="D27" s="4"/>
      <c r="E27" s="6">
        <v>33110</v>
      </c>
      <c r="F27" s="6">
        <v>52920</v>
      </c>
      <c r="G27" s="6">
        <v>19810</v>
      </c>
      <c r="H27" s="6">
        <v>33110</v>
      </c>
      <c r="I27" s="6">
        <v>0</v>
      </c>
    </row>
    <row r="28" spans="1:9" x14ac:dyDescent="0.25">
      <c r="B28" s="7" t="s">
        <v>80</v>
      </c>
      <c r="C28" s="7"/>
      <c r="D28" s="7"/>
      <c r="E28" s="8">
        <v>246590</v>
      </c>
      <c r="F28" s="8">
        <v>346180</v>
      </c>
      <c r="G28" s="8">
        <v>99590</v>
      </c>
      <c r="H28" s="8">
        <v>246590</v>
      </c>
      <c r="I28" s="8">
        <v>0</v>
      </c>
    </row>
    <row r="29" spans="1:9" x14ac:dyDescent="0.25">
      <c r="B29" t="s">
        <v>57</v>
      </c>
      <c r="C29" t="s">
        <v>54</v>
      </c>
      <c r="D29" t="s">
        <v>73</v>
      </c>
      <c r="E29" s="5">
        <v>44930</v>
      </c>
      <c r="F29" s="5">
        <v>45040</v>
      </c>
      <c r="G29" s="5">
        <v>110</v>
      </c>
      <c r="H29" s="5"/>
      <c r="I29" s="5"/>
    </row>
    <row r="30" spans="1:9" x14ac:dyDescent="0.25">
      <c r="D30" t="s">
        <v>56</v>
      </c>
      <c r="E30" s="5">
        <v>247610</v>
      </c>
      <c r="F30" s="5">
        <v>378160</v>
      </c>
      <c r="G30" s="5">
        <v>130550</v>
      </c>
      <c r="H30" s="5"/>
      <c r="I30" s="5">
        <v>0</v>
      </c>
    </row>
    <row r="31" spans="1:9" x14ac:dyDescent="0.25">
      <c r="C31" s="4" t="s">
        <v>72</v>
      </c>
      <c r="D31" s="4"/>
      <c r="E31" s="6">
        <v>292540</v>
      </c>
      <c r="F31" s="6">
        <v>423200</v>
      </c>
      <c r="G31" s="6">
        <v>130660</v>
      </c>
      <c r="H31" s="6"/>
      <c r="I31" s="6">
        <v>0</v>
      </c>
    </row>
    <row r="32" spans="1:9" x14ac:dyDescent="0.25">
      <c r="C32" t="s">
        <v>98</v>
      </c>
      <c r="D32" t="s">
        <v>56</v>
      </c>
      <c r="E32" s="5">
        <v>228730</v>
      </c>
      <c r="F32" s="5">
        <v>252310</v>
      </c>
      <c r="G32" s="5">
        <v>23580</v>
      </c>
      <c r="H32" s="5"/>
      <c r="I32" s="5">
        <v>0</v>
      </c>
    </row>
    <row r="33" spans="1:9" x14ac:dyDescent="0.25">
      <c r="C33" s="4" t="s">
        <v>101</v>
      </c>
      <c r="D33" s="4"/>
      <c r="E33" s="6">
        <v>228730</v>
      </c>
      <c r="F33" s="6">
        <v>252310</v>
      </c>
      <c r="G33" s="6">
        <v>23580</v>
      </c>
      <c r="H33" s="6"/>
      <c r="I33" s="6">
        <v>0</v>
      </c>
    </row>
    <row r="34" spans="1:9" x14ac:dyDescent="0.25">
      <c r="B34" s="7" t="s">
        <v>79</v>
      </c>
      <c r="C34" s="7"/>
      <c r="D34" s="7"/>
      <c r="E34" s="8">
        <v>521270</v>
      </c>
      <c r="F34" s="8">
        <v>675510</v>
      </c>
      <c r="G34" s="8">
        <v>154240</v>
      </c>
      <c r="H34" s="8"/>
      <c r="I34" s="8">
        <v>0</v>
      </c>
    </row>
    <row r="35" spans="1:9" x14ac:dyDescent="0.25">
      <c r="A35" s="9" t="s">
        <v>77</v>
      </c>
      <c r="B35" s="9"/>
      <c r="C35" s="9"/>
      <c r="D35" s="9"/>
      <c r="E35" s="10">
        <v>836590</v>
      </c>
      <c r="F35" s="10">
        <v>1108630</v>
      </c>
      <c r="G35" s="10">
        <v>272040</v>
      </c>
      <c r="H35" s="10">
        <v>315320</v>
      </c>
      <c r="I35" s="10">
        <v>0</v>
      </c>
    </row>
    <row r="36" spans="1:9" x14ac:dyDescent="0.25">
      <c r="A36" t="s">
        <v>237</v>
      </c>
      <c r="B36" t="s">
        <v>51</v>
      </c>
      <c r="C36" t="s">
        <v>54</v>
      </c>
      <c r="D36" t="s">
        <v>12</v>
      </c>
      <c r="E36" s="5">
        <v>269390</v>
      </c>
      <c r="F36" s="5">
        <v>418800</v>
      </c>
      <c r="G36" s="5">
        <v>149410</v>
      </c>
      <c r="H36" s="5">
        <v>269390</v>
      </c>
      <c r="I36" s="5">
        <v>0</v>
      </c>
    </row>
    <row r="37" spans="1:9" x14ac:dyDescent="0.25">
      <c r="D37" t="s">
        <v>56</v>
      </c>
      <c r="E37" s="5">
        <v>96200</v>
      </c>
      <c r="F37" s="5">
        <v>132300</v>
      </c>
      <c r="G37" s="5">
        <v>36100</v>
      </c>
      <c r="H37" s="5"/>
      <c r="I37" s="5">
        <v>0</v>
      </c>
    </row>
    <row r="38" spans="1:9" x14ac:dyDescent="0.25">
      <c r="D38" t="s">
        <v>213</v>
      </c>
      <c r="E38" s="5">
        <v>108270</v>
      </c>
      <c r="F38" s="5">
        <v>150570</v>
      </c>
      <c r="G38" s="5">
        <v>42300</v>
      </c>
      <c r="H38" s="5">
        <v>108270</v>
      </c>
      <c r="I38" s="5">
        <v>0</v>
      </c>
    </row>
    <row r="39" spans="1:9" x14ac:dyDescent="0.25">
      <c r="D39" t="s">
        <v>219</v>
      </c>
      <c r="E39" s="5">
        <v>1870</v>
      </c>
      <c r="F39" s="5">
        <v>2840</v>
      </c>
      <c r="G39" s="5">
        <v>970</v>
      </c>
      <c r="H39" s="5">
        <v>1870</v>
      </c>
      <c r="I39" s="5">
        <v>0</v>
      </c>
    </row>
    <row r="40" spans="1:9" x14ac:dyDescent="0.25">
      <c r="D40" t="s">
        <v>225</v>
      </c>
      <c r="E40" s="5">
        <v>68700</v>
      </c>
      <c r="F40" s="5">
        <v>93870</v>
      </c>
      <c r="G40" s="5">
        <v>25170</v>
      </c>
      <c r="H40" s="5">
        <v>68700</v>
      </c>
      <c r="I40" s="5">
        <v>0</v>
      </c>
    </row>
    <row r="41" spans="1:9" x14ac:dyDescent="0.25">
      <c r="D41" t="s">
        <v>236</v>
      </c>
      <c r="E41" s="5">
        <v>63160</v>
      </c>
      <c r="F41" s="5">
        <v>81900</v>
      </c>
      <c r="G41" s="5">
        <v>18740</v>
      </c>
      <c r="H41" s="5">
        <v>63160</v>
      </c>
      <c r="I41" s="5">
        <v>0</v>
      </c>
    </row>
    <row r="42" spans="1:9" x14ac:dyDescent="0.25">
      <c r="C42" s="4" t="s">
        <v>72</v>
      </c>
      <c r="D42" s="4"/>
      <c r="E42" s="6">
        <v>607590</v>
      </c>
      <c r="F42" s="6">
        <v>880280</v>
      </c>
      <c r="G42" s="6">
        <v>272690</v>
      </c>
      <c r="H42" s="6">
        <v>511390</v>
      </c>
      <c r="I42" s="6">
        <v>0</v>
      </c>
    </row>
    <row r="43" spans="1:9" x14ac:dyDescent="0.25">
      <c r="B43" s="7" t="s">
        <v>78</v>
      </c>
      <c r="C43" s="7"/>
      <c r="D43" s="7"/>
      <c r="E43" s="8">
        <v>607590</v>
      </c>
      <c r="F43" s="8">
        <v>880280</v>
      </c>
      <c r="G43" s="8">
        <v>272690</v>
      </c>
      <c r="H43" s="8">
        <v>511390</v>
      </c>
      <c r="I43" s="8">
        <v>0</v>
      </c>
    </row>
    <row r="44" spans="1:9" x14ac:dyDescent="0.25">
      <c r="B44" t="s">
        <v>74</v>
      </c>
      <c r="C44" t="s">
        <v>54</v>
      </c>
      <c r="D44" t="s">
        <v>12</v>
      </c>
      <c r="E44" s="5">
        <v>93430</v>
      </c>
      <c r="F44" s="5">
        <v>137340</v>
      </c>
      <c r="G44" s="5">
        <v>43910</v>
      </c>
      <c r="H44" s="5">
        <v>93430</v>
      </c>
      <c r="I44" s="5">
        <v>0</v>
      </c>
    </row>
    <row r="45" spans="1:9" x14ac:dyDescent="0.25">
      <c r="D45" t="s">
        <v>170</v>
      </c>
      <c r="E45" s="5">
        <v>44920</v>
      </c>
      <c r="F45" s="5">
        <v>56700</v>
      </c>
      <c r="G45" s="5">
        <v>11780</v>
      </c>
      <c r="H45" s="5">
        <v>41620</v>
      </c>
      <c r="I45" s="5">
        <v>3300</v>
      </c>
    </row>
    <row r="46" spans="1:9" x14ac:dyDescent="0.25">
      <c r="C46" s="4" t="s">
        <v>72</v>
      </c>
      <c r="D46" s="4"/>
      <c r="E46" s="6">
        <v>138350</v>
      </c>
      <c r="F46" s="6">
        <v>194040</v>
      </c>
      <c r="G46" s="6">
        <v>55690</v>
      </c>
      <c r="H46" s="6">
        <v>135050</v>
      </c>
      <c r="I46" s="6">
        <v>3300</v>
      </c>
    </row>
    <row r="47" spans="1:9" x14ac:dyDescent="0.25">
      <c r="B47" s="7" t="s">
        <v>80</v>
      </c>
      <c r="C47" s="7"/>
      <c r="D47" s="7"/>
      <c r="E47" s="8">
        <v>138350</v>
      </c>
      <c r="F47" s="8">
        <v>194040</v>
      </c>
      <c r="G47" s="8">
        <v>55690</v>
      </c>
      <c r="H47" s="8">
        <v>135050</v>
      </c>
      <c r="I47" s="8">
        <v>3300</v>
      </c>
    </row>
    <row r="48" spans="1:9" x14ac:dyDescent="0.25">
      <c r="B48" t="s">
        <v>57</v>
      </c>
      <c r="C48" t="s">
        <v>54</v>
      </c>
      <c r="D48" t="s">
        <v>56</v>
      </c>
      <c r="E48" s="5">
        <v>490580</v>
      </c>
      <c r="F48" s="5">
        <v>725440</v>
      </c>
      <c r="G48" s="5">
        <v>234860</v>
      </c>
      <c r="H48" s="5"/>
      <c r="I48" s="5">
        <v>0</v>
      </c>
    </row>
    <row r="49" spans="1:9" x14ac:dyDescent="0.25">
      <c r="C49" s="4" t="s">
        <v>72</v>
      </c>
      <c r="D49" s="4"/>
      <c r="E49" s="6">
        <v>490580</v>
      </c>
      <c r="F49" s="6">
        <v>725440</v>
      </c>
      <c r="G49" s="6">
        <v>234860</v>
      </c>
      <c r="H49" s="6"/>
      <c r="I49" s="6">
        <v>0</v>
      </c>
    </row>
    <row r="50" spans="1:9" x14ac:dyDescent="0.25">
      <c r="B50" s="7" t="s">
        <v>79</v>
      </c>
      <c r="C50" s="7"/>
      <c r="D50" s="7"/>
      <c r="E50" s="8">
        <v>490580</v>
      </c>
      <c r="F50" s="8">
        <v>725440</v>
      </c>
      <c r="G50" s="8">
        <v>234860</v>
      </c>
      <c r="H50" s="8"/>
      <c r="I50" s="8">
        <v>0</v>
      </c>
    </row>
    <row r="51" spans="1:9" x14ac:dyDescent="0.25">
      <c r="A51" s="9" t="s">
        <v>238</v>
      </c>
      <c r="B51" s="9"/>
      <c r="C51" s="9"/>
      <c r="D51" s="9"/>
      <c r="E51" s="10">
        <v>1236520</v>
      </c>
      <c r="F51" s="10">
        <v>1799760</v>
      </c>
      <c r="G51" s="10">
        <v>563240</v>
      </c>
      <c r="H51" s="10">
        <v>646440</v>
      </c>
      <c r="I51" s="10">
        <v>3300</v>
      </c>
    </row>
    <row r="52" spans="1:9" x14ac:dyDescent="0.25">
      <c r="A52" t="s">
        <v>324</v>
      </c>
      <c r="B52" t="s">
        <v>51</v>
      </c>
      <c r="C52" t="s">
        <v>54</v>
      </c>
      <c r="D52" t="s">
        <v>12</v>
      </c>
      <c r="E52" s="5">
        <v>424300</v>
      </c>
      <c r="F52" s="5">
        <v>647340</v>
      </c>
      <c r="G52" s="5">
        <v>223040</v>
      </c>
      <c r="H52" s="5">
        <v>424300</v>
      </c>
      <c r="I52" s="5">
        <v>0</v>
      </c>
    </row>
    <row r="53" spans="1:9" x14ac:dyDescent="0.25">
      <c r="D53" t="s">
        <v>213</v>
      </c>
      <c r="E53" s="5">
        <v>34300</v>
      </c>
      <c r="F53" s="5">
        <v>46620</v>
      </c>
      <c r="G53" s="5">
        <v>12320</v>
      </c>
      <c r="H53" s="5">
        <v>34300</v>
      </c>
      <c r="I53" s="5">
        <v>0</v>
      </c>
    </row>
    <row r="54" spans="1:9" x14ac:dyDescent="0.25">
      <c r="D54" t="s">
        <v>320</v>
      </c>
      <c r="E54" s="5">
        <v>82150</v>
      </c>
      <c r="F54" s="5">
        <v>112140</v>
      </c>
      <c r="G54" s="5">
        <v>29990</v>
      </c>
      <c r="H54" s="5">
        <v>82150</v>
      </c>
      <c r="I54" s="5">
        <v>0</v>
      </c>
    </row>
    <row r="55" spans="1:9" x14ac:dyDescent="0.25">
      <c r="D55" t="s">
        <v>340</v>
      </c>
      <c r="E55" s="5">
        <v>64230</v>
      </c>
      <c r="F55" s="5">
        <v>81900</v>
      </c>
      <c r="G55" s="5">
        <v>17670</v>
      </c>
      <c r="H55" s="5">
        <v>64230</v>
      </c>
      <c r="I55" s="5">
        <v>0</v>
      </c>
    </row>
    <row r="56" spans="1:9" x14ac:dyDescent="0.25">
      <c r="D56" t="s">
        <v>344</v>
      </c>
      <c r="E56" s="5">
        <v>69080</v>
      </c>
      <c r="F56" s="5">
        <v>96390</v>
      </c>
      <c r="G56" s="5">
        <v>27310</v>
      </c>
      <c r="H56" s="5">
        <v>69080</v>
      </c>
      <c r="I56" s="5">
        <v>0</v>
      </c>
    </row>
    <row r="57" spans="1:9" x14ac:dyDescent="0.25">
      <c r="D57" t="s">
        <v>370</v>
      </c>
      <c r="E57" s="5">
        <v>72730</v>
      </c>
      <c r="F57" s="5">
        <v>106470</v>
      </c>
      <c r="G57" s="5">
        <v>33740</v>
      </c>
      <c r="H57" s="5">
        <v>72730</v>
      </c>
      <c r="I57" s="5">
        <v>0</v>
      </c>
    </row>
    <row r="58" spans="1:9" x14ac:dyDescent="0.25">
      <c r="D58" t="s">
        <v>380</v>
      </c>
      <c r="E58" s="5">
        <v>209420</v>
      </c>
      <c r="F58" s="5">
        <v>264250</v>
      </c>
      <c r="G58" s="5">
        <v>54830</v>
      </c>
      <c r="H58" s="5">
        <v>209420</v>
      </c>
      <c r="I58" s="5">
        <v>0</v>
      </c>
    </row>
    <row r="59" spans="1:9" x14ac:dyDescent="0.25">
      <c r="D59" t="s">
        <v>400</v>
      </c>
      <c r="E59" s="5">
        <v>67210</v>
      </c>
      <c r="F59" s="5">
        <v>96390</v>
      </c>
      <c r="G59" s="5">
        <v>29180</v>
      </c>
      <c r="H59" s="5">
        <v>67210</v>
      </c>
      <c r="I59" s="5">
        <v>0</v>
      </c>
    </row>
    <row r="60" spans="1:9" x14ac:dyDescent="0.25">
      <c r="D60" t="s">
        <v>439</v>
      </c>
      <c r="E60" s="5">
        <v>30180</v>
      </c>
      <c r="F60" s="5">
        <v>44100</v>
      </c>
      <c r="G60" s="5">
        <v>13920</v>
      </c>
      <c r="H60" s="5">
        <v>30180</v>
      </c>
      <c r="I60" s="5">
        <v>0</v>
      </c>
    </row>
    <row r="61" spans="1:9" x14ac:dyDescent="0.25">
      <c r="D61" t="s">
        <v>442</v>
      </c>
      <c r="E61" s="5">
        <v>40450</v>
      </c>
      <c r="F61" s="5">
        <v>66150</v>
      </c>
      <c r="G61" s="5">
        <v>25700</v>
      </c>
      <c r="H61" s="5">
        <v>40450</v>
      </c>
      <c r="I61" s="5">
        <v>0</v>
      </c>
    </row>
    <row r="62" spans="1:9" x14ac:dyDescent="0.25">
      <c r="C62" s="4" t="s">
        <v>72</v>
      </c>
      <c r="D62" s="4"/>
      <c r="E62" s="6">
        <v>1094050</v>
      </c>
      <c r="F62" s="6">
        <v>1561750</v>
      </c>
      <c r="G62" s="6">
        <v>467700</v>
      </c>
      <c r="H62" s="6">
        <v>1094050</v>
      </c>
      <c r="I62" s="6">
        <v>0</v>
      </c>
    </row>
    <row r="63" spans="1:9" x14ac:dyDescent="0.25">
      <c r="B63" s="7" t="s">
        <v>78</v>
      </c>
      <c r="C63" s="7"/>
      <c r="D63" s="7"/>
      <c r="E63" s="8">
        <v>1094050</v>
      </c>
      <c r="F63" s="8">
        <v>1561750</v>
      </c>
      <c r="G63" s="8">
        <v>467700</v>
      </c>
      <c r="H63" s="8">
        <v>1094050</v>
      </c>
      <c r="I63" s="8">
        <v>0</v>
      </c>
    </row>
    <row r="64" spans="1:9" x14ac:dyDescent="0.25">
      <c r="B64" t="s">
        <v>74</v>
      </c>
      <c r="C64" t="s">
        <v>54</v>
      </c>
      <c r="D64" t="s">
        <v>225</v>
      </c>
      <c r="E64" s="5">
        <v>34300</v>
      </c>
      <c r="F64" s="5">
        <v>46620</v>
      </c>
      <c r="G64" s="5">
        <v>12320</v>
      </c>
      <c r="H64" s="5">
        <v>34300</v>
      </c>
      <c r="I64" s="5">
        <v>0</v>
      </c>
    </row>
    <row r="65" spans="1:9" x14ac:dyDescent="0.25">
      <c r="C65" s="4" t="s">
        <v>72</v>
      </c>
      <c r="D65" s="4"/>
      <c r="E65" s="6">
        <v>34300</v>
      </c>
      <c r="F65" s="6">
        <v>46620</v>
      </c>
      <c r="G65" s="6">
        <v>12320</v>
      </c>
      <c r="H65" s="6">
        <v>34300</v>
      </c>
      <c r="I65" s="6">
        <v>0</v>
      </c>
    </row>
    <row r="66" spans="1:9" x14ac:dyDescent="0.25">
      <c r="B66" s="7" t="s">
        <v>80</v>
      </c>
      <c r="C66" s="7"/>
      <c r="D66" s="7"/>
      <c r="E66" s="8">
        <v>34300</v>
      </c>
      <c r="F66" s="8">
        <v>46620</v>
      </c>
      <c r="G66" s="8">
        <v>12320</v>
      </c>
      <c r="H66" s="8">
        <v>34300</v>
      </c>
      <c r="I66" s="8">
        <v>0</v>
      </c>
    </row>
    <row r="67" spans="1:9" x14ac:dyDescent="0.25">
      <c r="B67" t="s">
        <v>57</v>
      </c>
      <c r="C67" t="s">
        <v>54</v>
      </c>
      <c r="D67" t="s">
        <v>56</v>
      </c>
      <c r="E67" s="5">
        <v>493230</v>
      </c>
      <c r="F67" s="5">
        <v>743080</v>
      </c>
      <c r="G67" s="5">
        <v>249850</v>
      </c>
      <c r="H67" s="5">
        <v>46590</v>
      </c>
      <c r="I67" s="5">
        <v>0</v>
      </c>
    </row>
    <row r="68" spans="1:9" x14ac:dyDescent="0.25">
      <c r="C68" s="4" t="s">
        <v>72</v>
      </c>
      <c r="D68" s="4"/>
      <c r="E68" s="6">
        <v>493230</v>
      </c>
      <c r="F68" s="6">
        <v>743080</v>
      </c>
      <c r="G68" s="6">
        <v>249850</v>
      </c>
      <c r="H68" s="6">
        <v>46590</v>
      </c>
      <c r="I68" s="6">
        <v>0</v>
      </c>
    </row>
    <row r="69" spans="1:9" x14ac:dyDescent="0.25">
      <c r="B69" s="7" t="s">
        <v>79</v>
      </c>
      <c r="C69" s="7"/>
      <c r="D69" s="7"/>
      <c r="E69" s="8">
        <v>493230</v>
      </c>
      <c r="F69" s="8">
        <v>743080</v>
      </c>
      <c r="G69" s="8">
        <v>249850</v>
      </c>
      <c r="H69" s="8">
        <v>46590</v>
      </c>
      <c r="I69" s="8">
        <v>0</v>
      </c>
    </row>
    <row r="70" spans="1:9" x14ac:dyDescent="0.25">
      <c r="B70" t="s">
        <v>372</v>
      </c>
      <c r="C70" t="s">
        <v>54</v>
      </c>
      <c r="D70" t="s">
        <v>370</v>
      </c>
      <c r="E70" s="5">
        <v>31630</v>
      </c>
      <c r="F70" s="5">
        <v>46620</v>
      </c>
      <c r="G70" s="5">
        <v>14990</v>
      </c>
      <c r="H70" s="5">
        <v>31630</v>
      </c>
      <c r="I70" s="5">
        <v>0</v>
      </c>
    </row>
    <row r="71" spans="1:9" x14ac:dyDescent="0.25">
      <c r="C71" s="4" t="s">
        <v>72</v>
      </c>
      <c r="D71" s="4"/>
      <c r="E71" s="6">
        <v>31630</v>
      </c>
      <c r="F71" s="6">
        <v>46620</v>
      </c>
      <c r="G71" s="6">
        <v>14990</v>
      </c>
      <c r="H71" s="6">
        <v>31630</v>
      </c>
      <c r="I71" s="6">
        <v>0</v>
      </c>
    </row>
    <row r="72" spans="1:9" x14ac:dyDescent="0.25">
      <c r="B72" s="7" t="s">
        <v>375</v>
      </c>
      <c r="C72" s="7"/>
      <c r="D72" s="7"/>
      <c r="E72" s="8">
        <v>31630</v>
      </c>
      <c r="F72" s="8">
        <v>46620</v>
      </c>
      <c r="G72" s="8">
        <v>14990</v>
      </c>
      <c r="H72" s="8">
        <v>31630</v>
      </c>
      <c r="I72" s="8">
        <v>0</v>
      </c>
    </row>
    <row r="73" spans="1:9" x14ac:dyDescent="0.25">
      <c r="A73" s="9" t="s">
        <v>325</v>
      </c>
      <c r="B73" s="9"/>
      <c r="C73" s="9"/>
      <c r="D73" s="9"/>
      <c r="E73" s="10">
        <v>1653210</v>
      </c>
      <c r="F73" s="10">
        <v>2398070</v>
      </c>
      <c r="G73" s="10">
        <v>744860</v>
      </c>
      <c r="H73" s="10">
        <v>1206570</v>
      </c>
      <c r="I73" s="10">
        <v>0</v>
      </c>
    </row>
    <row r="74" spans="1:9" x14ac:dyDescent="0.25">
      <c r="A74" t="s">
        <v>443</v>
      </c>
      <c r="B74" t="s">
        <v>51</v>
      </c>
      <c r="C74" t="s">
        <v>54</v>
      </c>
      <c r="D74" t="s">
        <v>12</v>
      </c>
      <c r="E74" s="5">
        <v>301310</v>
      </c>
      <c r="F74" s="5">
        <v>504000</v>
      </c>
      <c r="G74" s="5">
        <v>202690</v>
      </c>
      <c r="H74" s="5">
        <v>301310</v>
      </c>
      <c r="I74" s="5">
        <v>0</v>
      </c>
    </row>
    <row r="75" spans="1:9" x14ac:dyDescent="0.25">
      <c r="D75" t="s">
        <v>380</v>
      </c>
      <c r="E75" s="5">
        <v>105370</v>
      </c>
      <c r="F75" s="5">
        <v>120360</v>
      </c>
      <c r="G75" s="5">
        <v>14990</v>
      </c>
      <c r="H75" s="5">
        <v>105370</v>
      </c>
      <c r="I75" s="5">
        <v>0</v>
      </c>
    </row>
    <row r="76" spans="1:9" x14ac:dyDescent="0.25">
      <c r="D76" t="s">
        <v>439</v>
      </c>
      <c r="E76" s="5">
        <v>84520</v>
      </c>
      <c r="F76" s="5">
        <v>127900</v>
      </c>
      <c r="G76" s="5">
        <v>43380</v>
      </c>
      <c r="H76" s="5">
        <v>84520</v>
      </c>
      <c r="I76" s="5">
        <v>0</v>
      </c>
    </row>
    <row r="77" spans="1:9" x14ac:dyDescent="0.25">
      <c r="D77" t="s">
        <v>446</v>
      </c>
      <c r="E77" s="5">
        <v>1250</v>
      </c>
      <c r="F77" s="5">
        <v>1890</v>
      </c>
      <c r="G77" s="5">
        <v>640</v>
      </c>
      <c r="H77" s="5">
        <v>1250</v>
      </c>
      <c r="I77" s="5">
        <v>0</v>
      </c>
    </row>
    <row r="78" spans="1:9" x14ac:dyDescent="0.25">
      <c r="D78" t="s">
        <v>453</v>
      </c>
      <c r="E78" s="5">
        <v>149340</v>
      </c>
      <c r="F78" s="5">
        <v>206640</v>
      </c>
      <c r="G78" s="5">
        <v>57300</v>
      </c>
      <c r="H78" s="5">
        <v>149340</v>
      </c>
      <c r="I78" s="5">
        <v>0</v>
      </c>
    </row>
    <row r="79" spans="1:9" x14ac:dyDescent="0.25">
      <c r="D79" t="s">
        <v>474</v>
      </c>
      <c r="E79" s="5">
        <v>228200</v>
      </c>
      <c r="F79" s="5">
        <v>303980</v>
      </c>
      <c r="G79" s="5">
        <v>75780</v>
      </c>
      <c r="H79" s="5">
        <v>228200</v>
      </c>
      <c r="I79" s="5">
        <v>0</v>
      </c>
    </row>
    <row r="80" spans="1:9" x14ac:dyDescent="0.25">
      <c r="D80" t="s">
        <v>529</v>
      </c>
      <c r="E80" s="5">
        <v>294580</v>
      </c>
      <c r="F80" s="5">
        <v>453830</v>
      </c>
      <c r="G80" s="5">
        <v>159250</v>
      </c>
      <c r="H80" s="5">
        <v>294580</v>
      </c>
      <c r="I80" s="5">
        <v>0</v>
      </c>
    </row>
    <row r="81" spans="1:9" x14ac:dyDescent="0.25">
      <c r="D81" t="s">
        <v>559</v>
      </c>
      <c r="E81" s="5">
        <v>42430</v>
      </c>
      <c r="F81" s="5">
        <v>47250</v>
      </c>
      <c r="G81" s="5">
        <v>4820</v>
      </c>
      <c r="H81" s="5">
        <v>39220</v>
      </c>
      <c r="I81" s="5">
        <v>3210</v>
      </c>
    </row>
    <row r="82" spans="1:9" x14ac:dyDescent="0.25">
      <c r="C82" s="4" t="s">
        <v>72</v>
      </c>
      <c r="D82" s="4"/>
      <c r="E82" s="6">
        <v>1207000</v>
      </c>
      <c r="F82" s="6">
        <v>1765850</v>
      </c>
      <c r="G82" s="6">
        <v>558850</v>
      </c>
      <c r="H82" s="6">
        <v>1203790</v>
      </c>
      <c r="I82" s="6">
        <v>3210</v>
      </c>
    </row>
    <row r="83" spans="1:9" x14ac:dyDescent="0.25">
      <c r="B83" s="7" t="s">
        <v>78</v>
      </c>
      <c r="C83" s="7"/>
      <c r="D83" s="7"/>
      <c r="E83" s="8">
        <v>1207000</v>
      </c>
      <c r="F83" s="8">
        <v>1765850</v>
      </c>
      <c r="G83" s="8">
        <v>558850</v>
      </c>
      <c r="H83" s="8">
        <v>1203790</v>
      </c>
      <c r="I83" s="8">
        <v>3210</v>
      </c>
    </row>
    <row r="84" spans="1:9" x14ac:dyDescent="0.25">
      <c r="B84" t="s">
        <v>74</v>
      </c>
      <c r="C84" t="s">
        <v>54</v>
      </c>
      <c r="D84" s="11" t="s">
        <v>236</v>
      </c>
      <c r="E84" s="5">
        <v>53240</v>
      </c>
      <c r="F84" s="5">
        <v>69300</v>
      </c>
      <c r="G84" s="5">
        <v>16060</v>
      </c>
      <c r="H84" s="5">
        <v>49910</v>
      </c>
      <c r="I84" s="5">
        <v>3330</v>
      </c>
    </row>
    <row r="85" spans="1:9" x14ac:dyDescent="0.25">
      <c r="C85" s="4" t="s">
        <v>72</v>
      </c>
      <c r="D85" s="4"/>
      <c r="E85" s="6">
        <v>53240</v>
      </c>
      <c r="F85" s="6">
        <v>69300</v>
      </c>
      <c r="G85" s="6">
        <v>16060</v>
      </c>
      <c r="H85" s="6">
        <v>49910</v>
      </c>
      <c r="I85" s="6">
        <v>3330</v>
      </c>
    </row>
    <row r="86" spans="1:9" x14ac:dyDescent="0.25">
      <c r="B86" s="7" t="s">
        <v>80</v>
      </c>
      <c r="C86" s="7"/>
      <c r="D86" s="7"/>
      <c r="E86" s="8">
        <v>53240</v>
      </c>
      <c r="F86" s="8">
        <v>69300</v>
      </c>
      <c r="G86" s="8">
        <v>16060</v>
      </c>
      <c r="H86" s="8">
        <v>49910</v>
      </c>
      <c r="I86" s="8">
        <v>3330</v>
      </c>
    </row>
    <row r="87" spans="1:9" x14ac:dyDescent="0.25">
      <c r="B87" t="s">
        <v>56</v>
      </c>
      <c r="C87" t="s">
        <v>54</v>
      </c>
      <c r="D87" t="s">
        <v>56</v>
      </c>
      <c r="E87" s="5">
        <v>243520</v>
      </c>
      <c r="F87" s="5">
        <v>350910</v>
      </c>
      <c r="G87" s="5">
        <v>107390</v>
      </c>
      <c r="H87" s="5">
        <v>243520</v>
      </c>
      <c r="I87" s="5">
        <v>0</v>
      </c>
    </row>
    <row r="88" spans="1:9" x14ac:dyDescent="0.25">
      <c r="C88" s="4" t="s">
        <v>72</v>
      </c>
      <c r="D88" s="4"/>
      <c r="E88" s="6">
        <v>243520</v>
      </c>
      <c r="F88" s="6">
        <v>350910</v>
      </c>
      <c r="G88" s="6">
        <v>107390</v>
      </c>
      <c r="H88" s="6">
        <v>243520</v>
      </c>
      <c r="I88" s="6">
        <v>0</v>
      </c>
    </row>
    <row r="89" spans="1:9" x14ac:dyDescent="0.25">
      <c r="B89" s="7" t="s">
        <v>531</v>
      </c>
      <c r="C89" s="7"/>
      <c r="D89" s="7"/>
      <c r="E89" s="8">
        <v>243520</v>
      </c>
      <c r="F89" s="8">
        <v>350910</v>
      </c>
      <c r="G89" s="8">
        <v>107390</v>
      </c>
      <c r="H89" s="8">
        <v>243520</v>
      </c>
      <c r="I89" s="8">
        <v>0</v>
      </c>
    </row>
    <row r="90" spans="1:9" x14ac:dyDescent="0.25">
      <c r="B90" t="s">
        <v>57</v>
      </c>
      <c r="C90" t="s">
        <v>54</v>
      </c>
      <c r="D90" t="s">
        <v>56</v>
      </c>
      <c r="E90" s="5">
        <v>152510</v>
      </c>
      <c r="F90" s="5">
        <v>253260</v>
      </c>
      <c r="G90" s="5">
        <v>100750</v>
      </c>
      <c r="H90" s="5">
        <v>52630</v>
      </c>
      <c r="I90" s="5">
        <v>0</v>
      </c>
    </row>
    <row r="91" spans="1:9" x14ac:dyDescent="0.25">
      <c r="C91" s="4" t="s">
        <v>72</v>
      </c>
      <c r="D91" s="4"/>
      <c r="E91" s="6">
        <v>152510</v>
      </c>
      <c r="F91" s="6">
        <v>253260</v>
      </c>
      <c r="G91" s="6">
        <v>100750</v>
      </c>
      <c r="H91" s="6">
        <v>52630</v>
      </c>
      <c r="I91" s="6">
        <v>0</v>
      </c>
    </row>
    <row r="92" spans="1:9" x14ac:dyDescent="0.25">
      <c r="B92" s="7" t="s">
        <v>79</v>
      </c>
      <c r="C92" s="7"/>
      <c r="D92" s="7"/>
      <c r="E92" s="8">
        <v>152510</v>
      </c>
      <c r="F92" s="8">
        <v>253260</v>
      </c>
      <c r="G92" s="8">
        <v>100750</v>
      </c>
      <c r="H92" s="8">
        <v>52630</v>
      </c>
      <c r="I92" s="8">
        <v>0</v>
      </c>
    </row>
    <row r="93" spans="1:9" x14ac:dyDescent="0.25">
      <c r="A93" s="9" t="s">
        <v>448</v>
      </c>
      <c r="B93" s="9"/>
      <c r="C93" s="9"/>
      <c r="D93" s="9"/>
      <c r="E93" s="10">
        <v>1656270</v>
      </c>
      <c r="F93" s="10">
        <v>2439320</v>
      </c>
      <c r="G93" s="10">
        <v>783050</v>
      </c>
      <c r="H93" s="10">
        <v>1549850</v>
      </c>
      <c r="I93" s="10">
        <v>6540</v>
      </c>
    </row>
    <row r="94" spans="1:9" x14ac:dyDescent="0.25">
      <c r="A94" t="s">
        <v>604</v>
      </c>
      <c r="B94" t="s">
        <v>51</v>
      </c>
      <c r="C94" t="s">
        <v>54</v>
      </c>
      <c r="D94" t="s">
        <v>380</v>
      </c>
      <c r="E94" s="5">
        <v>76570</v>
      </c>
      <c r="F94" s="5">
        <v>94580</v>
      </c>
      <c r="G94" s="5">
        <v>18010</v>
      </c>
      <c r="H94" s="5">
        <v>76570</v>
      </c>
      <c r="I94" s="5">
        <v>0</v>
      </c>
    </row>
    <row r="95" spans="1:9" x14ac:dyDescent="0.25">
      <c r="D95" t="s">
        <v>439</v>
      </c>
      <c r="E95" s="5">
        <v>364220</v>
      </c>
      <c r="F95" s="5">
        <v>545000</v>
      </c>
      <c r="G95" s="5">
        <v>180780</v>
      </c>
      <c r="H95" s="5">
        <v>364220</v>
      </c>
      <c r="I95" s="5">
        <v>0</v>
      </c>
    </row>
    <row r="96" spans="1:9" x14ac:dyDescent="0.25">
      <c r="D96" t="s">
        <v>453</v>
      </c>
      <c r="E96" s="5">
        <v>223710</v>
      </c>
      <c r="F96" s="5">
        <v>274050</v>
      </c>
      <c r="G96" s="5">
        <v>50340</v>
      </c>
      <c r="H96" s="5">
        <v>223710</v>
      </c>
      <c r="I96" s="5">
        <v>0</v>
      </c>
    </row>
    <row r="97" spans="1:9" x14ac:dyDescent="0.25">
      <c r="D97" t="s">
        <v>474</v>
      </c>
      <c r="E97" s="5">
        <v>84140</v>
      </c>
      <c r="F97" s="5">
        <v>103950</v>
      </c>
      <c r="G97" s="5">
        <v>19810</v>
      </c>
      <c r="H97" s="5">
        <v>84140</v>
      </c>
      <c r="I97" s="5">
        <v>0</v>
      </c>
    </row>
    <row r="98" spans="1:9" x14ac:dyDescent="0.25">
      <c r="D98" t="s">
        <v>529</v>
      </c>
      <c r="E98" s="5">
        <v>335230</v>
      </c>
      <c r="F98" s="5">
        <v>543880</v>
      </c>
      <c r="G98" s="5">
        <v>208650</v>
      </c>
      <c r="H98" s="5">
        <v>335230</v>
      </c>
      <c r="I98" s="5">
        <v>0</v>
      </c>
    </row>
    <row r="99" spans="1:9" x14ac:dyDescent="0.25">
      <c r="D99" t="s">
        <v>695</v>
      </c>
      <c r="E99" s="5">
        <v>81330</v>
      </c>
      <c r="F99" s="5">
        <v>110250</v>
      </c>
      <c r="G99" s="5">
        <v>28920</v>
      </c>
      <c r="H99" s="5">
        <v>73940</v>
      </c>
      <c r="I99" s="5">
        <v>7390</v>
      </c>
    </row>
    <row r="100" spans="1:9" x14ac:dyDescent="0.25">
      <c r="D100" t="s">
        <v>700</v>
      </c>
      <c r="E100" s="5">
        <v>1670</v>
      </c>
      <c r="F100" s="5">
        <v>2200</v>
      </c>
      <c r="G100" s="5">
        <v>530</v>
      </c>
      <c r="H100" s="5">
        <v>1670</v>
      </c>
      <c r="I100" s="5">
        <v>0</v>
      </c>
    </row>
    <row r="101" spans="1:9" x14ac:dyDescent="0.25">
      <c r="D101" t="s">
        <v>705</v>
      </c>
      <c r="E101" s="5">
        <v>29300</v>
      </c>
      <c r="F101" s="5">
        <v>34650</v>
      </c>
      <c r="G101" s="5">
        <v>5350</v>
      </c>
      <c r="H101" s="5">
        <v>29300</v>
      </c>
      <c r="I101" s="5">
        <v>0</v>
      </c>
    </row>
    <row r="102" spans="1:9" x14ac:dyDescent="0.25">
      <c r="D102" t="s">
        <v>759</v>
      </c>
      <c r="E102" s="5">
        <v>31630</v>
      </c>
      <c r="F102" s="5">
        <v>46620</v>
      </c>
      <c r="G102" s="5">
        <v>14990</v>
      </c>
      <c r="H102" s="5">
        <v>31630</v>
      </c>
      <c r="I102" s="5">
        <v>0</v>
      </c>
    </row>
    <row r="103" spans="1:9" x14ac:dyDescent="0.25">
      <c r="C103" s="4" t="s">
        <v>72</v>
      </c>
      <c r="D103" s="4"/>
      <c r="E103" s="6">
        <v>1227800</v>
      </c>
      <c r="F103" s="6">
        <v>1755180</v>
      </c>
      <c r="G103" s="6">
        <v>527380</v>
      </c>
      <c r="H103" s="6">
        <v>1220410</v>
      </c>
      <c r="I103" s="6">
        <v>7390</v>
      </c>
    </row>
    <row r="104" spans="1:9" x14ac:dyDescent="0.25">
      <c r="B104" s="7" t="s">
        <v>78</v>
      </c>
      <c r="C104" s="7"/>
      <c r="D104" s="7"/>
      <c r="E104" s="8">
        <v>1227800</v>
      </c>
      <c r="F104" s="8">
        <v>1755180</v>
      </c>
      <c r="G104" s="8">
        <v>527380</v>
      </c>
      <c r="H104" s="8">
        <v>1220410</v>
      </c>
      <c r="I104" s="8">
        <v>7390</v>
      </c>
    </row>
    <row r="105" spans="1:9" x14ac:dyDescent="0.25">
      <c r="B105" t="s">
        <v>56</v>
      </c>
      <c r="C105" t="s">
        <v>54</v>
      </c>
      <c r="D105" t="s">
        <v>56</v>
      </c>
      <c r="E105" s="5">
        <v>442620</v>
      </c>
      <c r="F105" s="5">
        <v>660240</v>
      </c>
      <c r="G105" s="5">
        <v>217620</v>
      </c>
      <c r="H105" s="5">
        <v>442620</v>
      </c>
      <c r="I105" s="5">
        <v>0</v>
      </c>
    </row>
    <row r="106" spans="1:9" x14ac:dyDescent="0.25">
      <c r="C106" s="4" t="s">
        <v>72</v>
      </c>
      <c r="D106" s="4"/>
      <c r="E106" s="6">
        <v>442620</v>
      </c>
      <c r="F106" s="6">
        <v>660240</v>
      </c>
      <c r="G106" s="6">
        <v>217620</v>
      </c>
      <c r="H106" s="6">
        <v>442620</v>
      </c>
      <c r="I106" s="6">
        <v>0</v>
      </c>
    </row>
    <row r="107" spans="1:9" x14ac:dyDescent="0.25">
      <c r="B107" s="7" t="s">
        <v>531</v>
      </c>
      <c r="C107" s="7"/>
      <c r="D107" s="7"/>
      <c r="E107" s="8">
        <v>442620</v>
      </c>
      <c r="F107" s="8">
        <v>660240</v>
      </c>
      <c r="G107" s="8">
        <v>217620</v>
      </c>
      <c r="H107" s="8">
        <v>442620</v>
      </c>
      <c r="I107" s="8">
        <v>0</v>
      </c>
    </row>
    <row r="108" spans="1:9" x14ac:dyDescent="0.25">
      <c r="A108" s="9" t="s">
        <v>611</v>
      </c>
      <c r="B108" s="9"/>
      <c r="C108" s="9"/>
      <c r="D108" s="9"/>
      <c r="E108" s="10">
        <v>1670420</v>
      </c>
      <c r="F108" s="10">
        <v>2415420</v>
      </c>
      <c r="G108" s="10">
        <v>745000</v>
      </c>
      <c r="H108" s="10">
        <v>1663030</v>
      </c>
      <c r="I108" s="10">
        <v>7390</v>
      </c>
    </row>
    <row r="109" spans="1:9" x14ac:dyDescent="0.25">
      <c r="A109" t="s">
        <v>768</v>
      </c>
      <c r="B109" t="s">
        <v>51</v>
      </c>
      <c r="C109" t="s">
        <v>54</v>
      </c>
      <c r="D109" t="s">
        <v>56</v>
      </c>
      <c r="E109" s="5">
        <v>48100</v>
      </c>
      <c r="F109" s="5">
        <v>66150</v>
      </c>
      <c r="G109" s="5">
        <v>18050</v>
      </c>
      <c r="H109" s="5">
        <v>48100</v>
      </c>
      <c r="I109" s="5">
        <v>0</v>
      </c>
    </row>
    <row r="110" spans="1:9" x14ac:dyDescent="0.25">
      <c r="D110" t="s">
        <v>380</v>
      </c>
      <c r="E110" s="5">
        <v>291110</v>
      </c>
      <c r="F110" s="5">
        <v>322190</v>
      </c>
      <c r="G110" s="5">
        <v>31080</v>
      </c>
      <c r="H110" s="5">
        <v>291110</v>
      </c>
      <c r="I110" s="5">
        <v>0</v>
      </c>
    </row>
    <row r="111" spans="1:9" x14ac:dyDescent="0.25">
      <c r="D111" t="s">
        <v>400</v>
      </c>
      <c r="E111" s="5">
        <v>66400</v>
      </c>
      <c r="F111" s="5">
        <v>96390</v>
      </c>
      <c r="G111" s="5">
        <v>29990</v>
      </c>
      <c r="H111" s="5">
        <v>66400</v>
      </c>
      <c r="I111" s="5">
        <v>0</v>
      </c>
    </row>
    <row r="112" spans="1:9" x14ac:dyDescent="0.25">
      <c r="D112" t="s">
        <v>439</v>
      </c>
      <c r="E112" s="5">
        <v>648470</v>
      </c>
      <c r="F112" s="5">
        <v>952940</v>
      </c>
      <c r="G112" s="5">
        <v>304470</v>
      </c>
      <c r="H112" s="5">
        <v>648470</v>
      </c>
      <c r="I112" s="5">
        <v>0</v>
      </c>
    </row>
    <row r="113" spans="1:9" x14ac:dyDescent="0.25">
      <c r="D113" t="s">
        <v>453</v>
      </c>
      <c r="E113" s="5">
        <v>68950</v>
      </c>
      <c r="F113" s="5">
        <v>102690</v>
      </c>
      <c r="G113" s="5">
        <v>33740</v>
      </c>
      <c r="H113" s="5">
        <v>68950</v>
      </c>
      <c r="I113" s="5">
        <v>0</v>
      </c>
    </row>
    <row r="114" spans="1:9" x14ac:dyDescent="0.25">
      <c r="D114" t="s">
        <v>529</v>
      </c>
      <c r="E114" s="5">
        <v>122220</v>
      </c>
      <c r="F114" s="5">
        <v>186480</v>
      </c>
      <c r="G114" s="5">
        <v>64260</v>
      </c>
      <c r="H114" s="5">
        <v>122220</v>
      </c>
      <c r="I114" s="5">
        <v>0</v>
      </c>
    </row>
    <row r="115" spans="1:9" x14ac:dyDescent="0.25">
      <c r="D115" t="s">
        <v>859</v>
      </c>
      <c r="E115" s="5">
        <v>36950</v>
      </c>
      <c r="F115" s="5">
        <v>53550</v>
      </c>
      <c r="G115" s="5">
        <v>16600</v>
      </c>
      <c r="H115" s="5">
        <v>36950</v>
      </c>
      <c r="I115" s="5">
        <v>0</v>
      </c>
    </row>
    <row r="116" spans="1:9" x14ac:dyDescent="0.25">
      <c r="C116" s="4" t="s">
        <v>72</v>
      </c>
      <c r="D116" s="4"/>
      <c r="E116" s="6">
        <v>1282200</v>
      </c>
      <c r="F116" s="6">
        <v>1780390</v>
      </c>
      <c r="G116" s="6">
        <v>498190</v>
      </c>
      <c r="H116" s="6">
        <v>1282200</v>
      </c>
      <c r="I116" s="6">
        <v>0</v>
      </c>
    </row>
    <row r="117" spans="1:9" x14ac:dyDescent="0.25">
      <c r="B117" s="7" t="s">
        <v>78</v>
      </c>
      <c r="C117" s="7"/>
      <c r="D117" s="7"/>
      <c r="E117" s="8">
        <v>1282200</v>
      </c>
      <c r="F117" s="8">
        <v>1780390</v>
      </c>
      <c r="G117" s="8">
        <v>498190</v>
      </c>
      <c r="H117" s="8">
        <v>1282200</v>
      </c>
      <c r="I117" s="8">
        <v>0</v>
      </c>
    </row>
    <row r="118" spans="1:9" x14ac:dyDescent="0.25">
      <c r="B118" t="s">
        <v>56</v>
      </c>
      <c r="C118" t="s">
        <v>54</v>
      </c>
      <c r="D118" t="s">
        <v>56</v>
      </c>
      <c r="E118" s="5">
        <v>499730</v>
      </c>
      <c r="F118" s="5">
        <v>786560</v>
      </c>
      <c r="G118" s="5">
        <v>286830</v>
      </c>
      <c r="H118" s="5">
        <v>499730</v>
      </c>
      <c r="I118" s="5">
        <v>0</v>
      </c>
    </row>
    <row r="119" spans="1:9" x14ac:dyDescent="0.25">
      <c r="C119" s="4" t="s">
        <v>72</v>
      </c>
      <c r="D119" s="4"/>
      <c r="E119" s="6">
        <v>499730</v>
      </c>
      <c r="F119" s="6">
        <v>786560</v>
      </c>
      <c r="G119" s="6">
        <v>286830</v>
      </c>
      <c r="H119" s="6">
        <v>499730</v>
      </c>
      <c r="I119" s="6">
        <v>0</v>
      </c>
    </row>
    <row r="120" spans="1:9" x14ac:dyDescent="0.25">
      <c r="B120" s="7" t="s">
        <v>531</v>
      </c>
      <c r="C120" s="7"/>
      <c r="D120" s="7"/>
      <c r="E120" s="8">
        <v>499730</v>
      </c>
      <c r="F120" s="8">
        <v>786560</v>
      </c>
      <c r="G120" s="8">
        <v>286830</v>
      </c>
      <c r="H120" s="8">
        <v>499730</v>
      </c>
      <c r="I120" s="8">
        <v>0</v>
      </c>
    </row>
    <row r="121" spans="1:9" x14ac:dyDescent="0.25">
      <c r="A121" s="9" t="s">
        <v>780</v>
      </c>
      <c r="B121" s="9"/>
      <c r="C121" s="9"/>
      <c r="D121" s="9"/>
      <c r="E121" s="10">
        <v>1781930</v>
      </c>
      <c r="F121" s="10">
        <v>2566950</v>
      </c>
      <c r="G121" s="10">
        <v>785020</v>
      </c>
      <c r="H121" s="10">
        <v>1781930</v>
      </c>
      <c r="I121" s="10">
        <v>0</v>
      </c>
    </row>
    <row r="122" spans="1:9" x14ac:dyDescent="0.25">
      <c r="A122" t="s">
        <v>891</v>
      </c>
      <c r="B122" t="s">
        <v>51</v>
      </c>
      <c r="C122" t="s">
        <v>54</v>
      </c>
      <c r="D122" t="s">
        <v>56</v>
      </c>
      <c r="E122" s="5">
        <v>151670</v>
      </c>
      <c r="F122" s="5">
        <v>247590</v>
      </c>
      <c r="G122" s="5">
        <v>95920</v>
      </c>
      <c r="H122" s="5">
        <v>151670</v>
      </c>
      <c r="I122" s="5">
        <v>0</v>
      </c>
    </row>
    <row r="123" spans="1:9" x14ac:dyDescent="0.25">
      <c r="D123" t="s">
        <v>108</v>
      </c>
      <c r="E123" s="5">
        <v>70690</v>
      </c>
      <c r="F123" s="5">
        <v>96390</v>
      </c>
      <c r="G123" s="5">
        <v>25700</v>
      </c>
      <c r="H123" s="5">
        <v>70690</v>
      </c>
      <c r="I123" s="5">
        <v>0</v>
      </c>
    </row>
    <row r="124" spans="1:9" x14ac:dyDescent="0.25">
      <c r="D124" t="s">
        <v>380</v>
      </c>
      <c r="E124" s="5">
        <v>473930</v>
      </c>
      <c r="F124" s="5">
        <v>553890</v>
      </c>
      <c r="G124" s="5">
        <v>79960</v>
      </c>
      <c r="H124" s="5">
        <v>473930</v>
      </c>
      <c r="I124" s="5">
        <v>0</v>
      </c>
    </row>
    <row r="125" spans="1:9" x14ac:dyDescent="0.25">
      <c r="D125" t="s">
        <v>439</v>
      </c>
      <c r="E125" s="5">
        <v>1030800</v>
      </c>
      <c r="F125" s="5">
        <v>1454720</v>
      </c>
      <c r="G125" s="5">
        <v>423920</v>
      </c>
      <c r="H125" s="5">
        <v>1030800</v>
      </c>
      <c r="I125" s="5">
        <v>0</v>
      </c>
    </row>
    <row r="126" spans="1:9" x14ac:dyDescent="0.25">
      <c r="D126" t="s">
        <v>529</v>
      </c>
      <c r="E126" s="5">
        <v>297070</v>
      </c>
      <c r="F126" s="5">
        <v>413280</v>
      </c>
      <c r="G126" s="5">
        <v>116210</v>
      </c>
      <c r="H126" s="5">
        <v>297070</v>
      </c>
      <c r="I126" s="5">
        <v>0</v>
      </c>
    </row>
    <row r="127" spans="1:9" x14ac:dyDescent="0.25">
      <c r="C127" s="4" t="s">
        <v>72</v>
      </c>
      <c r="D127" s="4"/>
      <c r="E127" s="6">
        <v>2024160</v>
      </c>
      <c r="F127" s="6">
        <v>2765870</v>
      </c>
      <c r="G127" s="6">
        <v>741710</v>
      </c>
      <c r="H127" s="6">
        <v>2024160</v>
      </c>
      <c r="I127" s="6">
        <v>0</v>
      </c>
    </row>
    <row r="128" spans="1:9" x14ac:dyDescent="0.25">
      <c r="B128" s="7" t="s">
        <v>78</v>
      </c>
      <c r="C128" s="7"/>
      <c r="D128" s="7"/>
      <c r="E128" s="8">
        <v>2024160</v>
      </c>
      <c r="F128" s="8">
        <v>2765870</v>
      </c>
      <c r="G128" s="8">
        <v>741710</v>
      </c>
      <c r="H128" s="8">
        <v>2024160</v>
      </c>
      <c r="I128" s="8">
        <v>0</v>
      </c>
    </row>
    <row r="129" spans="1:9" x14ac:dyDescent="0.25">
      <c r="B129" t="s">
        <v>56</v>
      </c>
      <c r="C129" t="s">
        <v>54</v>
      </c>
      <c r="D129" t="s">
        <v>56</v>
      </c>
      <c r="E129" s="5">
        <v>391730</v>
      </c>
      <c r="F129" s="5">
        <v>575500</v>
      </c>
      <c r="G129" s="5">
        <v>183770</v>
      </c>
      <c r="H129" s="5">
        <v>391730</v>
      </c>
      <c r="I129" s="5">
        <v>0</v>
      </c>
    </row>
    <row r="130" spans="1:9" x14ac:dyDescent="0.25">
      <c r="C130" s="4" t="s">
        <v>72</v>
      </c>
      <c r="D130" s="4"/>
      <c r="E130" s="6">
        <v>391730</v>
      </c>
      <c r="F130" s="6">
        <v>575500</v>
      </c>
      <c r="G130" s="6">
        <v>183770</v>
      </c>
      <c r="H130" s="6">
        <v>391730</v>
      </c>
      <c r="I130" s="6">
        <v>0</v>
      </c>
    </row>
    <row r="131" spans="1:9" x14ac:dyDescent="0.25">
      <c r="B131" s="7" t="s">
        <v>531</v>
      </c>
      <c r="C131" s="7"/>
      <c r="D131" s="7"/>
      <c r="E131" s="8">
        <v>391730</v>
      </c>
      <c r="F131" s="8">
        <v>575500</v>
      </c>
      <c r="G131" s="8">
        <v>183770</v>
      </c>
      <c r="H131" s="8">
        <v>391730</v>
      </c>
      <c r="I131" s="8">
        <v>0</v>
      </c>
    </row>
    <row r="132" spans="1:9" x14ac:dyDescent="0.25">
      <c r="A132" s="9" t="s">
        <v>892</v>
      </c>
      <c r="B132" s="9"/>
      <c r="C132" s="9"/>
      <c r="D132" s="9"/>
      <c r="E132" s="10">
        <v>2415890</v>
      </c>
      <c r="F132" s="10">
        <v>3341370</v>
      </c>
      <c r="G132" s="10">
        <v>925480</v>
      </c>
      <c r="H132" s="10">
        <v>2415890</v>
      </c>
      <c r="I132" s="10">
        <v>0</v>
      </c>
    </row>
    <row r="133" spans="1:9" x14ac:dyDescent="0.25">
      <c r="A133" t="s">
        <v>1111</v>
      </c>
      <c r="B133" t="s">
        <v>51</v>
      </c>
      <c r="C133" t="s">
        <v>54</v>
      </c>
      <c r="D133" t="s">
        <v>213</v>
      </c>
      <c r="E133" s="5">
        <v>31750</v>
      </c>
      <c r="F133" s="5">
        <v>40320</v>
      </c>
      <c r="G133" s="5">
        <v>8570</v>
      </c>
      <c r="H133" s="5">
        <v>29100</v>
      </c>
      <c r="I133" s="5">
        <v>2650</v>
      </c>
    </row>
    <row r="134" spans="1:9" x14ac:dyDescent="0.25">
      <c r="D134" t="s">
        <v>225</v>
      </c>
      <c r="E134" s="5">
        <v>65870</v>
      </c>
      <c r="F134" s="5">
        <v>96390</v>
      </c>
      <c r="G134" s="5">
        <v>30520</v>
      </c>
      <c r="H134" s="5">
        <v>65870</v>
      </c>
      <c r="I134" s="5">
        <v>0</v>
      </c>
    </row>
    <row r="135" spans="1:9" x14ac:dyDescent="0.25">
      <c r="D135" t="s">
        <v>380</v>
      </c>
      <c r="E135" s="5">
        <v>1073970</v>
      </c>
      <c r="F135" s="5">
        <v>1236230</v>
      </c>
      <c r="G135" s="5">
        <v>162260</v>
      </c>
      <c r="H135" s="5">
        <v>1073970</v>
      </c>
      <c r="I135" s="5">
        <v>0</v>
      </c>
    </row>
    <row r="136" spans="1:9" x14ac:dyDescent="0.25">
      <c r="D136" t="s">
        <v>439</v>
      </c>
      <c r="E136" s="5">
        <v>522520</v>
      </c>
      <c r="F136" s="5">
        <v>739950</v>
      </c>
      <c r="G136" s="5">
        <v>217430</v>
      </c>
      <c r="H136" s="5">
        <v>522520</v>
      </c>
      <c r="I136" s="5">
        <v>0</v>
      </c>
    </row>
    <row r="137" spans="1:9" x14ac:dyDescent="0.25">
      <c r="D137" t="s">
        <v>529</v>
      </c>
      <c r="E137" s="5">
        <v>362400</v>
      </c>
      <c r="F137" s="5">
        <v>498970</v>
      </c>
      <c r="G137" s="5">
        <v>136570</v>
      </c>
      <c r="H137" s="5">
        <v>362400</v>
      </c>
      <c r="I137" s="5">
        <v>0</v>
      </c>
    </row>
    <row r="138" spans="1:9" x14ac:dyDescent="0.25">
      <c r="D138" t="s">
        <v>1309</v>
      </c>
      <c r="E138" s="5">
        <v>66280</v>
      </c>
      <c r="F138" s="5">
        <v>102690</v>
      </c>
      <c r="G138" s="5">
        <v>36410</v>
      </c>
      <c r="H138" s="5">
        <v>66280</v>
      </c>
      <c r="I138" s="5">
        <v>0</v>
      </c>
    </row>
    <row r="139" spans="1:9" x14ac:dyDescent="0.25">
      <c r="D139" t="s">
        <v>1321</v>
      </c>
      <c r="E139" s="5">
        <v>19660</v>
      </c>
      <c r="F139" s="5">
        <v>23940</v>
      </c>
      <c r="G139" s="5">
        <v>4280</v>
      </c>
      <c r="H139" s="5">
        <v>19660</v>
      </c>
      <c r="I139" s="5">
        <v>0</v>
      </c>
    </row>
    <row r="140" spans="1:9" x14ac:dyDescent="0.25">
      <c r="D140" t="s">
        <v>1320</v>
      </c>
      <c r="E140" s="5">
        <v>151430</v>
      </c>
      <c r="F140" s="5">
        <v>211680</v>
      </c>
      <c r="G140" s="5">
        <v>60250</v>
      </c>
      <c r="H140" s="5">
        <v>151430</v>
      </c>
      <c r="I140" s="5">
        <v>0</v>
      </c>
    </row>
    <row r="141" spans="1:9" x14ac:dyDescent="0.25">
      <c r="C141" s="4" t="s">
        <v>72</v>
      </c>
      <c r="D141" s="4"/>
      <c r="E141" s="6">
        <v>2293880</v>
      </c>
      <c r="F141" s="6">
        <v>2950170</v>
      </c>
      <c r="G141" s="6">
        <v>656290</v>
      </c>
      <c r="H141" s="6">
        <v>2291230</v>
      </c>
      <c r="I141" s="6">
        <v>2650</v>
      </c>
    </row>
    <row r="142" spans="1:9" x14ac:dyDescent="0.25">
      <c r="B142" s="7" t="s">
        <v>78</v>
      </c>
      <c r="C142" s="7"/>
      <c r="D142" s="7"/>
      <c r="E142" s="8">
        <v>2293880</v>
      </c>
      <c r="F142" s="8">
        <v>2950170</v>
      </c>
      <c r="G142" s="8">
        <v>656290</v>
      </c>
      <c r="H142" s="8">
        <v>2291230</v>
      </c>
      <c r="I142" s="8">
        <v>2650</v>
      </c>
    </row>
    <row r="143" spans="1:9" x14ac:dyDescent="0.25">
      <c r="B143" t="s">
        <v>56</v>
      </c>
      <c r="C143" t="s">
        <v>54</v>
      </c>
      <c r="D143" t="s">
        <v>56</v>
      </c>
      <c r="E143" s="5">
        <v>587330</v>
      </c>
      <c r="F143" s="5">
        <v>861510</v>
      </c>
      <c r="G143" s="5">
        <v>274180</v>
      </c>
      <c r="H143" s="5">
        <v>587330</v>
      </c>
      <c r="I143" s="5">
        <v>0</v>
      </c>
    </row>
    <row r="144" spans="1:9" x14ac:dyDescent="0.25">
      <c r="C144" s="4" t="s">
        <v>72</v>
      </c>
      <c r="D144" s="4"/>
      <c r="E144" s="6">
        <v>587330</v>
      </c>
      <c r="F144" s="6">
        <v>861510</v>
      </c>
      <c r="G144" s="6">
        <v>274180</v>
      </c>
      <c r="H144" s="6">
        <v>587330</v>
      </c>
      <c r="I144" s="6">
        <v>0</v>
      </c>
    </row>
    <row r="145" spans="1:9" x14ac:dyDescent="0.25">
      <c r="B145" s="7" t="s">
        <v>531</v>
      </c>
      <c r="C145" s="7"/>
      <c r="D145" s="7"/>
      <c r="E145" s="8">
        <v>587330</v>
      </c>
      <c r="F145" s="8">
        <v>861510</v>
      </c>
      <c r="G145" s="8">
        <v>274180</v>
      </c>
      <c r="H145" s="8">
        <v>587330</v>
      </c>
      <c r="I145" s="8">
        <v>0</v>
      </c>
    </row>
    <row r="146" spans="1:9" x14ac:dyDescent="0.25">
      <c r="B146" t="s">
        <v>1215</v>
      </c>
      <c r="C146" t="s">
        <v>54</v>
      </c>
      <c r="D146" t="s">
        <v>439</v>
      </c>
      <c r="E146" s="5">
        <v>68230</v>
      </c>
      <c r="F146" s="5">
        <v>101430</v>
      </c>
      <c r="G146" s="5">
        <v>33200</v>
      </c>
      <c r="H146" s="5">
        <v>68230</v>
      </c>
      <c r="I146" s="5">
        <v>0</v>
      </c>
    </row>
    <row r="147" spans="1:9" x14ac:dyDescent="0.25">
      <c r="C147" s="4" t="s">
        <v>72</v>
      </c>
      <c r="D147" s="4"/>
      <c r="E147" s="6">
        <v>68230</v>
      </c>
      <c r="F147" s="6">
        <v>101430</v>
      </c>
      <c r="G147" s="6">
        <v>33200</v>
      </c>
      <c r="H147" s="6">
        <v>68230</v>
      </c>
      <c r="I147" s="6">
        <v>0</v>
      </c>
    </row>
    <row r="148" spans="1:9" x14ac:dyDescent="0.25">
      <c r="B148" s="7" t="s">
        <v>1216</v>
      </c>
      <c r="C148" s="7"/>
      <c r="D148" s="7"/>
      <c r="E148" s="8">
        <v>68230</v>
      </c>
      <c r="F148" s="8">
        <v>101430</v>
      </c>
      <c r="G148" s="8">
        <v>33200</v>
      </c>
      <c r="H148" s="8">
        <v>68230</v>
      </c>
      <c r="I148" s="8">
        <v>0</v>
      </c>
    </row>
    <row r="149" spans="1:9" x14ac:dyDescent="0.25">
      <c r="A149" s="9" t="s">
        <v>1114</v>
      </c>
      <c r="B149" s="9"/>
      <c r="C149" s="9"/>
      <c r="D149" s="9"/>
      <c r="E149" s="10">
        <v>2949440</v>
      </c>
      <c r="F149" s="10">
        <v>3913110</v>
      </c>
      <c r="G149" s="10">
        <v>963670</v>
      </c>
      <c r="H149" s="10">
        <v>2946790</v>
      </c>
      <c r="I149" s="10">
        <v>2650</v>
      </c>
    </row>
    <row r="150" spans="1:9" x14ac:dyDescent="0.25">
      <c r="A150" t="s">
        <v>1318</v>
      </c>
      <c r="B150" t="s">
        <v>51</v>
      </c>
      <c r="C150" t="s">
        <v>54</v>
      </c>
      <c r="D150" t="s">
        <v>213</v>
      </c>
      <c r="E150" s="5">
        <v>32290</v>
      </c>
      <c r="F150" s="5">
        <v>40320</v>
      </c>
      <c r="G150" s="5">
        <v>8030</v>
      </c>
      <c r="H150" s="5">
        <v>29650</v>
      </c>
      <c r="I150" s="5">
        <v>2640</v>
      </c>
    </row>
    <row r="151" spans="1:9" x14ac:dyDescent="0.25">
      <c r="D151" t="s">
        <v>380</v>
      </c>
      <c r="E151" s="5">
        <v>353940</v>
      </c>
      <c r="F151" s="5">
        <v>395470</v>
      </c>
      <c r="G151" s="5">
        <v>41530</v>
      </c>
      <c r="H151" s="5">
        <v>353940</v>
      </c>
      <c r="I151" s="5">
        <v>0</v>
      </c>
    </row>
    <row r="152" spans="1:9" x14ac:dyDescent="0.25">
      <c r="D152" t="s">
        <v>439</v>
      </c>
      <c r="E152" s="5">
        <v>843300</v>
      </c>
      <c r="F152" s="5">
        <v>1180980</v>
      </c>
      <c r="G152" s="5">
        <v>337680</v>
      </c>
      <c r="H152" s="5">
        <v>843300</v>
      </c>
      <c r="I152" s="5">
        <v>0</v>
      </c>
    </row>
    <row r="153" spans="1:9" x14ac:dyDescent="0.25">
      <c r="D153" t="s">
        <v>529</v>
      </c>
      <c r="E153" s="5">
        <v>290460</v>
      </c>
      <c r="F153" s="5">
        <v>438820</v>
      </c>
      <c r="G153" s="5">
        <v>148360</v>
      </c>
      <c r="H153" s="5">
        <v>290460</v>
      </c>
      <c r="I153" s="5">
        <v>0</v>
      </c>
    </row>
    <row r="154" spans="1:9" x14ac:dyDescent="0.25">
      <c r="D154" t="s">
        <v>700</v>
      </c>
      <c r="E154" s="5">
        <v>1540</v>
      </c>
      <c r="F154" s="5">
        <v>3150</v>
      </c>
      <c r="G154" s="5">
        <v>1610</v>
      </c>
      <c r="H154" s="5">
        <v>1540</v>
      </c>
      <c r="I154" s="5">
        <v>0</v>
      </c>
    </row>
    <row r="155" spans="1:9" x14ac:dyDescent="0.25">
      <c r="D155" t="s">
        <v>1320</v>
      </c>
      <c r="E155" s="5">
        <v>153970</v>
      </c>
      <c r="F155" s="5">
        <v>205380</v>
      </c>
      <c r="G155" s="5">
        <v>51410</v>
      </c>
      <c r="H155" s="5">
        <v>153970</v>
      </c>
      <c r="I155" s="5">
        <v>0</v>
      </c>
    </row>
    <row r="156" spans="1:9" x14ac:dyDescent="0.25">
      <c r="C156" s="4" t="s">
        <v>72</v>
      </c>
      <c r="D156" s="4"/>
      <c r="E156" s="6">
        <v>1675500</v>
      </c>
      <c r="F156" s="6">
        <v>2264120</v>
      </c>
      <c r="G156" s="6">
        <v>588620</v>
      </c>
      <c r="H156" s="6">
        <v>1672860</v>
      </c>
      <c r="I156" s="6">
        <v>2640</v>
      </c>
    </row>
    <row r="157" spans="1:9" x14ac:dyDescent="0.25">
      <c r="B157" s="7" t="s">
        <v>78</v>
      </c>
      <c r="C157" s="7"/>
      <c r="D157" s="7"/>
      <c r="E157" s="8">
        <v>1675500</v>
      </c>
      <c r="F157" s="8">
        <v>2264120</v>
      </c>
      <c r="G157" s="8">
        <v>588620</v>
      </c>
      <c r="H157" s="8">
        <v>1672860</v>
      </c>
      <c r="I157" s="8">
        <v>2640</v>
      </c>
    </row>
    <row r="158" spans="1:9" x14ac:dyDescent="0.25">
      <c r="B158" t="s">
        <v>56</v>
      </c>
      <c r="C158" t="s">
        <v>54</v>
      </c>
      <c r="D158" t="s">
        <v>56</v>
      </c>
      <c r="E158" s="5">
        <v>511760</v>
      </c>
      <c r="F158" s="5">
        <v>819630</v>
      </c>
      <c r="G158" s="5">
        <v>307870</v>
      </c>
      <c r="H158" s="5">
        <v>511760</v>
      </c>
      <c r="I158" s="5">
        <v>0</v>
      </c>
    </row>
    <row r="159" spans="1:9" x14ac:dyDescent="0.25">
      <c r="C159" s="4" t="s">
        <v>72</v>
      </c>
      <c r="D159" s="4"/>
      <c r="E159" s="6">
        <v>511760</v>
      </c>
      <c r="F159" s="6">
        <v>819630</v>
      </c>
      <c r="G159" s="6">
        <v>307870</v>
      </c>
      <c r="H159" s="6">
        <v>511760</v>
      </c>
      <c r="I159" s="6">
        <v>0</v>
      </c>
    </row>
    <row r="160" spans="1:9" x14ac:dyDescent="0.25">
      <c r="B160" s="7" t="s">
        <v>531</v>
      </c>
      <c r="C160" s="7"/>
      <c r="D160" s="7"/>
      <c r="E160" s="8">
        <v>511760</v>
      </c>
      <c r="F160" s="8">
        <v>819630</v>
      </c>
      <c r="G160" s="8">
        <v>307870</v>
      </c>
      <c r="H160" s="8">
        <v>511760</v>
      </c>
      <c r="I160" s="8">
        <v>0</v>
      </c>
    </row>
    <row r="161" spans="1:9" x14ac:dyDescent="0.25">
      <c r="A161" s="9" t="s">
        <v>1339</v>
      </c>
      <c r="B161" s="9"/>
      <c r="C161" s="9"/>
      <c r="D161" s="9"/>
      <c r="E161" s="10">
        <v>2187260</v>
      </c>
      <c r="F161" s="10">
        <v>3083750</v>
      </c>
      <c r="G161" s="10">
        <v>896490</v>
      </c>
      <c r="H161" s="10">
        <v>2184620</v>
      </c>
      <c r="I161" s="10">
        <v>2640</v>
      </c>
    </row>
    <row r="162" spans="1:9" x14ac:dyDescent="0.25">
      <c r="A162" t="s">
        <v>1538</v>
      </c>
      <c r="B162" t="s">
        <v>51</v>
      </c>
      <c r="C162" t="s">
        <v>54</v>
      </c>
      <c r="D162" t="s">
        <v>380</v>
      </c>
      <c r="E162" s="5">
        <v>14480</v>
      </c>
      <c r="F162" s="5">
        <v>16560</v>
      </c>
      <c r="G162" s="5">
        <v>2080</v>
      </c>
      <c r="H162" s="5">
        <v>14480</v>
      </c>
      <c r="I162" s="5">
        <v>0</v>
      </c>
    </row>
    <row r="163" spans="1:9" x14ac:dyDescent="0.25">
      <c r="D163" t="s">
        <v>439</v>
      </c>
      <c r="E163" s="5">
        <v>365840</v>
      </c>
      <c r="F163" s="5">
        <v>504000</v>
      </c>
      <c r="G163" s="5">
        <v>138160</v>
      </c>
      <c r="H163" s="5">
        <v>365840</v>
      </c>
      <c r="I163" s="5">
        <v>0</v>
      </c>
    </row>
    <row r="164" spans="1:9" x14ac:dyDescent="0.25">
      <c r="D164" t="s">
        <v>529</v>
      </c>
      <c r="E164" s="5">
        <v>183440</v>
      </c>
      <c r="F164" s="5">
        <v>255460</v>
      </c>
      <c r="G164" s="5">
        <v>72020</v>
      </c>
      <c r="H164" s="5">
        <v>183440</v>
      </c>
      <c r="I164" s="5">
        <v>0</v>
      </c>
    </row>
    <row r="165" spans="1:9" x14ac:dyDescent="0.25">
      <c r="D165" t="s">
        <v>1546</v>
      </c>
      <c r="E165" s="5">
        <v>18300</v>
      </c>
      <c r="F165" s="5">
        <v>22050</v>
      </c>
      <c r="G165" s="5">
        <v>3750</v>
      </c>
      <c r="H165" s="5">
        <v>18300</v>
      </c>
      <c r="I165" s="5">
        <v>0</v>
      </c>
    </row>
    <row r="166" spans="1:9" x14ac:dyDescent="0.25">
      <c r="D166" t="s">
        <v>1551</v>
      </c>
      <c r="E166" s="5">
        <v>194990</v>
      </c>
      <c r="F166" s="5">
        <v>286020</v>
      </c>
      <c r="G166" s="5">
        <v>91030</v>
      </c>
      <c r="H166" s="5">
        <v>194990</v>
      </c>
      <c r="I166" s="5">
        <v>0</v>
      </c>
    </row>
    <row r="167" spans="1:9" x14ac:dyDescent="0.25">
      <c r="C167" s="4" t="s">
        <v>72</v>
      </c>
      <c r="D167" s="4"/>
      <c r="E167" s="6">
        <v>777050</v>
      </c>
      <c r="F167" s="6">
        <v>1084090</v>
      </c>
      <c r="G167" s="6">
        <v>307040</v>
      </c>
      <c r="H167" s="6">
        <v>777050</v>
      </c>
      <c r="I167" s="6">
        <v>0</v>
      </c>
    </row>
    <row r="168" spans="1:9" x14ac:dyDescent="0.25">
      <c r="B168" s="7" t="s">
        <v>78</v>
      </c>
      <c r="C168" s="7"/>
      <c r="D168" s="7"/>
      <c r="E168" s="8">
        <v>777050</v>
      </c>
      <c r="F168" s="8">
        <v>1084090</v>
      </c>
      <c r="G168" s="8">
        <v>307040</v>
      </c>
      <c r="H168" s="8">
        <v>777050</v>
      </c>
      <c r="I168" s="8">
        <v>0</v>
      </c>
    </row>
    <row r="169" spans="1:9" x14ac:dyDescent="0.25">
      <c r="B169" t="s">
        <v>56</v>
      </c>
      <c r="C169" t="s">
        <v>54</v>
      </c>
      <c r="D169" t="s">
        <v>56</v>
      </c>
      <c r="E169" s="5">
        <v>1090800</v>
      </c>
      <c r="F169" s="5">
        <v>1660350</v>
      </c>
      <c r="G169" s="5">
        <v>569550</v>
      </c>
      <c r="H169" s="5">
        <v>1090800</v>
      </c>
      <c r="I169" s="5">
        <v>0</v>
      </c>
    </row>
    <row r="170" spans="1:9" x14ac:dyDescent="0.25">
      <c r="C170" s="4" t="s">
        <v>72</v>
      </c>
      <c r="D170" s="4"/>
      <c r="E170" s="6">
        <v>1090800</v>
      </c>
      <c r="F170" s="6">
        <v>1660350</v>
      </c>
      <c r="G170" s="6">
        <v>569550</v>
      </c>
      <c r="H170" s="6">
        <v>1090800</v>
      </c>
      <c r="I170" s="6">
        <v>0</v>
      </c>
    </row>
    <row r="171" spans="1:9" x14ac:dyDescent="0.25">
      <c r="B171" s="7" t="s">
        <v>531</v>
      </c>
      <c r="C171" s="7"/>
      <c r="D171" s="7"/>
      <c r="E171" s="8">
        <v>1090800</v>
      </c>
      <c r="F171" s="8">
        <v>1660350</v>
      </c>
      <c r="G171" s="8">
        <v>569550</v>
      </c>
      <c r="H171" s="8">
        <v>1090800</v>
      </c>
      <c r="I171" s="8">
        <v>0</v>
      </c>
    </row>
    <row r="172" spans="1:9" x14ac:dyDescent="0.25">
      <c r="A172" s="9" t="s">
        <v>1547</v>
      </c>
      <c r="B172" s="9"/>
      <c r="C172" s="9"/>
      <c r="D172" s="9"/>
      <c r="E172" s="10">
        <v>1867850</v>
      </c>
      <c r="F172" s="10">
        <v>2744440</v>
      </c>
      <c r="G172" s="10">
        <v>876590</v>
      </c>
      <c r="H172" s="10">
        <v>1867850</v>
      </c>
      <c r="I172" s="10">
        <v>0</v>
      </c>
    </row>
    <row r="173" spans="1:9" x14ac:dyDescent="0.25">
      <c r="A173" t="s">
        <v>1746</v>
      </c>
      <c r="B173" t="s">
        <v>51</v>
      </c>
      <c r="C173" t="s">
        <v>54</v>
      </c>
      <c r="D173" t="s">
        <v>439</v>
      </c>
      <c r="E173" s="5">
        <v>100170</v>
      </c>
      <c r="F173" s="5">
        <v>143010</v>
      </c>
      <c r="G173" s="5">
        <v>42840</v>
      </c>
      <c r="H173" s="5">
        <v>100170</v>
      </c>
      <c r="I173" s="5">
        <v>0</v>
      </c>
    </row>
    <row r="174" spans="1:9" x14ac:dyDescent="0.25">
      <c r="D174" t="s">
        <v>529</v>
      </c>
      <c r="E174" s="5">
        <v>157670</v>
      </c>
      <c r="F174" s="5">
        <v>215780</v>
      </c>
      <c r="G174" s="5">
        <v>58110</v>
      </c>
      <c r="H174" s="5">
        <v>157670</v>
      </c>
      <c r="I174" s="5">
        <v>0</v>
      </c>
    </row>
    <row r="175" spans="1:9" x14ac:dyDescent="0.25">
      <c r="C175" s="4" t="s">
        <v>72</v>
      </c>
      <c r="D175" s="4"/>
      <c r="E175" s="6">
        <v>257840</v>
      </c>
      <c r="F175" s="6">
        <v>358790</v>
      </c>
      <c r="G175" s="6">
        <v>100950</v>
      </c>
      <c r="H175" s="6">
        <v>257840</v>
      </c>
      <c r="I175" s="6">
        <v>0</v>
      </c>
    </row>
    <row r="176" spans="1:9" x14ac:dyDescent="0.25">
      <c r="B176" s="7" t="s">
        <v>78</v>
      </c>
      <c r="C176" s="7"/>
      <c r="D176" s="7"/>
      <c r="E176" s="8">
        <v>257840</v>
      </c>
      <c r="F176" s="8">
        <v>358790</v>
      </c>
      <c r="G176" s="8">
        <v>100950</v>
      </c>
      <c r="H176" s="8">
        <v>257840</v>
      </c>
      <c r="I176" s="8">
        <v>0</v>
      </c>
    </row>
    <row r="177" spans="1:9" x14ac:dyDescent="0.25">
      <c r="B177" t="s">
        <v>56</v>
      </c>
      <c r="C177" t="s">
        <v>54</v>
      </c>
      <c r="D177" t="s">
        <v>56</v>
      </c>
      <c r="E177" s="5">
        <v>1618250</v>
      </c>
      <c r="F177" s="5">
        <v>2493220</v>
      </c>
      <c r="G177" s="5">
        <v>874970</v>
      </c>
      <c r="H177" s="5">
        <v>1618250</v>
      </c>
      <c r="I177" s="5">
        <v>0</v>
      </c>
    </row>
    <row r="178" spans="1:9" x14ac:dyDescent="0.25">
      <c r="C178" s="4" t="s">
        <v>72</v>
      </c>
      <c r="D178" s="4"/>
      <c r="E178" s="6">
        <v>1618250</v>
      </c>
      <c r="F178" s="6">
        <v>2493220</v>
      </c>
      <c r="G178" s="6">
        <v>874970</v>
      </c>
      <c r="H178" s="6">
        <v>1618250</v>
      </c>
      <c r="I178" s="6">
        <v>0</v>
      </c>
    </row>
    <row r="179" spans="1:9" x14ac:dyDescent="0.25">
      <c r="B179" s="7" t="s">
        <v>531</v>
      </c>
      <c r="C179" s="7"/>
      <c r="D179" s="7"/>
      <c r="E179" s="8">
        <v>1618250</v>
      </c>
      <c r="F179" s="8">
        <v>2493220</v>
      </c>
      <c r="G179" s="8">
        <v>874970</v>
      </c>
      <c r="H179" s="8">
        <v>1618250</v>
      </c>
      <c r="I179" s="8">
        <v>0</v>
      </c>
    </row>
    <row r="180" spans="1:9" x14ac:dyDescent="0.25">
      <c r="A180" s="9" t="s">
        <v>1747</v>
      </c>
      <c r="B180" s="9"/>
      <c r="C180" s="9"/>
      <c r="D180" s="9"/>
      <c r="E180" s="10">
        <v>1876090</v>
      </c>
      <c r="F180" s="10">
        <v>2852010</v>
      </c>
      <c r="G180" s="10">
        <v>975920</v>
      </c>
      <c r="H180" s="10">
        <v>1876090</v>
      </c>
      <c r="I180" s="10">
        <v>0</v>
      </c>
    </row>
    <row r="181" spans="1:9" x14ac:dyDescent="0.25">
      <c r="A181" s="12">
        <v>45778</v>
      </c>
      <c r="B181" t="s">
        <v>51</v>
      </c>
      <c r="C181" t="s">
        <v>54</v>
      </c>
      <c r="D181" t="s">
        <v>213</v>
      </c>
      <c r="E181" s="5">
        <v>67540</v>
      </c>
      <c r="F181" s="5">
        <v>93240</v>
      </c>
      <c r="G181" s="5">
        <v>25700</v>
      </c>
      <c r="H181" s="5">
        <v>64160</v>
      </c>
      <c r="I181" s="5">
        <v>3380</v>
      </c>
    </row>
    <row r="182" spans="1:9" x14ac:dyDescent="0.25">
      <c r="A182" s="13"/>
      <c r="D182" t="s">
        <v>380</v>
      </c>
      <c r="E182" s="5">
        <v>75490</v>
      </c>
      <c r="F182" s="5">
        <v>85730</v>
      </c>
      <c r="G182" s="5">
        <v>10240</v>
      </c>
      <c r="H182" s="5">
        <v>75490</v>
      </c>
      <c r="I182" s="5">
        <v>0</v>
      </c>
    </row>
    <row r="183" spans="1:9" x14ac:dyDescent="0.25">
      <c r="A183" s="13"/>
      <c r="D183" t="s">
        <v>439</v>
      </c>
      <c r="E183" s="5">
        <v>59630</v>
      </c>
      <c r="F183" s="5">
        <v>86940</v>
      </c>
      <c r="G183" s="5">
        <v>27310</v>
      </c>
      <c r="H183" s="5">
        <v>59630</v>
      </c>
      <c r="I183" s="5">
        <v>0</v>
      </c>
    </row>
    <row r="184" spans="1:9" x14ac:dyDescent="0.25">
      <c r="A184" s="13"/>
      <c r="D184" t="s">
        <v>529</v>
      </c>
      <c r="E184" s="5">
        <v>33770</v>
      </c>
      <c r="F184" s="5">
        <v>46620</v>
      </c>
      <c r="G184" s="5">
        <v>12850</v>
      </c>
      <c r="H184" s="5">
        <v>33770</v>
      </c>
      <c r="I184" s="5">
        <v>0</v>
      </c>
    </row>
    <row r="185" spans="1:9" x14ac:dyDescent="0.25">
      <c r="A185" s="13"/>
      <c r="D185" t="s">
        <v>51</v>
      </c>
      <c r="E185" s="5">
        <v>620</v>
      </c>
      <c r="F185" s="5">
        <v>940</v>
      </c>
      <c r="G185" s="5">
        <v>320</v>
      </c>
      <c r="H185" s="5">
        <v>620</v>
      </c>
      <c r="I185" s="5">
        <v>0</v>
      </c>
    </row>
    <row r="186" spans="1:9" x14ac:dyDescent="0.25">
      <c r="A186" s="13"/>
      <c r="C186" s="4" t="s">
        <v>72</v>
      </c>
      <c r="D186" s="4"/>
      <c r="E186" s="6">
        <v>237050</v>
      </c>
      <c r="F186" s="6">
        <v>313470</v>
      </c>
      <c r="G186" s="6">
        <v>76420</v>
      </c>
      <c r="H186" s="6">
        <v>233670</v>
      </c>
      <c r="I186" s="6">
        <v>3380</v>
      </c>
    </row>
    <row r="187" spans="1:9" x14ac:dyDescent="0.25">
      <c r="A187" s="13"/>
      <c r="B187" s="7" t="s">
        <v>78</v>
      </c>
      <c r="C187" s="7"/>
      <c r="D187" s="7"/>
      <c r="E187" s="8">
        <v>237050</v>
      </c>
      <c r="F187" s="8">
        <v>313470</v>
      </c>
      <c r="G187" s="8">
        <v>76420</v>
      </c>
      <c r="H187" s="8">
        <v>233670</v>
      </c>
      <c r="I187" s="8">
        <v>3380</v>
      </c>
    </row>
    <row r="188" spans="1:9" x14ac:dyDescent="0.25">
      <c r="A188" s="13"/>
      <c r="B188" t="s">
        <v>56</v>
      </c>
      <c r="C188" t="s">
        <v>54</v>
      </c>
      <c r="D188" t="s">
        <v>56</v>
      </c>
      <c r="E188" s="5">
        <v>1192040</v>
      </c>
      <c r="F188" s="5">
        <v>1985110</v>
      </c>
      <c r="G188" s="5">
        <v>793070</v>
      </c>
      <c r="H188" s="5">
        <v>1192040</v>
      </c>
      <c r="I188" s="5">
        <v>0</v>
      </c>
    </row>
    <row r="189" spans="1:9" x14ac:dyDescent="0.25">
      <c r="A189" s="13"/>
      <c r="C189" s="4" t="s">
        <v>72</v>
      </c>
      <c r="D189" s="4"/>
      <c r="E189" s="6">
        <v>1192040</v>
      </c>
      <c r="F189" s="6">
        <v>1985110</v>
      </c>
      <c r="G189" s="6">
        <v>793070</v>
      </c>
      <c r="H189" s="6">
        <v>1192040</v>
      </c>
      <c r="I189" s="6">
        <v>0</v>
      </c>
    </row>
    <row r="190" spans="1:9" x14ac:dyDescent="0.25">
      <c r="A190" s="13"/>
      <c r="B190" s="7" t="s">
        <v>531</v>
      </c>
      <c r="C190" s="7"/>
      <c r="D190" s="7"/>
      <c r="E190" s="8">
        <v>1192040</v>
      </c>
      <c r="F190" s="8">
        <v>1985110</v>
      </c>
      <c r="G190" s="8">
        <v>793070</v>
      </c>
      <c r="H190" s="8">
        <v>1192040</v>
      </c>
      <c r="I190" s="8">
        <v>0</v>
      </c>
    </row>
    <row r="191" spans="1:9" x14ac:dyDescent="0.25">
      <c r="A191" s="9" t="s">
        <v>1894</v>
      </c>
      <c r="B191" s="9"/>
      <c r="C191" s="9"/>
      <c r="D191" s="9"/>
      <c r="E191" s="10">
        <v>1429090</v>
      </c>
      <c r="F191" s="10">
        <v>2298580</v>
      </c>
      <c r="G191" s="10">
        <v>869490</v>
      </c>
      <c r="H191" s="10">
        <v>1425710</v>
      </c>
      <c r="I191" s="10">
        <v>3380</v>
      </c>
    </row>
    <row r="192" spans="1:9" x14ac:dyDescent="0.25">
      <c r="A192" t="s">
        <v>1899</v>
      </c>
      <c r="B192" t="s">
        <v>51</v>
      </c>
      <c r="C192" t="s">
        <v>54</v>
      </c>
      <c r="D192" t="s">
        <v>213</v>
      </c>
      <c r="E192" s="5">
        <v>132120</v>
      </c>
      <c r="F192" s="5">
        <v>173880</v>
      </c>
      <c r="G192" s="5">
        <v>41760</v>
      </c>
      <c r="H192" s="5">
        <v>129480</v>
      </c>
      <c r="I192" s="5">
        <v>2640</v>
      </c>
    </row>
    <row r="193" spans="1:9" x14ac:dyDescent="0.25">
      <c r="D193" t="s">
        <v>380</v>
      </c>
      <c r="E193" s="5">
        <v>155420</v>
      </c>
      <c r="F193" s="5">
        <v>197480</v>
      </c>
      <c r="G193" s="5">
        <v>42060</v>
      </c>
      <c r="H193" s="5">
        <v>98100</v>
      </c>
      <c r="I193" s="5">
        <v>57320</v>
      </c>
    </row>
    <row r="194" spans="1:9" x14ac:dyDescent="0.25">
      <c r="D194" t="s">
        <v>439</v>
      </c>
      <c r="E194" s="5">
        <v>148110</v>
      </c>
      <c r="F194" s="5">
        <v>198460</v>
      </c>
      <c r="G194" s="5">
        <v>50350</v>
      </c>
      <c r="H194" s="5">
        <v>148110</v>
      </c>
      <c r="I194" s="5">
        <v>0</v>
      </c>
    </row>
    <row r="195" spans="1:9" x14ac:dyDescent="0.25">
      <c r="D195" t="s">
        <v>2043</v>
      </c>
      <c r="E195" s="5">
        <v>59450</v>
      </c>
      <c r="F195" s="5">
        <v>82220</v>
      </c>
      <c r="G195" s="5">
        <v>22770</v>
      </c>
      <c r="H195" s="5">
        <v>58070</v>
      </c>
      <c r="I195" s="5">
        <v>1380</v>
      </c>
    </row>
    <row r="196" spans="1:9" x14ac:dyDescent="0.25">
      <c r="D196" t="s">
        <v>2095</v>
      </c>
      <c r="E196" s="5">
        <v>65490</v>
      </c>
      <c r="F196" s="5">
        <v>83160</v>
      </c>
      <c r="G196" s="5">
        <v>17670</v>
      </c>
      <c r="H196" s="5">
        <v>65490</v>
      </c>
      <c r="I196" s="5">
        <v>0</v>
      </c>
    </row>
    <row r="197" spans="1:9" x14ac:dyDescent="0.25">
      <c r="C197" s="4" t="s">
        <v>72</v>
      </c>
      <c r="D197" s="4"/>
      <c r="E197" s="6">
        <v>560590</v>
      </c>
      <c r="F197" s="6">
        <v>735200</v>
      </c>
      <c r="G197" s="6">
        <v>174610</v>
      </c>
      <c r="H197" s="6">
        <v>499250</v>
      </c>
      <c r="I197" s="6">
        <v>61340</v>
      </c>
    </row>
    <row r="198" spans="1:9" x14ac:dyDescent="0.25">
      <c r="B198" s="7" t="s">
        <v>78</v>
      </c>
      <c r="C198" s="7"/>
      <c r="D198" s="7"/>
      <c r="E198" s="8">
        <v>560590</v>
      </c>
      <c r="F198" s="8">
        <v>735200</v>
      </c>
      <c r="G198" s="8">
        <v>174610</v>
      </c>
      <c r="H198" s="8">
        <v>499250</v>
      </c>
      <c r="I198" s="8">
        <v>61340</v>
      </c>
    </row>
    <row r="199" spans="1:9" x14ac:dyDescent="0.25">
      <c r="B199" t="s">
        <v>56</v>
      </c>
      <c r="C199" t="s">
        <v>54</v>
      </c>
      <c r="D199" t="s">
        <v>56</v>
      </c>
      <c r="E199" s="5">
        <v>1086510</v>
      </c>
      <c r="F199" s="5">
        <v>2066710</v>
      </c>
      <c r="G199" s="5">
        <v>980200</v>
      </c>
      <c r="H199" s="5">
        <v>1086510</v>
      </c>
      <c r="I199" s="5">
        <v>0</v>
      </c>
    </row>
    <row r="200" spans="1:9" x14ac:dyDescent="0.25">
      <c r="C200" s="4" t="s">
        <v>72</v>
      </c>
      <c r="D200" s="4"/>
      <c r="E200" s="6">
        <v>1086510</v>
      </c>
      <c r="F200" s="6">
        <v>2066710</v>
      </c>
      <c r="G200" s="6">
        <v>980200</v>
      </c>
      <c r="H200" s="6">
        <v>1086510</v>
      </c>
      <c r="I200" s="6">
        <v>0</v>
      </c>
    </row>
    <row r="201" spans="1:9" x14ac:dyDescent="0.25">
      <c r="B201" s="7" t="s">
        <v>531</v>
      </c>
      <c r="C201" s="7"/>
      <c r="D201" s="7"/>
      <c r="E201" s="8">
        <v>1086510</v>
      </c>
      <c r="F201" s="8">
        <v>2066710</v>
      </c>
      <c r="G201" s="8">
        <v>980200</v>
      </c>
      <c r="H201" s="8">
        <v>1086510</v>
      </c>
      <c r="I201" s="8">
        <v>0</v>
      </c>
    </row>
    <row r="202" spans="1:9" x14ac:dyDescent="0.25">
      <c r="A202" s="9" t="s">
        <v>1906</v>
      </c>
      <c r="B202" s="9"/>
      <c r="C202" s="9"/>
      <c r="D202" s="9"/>
      <c r="E202" s="10">
        <v>1647100</v>
      </c>
      <c r="F202" s="10">
        <v>2801910</v>
      </c>
      <c r="G202" s="10">
        <v>1154810</v>
      </c>
      <c r="H202" s="10">
        <v>1585760</v>
      </c>
      <c r="I202" s="10">
        <v>61340</v>
      </c>
    </row>
    <row r="203" spans="1:9" x14ac:dyDescent="0.25">
      <c r="A203" t="s">
        <v>2105</v>
      </c>
      <c r="B203" t="s">
        <v>51</v>
      </c>
      <c r="C203" t="s">
        <v>54</v>
      </c>
      <c r="D203" t="s">
        <v>439</v>
      </c>
      <c r="E203" s="5">
        <v>92150</v>
      </c>
      <c r="F203" s="5">
        <v>128840</v>
      </c>
      <c r="G203" s="5">
        <v>36690</v>
      </c>
      <c r="H203" s="5">
        <v>92150</v>
      </c>
      <c r="I203" s="5">
        <v>0</v>
      </c>
    </row>
    <row r="204" spans="1:9" x14ac:dyDescent="0.25">
      <c r="D204" t="s">
        <v>529</v>
      </c>
      <c r="E204" s="5">
        <v>87440</v>
      </c>
      <c r="F204" s="5">
        <v>115290</v>
      </c>
      <c r="G204" s="5">
        <v>27850</v>
      </c>
      <c r="H204" s="5">
        <v>87440</v>
      </c>
      <c r="I204" s="5">
        <v>0</v>
      </c>
    </row>
    <row r="205" spans="1:9" x14ac:dyDescent="0.25">
      <c r="C205" s="4" t="s">
        <v>72</v>
      </c>
      <c r="D205" s="4"/>
      <c r="E205" s="6">
        <v>179590</v>
      </c>
      <c r="F205" s="6">
        <v>244130</v>
      </c>
      <c r="G205" s="6">
        <v>64540</v>
      </c>
      <c r="H205" s="6">
        <v>179590</v>
      </c>
      <c r="I205" s="6">
        <v>0</v>
      </c>
    </row>
    <row r="206" spans="1:9" x14ac:dyDescent="0.25">
      <c r="B206" s="7" t="s">
        <v>78</v>
      </c>
      <c r="C206" s="7"/>
      <c r="D206" s="7"/>
      <c r="E206" s="8">
        <v>179590</v>
      </c>
      <c r="F206" s="8">
        <v>244130</v>
      </c>
      <c r="G206" s="8">
        <v>64540</v>
      </c>
      <c r="H206" s="8">
        <v>179590</v>
      </c>
      <c r="I206" s="8">
        <v>0</v>
      </c>
    </row>
    <row r="207" spans="1:9" x14ac:dyDescent="0.25">
      <c r="B207" t="s">
        <v>56</v>
      </c>
      <c r="C207" t="s">
        <v>54</v>
      </c>
      <c r="D207" t="s">
        <v>56</v>
      </c>
      <c r="E207" s="5">
        <v>1371200</v>
      </c>
      <c r="F207" s="5">
        <v>2536690</v>
      </c>
      <c r="G207" s="5">
        <v>1165490</v>
      </c>
      <c r="H207" s="5">
        <v>1371200</v>
      </c>
      <c r="I207" s="5">
        <v>0</v>
      </c>
    </row>
    <row r="208" spans="1:9" x14ac:dyDescent="0.25">
      <c r="C208" s="4" t="s">
        <v>72</v>
      </c>
      <c r="D208" s="4"/>
      <c r="E208" s="6">
        <v>1371200</v>
      </c>
      <c r="F208" s="6">
        <v>2536690</v>
      </c>
      <c r="G208" s="6">
        <v>1165490</v>
      </c>
      <c r="H208" s="6">
        <v>1371200</v>
      </c>
      <c r="I208" s="6">
        <v>0</v>
      </c>
    </row>
    <row r="209" spans="1:9" x14ac:dyDescent="0.25">
      <c r="B209" s="7" t="s">
        <v>531</v>
      </c>
      <c r="C209" s="7"/>
      <c r="D209" s="7"/>
      <c r="E209" s="8">
        <v>1371200</v>
      </c>
      <c r="F209" s="8">
        <v>2536690</v>
      </c>
      <c r="G209" s="8">
        <v>1165490</v>
      </c>
      <c r="H209" s="8">
        <v>1371200</v>
      </c>
      <c r="I209" s="8">
        <v>0</v>
      </c>
    </row>
    <row r="210" spans="1:9" x14ac:dyDescent="0.25">
      <c r="A210" s="9" t="s">
        <v>2106</v>
      </c>
      <c r="B210" s="9"/>
      <c r="C210" s="9"/>
      <c r="D210" s="9"/>
      <c r="E210" s="10">
        <v>1550790</v>
      </c>
      <c r="F210" s="10">
        <v>2780820</v>
      </c>
      <c r="G210" s="10">
        <v>1230030</v>
      </c>
      <c r="H210" s="10">
        <v>1550790</v>
      </c>
      <c r="I210" s="10">
        <v>0</v>
      </c>
    </row>
    <row r="211" spans="1:9" x14ac:dyDescent="0.25">
      <c r="A211" t="s">
        <v>2200</v>
      </c>
      <c r="B211" t="s">
        <v>51</v>
      </c>
      <c r="C211" t="s">
        <v>54</v>
      </c>
      <c r="D211" t="s">
        <v>213</v>
      </c>
      <c r="E211" s="5">
        <v>32290</v>
      </c>
      <c r="F211" s="5">
        <v>40320</v>
      </c>
      <c r="G211" s="5">
        <v>8030</v>
      </c>
      <c r="H211" s="5">
        <v>32290</v>
      </c>
      <c r="I211" s="5">
        <v>0</v>
      </c>
    </row>
    <row r="212" spans="1:9" x14ac:dyDescent="0.25">
      <c r="D212" t="s">
        <v>439</v>
      </c>
      <c r="E212" s="5">
        <v>51380</v>
      </c>
      <c r="F212" s="5">
        <v>71200</v>
      </c>
      <c r="G212" s="5">
        <v>19820</v>
      </c>
      <c r="H212" s="5">
        <v>51380</v>
      </c>
      <c r="I212" s="5">
        <v>0</v>
      </c>
    </row>
    <row r="213" spans="1:9" x14ac:dyDescent="0.25">
      <c r="D213" t="s">
        <v>529</v>
      </c>
      <c r="E213" s="5">
        <v>185680</v>
      </c>
      <c r="F213" s="5">
        <v>256100</v>
      </c>
      <c r="G213" s="5">
        <v>70420</v>
      </c>
      <c r="H213" s="5">
        <v>185680</v>
      </c>
      <c r="I213" s="5">
        <v>0</v>
      </c>
    </row>
    <row r="214" spans="1:9" x14ac:dyDescent="0.25">
      <c r="D214" t="s">
        <v>1546</v>
      </c>
      <c r="E214" s="5">
        <v>13190</v>
      </c>
      <c r="F214" s="5">
        <v>16380</v>
      </c>
      <c r="G214" s="5">
        <v>3190</v>
      </c>
      <c r="H214" s="5">
        <v>13190</v>
      </c>
      <c r="I214" s="5">
        <v>0</v>
      </c>
    </row>
    <row r="215" spans="1:9" x14ac:dyDescent="0.25">
      <c r="C215" s="4" t="s">
        <v>72</v>
      </c>
      <c r="D215" s="4"/>
      <c r="E215" s="6">
        <v>282540</v>
      </c>
      <c r="F215" s="6">
        <v>384000</v>
      </c>
      <c r="G215" s="6">
        <v>101460</v>
      </c>
      <c r="H215" s="6">
        <v>282540</v>
      </c>
      <c r="I215" s="6">
        <v>0</v>
      </c>
    </row>
    <row r="216" spans="1:9" x14ac:dyDescent="0.25">
      <c r="B216" s="7" t="s">
        <v>78</v>
      </c>
      <c r="C216" s="7"/>
      <c r="D216" s="7"/>
      <c r="E216" s="8">
        <v>282540</v>
      </c>
      <c r="F216" s="8">
        <v>384000</v>
      </c>
      <c r="G216" s="8">
        <v>101460</v>
      </c>
      <c r="H216" s="8">
        <v>282540</v>
      </c>
      <c r="I216" s="8">
        <v>0</v>
      </c>
    </row>
    <row r="217" spans="1:9" x14ac:dyDescent="0.25">
      <c r="B217" t="s">
        <v>56</v>
      </c>
      <c r="C217" t="s">
        <v>54</v>
      </c>
      <c r="D217" t="s">
        <v>56</v>
      </c>
      <c r="E217" s="5">
        <v>990800</v>
      </c>
      <c r="F217" s="5">
        <v>1785720</v>
      </c>
      <c r="G217" s="5">
        <v>794920</v>
      </c>
      <c r="H217" s="5">
        <v>990800</v>
      </c>
      <c r="I217" s="5">
        <v>0</v>
      </c>
    </row>
    <row r="218" spans="1:9" x14ac:dyDescent="0.25">
      <c r="C218" s="4" t="s">
        <v>72</v>
      </c>
      <c r="D218" s="4"/>
      <c r="E218" s="6">
        <v>990800</v>
      </c>
      <c r="F218" s="6">
        <v>1785720</v>
      </c>
      <c r="G218" s="6">
        <v>794920</v>
      </c>
      <c r="H218" s="6">
        <v>990800</v>
      </c>
      <c r="I218" s="6">
        <v>0</v>
      </c>
    </row>
    <row r="219" spans="1:9" x14ac:dyDescent="0.25">
      <c r="B219" s="7" t="s">
        <v>531</v>
      </c>
      <c r="C219" s="7"/>
      <c r="D219" s="7"/>
      <c r="E219" s="8">
        <v>990800</v>
      </c>
      <c r="F219" s="8">
        <v>1785720</v>
      </c>
      <c r="G219" s="8">
        <v>794920</v>
      </c>
      <c r="H219" s="8">
        <v>990800</v>
      </c>
      <c r="I219" s="8">
        <v>0</v>
      </c>
    </row>
    <row r="220" spans="1:9" x14ac:dyDescent="0.25">
      <c r="A220" s="9" t="s">
        <v>2201</v>
      </c>
      <c r="B220" s="9"/>
      <c r="C220" s="9"/>
      <c r="D220" s="9"/>
      <c r="E220" s="10">
        <v>1273340</v>
      </c>
      <c r="F220" s="10">
        <v>2169720</v>
      </c>
      <c r="G220" s="10">
        <v>896380</v>
      </c>
      <c r="H220" s="10">
        <v>1273340</v>
      </c>
      <c r="I220" s="10">
        <v>0</v>
      </c>
    </row>
    <row r="221" spans="1:9" x14ac:dyDescent="0.25">
      <c r="A221" t="s">
        <v>2300</v>
      </c>
      <c r="B221" t="s">
        <v>51</v>
      </c>
      <c r="C221" t="s">
        <v>54</v>
      </c>
      <c r="D221" t="s">
        <v>380</v>
      </c>
      <c r="E221" s="5">
        <v>60920</v>
      </c>
      <c r="F221" s="5">
        <v>80500</v>
      </c>
      <c r="G221" s="5">
        <v>19580</v>
      </c>
      <c r="H221" s="5">
        <v>60920</v>
      </c>
      <c r="I221" s="5">
        <v>0</v>
      </c>
    </row>
    <row r="222" spans="1:9" x14ac:dyDescent="0.25">
      <c r="D222" t="s">
        <v>439</v>
      </c>
      <c r="E222" s="5">
        <v>57440</v>
      </c>
      <c r="F222" s="5">
        <v>75920</v>
      </c>
      <c r="G222" s="5">
        <v>18480</v>
      </c>
      <c r="H222" s="5">
        <v>57440</v>
      </c>
      <c r="I222" s="5">
        <v>0</v>
      </c>
    </row>
    <row r="223" spans="1:9" x14ac:dyDescent="0.25">
      <c r="D223" t="s">
        <v>529</v>
      </c>
      <c r="E223" s="5">
        <v>169880</v>
      </c>
      <c r="F223" s="5">
        <v>229320</v>
      </c>
      <c r="G223" s="5">
        <v>59440</v>
      </c>
      <c r="H223" s="5">
        <v>169880</v>
      </c>
      <c r="I223" s="5">
        <v>0</v>
      </c>
    </row>
    <row r="224" spans="1:9" x14ac:dyDescent="0.25">
      <c r="D224" t="s">
        <v>2337</v>
      </c>
      <c r="E224" s="5">
        <v>49120</v>
      </c>
      <c r="F224" s="5">
        <v>62370</v>
      </c>
      <c r="G224" s="5">
        <v>13250</v>
      </c>
      <c r="H224" s="5">
        <v>49120</v>
      </c>
      <c r="I224" s="5">
        <v>0</v>
      </c>
    </row>
    <row r="225" spans="1:9" x14ac:dyDescent="0.25">
      <c r="D225" t="s">
        <v>2350</v>
      </c>
      <c r="E225" s="5">
        <v>49680</v>
      </c>
      <c r="F225" s="5">
        <v>59850</v>
      </c>
      <c r="G225" s="5">
        <v>10170</v>
      </c>
      <c r="H225" s="5">
        <v>48370</v>
      </c>
      <c r="I225" s="5">
        <v>1310</v>
      </c>
    </row>
    <row r="226" spans="1:9" x14ac:dyDescent="0.25">
      <c r="C226" s="4" t="s">
        <v>72</v>
      </c>
      <c r="D226" s="4"/>
      <c r="E226" s="6">
        <v>387040</v>
      </c>
      <c r="F226" s="6">
        <v>507960</v>
      </c>
      <c r="G226" s="6">
        <v>120920</v>
      </c>
      <c r="H226" s="6">
        <v>385730</v>
      </c>
      <c r="I226" s="6">
        <v>1310</v>
      </c>
    </row>
    <row r="227" spans="1:9" x14ac:dyDescent="0.25">
      <c r="B227" s="7" t="s">
        <v>78</v>
      </c>
      <c r="C227" s="7"/>
      <c r="D227" s="7"/>
      <c r="E227" s="8">
        <v>387040</v>
      </c>
      <c r="F227" s="8">
        <v>507960</v>
      </c>
      <c r="G227" s="8">
        <v>120920</v>
      </c>
      <c r="H227" s="8">
        <v>385730</v>
      </c>
      <c r="I227" s="8">
        <v>1310</v>
      </c>
    </row>
    <row r="228" spans="1:9" x14ac:dyDescent="0.25">
      <c r="B228" t="s">
        <v>56</v>
      </c>
      <c r="C228" t="s">
        <v>54</v>
      </c>
      <c r="D228" t="s">
        <v>56</v>
      </c>
      <c r="E228" s="5">
        <v>1193300</v>
      </c>
      <c r="F228" s="5">
        <v>2243420</v>
      </c>
      <c r="G228" s="5">
        <v>1050120</v>
      </c>
      <c r="H228" s="5">
        <v>1193300</v>
      </c>
      <c r="I228" s="5">
        <v>0</v>
      </c>
    </row>
    <row r="229" spans="1:9" x14ac:dyDescent="0.25">
      <c r="D229" t="s">
        <v>529</v>
      </c>
      <c r="E229" s="5">
        <v>33230</v>
      </c>
      <c r="F229" s="5">
        <v>46620</v>
      </c>
      <c r="G229" s="5">
        <v>13390</v>
      </c>
      <c r="H229" s="5">
        <v>33230</v>
      </c>
      <c r="I229" s="5">
        <v>0</v>
      </c>
    </row>
    <row r="230" spans="1:9" x14ac:dyDescent="0.25">
      <c r="C230" s="4" t="s">
        <v>72</v>
      </c>
      <c r="D230" s="4"/>
      <c r="E230" s="6">
        <v>1226530</v>
      </c>
      <c r="F230" s="6">
        <v>2290040</v>
      </c>
      <c r="G230" s="6">
        <v>1063510</v>
      </c>
      <c r="H230" s="6">
        <v>1226530</v>
      </c>
      <c r="I230" s="6">
        <v>0</v>
      </c>
    </row>
    <row r="231" spans="1:9" x14ac:dyDescent="0.25">
      <c r="B231" s="7" t="s">
        <v>531</v>
      </c>
      <c r="C231" s="7"/>
      <c r="D231" s="7"/>
      <c r="E231" s="8">
        <v>1226530</v>
      </c>
      <c r="F231" s="8">
        <v>2290040</v>
      </c>
      <c r="G231" s="8">
        <v>1063510</v>
      </c>
      <c r="H231" s="8">
        <v>1226530</v>
      </c>
      <c r="I231" s="8">
        <v>0</v>
      </c>
    </row>
    <row r="232" spans="1:9" x14ac:dyDescent="0.25">
      <c r="A232" s="9" t="s">
        <v>2307</v>
      </c>
      <c r="B232" s="9"/>
      <c r="C232" s="9"/>
      <c r="D232" s="9"/>
      <c r="E232" s="10">
        <v>1613570</v>
      </c>
      <c r="F232" s="10">
        <v>2798000</v>
      </c>
      <c r="G232" s="10">
        <v>1184430</v>
      </c>
      <c r="H232" s="10">
        <v>1612260</v>
      </c>
      <c r="I232" s="10">
        <v>1310</v>
      </c>
    </row>
    <row r="233" spans="1:9" x14ac:dyDescent="0.25">
      <c r="A233" t="s">
        <v>2395</v>
      </c>
      <c r="B233" t="s">
        <v>51</v>
      </c>
      <c r="C233" t="s">
        <v>54</v>
      </c>
      <c r="D233" t="s">
        <v>213</v>
      </c>
      <c r="E233" s="5">
        <v>33770</v>
      </c>
      <c r="F233" s="5">
        <v>46620</v>
      </c>
      <c r="G233" s="5">
        <v>12850</v>
      </c>
      <c r="H233" s="5">
        <v>33770</v>
      </c>
      <c r="I233" s="5">
        <v>0</v>
      </c>
    </row>
    <row r="234" spans="1:9" x14ac:dyDescent="0.25">
      <c r="D234" t="s">
        <v>529</v>
      </c>
      <c r="E234" s="5">
        <v>84240</v>
      </c>
      <c r="F234" s="5">
        <v>122540</v>
      </c>
      <c r="G234" s="5">
        <v>38300</v>
      </c>
      <c r="H234" s="5">
        <v>84240</v>
      </c>
      <c r="I234" s="5">
        <v>0</v>
      </c>
    </row>
    <row r="235" spans="1:9" x14ac:dyDescent="0.25">
      <c r="C235" s="4" t="s">
        <v>72</v>
      </c>
      <c r="D235" s="4"/>
      <c r="E235" s="6">
        <v>118010</v>
      </c>
      <c r="F235" s="6">
        <v>169160</v>
      </c>
      <c r="G235" s="6">
        <v>51150</v>
      </c>
      <c r="H235" s="6">
        <v>118010</v>
      </c>
      <c r="I235" s="6">
        <v>0</v>
      </c>
    </row>
    <row r="236" spans="1:9" x14ac:dyDescent="0.25">
      <c r="B236" s="7" t="s">
        <v>78</v>
      </c>
      <c r="C236" s="7"/>
      <c r="D236" s="7"/>
      <c r="E236" s="8">
        <v>118010</v>
      </c>
      <c r="F236" s="8">
        <v>169160</v>
      </c>
      <c r="G236" s="8">
        <v>51150</v>
      </c>
      <c r="H236" s="8">
        <v>118010</v>
      </c>
      <c r="I236" s="8">
        <v>0</v>
      </c>
    </row>
    <row r="237" spans="1:9" x14ac:dyDescent="0.25">
      <c r="B237" t="s">
        <v>56</v>
      </c>
      <c r="C237" t="s">
        <v>54</v>
      </c>
      <c r="D237" t="s">
        <v>56</v>
      </c>
      <c r="E237" s="5">
        <v>1079660</v>
      </c>
      <c r="F237" s="5">
        <v>2003390</v>
      </c>
      <c r="G237" s="5">
        <v>923730</v>
      </c>
      <c r="H237" s="5">
        <v>1079660</v>
      </c>
      <c r="I237" s="5">
        <v>0</v>
      </c>
    </row>
    <row r="238" spans="1:9" x14ac:dyDescent="0.25">
      <c r="C238" s="4" t="s">
        <v>72</v>
      </c>
      <c r="D238" s="4"/>
      <c r="E238" s="6">
        <v>1079660</v>
      </c>
      <c r="F238" s="6">
        <v>2003390</v>
      </c>
      <c r="G238" s="6">
        <v>923730</v>
      </c>
      <c r="H238" s="6">
        <v>1079660</v>
      </c>
      <c r="I238" s="6">
        <v>0</v>
      </c>
    </row>
    <row r="239" spans="1:9" x14ac:dyDescent="0.25">
      <c r="B239" s="7" t="s">
        <v>531</v>
      </c>
      <c r="C239" s="7"/>
      <c r="D239" s="7"/>
      <c r="E239" s="8">
        <v>1079660</v>
      </c>
      <c r="F239" s="8">
        <v>2003390</v>
      </c>
      <c r="G239" s="8">
        <v>923730</v>
      </c>
      <c r="H239" s="8">
        <v>1079660</v>
      </c>
      <c r="I239" s="8">
        <v>0</v>
      </c>
    </row>
    <row r="240" spans="1:9" x14ac:dyDescent="0.25">
      <c r="A240" s="9" t="s">
        <v>2396</v>
      </c>
      <c r="B240" s="9"/>
      <c r="C240" s="9"/>
      <c r="D240" s="9"/>
      <c r="E240" s="10">
        <v>1197670</v>
      </c>
      <c r="F240" s="10">
        <v>2172550</v>
      </c>
      <c r="G240" s="10">
        <v>974880</v>
      </c>
      <c r="H240" s="10">
        <v>1197670</v>
      </c>
      <c r="I240" s="10">
        <v>0</v>
      </c>
    </row>
    <row r="241" spans="1:9" x14ac:dyDescent="0.25">
      <c r="A241" t="s">
        <v>2455</v>
      </c>
      <c r="B241" t="s">
        <v>51</v>
      </c>
      <c r="C241" t="s">
        <v>54</v>
      </c>
      <c r="D241" t="s">
        <v>380</v>
      </c>
      <c r="E241" s="5">
        <v>69550</v>
      </c>
      <c r="F241" s="5">
        <v>79620</v>
      </c>
      <c r="G241" s="5">
        <v>10070</v>
      </c>
      <c r="H241" s="5">
        <v>69550</v>
      </c>
      <c r="I241" s="5">
        <v>0</v>
      </c>
    </row>
    <row r="242" spans="1:9" x14ac:dyDescent="0.25">
      <c r="D242" t="s">
        <v>439</v>
      </c>
      <c r="E242" s="5">
        <v>249700</v>
      </c>
      <c r="F242" s="5">
        <v>329510</v>
      </c>
      <c r="G242" s="5">
        <v>79810</v>
      </c>
      <c r="H242" s="5">
        <v>249700</v>
      </c>
      <c r="I242" s="5">
        <v>0</v>
      </c>
    </row>
    <row r="243" spans="1:9" x14ac:dyDescent="0.25">
      <c r="D243" t="s">
        <v>529</v>
      </c>
      <c r="E243" s="5">
        <v>89370</v>
      </c>
      <c r="F243" s="5">
        <v>120960</v>
      </c>
      <c r="G243" s="5">
        <v>31590</v>
      </c>
      <c r="H243" s="5">
        <v>89370</v>
      </c>
      <c r="I243" s="5">
        <v>0</v>
      </c>
    </row>
    <row r="244" spans="1:9" x14ac:dyDescent="0.25">
      <c r="D244" t="s">
        <v>2517</v>
      </c>
      <c r="E244" s="5">
        <v>27170</v>
      </c>
      <c r="F244" s="5">
        <v>41900</v>
      </c>
      <c r="G244" s="5">
        <v>14730</v>
      </c>
      <c r="H244" s="5">
        <v>27170</v>
      </c>
      <c r="I244" s="5">
        <v>0</v>
      </c>
    </row>
    <row r="245" spans="1:9" x14ac:dyDescent="0.25">
      <c r="D245" t="s">
        <v>2593</v>
      </c>
      <c r="E245" s="5">
        <v>85620</v>
      </c>
      <c r="F245" s="5">
        <v>110250</v>
      </c>
      <c r="G245" s="5">
        <v>24630</v>
      </c>
      <c r="H245" s="5">
        <v>78980</v>
      </c>
      <c r="I245" s="5">
        <v>6640</v>
      </c>
    </row>
    <row r="246" spans="1:9" x14ac:dyDescent="0.25">
      <c r="C246" s="4" t="s">
        <v>72</v>
      </c>
      <c r="D246" s="4"/>
      <c r="E246" s="6">
        <v>521410</v>
      </c>
      <c r="F246" s="6">
        <v>682240</v>
      </c>
      <c r="G246" s="6">
        <v>160830</v>
      </c>
      <c r="H246" s="6">
        <v>514770</v>
      </c>
      <c r="I246" s="6">
        <v>6640</v>
      </c>
    </row>
    <row r="247" spans="1:9" x14ac:dyDescent="0.25">
      <c r="B247" s="7" t="s">
        <v>78</v>
      </c>
      <c r="C247" s="7"/>
      <c r="D247" s="7"/>
      <c r="E247" s="8">
        <v>521410</v>
      </c>
      <c r="F247" s="8">
        <v>682240</v>
      </c>
      <c r="G247" s="8">
        <v>160830</v>
      </c>
      <c r="H247" s="8">
        <v>514770</v>
      </c>
      <c r="I247" s="8">
        <v>6640</v>
      </c>
    </row>
    <row r="248" spans="1:9" x14ac:dyDescent="0.25">
      <c r="B248" t="s">
        <v>56</v>
      </c>
      <c r="C248" t="s">
        <v>54</v>
      </c>
      <c r="D248" t="s">
        <v>56</v>
      </c>
      <c r="E248" s="5">
        <v>1018410</v>
      </c>
      <c r="F248" s="5">
        <v>1791390</v>
      </c>
      <c r="G248" s="5">
        <v>772980</v>
      </c>
      <c r="H248" s="5">
        <v>1018410</v>
      </c>
      <c r="I248" s="5">
        <v>0</v>
      </c>
    </row>
    <row r="249" spans="1:9" x14ac:dyDescent="0.25">
      <c r="C249" s="4" t="s">
        <v>72</v>
      </c>
      <c r="D249" s="4"/>
      <c r="E249" s="6">
        <v>1018410</v>
      </c>
      <c r="F249" s="6">
        <v>1791390</v>
      </c>
      <c r="G249" s="6">
        <v>772980</v>
      </c>
      <c r="H249" s="6">
        <v>1018410</v>
      </c>
      <c r="I249" s="6">
        <v>0</v>
      </c>
    </row>
    <row r="250" spans="1:9" x14ac:dyDescent="0.25">
      <c r="B250" s="7" t="s">
        <v>531</v>
      </c>
      <c r="C250" s="7"/>
      <c r="D250" s="7"/>
      <c r="E250" s="8">
        <v>1018410</v>
      </c>
      <c r="F250" s="8">
        <v>1791390</v>
      </c>
      <c r="G250" s="8">
        <v>772980</v>
      </c>
      <c r="H250" s="8">
        <v>1018410</v>
      </c>
      <c r="I250" s="8">
        <v>0</v>
      </c>
    </row>
    <row r="251" spans="1:9" x14ac:dyDescent="0.25">
      <c r="A251" s="9" t="s">
        <v>2456</v>
      </c>
      <c r="B251" s="9"/>
      <c r="C251" s="9"/>
      <c r="D251" s="9"/>
      <c r="E251" s="10">
        <v>1539820</v>
      </c>
      <c r="F251" s="10">
        <v>2473630</v>
      </c>
      <c r="G251" s="10">
        <v>933810</v>
      </c>
      <c r="H251" s="10">
        <v>1533180</v>
      </c>
      <c r="I251" s="10">
        <v>6640</v>
      </c>
    </row>
    <row r="252" spans="1:9" x14ac:dyDescent="0.25">
      <c r="A252" t="s">
        <v>2571</v>
      </c>
      <c r="B252" t="s">
        <v>51</v>
      </c>
      <c r="C252" t="s">
        <v>54</v>
      </c>
      <c r="D252" t="s">
        <v>439</v>
      </c>
      <c r="E252" s="5">
        <v>214780</v>
      </c>
      <c r="F252" s="5">
        <v>294850</v>
      </c>
      <c r="G252" s="5">
        <v>80070</v>
      </c>
      <c r="H252" s="5">
        <v>214780</v>
      </c>
      <c r="I252" s="5">
        <v>0</v>
      </c>
    </row>
    <row r="253" spans="1:9" x14ac:dyDescent="0.25">
      <c r="D253" t="s">
        <v>2616</v>
      </c>
      <c r="E253" s="5">
        <v>29070</v>
      </c>
      <c r="F253" s="5">
        <v>40320</v>
      </c>
      <c r="G253" s="5">
        <v>11250</v>
      </c>
      <c r="H253" s="5">
        <v>29070</v>
      </c>
      <c r="I253" s="5">
        <v>0</v>
      </c>
    </row>
    <row r="254" spans="1:9" x14ac:dyDescent="0.25">
      <c r="C254" s="4" t="s">
        <v>72</v>
      </c>
      <c r="D254" s="4"/>
      <c r="E254" s="6">
        <v>243850</v>
      </c>
      <c r="F254" s="6">
        <v>335170</v>
      </c>
      <c r="G254" s="6">
        <v>91320</v>
      </c>
      <c r="H254" s="6">
        <v>243850</v>
      </c>
      <c r="I254" s="6">
        <v>0</v>
      </c>
    </row>
    <row r="255" spans="1:9" x14ac:dyDescent="0.25">
      <c r="B255" s="7" t="s">
        <v>78</v>
      </c>
      <c r="C255" s="7"/>
      <c r="D255" s="7"/>
      <c r="E255" s="8">
        <v>243850</v>
      </c>
      <c r="F255" s="8">
        <v>335170</v>
      </c>
      <c r="G255" s="8">
        <v>91320</v>
      </c>
      <c r="H255" s="8">
        <v>243850</v>
      </c>
      <c r="I255" s="8">
        <v>0</v>
      </c>
    </row>
    <row r="256" spans="1:9" x14ac:dyDescent="0.25">
      <c r="B256" t="s">
        <v>56</v>
      </c>
      <c r="C256" t="s">
        <v>54</v>
      </c>
      <c r="D256" t="s">
        <v>56</v>
      </c>
      <c r="E256" s="5">
        <v>1278710</v>
      </c>
      <c r="F256" s="5">
        <v>2277440</v>
      </c>
      <c r="G256" s="5">
        <v>998730</v>
      </c>
      <c r="H256" s="5">
        <v>1278710</v>
      </c>
      <c r="I256" s="5">
        <v>0</v>
      </c>
    </row>
    <row r="257" spans="1:9" x14ac:dyDescent="0.25">
      <c r="C257" s="4" t="s">
        <v>72</v>
      </c>
      <c r="D257" s="4"/>
      <c r="E257" s="6">
        <v>1278710</v>
      </c>
      <c r="F257" s="6">
        <v>2277440</v>
      </c>
      <c r="G257" s="6">
        <v>998730</v>
      </c>
      <c r="H257" s="6">
        <v>1278710</v>
      </c>
      <c r="I257" s="6">
        <v>0</v>
      </c>
    </row>
    <row r="258" spans="1:9" x14ac:dyDescent="0.25">
      <c r="B258" s="7" t="s">
        <v>531</v>
      </c>
      <c r="C258" s="7"/>
      <c r="D258" s="7"/>
      <c r="E258" s="8">
        <v>1278710</v>
      </c>
      <c r="F258" s="8">
        <v>2277440</v>
      </c>
      <c r="G258" s="8">
        <v>998730</v>
      </c>
      <c r="H258" s="8">
        <v>1278710</v>
      </c>
      <c r="I258" s="8">
        <v>0</v>
      </c>
    </row>
    <row r="259" spans="1:9" x14ac:dyDescent="0.25">
      <c r="A259" s="9" t="s">
        <v>2572</v>
      </c>
      <c r="B259" s="9"/>
      <c r="C259" s="9"/>
      <c r="D259" s="9"/>
      <c r="E259" s="10">
        <v>1522560</v>
      </c>
      <c r="F259" s="10">
        <v>2612610</v>
      </c>
      <c r="G259" s="10">
        <v>1090050</v>
      </c>
      <c r="H259" s="10">
        <v>1522560</v>
      </c>
      <c r="I259" s="10">
        <v>0</v>
      </c>
    </row>
    <row r="260" spans="1:9" x14ac:dyDescent="0.25">
      <c r="A260" t="s">
        <v>2658</v>
      </c>
      <c r="B260" t="s">
        <v>51</v>
      </c>
      <c r="C260" t="s">
        <v>54</v>
      </c>
      <c r="D260" t="s">
        <v>439</v>
      </c>
      <c r="E260" s="5">
        <v>90670</v>
      </c>
      <c r="F260" s="5">
        <v>122540</v>
      </c>
      <c r="G260" s="5">
        <v>31870</v>
      </c>
      <c r="H260" s="5">
        <v>90670</v>
      </c>
      <c r="I260" s="5">
        <v>0</v>
      </c>
    </row>
    <row r="261" spans="1:9" x14ac:dyDescent="0.25">
      <c r="D261" t="s">
        <v>2616</v>
      </c>
      <c r="E261" s="5">
        <v>95480</v>
      </c>
      <c r="F261" s="5">
        <v>136710</v>
      </c>
      <c r="G261" s="5">
        <v>41230</v>
      </c>
      <c r="H261" s="5">
        <v>95480</v>
      </c>
      <c r="I261" s="5">
        <v>0</v>
      </c>
    </row>
    <row r="262" spans="1:9" x14ac:dyDescent="0.25">
      <c r="D262" t="s">
        <v>2707</v>
      </c>
      <c r="E262" s="5">
        <v>32700</v>
      </c>
      <c r="F262" s="5">
        <v>46620</v>
      </c>
      <c r="G262" s="5">
        <v>13920</v>
      </c>
      <c r="H262" s="5">
        <v>29980</v>
      </c>
      <c r="I262" s="5">
        <v>2720</v>
      </c>
    </row>
    <row r="263" spans="1:9" x14ac:dyDescent="0.25">
      <c r="C263" s="4" t="s">
        <v>72</v>
      </c>
      <c r="D263" s="4"/>
      <c r="E263" s="6">
        <v>218850</v>
      </c>
      <c r="F263" s="6">
        <v>305870</v>
      </c>
      <c r="G263" s="6">
        <v>87020</v>
      </c>
      <c r="H263" s="6">
        <v>216130</v>
      </c>
      <c r="I263" s="6">
        <v>2720</v>
      </c>
    </row>
    <row r="264" spans="1:9" x14ac:dyDescent="0.25">
      <c r="B264" s="7" t="s">
        <v>78</v>
      </c>
      <c r="C264" s="7"/>
      <c r="D264" s="7"/>
      <c r="E264" s="8">
        <v>218850</v>
      </c>
      <c r="F264" s="8">
        <v>305870</v>
      </c>
      <c r="G264" s="8">
        <v>87020</v>
      </c>
      <c r="H264" s="8">
        <v>216130</v>
      </c>
      <c r="I264" s="8">
        <v>2720</v>
      </c>
    </row>
    <row r="265" spans="1:9" x14ac:dyDescent="0.25">
      <c r="B265" t="s">
        <v>56</v>
      </c>
      <c r="C265" t="s">
        <v>54</v>
      </c>
      <c r="D265" t="s">
        <v>56</v>
      </c>
      <c r="E265" s="5">
        <v>919750</v>
      </c>
      <c r="F265" s="5">
        <v>1669170</v>
      </c>
      <c r="G265" s="5">
        <v>749420</v>
      </c>
      <c r="H265" s="5">
        <v>919750</v>
      </c>
      <c r="I265" s="5">
        <v>0</v>
      </c>
    </row>
    <row r="266" spans="1:9" x14ac:dyDescent="0.25">
      <c r="C266" s="4" t="s">
        <v>72</v>
      </c>
      <c r="D266" s="4"/>
      <c r="E266" s="6">
        <v>919750</v>
      </c>
      <c r="F266" s="6">
        <v>1669170</v>
      </c>
      <c r="G266" s="6">
        <v>749420</v>
      </c>
      <c r="H266" s="6">
        <v>919750</v>
      </c>
      <c r="I266" s="6">
        <v>0</v>
      </c>
    </row>
    <row r="267" spans="1:9" x14ac:dyDescent="0.25">
      <c r="B267" s="7" t="s">
        <v>531</v>
      </c>
      <c r="C267" s="7"/>
      <c r="D267" s="7"/>
      <c r="E267" s="8">
        <v>919750</v>
      </c>
      <c r="F267" s="8">
        <v>1669170</v>
      </c>
      <c r="G267" s="8">
        <v>749420</v>
      </c>
      <c r="H267" s="8">
        <v>919750</v>
      </c>
      <c r="I267" s="8">
        <v>0</v>
      </c>
    </row>
    <row r="268" spans="1:9" x14ac:dyDescent="0.25">
      <c r="A268" s="9" t="s">
        <v>2663</v>
      </c>
      <c r="B268" s="9"/>
      <c r="C268" s="9"/>
      <c r="D268" s="9"/>
      <c r="E268" s="10">
        <v>1138600</v>
      </c>
      <c r="F268" s="10">
        <v>1975040</v>
      </c>
      <c r="G268" s="10">
        <v>836440</v>
      </c>
      <c r="H268" s="10">
        <v>1135880</v>
      </c>
      <c r="I268" s="10">
        <v>2720</v>
      </c>
    </row>
    <row r="269" spans="1:9" x14ac:dyDescent="0.25">
      <c r="A269" t="s">
        <v>2731</v>
      </c>
      <c r="B269" t="s">
        <v>51</v>
      </c>
      <c r="C269" t="s">
        <v>54</v>
      </c>
      <c r="D269" t="s">
        <v>213</v>
      </c>
      <c r="E269" s="5">
        <v>33770</v>
      </c>
      <c r="F269" s="5">
        <v>46620</v>
      </c>
      <c r="G269" s="5">
        <v>12850</v>
      </c>
      <c r="H269" s="5">
        <v>33090</v>
      </c>
      <c r="I269" s="5">
        <v>680</v>
      </c>
    </row>
    <row r="270" spans="1:9" x14ac:dyDescent="0.25">
      <c r="D270" t="s">
        <v>2616</v>
      </c>
      <c r="E270" s="5">
        <v>95480</v>
      </c>
      <c r="F270" s="5">
        <v>136710</v>
      </c>
      <c r="G270" s="5">
        <v>41230</v>
      </c>
      <c r="H270" s="5">
        <v>95480</v>
      </c>
      <c r="I270" s="5">
        <v>0</v>
      </c>
    </row>
    <row r="271" spans="1:9" x14ac:dyDescent="0.25">
      <c r="C271" s="4" t="s">
        <v>72</v>
      </c>
      <c r="D271" s="4"/>
      <c r="E271" s="6">
        <v>129250</v>
      </c>
      <c r="F271" s="6">
        <v>183330</v>
      </c>
      <c r="G271" s="6">
        <v>54080</v>
      </c>
      <c r="H271" s="6">
        <v>128570</v>
      </c>
      <c r="I271" s="6">
        <v>680</v>
      </c>
    </row>
    <row r="272" spans="1:9" x14ac:dyDescent="0.25">
      <c r="B272" s="7" t="s">
        <v>78</v>
      </c>
      <c r="C272" s="7"/>
      <c r="D272" s="7"/>
      <c r="E272" s="8">
        <v>129250</v>
      </c>
      <c r="F272" s="8">
        <v>183330</v>
      </c>
      <c r="G272" s="8">
        <v>54080</v>
      </c>
      <c r="H272" s="8">
        <v>128570</v>
      </c>
      <c r="I272" s="8">
        <v>680</v>
      </c>
    </row>
    <row r="273" spans="1:9" x14ac:dyDescent="0.25">
      <c r="B273" t="s">
        <v>56</v>
      </c>
      <c r="C273" t="s">
        <v>54</v>
      </c>
      <c r="D273" t="s">
        <v>56</v>
      </c>
      <c r="E273" s="5">
        <v>1087320</v>
      </c>
      <c r="F273" s="5">
        <v>2072370</v>
      </c>
      <c r="G273" s="5">
        <v>985050</v>
      </c>
      <c r="H273" s="5">
        <v>1087320</v>
      </c>
      <c r="I273" s="5">
        <v>0</v>
      </c>
    </row>
    <row r="274" spans="1:9" x14ac:dyDescent="0.25">
      <c r="C274" s="4" t="s">
        <v>72</v>
      </c>
      <c r="D274" s="4"/>
      <c r="E274" s="6">
        <v>1087320</v>
      </c>
      <c r="F274" s="6">
        <v>2072370</v>
      </c>
      <c r="G274" s="6">
        <v>985050</v>
      </c>
      <c r="H274" s="6">
        <v>1087320</v>
      </c>
      <c r="I274" s="6">
        <v>0</v>
      </c>
    </row>
    <row r="275" spans="1:9" x14ac:dyDescent="0.25">
      <c r="B275" s="7" t="s">
        <v>531</v>
      </c>
      <c r="C275" s="7"/>
      <c r="D275" s="7"/>
      <c r="E275" s="8">
        <v>1087320</v>
      </c>
      <c r="F275" s="8">
        <v>2072370</v>
      </c>
      <c r="G275" s="8">
        <v>985050</v>
      </c>
      <c r="H275" s="8">
        <v>1087320</v>
      </c>
      <c r="I275" s="8">
        <v>0</v>
      </c>
    </row>
    <row r="276" spans="1:9" x14ac:dyDescent="0.25">
      <c r="A276" s="9" t="s">
        <v>2732</v>
      </c>
      <c r="B276" s="9"/>
      <c r="C276" s="9"/>
      <c r="D276" s="9"/>
      <c r="E276" s="10">
        <v>1216570</v>
      </c>
      <c r="F276" s="10">
        <v>2255700</v>
      </c>
      <c r="G276" s="10">
        <v>1039130</v>
      </c>
      <c r="H276" s="10">
        <v>1215890</v>
      </c>
      <c r="I276" s="10">
        <v>680</v>
      </c>
    </row>
    <row r="277" spans="1:9" x14ac:dyDescent="0.25">
      <c r="A277" t="s">
        <v>2785</v>
      </c>
      <c r="B277" t="s">
        <v>51</v>
      </c>
      <c r="C277" t="s">
        <v>54</v>
      </c>
      <c r="D277" t="s">
        <v>213</v>
      </c>
      <c r="E277" s="5">
        <v>66590</v>
      </c>
      <c r="F277" s="5">
        <v>86940</v>
      </c>
      <c r="G277" s="5">
        <v>20350</v>
      </c>
      <c r="H277" s="5">
        <v>66590</v>
      </c>
      <c r="I277" s="5">
        <v>0</v>
      </c>
    </row>
    <row r="278" spans="1:9" x14ac:dyDescent="0.25">
      <c r="D278" t="s">
        <v>2616</v>
      </c>
      <c r="E278" s="5">
        <v>130660</v>
      </c>
      <c r="F278" s="5">
        <v>192780</v>
      </c>
      <c r="G278" s="5">
        <v>62120</v>
      </c>
      <c r="H278" s="5">
        <v>130660</v>
      </c>
      <c r="I278" s="5">
        <v>0</v>
      </c>
    </row>
    <row r="279" spans="1:9" x14ac:dyDescent="0.25">
      <c r="C279" s="4" t="s">
        <v>72</v>
      </c>
      <c r="D279" s="4"/>
      <c r="E279" s="6">
        <v>197250</v>
      </c>
      <c r="F279" s="6">
        <v>279720</v>
      </c>
      <c r="G279" s="6">
        <v>82470</v>
      </c>
      <c r="H279" s="6">
        <v>197250</v>
      </c>
      <c r="I279" s="6">
        <v>0</v>
      </c>
    </row>
    <row r="280" spans="1:9" x14ac:dyDescent="0.25">
      <c r="B280" s="7" t="s">
        <v>78</v>
      </c>
      <c r="C280" s="7"/>
      <c r="D280" s="7"/>
      <c r="E280" s="8">
        <v>197250</v>
      </c>
      <c r="F280" s="8">
        <v>279720</v>
      </c>
      <c r="G280" s="8">
        <v>82470</v>
      </c>
      <c r="H280" s="8">
        <v>197250</v>
      </c>
      <c r="I280" s="8">
        <v>0</v>
      </c>
    </row>
    <row r="281" spans="1:9" x14ac:dyDescent="0.25">
      <c r="B281" t="s">
        <v>56</v>
      </c>
      <c r="C281" t="s">
        <v>54</v>
      </c>
      <c r="D281" t="s">
        <v>56</v>
      </c>
      <c r="E281" s="5">
        <v>872290</v>
      </c>
      <c r="F281" s="5">
        <v>1531210</v>
      </c>
      <c r="G281" s="5">
        <v>658920</v>
      </c>
      <c r="H281" s="5">
        <v>872290</v>
      </c>
      <c r="I281" s="5">
        <v>0</v>
      </c>
    </row>
    <row r="282" spans="1:9" x14ac:dyDescent="0.25">
      <c r="D282" t="s">
        <v>213</v>
      </c>
      <c r="E282" s="5">
        <v>33770</v>
      </c>
      <c r="F282" s="5">
        <v>46620</v>
      </c>
      <c r="G282" s="5">
        <v>12850</v>
      </c>
      <c r="H282" s="5">
        <v>33770</v>
      </c>
      <c r="I282" s="5"/>
    </row>
    <row r="283" spans="1:9" x14ac:dyDescent="0.25">
      <c r="C283" s="4" t="s">
        <v>72</v>
      </c>
      <c r="D283" s="4"/>
      <c r="E283" s="6">
        <v>906060</v>
      </c>
      <c r="F283" s="6">
        <v>1577830</v>
      </c>
      <c r="G283" s="6">
        <v>671770</v>
      </c>
      <c r="H283" s="6">
        <v>906060</v>
      </c>
      <c r="I283" s="6">
        <v>0</v>
      </c>
    </row>
    <row r="284" spans="1:9" x14ac:dyDescent="0.25">
      <c r="B284" s="7" t="s">
        <v>531</v>
      </c>
      <c r="C284" s="7"/>
      <c r="D284" s="7"/>
      <c r="E284" s="8">
        <v>906060</v>
      </c>
      <c r="F284" s="8">
        <v>1577830</v>
      </c>
      <c r="G284" s="8">
        <v>671770</v>
      </c>
      <c r="H284" s="8">
        <v>906060</v>
      </c>
      <c r="I284" s="8">
        <v>0</v>
      </c>
    </row>
    <row r="285" spans="1:9" x14ac:dyDescent="0.25">
      <c r="A285" s="9" t="s">
        <v>2787</v>
      </c>
      <c r="B285" s="9"/>
      <c r="C285" s="9"/>
      <c r="D285" s="9"/>
      <c r="E285" s="10">
        <v>1103310</v>
      </c>
      <c r="F285" s="10">
        <v>1857550</v>
      </c>
      <c r="G285" s="10">
        <v>754240</v>
      </c>
      <c r="H285" s="10">
        <v>1103310</v>
      </c>
      <c r="I285" s="10">
        <v>0</v>
      </c>
    </row>
    <row r="286" spans="1:9" x14ac:dyDescent="0.25">
      <c r="A286" t="s">
        <v>2858</v>
      </c>
      <c r="B286" t="s">
        <v>51</v>
      </c>
      <c r="C286" t="s">
        <v>54</v>
      </c>
      <c r="D286" t="s">
        <v>3075</v>
      </c>
      <c r="E286" s="5">
        <v>66940</v>
      </c>
      <c r="F286" s="5">
        <v>128520</v>
      </c>
      <c r="G286" s="5">
        <v>61580</v>
      </c>
      <c r="H286" s="5">
        <v>60250</v>
      </c>
      <c r="I286" s="5">
        <v>6690</v>
      </c>
    </row>
    <row r="287" spans="1:9" x14ac:dyDescent="0.25">
      <c r="D287" t="s">
        <v>3095</v>
      </c>
      <c r="E287" s="5">
        <v>78180</v>
      </c>
      <c r="F287" s="5">
        <v>128520</v>
      </c>
      <c r="G287" s="5">
        <v>50340</v>
      </c>
      <c r="H287" s="5">
        <v>71070</v>
      </c>
      <c r="I287" s="5">
        <v>7110</v>
      </c>
    </row>
    <row r="288" spans="1:9" x14ac:dyDescent="0.25">
      <c r="D288" t="s">
        <v>3138</v>
      </c>
      <c r="E288" s="5">
        <v>53120</v>
      </c>
      <c r="F288" s="5">
        <v>57830</v>
      </c>
      <c r="G288" s="5">
        <v>4710</v>
      </c>
      <c r="H288" s="5">
        <v>48000</v>
      </c>
      <c r="I288" s="5">
        <v>5120</v>
      </c>
    </row>
    <row r="289" spans="1:9" x14ac:dyDescent="0.25">
      <c r="C289" s="4" t="s">
        <v>72</v>
      </c>
      <c r="D289" s="4"/>
      <c r="E289" s="6">
        <v>198240</v>
      </c>
      <c r="F289" s="6">
        <v>314870</v>
      </c>
      <c r="G289" s="6">
        <v>116630</v>
      </c>
      <c r="H289" s="6">
        <v>179320</v>
      </c>
      <c r="I289" s="6">
        <v>18920</v>
      </c>
    </row>
    <row r="290" spans="1:9" x14ac:dyDescent="0.25">
      <c r="B290" s="7" t="s">
        <v>78</v>
      </c>
      <c r="C290" s="7"/>
      <c r="D290" s="7"/>
      <c r="E290" s="8">
        <v>198240</v>
      </c>
      <c r="F290" s="8">
        <v>314870</v>
      </c>
      <c r="G290" s="8">
        <v>116630</v>
      </c>
      <c r="H290" s="8">
        <v>179320</v>
      </c>
      <c r="I290" s="8">
        <v>18920</v>
      </c>
    </row>
    <row r="291" spans="1:9" x14ac:dyDescent="0.25">
      <c r="B291" t="s">
        <v>56</v>
      </c>
      <c r="C291" t="s">
        <v>54</v>
      </c>
      <c r="D291" t="s">
        <v>56</v>
      </c>
      <c r="E291" s="5">
        <v>1346300</v>
      </c>
      <c r="F291" s="5">
        <v>2801080</v>
      </c>
      <c r="G291" s="5">
        <v>1454780</v>
      </c>
      <c r="H291" s="5">
        <v>1346300</v>
      </c>
      <c r="I291" s="5">
        <v>0</v>
      </c>
    </row>
    <row r="292" spans="1:9" x14ac:dyDescent="0.25">
      <c r="C292" s="4" t="s">
        <v>72</v>
      </c>
      <c r="D292" s="4"/>
      <c r="E292" s="6">
        <v>1346300</v>
      </c>
      <c r="F292" s="6">
        <v>2801080</v>
      </c>
      <c r="G292" s="6">
        <v>1454780</v>
      </c>
      <c r="H292" s="6">
        <v>1346300</v>
      </c>
      <c r="I292" s="6">
        <v>0</v>
      </c>
    </row>
    <row r="293" spans="1:9" x14ac:dyDescent="0.25">
      <c r="B293" s="7" t="s">
        <v>531</v>
      </c>
      <c r="C293" s="7"/>
      <c r="D293" s="7"/>
      <c r="E293" s="8">
        <v>1346300</v>
      </c>
      <c r="F293" s="8">
        <v>2801080</v>
      </c>
      <c r="G293" s="8">
        <v>1454780</v>
      </c>
      <c r="H293" s="8">
        <v>1346300</v>
      </c>
      <c r="I293" s="8">
        <v>0</v>
      </c>
    </row>
    <row r="294" spans="1:9" x14ac:dyDescent="0.25">
      <c r="A294" s="9" t="s">
        <v>2860</v>
      </c>
      <c r="B294" s="9"/>
      <c r="C294" s="9"/>
      <c r="D294" s="9"/>
      <c r="E294" s="10">
        <v>1544540</v>
      </c>
      <c r="F294" s="10">
        <v>3115950</v>
      </c>
      <c r="G294" s="10">
        <v>1571410</v>
      </c>
      <c r="H294" s="10">
        <v>1525620</v>
      </c>
      <c r="I294" s="10">
        <v>18920</v>
      </c>
    </row>
    <row r="295" spans="1:9" x14ac:dyDescent="0.25">
      <c r="A295" t="s">
        <v>3200</v>
      </c>
      <c r="B295" t="s">
        <v>56</v>
      </c>
      <c r="C295" t="s">
        <v>54</v>
      </c>
      <c r="D295" t="s">
        <v>56</v>
      </c>
      <c r="E295" s="5">
        <v>2029030</v>
      </c>
      <c r="F295" s="5">
        <v>4030660</v>
      </c>
      <c r="G295" s="5">
        <v>2001630</v>
      </c>
      <c r="H295" s="5">
        <v>2029030</v>
      </c>
      <c r="I295" s="5">
        <v>0</v>
      </c>
    </row>
    <row r="296" spans="1:9" x14ac:dyDescent="0.25">
      <c r="C296" s="4" t="s">
        <v>72</v>
      </c>
      <c r="D296" s="4"/>
      <c r="E296" s="6">
        <v>2029030</v>
      </c>
      <c r="F296" s="6">
        <v>4030660</v>
      </c>
      <c r="G296" s="6">
        <v>2001630</v>
      </c>
      <c r="H296" s="6">
        <v>2029030</v>
      </c>
      <c r="I296" s="6">
        <v>0</v>
      </c>
    </row>
    <row r="297" spans="1:9" x14ac:dyDescent="0.25">
      <c r="B297" s="7" t="s">
        <v>531</v>
      </c>
      <c r="C297" s="7"/>
      <c r="D297" s="7"/>
      <c r="E297" s="8">
        <v>2029030</v>
      </c>
      <c r="F297" s="8">
        <v>4030660</v>
      </c>
      <c r="G297" s="8">
        <v>2001630</v>
      </c>
      <c r="H297" s="8">
        <v>2029030</v>
      </c>
      <c r="I297" s="8">
        <v>0</v>
      </c>
    </row>
    <row r="298" spans="1:9" x14ac:dyDescent="0.25">
      <c r="A298" s="9" t="s">
        <v>3201</v>
      </c>
      <c r="B298" s="9"/>
      <c r="C298" s="9"/>
      <c r="D298" s="9"/>
      <c r="E298" s="10">
        <v>2029030</v>
      </c>
      <c r="F298" s="10">
        <v>4030660</v>
      </c>
      <c r="G298" s="10">
        <v>2001630</v>
      </c>
      <c r="H298" s="10">
        <v>2029030</v>
      </c>
      <c r="I298" s="10">
        <v>0</v>
      </c>
    </row>
    <row r="299" spans="1:9" x14ac:dyDescent="0.25">
      <c r="A299" t="s">
        <v>3343</v>
      </c>
      <c r="B299" t="s">
        <v>56</v>
      </c>
      <c r="C299" t="s">
        <v>54</v>
      </c>
      <c r="D299" t="s">
        <v>56</v>
      </c>
      <c r="E299" s="5">
        <v>2115220</v>
      </c>
      <c r="F299" s="5">
        <v>4130360</v>
      </c>
      <c r="G299" s="5">
        <v>2015140</v>
      </c>
      <c r="H299" s="5">
        <v>2115220</v>
      </c>
      <c r="I299" s="5">
        <v>0</v>
      </c>
    </row>
    <row r="300" spans="1:9" x14ac:dyDescent="0.25">
      <c r="C300" s="4" t="s">
        <v>72</v>
      </c>
      <c r="D300" s="4"/>
      <c r="E300" s="6">
        <v>2115220</v>
      </c>
      <c r="F300" s="6">
        <v>4130360</v>
      </c>
      <c r="G300" s="6">
        <v>2015140</v>
      </c>
      <c r="H300" s="6">
        <v>2115220</v>
      </c>
      <c r="I300" s="6">
        <v>0</v>
      </c>
    </row>
    <row r="301" spans="1:9" x14ac:dyDescent="0.25">
      <c r="B301" s="7" t="s">
        <v>531</v>
      </c>
      <c r="C301" s="7"/>
      <c r="D301" s="7"/>
      <c r="E301" s="8">
        <v>2115220</v>
      </c>
      <c r="F301" s="8">
        <v>4130360</v>
      </c>
      <c r="G301" s="8">
        <v>2015140</v>
      </c>
      <c r="H301" s="8">
        <v>2115220</v>
      </c>
      <c r="I301" s="8">
        <v>0</v>
      </c>
    </row>
    <row r="302" spans="1:9" x14ac:dyDescent="0.25">
      <c r="A302" s="9" t="s">
        <v>3344</v>
      </c>
      <c r="B302" s="9"/>
      <c r="C302" s="9"/>
      <c r="D302" s="9"/>
      <c r="E302" s="10">
        <v>2115220</v>
      </c>
      <c r="F302" s="10">
        <v>4130360</v>
      </c>
      <c r="G302" s="10">
        <v>2015140</v>
      </c>
      <c r="H302" s="10">
        <v>2115220</v>
      </c>
      <c r="I302" s="10">
        <v>0</v>
      </c>
    </row>
    <row r="303" spans="1:9" x14ac:dyDescent="0.25">
      <c r="A303" t="s">
        <v>3443</v>
      </c>
      <c r="B303" t="s">
        <v>51</v>
      </c>
      <c r="C303" t="s">
        <v>54</v>
      </c>
      <c r="D303" t="s">
        <v>3561</v>
      </c>
      <c r="E303" s="5">
        <v>44680</v>
      </c>
      <c r="F303" s="5">
        <v>60480</v>
      </c>
      <c r="G303" s="5">
        <v>15800</v>
      </c>
      <c r="H303" s="5">
        <v>44680</v>
      </c>
      <c r="I303" s="5">
        <v>0</v>
      </c>
    </row>
    <row r="304" spans="1:9" x14ac:dyDescent="0.25">
      <c r="C304" s="4" t="s">
        <v>72</v>
      </c>
      <c r="D304" s="4"/>
      <c r="E304" s="6">
        <v>44680</v>
      </c>
      <c r="F304" s="6">
        <v>60480</v>
      </c>
      <c r="G304" s="6">
        <v>15800</v>
      </c>
      <c r="H304" s="6">
        <v>44680</v>
      </c>
      <c r="I304" s="6">
        <v>0</v>
      </c>
    </row>
    <row r="305" spans="1:9" x14ac:dyDescent="0.25">
      <c r="B305" s="7" t="s">
        <v>78</v>
      </c>
      <c r="C305" s="7"/>
      <c r="D305" s="7"/>
      <c r="E305" s="8">
        <v>44680</v>
      </c>
      <c r="F305" s="8">
        <v>60480</v>
      </c>
      <c r="G305" s="8">
        <v>15800</v>
      </c>
      <c r="H305" s="8">
        <v>44680</v>
      </c>
      <c r="I305" s="8">
        <v>0</v>
      </c>
    </row>
    <row r="306" spans="1:9" x14ac:dyDescent="0.25">
      <c r="B306" t="s">
        <v>56</v>
      </c>
      <c r="C306" t="s">
        <v>54</v>
      </c>
      <c r="D306" t="s">
        <v>889</v>
      </c>
      <c r="E306" s="5">
        <v>57300</v>
      </c>
      <c r="F306" s="5">
        <v>144580</v>
      </c>
      <c r="G306" s="5">
        <v>87280</v>
      </c>
      <c r="H306" s="5">
        <v>57300</v>
      </c>
      <c r="I306" s="5">
        <v>0</v>
      </c>
    </row>
    <row r="307" spans="1:9" x14ac:dyDescent="0.25">
      <c r="D307" t="s">
        <v>56</v>
      </c>
      <c r="E307" s="5">
        <v>1980920</v>
      </c>
      <c r="F307" s="5">
        <v>3947520</v>
      </c>
      <c r="G307" s="5">
        <v>1966600</v>
      </c>
      <c r="H307" s="5">
        <v>1980920</v>
      </c>
      <c r="I307" s="5">
        <v>0</v>
      </c>
    </row>
    <row r="308" spans="1:9" x14ac:dyDescent="0.25">
      <c r="C308" s="4" t="s">
        <v>72</v>
      </c>
      <c r="D308" s="4"/>
      <c r="E308" s="6">
        <v>2038220</v>
      </c>
      <c r="F308" s="6">
        <v>4092100</v>
      </c>
      <c r="G308" s="6">
        <v>2053880</v>
      </c>
      <c r="H308" s="6">
        <v>2038220</v>
      </c>
      <c r="I308" s="6">
        <v>0</v>
      </c>
    </row>
    <row r="309" spans="1:9" x14ac:dyDescent="0.25">
      <c r="C309" t="s">
        <v>1874</v>
      </c>
      <c r="D309" t="s">
        <v>56</v>
      </c>
      <c r="E309" s="5"/>
      <c r="F309" s="5"/>
      <c r="G309" s="5"/>
      <c r="H309" s="5"/>
      <c r="I309" s="5"/>
    </row>
    <row r="310" spans="1:9" x14ac:dyDescent="0.25">
      <c r="C310" s="4" t="s">
        <v>3507</v>
      </c>
      <c r="D310" s="4"/>
      <c r="E310" s="6"/>
      <c r="F310" s="6"/>
      <c r="G310" s="6"/>
      <c r="H310" s="6"/>
      <c r="I310" s="6"/>
    </row>
    <row r="311" spans="1:9" x14ac:dyDescent="0.25">
      <c r="B311" s="7" t="s">
        <v>531</v>
      </c>
      <c r="C311" s="7"/>
      <c r="D311" s="7"/>
      <c r="E311" s="8">
        <v>2038220</v>
      </c>
      <c r="F311" s="8">
        <v>4092100</v>
      </c>
      <c r="G311" s="8">
        <v>2053880</v>
      </c>
      <c r="H311" s="8">
        <v>2038220</v>
      </c>
      <c r="I311" s="8">
        <v>0</v>
      </c>
    </row>
    <row r="312" spans="1:9" x14ac:dyDescent="0.25">
      <c r="A312" s="9" t="s">
        <v>3446</v>
      </c>
      <c r="B312" s="9"/>
      <c r="C312" s="9"/>
      <c r="D312" s="9"/>
      <c r="E312" s="10">
        <v>2082900</v>
      </c>
      <c r="F312" s="10">
        <v>4152580</v>
      </c>
      <c r="G312" s="10">
        <v>2069680</v>
      </c>
      <c r="H312" s="10">
        <v>2082900</v>
      </c>
      <c r="I312" s="10">
        <v>0</v>
      </c>
    </row>
    <row r="313" spans="1:9" x14ac:dyDescent="0.25">
      <c r="A313" t="s">
        <v>3555</v>
      </c>
      <c r="B313" t="s">
        <v>51</v>
      </c>
      <c r="C313" t="s">
        <v>54</v>
      </c>
      <c r="D313" t="s">
        <v>3557</v>
      </c>
      <c r="E313" s="5">
        <v>35850</v>
      </c>
      <c r="F313" s="5">
        <v>60480</v>
      </c>
      <c r="G313" s="5">
        <v>24630</v>
      </c>
      <c r="H313" s="5">
        <v>34420</v>
      </c>
      <c r="I313" s="5">
        <v>1430</v>
      </c>
    </row>
    <row r="314" spans="1:9" x14ac:dyDescent="0.25">
      <c r="D314" t="s">
        <v>3561</v>
      </c>
      <c r="E314" s="5">
        <v>118180</v>
      </c>
      <c r="F314" s="5">
        <v>277350</v>
      </c>
      <c r="G314" s="5">
        <v>159170</v>
      </c>
      <c r="H314" s="5"/>
      <c r="I314" s="5">
        <v>118180</v>
      </c>
    </row>
    <row r="315" spans="1:9" x14ac:dyDescent="0.25">
      <c r="C315" s="4" t="s">
        <v>72</v>
      </c>
      <c r="D315" s="4"/>
      <c r="E315" s="6">
        <v>154030</v>
      </c>
      <c r="F315" s="6">
        <v>337830</v>
      </c>
      <c r="G315" s="6">
        <v>183800</v>
      </c>
      <c r="H315" s="6">
        <v>34420</v>
      </c>
      <c r="I315" s="6">
        <v>119610</v>
      </c>
    </row>
    <row r="316" spans="1:9" x14ac:dyDescent="0.25">
      <c r="B316" s="7" t="s">
        <v>78</v>
      </c>
      <c r="C316" s="7"/>
      <c r="D316" s="7"/>
      <c r="E316" s="8">
        <v>154030</v>
      </c>
      <c r="F316" s="8">
        <v>337830</v>
      </c>
      <c r="G316" s="8">
        <v>183800</v>
      </c>
      <c r="H316" s="8">
        <v>34420</v>
      </c>
      <c r="I316" s="8">
        <v>119610</v>
      </c>
    </row>
    <row r="317" spans="1:9" x14ac:dyDescent="0.25">
      <c r="B317" t="s">
        <v>56</v>
      </c>
      <c r="C317" t="s">
        <v>54</v>
      </c>
      <c r="D317" t="s">
        <v>56</v>
      </c>
      <c r="E317" s="5">
        <v>1917130</v>
      </c>
      <c r="F317" s="5">
        <v>3759460</v>
      </c>
      <c r="G317" s="5">
        <v>1842330</v>
      </c>
      <c r="H317" s="5">
        <v>1917130</v>
      </c>
      <c r="I317" s="5">
        <v>0</v>
      </c>
    </row>
    <row r="318" spans="1:9" x14ac:dyDescent="0.25">
      <c r="C318" s="4" t="s">
        <v>72</v>
      </c>
      <c r="D318" s="4"/>
      <c r="E318" s="6">
        <v>1917130</v>
      </c>
      <c r="F318" s="6">
        <v>3759460</v>
      </c>
      <c r="G318" s="6">
        <v>1842330</v>
      </c>
      <c r="H318" s="6">
        <v>1917130</v>
      </c>
      <c r="I318" s="6">
        <v>0</v>
      </c>
    </row>
    <row r="319" spans="1:9" x14ac:dyDescent="0.25">
      <c r="B319" s="7" t="s">
        <v>531</v>
      </c>
      <c r="C319" s="7"/>
      <c r="D319" s="7"/>
      <c r="E319" s="8">
        <v>1917130</v>
      </c>
      <c r="F319" s="8">
        <v>3759460</v>
      </c>
      <c r="G319" s="8">
        <v>1842330</v>
      </c>
      <c r="H319" s="8">
        <v>1917130</v>
      </c>
      <c r="I319" s="8">
        <v>0</v>
      </c>
    </row>
    <row r="320" spans="1:9" x14ac:dyDescent="0.25">
      <c r="A320" s="9" t="s">
        <v>3558</v>
      </c>
      <c r="B320" s="9"/>
      <c r="C320" s="9"/>
      <c r="D320" s="9"/>
      <c r="E320" s="10">
        <v>2071160</v>
      </c>
      <c r="F320" s="10">
        <v>4097290</v>
      </c>
      <c r="G320" s="10">
        <v>2026130</v>
      </c>
      <c r="H320" s="10">
        <v>1951550</v>
      </c>
      <c r="I320" s="10">
        <v>119610</v>
      </c>
    </row>
    <row r="321" spans="1:9" x14ac:dyDescent="0.25">
      <c r="A321" t="s">
        <v>3689</v>
      </c>
      <c r="B321" t="s">
        <v>56</v>
      </c>
      <c r="C321" t="s">
        <v>54</v>
      </c>
      <c r="D321" t="s">
        <v>56</v>
      </c>
      <c r="E321" s="5">
        <v>159700</v>
      </c>
      <c r="F321" s="5">
        <v>352480</v>
      </c>
      <c r="G321" s="5">
        <v>192780</v>
      </c>
      <c r="H321" s="5">
        <v>159700</v>
      </c>
      <c r="I321" s="5">
        <v>0</v>
      </c>
    </row>
    <row r="322" spans="1:9" x14ac:dyDescent="0.25">
      <c r="C322" s="4" t="s">
        <v>72</v>
      </c>
      <c r="D322" s="4"/>
      <c r="E322" s="6">
        <v>159700</v>
      </c>
      <c r="F322" s="6">
        <v>352480</v>
      </c>
      <c r="G322" s="6">
        <v>192780</v>
      </c>
      <c r="H322" s="6">
        <v>159700</v>
      </c>
      <c r="I322" s="6">
        <v>0</v>
      </c>
    </row>
    <row r="323" spans="1:9" x14ac:dyDescent="0.25">
      <c r="C323" t="s">
        <v>3364</v>
      </c>
      <c r="D323" t="s">
        <v>56</v>
      </c>
      <c r="E323" s="5">
        <v>205860</v>
      </c>
      <c r="F323" s="5">
        <v>422720</v>
      </c>
      <c r="G323" s="5">
        <v>216860</v>
      </c>
      <c r="H323" s="5">
        <v>205860</v>
      </c>
      <c r="I323" s="5">
        <v>0</v>
      </c>
    </row>
    <row r="324" spans="1:9" x14ac:dyDescent="0.25">
      <c r="C324" s="4" t="s">
        <v>3365</v>
      </c>
      <c r="D324" s="4"/>
      <c r="E324" s="6">
        <v>205860</v>
      </c>
      <c r="F324" s="6">
        <v>422720</v>
      </c>
      <c r="G324" s="6">
        <v>216860</v>
      </c>
      <c r="H324" s="6">
        <v>205860</v>
      </c>
      <c r="I324" s="6">
        <v>0</v>
      </c>
    </row>
    <row r="325" spans="1:9" x14ac:dyDescent="0.25">
      <c r="B325" s="7" t="s">
        <v>531</v>
      </c>
      <c r="C325" s="7"/>
      <c r="D325" s="7"/>
      <c r="E325" s="8">
        <v>365560</v>
      </c>
      <c r="F325" s="8">
        <v>775200</v>
      </c>
      <c r="G325" s="8">
        <v>409640</v>
      </c>
      <c r="H325" s="8">
        <v>365560</v>
      </c>
      <c r="I325" s="8">
        <v>0</v>
      </c>
    </row>
    <row r="326" spans="1:9" x14ac:dyDescent="0.25">
      <c r="A326" s="9" t="s">
        <v>3694</v>
      </c>
      <c r="B326" s="9"/>
      <c r="C326" s="9"/>
      <c r="D326" s="9"/>
      <c r="E326" s="10">
        <v>365560</v>
      </c>
      <c r="F326" s="10">
        <v>775200</v>
      </c>
      <c r="G326" s="10">
        <v>409640</v>
      </c>
      <c r="H326" s="10">
        <v>365560</v>
      </c>
      <c r="I326" s="10">
        <v>0</v>
      </c>
    </row>
    <row r="327" spans="1:9" x14ac:dyDescent="0.25">
      <c r="A327" t="s">
        <v>64</v>
      </c>
      <c r="E327" s="5">
        <v>45985070</v>
      </c>
      <c r="F327" s="5">
        <v>75694270</v>
      </c>
      <c r="G327" s="5">
        <v>29709200</v>
      </c>
      <c r="H327" s="5">
        <v>43905850</v>
      </c>
      <c r="I327" s="5">
        <v>237120</v>
      </c>
    </row>
  </sheetData>
  <pageMargins left="0.7" right="0.7" top="0.75" bottom="0.75" header="0.3" footer="0.3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C771-D09F-4D12-B54F-82E9C50C5DB9}">
  <sheetPr>
    <tabColor rgb="FFFF0000"/>
  </sheetPr>
  <dimension ref="A1:AG60"/>
  <sheetViews>
    <sheetView workbookViewId="0"/>
  </sheetViews>
  <sheetFormatPr defaultRowHeight="15" x14ac:dyDescent="0.25"/>
  <cols>
    <col min="1" max="12" width="18.140625" customWidth="1"/>
    <col min="14" max="22" width="18.140625" customWidth="1"/>
    <col min="24" max="24" width="18.140625" customWidth="1"/>
  </cols>
  <sheetData>
    <row r="1" spans="1:33" x14ac:dyDescent="0.25">
      <c r="A1" s="108" t="s">
        <v>3883</v>
      </c>
    </row>
    <row r="3" spans="1:33" x14ac:dyDescent="0.25">
      <c r="A3" s="108" t="s">
        <v>3707</v>
      </c>
      <c r="B3" s="108" t="s">
        <v>3884</v>
      </c>
      <c r="C3" s="108" t="s">
        <v>3885</v>
      </c>
      <c r="D3" s="108" t="s">
        <v>3886</v>
      </c>
      <c r="E3" s="108" t="s">
        <v>3887</v>
      </c>
      <c r="F3" s="108" t="s">
        <v>3852</v>
      </c>
      <c r="N3" s="108" t="s">
        <v>3897</v>
      </c>
      <c r="X3" s="108" t="s">
        <v>3903</v>
      </c>
      <c r="Y3" s="108" t="s">
        <v>3907</v>
      </c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298">
        <f>DATE(2024,5,1)</f>
        <v>45413</v>
      </c>
      <c r="B4" s="318">
        <f>SUMIFS(AUBURN[BILLING RATE (₹)],AUBURN[MONTH],$A4)</f>
        <v>533290</v>
      </c>
      <c r="C4" s="318">
        <f>SUMIFS(MARKET[RATE (₹)],MARKET[MONTH],$A4)</f>
        <v>0</v>
      </c>
      <c r="D4" s="318">
        <f>$B4+$C4</f>
        <v>533290</v>
      </c>
      <c r="E4" s="318">
        <f>SUMIFS(AUBURN[LORRY RATE (₹)],AUBURN[MONTH],$A4)</f>
        <v>412770</v>
      </c>
      <c r="F4" s="300">
        <f>IFERROR(($B4-$E4)/$B4,"")</f>
        <v>0.225993361960659</v>
      </c>
      <c r="N4" s="108" t="s">
        <v>3707</v>
      </c>
      <c r="O4" s="108" t="s">
        <v>3898</v>
      </c>
      <c r="P4" s="108" t="s">
        <v>3899</v>
      </c>
      <c r="Q4" s="108"/>
      <c r="R4" s="108" t="s">
        <v>3707</v>
      </c>
      <c r="S4" s="108" t="s">
        <v>3852</v>
      </c>
      <c r="T4" s="108"/>
      <c r="U4" s="108" t="s">
        <v>3893</v>
      </c>
      <c r="V4" s="108" t="s">
        <v>3867</v>
      </c>
      <c r="X4" s="366" t="s">
        <v>3890</v>
      </c>
      <c r="Y4" s="108" t="s">
        <v>3908</v>
      </c>
      <c r="Z4" s="108" t="s">
        <v>3707</v>
      </c>
      <c r="AA4" s="108" t="s">
        <v>3898</v>
      </c>
      <c r="AB4" s="108" t="s">
        <v>3899</v>
      </c>
      <c r="AC4" s="108"/>
      <c r="AD4" s="108" t="s">
        <v>3909</v>
      </c>
      <c r="AE4" s="108"/>
      <c r="AF4" s="108" t="s">
        <v>3707</v>
      </c>
      <c r="AG4" s="108" t="s">
        <v>3852</v>
      </c>
    </row>
    <row r="5" spans="1:33" x14ac:dyDescent="0.25">
      <c r="A5" s="298">
        <f>EOMONTH(A4,0)+1</f>
        <v>45444</v>
      </c>
      <c r="B5" s="318">
        <f>SUMIFS(AUBURN[BILLING RATE (₹)],AUBURN[MONTH],$A5)</f>
        <v>1108630</v>
      </c>
      <c r="C5" s="318">
        <f>SUMIFS(MARKET[RATE (₹)],MARKET[MONTH],$A5)</f>
        <v>0</v>
      </c>
      <c r="D5" s="318">
        <f t="shared" ref="D5:D59" si="0">$B5+$C5</f>
        <v>1108630</v>
      </c>
      <c r="E5" s="318">
        <f>SUMIFS(AUBURN[LORRY RATE (₹)],AUBURN[MONTH],$A5)</f>
        <v>836590</v>
      </c>
      <c r="F5" s="300">
        <f t="shared" ref="F5:F59" si="1">IFERROR(($B5-$E5)/$B5,"")</f>
        <v>0.245383942343252</v>
      </c>
      <c r="N5" s="298">
        <f>A4</f>
        <v>45413</v>
      </c>
      <c r="O5" s="318" t="e">
        <f>IF(OR($D4=0,$A4&lt;'BN DASHBOARD'!$C$61,$A4&gt;'BN DASHBOARD'!$C$62),NA(),$B4)</f>
        <v>#N/A</v>
      </c>
      <c r="P5" s="318" t="e">
        <f>IF(OR($D4=0,$A4&lt;'BN DASHBOARD'!$C$61,$A4&gt;'BN DASHBOARD'!$C$62),NA(),$C4)</f>
        <v>#N/A</v>
      </c>
      <c r="R5" s="298">
        <f>A4</f>
        <v>45413</v>
      </c>
      <c r="S5" s="300" t="e">
        <f>IF(OR($B4=0,$A4&lt;'BN DASHBOARD'!$C$61,$A4&gt;'BN DASHBOARD'!$C$62),NA(),$F4)</f>
        <v>#N/A</v>
      </c>
      <c r="U5" t="str">
        <f>'BN DASHBOARD'!$B11</f>
        <v>2417</v>
      </c>
      <c r="V5" s="300">
        <f>IF('BN DASHBOARD'!$H11="",NA(),'BN DASHBOARD'!$H11)</f>
        <v>0.779222222222222</v>
      </c>
      <c r="X5" s="299">
        <f>IFERROR(YEAR(MIN(AUBURN[LOADING DATE])),"")</f>
        <v>2024</v>
      </c>
      <c r="Y5">
        <v>1</v>
      </c>
      <c r="Z5" t="str">
        <f>IF('BN DASHBOARD'!$K$3="All years",TEXT(DATE(2000,$Y5,1),"mmm"),TEXT(DATE('BN DASHBOARD'!$K$3,$Y5,1),"mmm-yy"))</f>
        <v>Jan-26</v>
      </c>
      <c r="AA5" s="402">
        <f>SUMPRODUCT((MONTH($A$4:$A$40)=$Y5)*($A$4:$A$40&gt;='BN DASHBOARD'!$C$61)*($A$4:$A$40&lt;='BN DASHBOARD'!$C$62)*$B$4:$B$40)</f>
        <v>1975040</v>
      </c>
      <c r="AB5" s="402">
        <f>SUMPRODUCT((MONTH($A$4:$A$40)=$Y5)*($A$4:$A$40&gt;='BN DASHBOARD'!$C$61)*($A$4:$A$40&lt;='BN DASHBOARD'!$C$62)*$C$4:$C$40)</f>
        <v>325170</v>
      </c>
      <c r="AD5" s="402">
        <f>SUMPRODUCT((MONTH($A$4:$A$40)=$Y5)*($A$4:$A$40&gt;='BN DASHBOARD'!$C$61)*($A$4:$A$40&lt;='BN DASHBOARD'!$C$62)*$E$4:$E$40)</f>
        <v>1138600</v>
      </c>
      <c r="AF5" t="str">
        <f>$Z5</f>
        <v>Jan-26</v>
      </c>
      <c r="AG5" s="300">
        <f>IF($AA5=0,NA(),($AA5-$AD5)/$AA5)</f>
        <v>0.423505346727155</v>
      </c>
    </row>
    <row r="6" spans="1:33" x14ac:dyDescent="0.25">
      <c r="A6" s="298">
        <f t="shared" ref="A6:A59" si="2">EOMONTH(A5,0)+1</f>
        <v>45474</v>
      </c>
      <c r="B6" s="318">
        <f>SUMIFS(AUBURN[BILLING RATE (₹)],AUBURN[MONTH],$A6)</f>
        <v>1799760</v>
      </c>
      <c r="C6" s="318">
        <f>SUMIFS(MARKET[RATE (₹)],MARKET[MONTH],$A6)</f>
        <v>0</v>
      </c>
      <c r="D6" s="318">
        <f t="shared" si="0"/>
        <v>1799760</v>
      </c>
      <c r="E6" s="318">
        <f>SUMIFS(AUBURN[LORRY RATE (₹)],AUBURN[MONTH],$A6)</f>
        <v>1236520</v>
      </c>
      <c r="F6" s="300">
        <f t="shared" si="1"/>
        <v>0.312952838156199</v>
      </c>
      <c r="N6" s="298">
        <f t="shared" ref="N6:N33" si="3">A5</f>
        <v>45444</v>
      </c>
      <c r="O6" s="318" t="e">
        <f>IF(OR($D5=0,$A5&lt;'BN DASHBOARD'!$C$61,$A5&gt;'BN DASHBOARD'!$C$62),NA(),$B5)</f>
        <v>#N/A</v>
      </c>
      <c r="P6" s="318" t="e">
        <f>IF(OR($D5=0,$A5&lt;'BN DASHBOARD'!$C$61,$A5&gt;'BN DASHBOARD'!$C$62),NA(),$C5)</f>
        <v>#N/A</v>
      </c>
      <c r="R6" s="298">
        <f t="shared" ref="R6:R33" si="4">A5</f>
        <v>45444</v>
      </c>
      <c r="S6" s="300" t="e">
        <f>IF(OR($B5=0,$A5&lt;'BN DASHBOARD'!$C$61,$A5&gt;'BN DASHBOARD'!$C$62),NA(),$F5)</f>
        <v>#N/A</v>
      </c>
      <c r="U6" t="str">
        <f>'BN DASHBOARD'!$B12</f>
        <v>0526</v>
      </c>
      <c r="V6" s="300">
        <f>IF('BN DASHBOARD'!$H12="",NA(),'BN DASHBOARD'!$H12)</f>
        <v>0.813888888888889</v>
      </c>
      <c r="X6" s="299">
        <f>IF(OR($X5="",$X5&gt;=YEAR(MAX(AUBURN[LOADING DATE]))),"",$X5+1)</f>
        <v>2025</v>
      </c>
      <c r="Y6">
        <v>2</v>
      </c>
      <c r="Z6" t="str">
        <f>IF('BN DASHBOARD'!$K$3="All years",TEXT(DATE(2000,$Y6,1),"mmm"),TEXT(DATE('BN DASHBOARD'!$K$3,$Y6,1),"mmm-yy"))</f>
        <v>Feb-26</v>
      </c>
      <c r="AA6" s="402">
        <f>SUMPRODUCT((MONTH($A$4:$A$40)=$Y6)*($A$4:$A$40&gt;='BN DASHBOARD'!$C$61)*($A$4:$A$40&lt;='BN DASHBOARD'!$C$62)*$B$4:$B$40)</f>
        <v>2255700</v>
      </c>
      <c r="AB6" s="402">
        <f>SUMPRODUCT((MONTH($A$4:$A$40)=$Y6)*($A$4:$A$40&gt;='BN DASHBOARD'!$C$61)*($A$4:$A$40&lt;='BN DASHBOARD'!$C$62)*$C$4:$C$40)</f>
        <v>105600</v>
      </c>
      <c r="AD6" s="402">
        <f>SUMPRODUCT((MONTH($A$4:$A$40)=$Y6)*($A$4:$A$40&gt;='BN DASHBOARD'!$C$61)*($A$4:$A$40&lt;='BN DASHBOARD'!$C$62)*$E$4:$E$40)</f>
        <v>1216570</v>
      </c>
      <c r="AF6" t="str">
        <f t="shared" ref="AF6:AF16" si="5">$Z6</f>
        <v>Feb-26</v>
      </c>
      <c r="AG6" s="300">
        <f t="shared" ref="AG6:AG16" si="6">IF($AA6=0,NA(),($AA6-$AD6)/$AA6)</f>
        <v>0.460668528616394</v>
      </c>
    </row>
    <row r="7" spans="1:33" x14ac:dyDescent="0.25">
      <c r="A7" s="298">
        <f t="shared" si="2"/>
        <v>45505</v>
      </c>
      <c r="B7" s="318">
        <f>SUMIFS(AUBURN[BILLING RATE (₹)],AUBURN[MONTH],$A7)</f>
        <v>2398070</v>
      </c>
      <c r="C7" s="318">
        <f>SUMIFS(MARKET[RATE (₹)],MARKET[MONTH],$A7)</f>
        <v>0</v>
      </c>
      <c r="D7" s="318">
        <f t="shared" si="0"/>
        <v>2398070</v>
      </c>
      <c r="E7" s="318">
        <f>SUMIFS(AUBURN[LORRY RATE (₹)],AUBURN[MONTH],$A7)</f>
        <v>1653210</v>
      </c>
      <c r="F7" s="300">
        <f t="shared" si="1"/>
        <v>0.310608114025028</v>
      </c>
      <c r="N7" s="298">
        <f t="shared" si="3"/>
        <v>45474</v>
      </c>
      <c r="O7" s="318" t="e">
        <f>IF(OR($D6=0,$A6&lt;'BN DASHBOARD'!$C$61,$A6&gt;'BN DASHBOARD'!$C$62),NA(),$B6)</f>
        <v>#N/A</v>
      </c>
      <c r="P7" s="318" t="e">
        <f>IF(OR($D6=0,$A6&lt;'BN DASHBOARD'!$C$61,$A6&gt;'BN DASHBOARD'!$C$62),NA(),$C6)</f>
        <v>#N/A</v>
      </c>
      <c r="R7" s="298">
        <f t="shared" si="4"/>
        <v>45474</v>
      </c>
      <c r="S7" s="300" t="e">
        <f>IF(OR($B6=0,$A6&lt;'BN DASHBOARD'!$C$61,$A6&gt;'BN DASHBOARD'!$C$62),NA(),$F6)</f>
        <v>#N/A</v>
      </c>
      <c r="U7" t="str">
        <f>'BN DASHBOARD'!$B13</f>
        <v>3958</v>
      </c>
      <c r="V7" s="300">
        <f>IF('BN DASHBOARD'!$H13="",NA(),'BN DASHBOARD'!$H13)</f>
        <v>0.813888888888889</v>
      </c>
      <c r="X7" s="299">
        <f>IF(OR($X6="",$X6&gt;=YEAR(MAX(AUBURN[LOADING DATE]))),"",$X6+1)</f>
        <v>2026</v>
      </c>
      <c r="Y7">
        <v>3</v>
      </c>
      <c r="Z7" t="str">
        <f>IF('BN DASHBOARD'!$K$3="All years",TEXT(DATE(2000,$Y7,1),"mmm"),TEXT(DATE('BN DASHBOARD'!$K$3,$Y7,1),"mmm-yy"))</f>
        <v>Mar-26</v>
      </c>
      <c r="AA7" s="402">
        <f>SUMPRODUCT((MONTH($A$4:$A$40)=$Y7)*($A$4:$A$40&gt;='BN DASHBOARD'!$C$61)*($A$4:$A$40&lt;='BN DASHBOARD'!$C$62)*$B$4:$B$40)</f>
        <v>1857550</v>
      </c>
      <c r="AB7" s="402">
        <f>SUMPRODUCT((MONTH($A$4:$A$40)=$Y7)*($A$4:$A$40&gt;='BN DASHBOARD'!$C$61)*($A$4:$A$40&lt;='BN DASHBOARD'!$C$62)*$C$4:$C$40)</f>
        <v>364290</v>
      </c>
      <c r="AD7" s="402">
        <f>SUMPRODUCT((MONTH($A$4:$A$40)=$Y7)*($A$4:$A$40&gt;='BN DASHBOARD'!$C$61)*($A$4:$A$40&lt;='BN DASHBOARD'!$C$62)*$E$4:$E$40)</f>
        <v>1103310</v>
      </c>
      <c r="AF7" t="str">
        <f t="shared" si="5"/>
        <v>Mar-26</v>
      </c>
      <c r="AG7" s="300">
        <f t="shared" si="6"/>
        <v>0.40604021426072</v>
      </c>
    </row>
    <row r="8" spans="1:33" x14ac:dyDescent="0.25">
      <c r="A8" s="298">
        <f t="shared" si="2"/>
        <v>45536</v>
      </c>
      <c r="B8" s="318">
        <f>SUMIFS(AUBURN[BILLING RATE (₹)],AUBURN[MONTH],$A8)</f>
        <v>2439320</v>
      </c>
      <c r="C8" s="318">
        <f>SUMIFS(MARKET[RATE (₹)],MARKET[MONTH],$A8)</f>
        <v>0</v>
      </c>
      <c r="D8" s="318">
        <f t="shared" si="0"/>
        <v>2439320</v>
      </c>
      <c r="E8" s="318">
        <f>SUMIFS(AUBURN[LORRY RATE (₹)],AUBURN[MONTH],$A8)</f>
        <v>1656270</v>
      </c>
      <c r="F8" s="300">
        <f t="shared" si="1"/>
        <v>0.321011593394881</v>
      </c>
      <c r="N8" s="298">
        <f t="shared" si="3"/>
        <v>45505</v>
      </c>
      <c r="O8" s="318" t="e">
        <f>IF(OR($D7=0,$A7&lt;'BN DASHBOARD'!$C$61,$A7&gt;'BN DASHBOARD'!$C$62),NA(),$B7)</f>
        <v>#N/A</v>
      </c>
      <c r="P8" s="318" t="e">
        <f>IF(OR($D7=0,$A7&lt;'BN DASHBOARD'!$C$61,$A7&gt;'BN DASHBOARD'!$C$62),NA(),$C7)</f>
        <v>#N/A</v>
      </c>
      <c r="R8" s="298">
        <f t="shared" si="4"/>
        <v>45505</v>
      </c>
      <c r="S8" s="300" t="e">
        <f>IF(OR($B7=0,$A7&lt;'BN DASHBOARD'!$C$61,$A7&gt;'BN DASHBOARD'!$C$62),NA(),$F7)</f>
        <v>#N/A</v>
      </c>
      <c r="U8" t="str">
        <f>'BN DASHBOARD'!$B14</f>
        <v>6142</v>
      </c>
      <c r="V8" s="300">
        <f>IF('BN DASHBOARD'!$H14="",NA(),'BN DASHBOARD'!$H14)</f>
        <v>0.870222222222222</v>
      </c>
      <c r="X8" s="299" t="str">
        <f>IF(OR($X7="",$X7&gt;=YEAR(MAX(AUBURN[LOADING DATE]))),"",$X7+1)</f>
        <v/>
      </c>
      <c r="Y8">
        <v>4</v>
      </c>
      <c r="Z8" t="str">
        <f>IF('BN DASHBOARD'!$K$3="All years",TEXT(DATE(2000,$Y8,1),"mmm"),TEXT(DATE('BN DASHBOARD'!$K$3,$Y8,1),"mmm-yy"))</f>
        <v>Apr-26</v>
      </c>
      <c r="AA8" s="402">
        <f>SUMPRODUCT((MONTH($A$4:$A$40)=$Y8)*($A$4:$A$40&gt;='BN DASHBOARD'!$C$61)*($A$4:$A$40&lt;='BN DASHBOARD'!$C$62)*$B$4:$B$40)</f>
        <v>3115950</v>
      </c>
      <c r="AB8" s="402">
        <f>SUMPRODUCT((MONTH($A$4:$A$40)=$Y8)*($A$4:$A$40&gt;='BN DASHBOARD'!$C$61)*($A$4:$A$40&lt;='BN DASHBOARD'!$C$62)*$C$4:$C$40)</f>
        <v>890720</v>
      </c>
      <c r="AD8" s="402">
        <f>SUMPRODUCT((MONTH($A$4:$A$40)=$Y8)*($A$4:$A$40&gt;='BN DASHBOARD'!$C$61)*($A$4:$A$40&lt;='BN DASHBOARD'!$C$62)*$E$4:$E$40)</f>
        <v>1544540</v>
      </c>
      <c r="AF8" t="str">
        <f t="shared" si="5"/>
        <v>Apr-26</v>
      </c>
      <c r="AG8" s="300">
        <f t="shared" si="6"/>
        <v>0.504311686644523</v>
      </c>
    </row>
    <row r="9" spans="1:33" x14ac:dyDescent="0.25">
      <c r="A9" s="298">
        <f t="shared" si="2"/>
        <v>45566</v>
      </c>
      <c r="B9" s="318">
        <f>SUMIFS(AUBURN[BILLING RATE (₹)],AUBURN[MONTH],$A9)</f>
        <v>2489130</v>
      </c>
      <c r="C9" s="318">
        <f>SUMIFS(MARKET[RATE (₹)],MARKET[MONTH],$A9)</f>
        <v>0</v>
      </c>
      <c r="D9" s="318">
        <f t="shared" si="0"/>
        <v>2489130</v>
      </c>
      <c r="E9" s="318">
        <f>SUMIFS(AUBURN[LORRY RATE (₹)],AUBURN[MONTH],$A9)</f>
        <v>1719650</v>
      </c>
      <c r="F9" s="300">
        <f t="shared" si="1"/>
        <v>0.309136123866572</v>
      </c>
      <c r="N9" s="298">
        <f t="shared" si="3"/>
        <v>45536</v>
      </c>
      <c r="O9" s="318" t="e">
        <f>IF(OR($D8=0,$A8&lt;'BN DASHBOARD'!$C$61,$A8&gt;'BN DASHBOARD'!$C$62),NA(),$B8)</f>
        <v>#N/A</v>
      </c>
      <c r="P9" s="318" t="e">
        <f>IF(OR($D8=0,$A8&lt;'BN DASHBOARD'!$C$61,$A8&gt;'BN DASHBOARD'!$C$62),NA(),$C8)</f>
        <v>#N/A</v>
      </c>
      <c r="R9" s="298">
        <f t="shared" si="4"/>
        <v>45536</v>
      </c>
      <c r="S9" s="300" t="e">
        <f>IF(OR($B8=0,$A8&lt;'BN DASHBOARD'!$C$61,$A8&gt;'BN DASHBOARD'!$C$62),NA(),$F8)</f>
        <v>#N/A</v>
      </c>
      <c r="U9" t="str">
        <f>'BN DASHBOARD'!$B15</f>
        <v>8803</v>
      </c>
      <c r="V9" s="300">
        <f>IF('BN DASHBOARD'!$H15="",NA(),'BN DASHBOARD'!$H15)</f>
        <v>0.755555555555556</v>
      </c>
      <c r="X9" s="299" t="str">
        <f>IF(OR($X8="",$X8&gt;=YEAR(MAX(AUBURN[LOADING DATE]))),"",$X8+1)</f>
        <v/>
      </c>
      <c r="Y9">
        <v>5</v>
      </c>
      <c r="Z9" t="str">
        <f>IF('BN DASHBOARD'!$K$3="All years",TEXT(DATE(2000,$Y9,1),"mmm"),TEXT(DATE('BN DASHBOARD'!$K$3,$Y9,1),"mmm-yy"))</f>
        <v>May-26</v>
      </c>
      <c r="AA9" s="402">
        <f>SUMPRODUCT((MONTH($A$4:$A$40)=$Y9)*($A$4:$A$40&gt;='BN DASHBOARD'!$C$61)*($A$4:$A$40&lt;='BN DASHBOARD'!$C$62)*$B$4:$B$40)</f>
        <v>4030660</v>
      </c>
      <c r="AB9" s="402">
        <f>SUMPRODUCT((MONTH($A$4:$A$40)=$Y9)*($A$4:$A$40&gt;='BN DASHBOARD'!$C$61)*($A$4:$A$40&lt;='BN DASHBOARD'!$C$62)*$C$4:$C$40)</f>
        <v>786660</v>
      </c>
      <c r="AD9" s="402">
        <f>SUMPRODUCT((MONTH($A$4:$A$40)=$Y9)*($A$4:$A$40&gt;='BN DASHBOARD'!$C$61)*($A$4:$A$40&lt;='BN DASHBOARD'!$C$62)*$E$4:$E$40)</f>
        <v>2029030</v>
      </c>
      <c r="AF9" t="str">
        <f t="shared" si="5"/>
        <v>May-26</v>
      </c>
      <c r="AG9" s="300">
        <f t="shared" si="6"/>
        <v>0.496601052929297</v>
      </c>
    </row>
    <row r="10" spans="1:33" x14ac:dyDescent="0.25">
      <c r="A10" s="298">
        <f t="shared" si="2"/>
        <v>45597</v>
      </c>
      <c r="B10" s="318">
        <f>SUMIFS(AUBURN[BILLING RATE (₹)],AUBURN[MONTH],$A10)</f>
        <v>2493240</v>
      </c>
      <c r="C10" s="318">
        <f>SUMIFS(MARKET[RATE (₹)],MARKET[MONTH],$A10)</f>
        <v>0</v>
      </c>
      <c r="D10" s="318">
        <f t="shared" si="0"/>
        <v>2493240</v>
      </c>
      <c r="E10" s="318">
        <f>SUMIFS(AUBURN[LORRY RATE (₹)],AUBURN[MONTH],$A10)</f>
        <v>1732700</v>
      </c>
      <c r="F10" s="300">
        <f t="shared" si="1"/>
        <v>0.305040830405416</v>
      </c>
      <c r="N10" s="298">
        <f t="shared" si="3"/>
        <v>45566</v>
      </c>
      <c r="O10" s="318" t="e">
        <f>IF(OR($D9=0,$A9&lt;'BN DASHBOARD'!$C$61,$A9&gt;'BN DASHBOARD'!$C$62),NA(),$B9)</f>
        <v>#N/A</v>
      </c>
      <c r="P10" s="318" t="e">
        <f>IF(OR($D9=0,$A9&lt;'BN DASHBOARD'!$C$61,$A9&gt;'BN DASHBOARD'!$C$62),NA(),$C9)</f>
        <v>#N/A</v>
      </c>
      <c r="R10" s="298">
        <f t="shared" si="4"/>
        <v>45566</v>
      </c>
      <c r="S10" s="300" t="e">
        <f>IF(OR($B9=0,$A9&lt;'BN DASHBOARD'!$C$61,$A9&gt;'BN DASHBOARD'!$C$62),NA(),$F9)</f>
        <v>#N/A</v>
      </c>
      <c r="U10" t="str">
        <f>'BN DASHBOARD'!$B16</f>
        <v>4371</v>
      </c>
      <c r="V10" s="300">
        <f>IF('BN DASHBOARD'!$H16="",NA(),'BN DASHBOARD'!$H16)</f>
        <v>0.635</v>
      </c>
      <c r="X10" s="299" t="str">
        <f>IF(OR($X9="",$X9&gt;=YEAR(MAX(AUBURN[LOADING DATE]))),"",$X9+1)</f>
        <v/>
      </c>
      <c r="Y10">
        <v>6</v>
      </c>
      <c r="Z10" t="str">
        <f>IF('BN DASHBOARD'!$K$3="All years",TEXT(DATE(2000,$Y10,1),"mmm"),TEXT(DATE('BN DASHBOARD'!$K$3,$Y10,1),"mmm-yy"))</f>
        <v>Jun-26</v>
      </c>
      <c r="AA10" s="402">
        <f>SUMPRODUCT((MONTH($A$4:$A$40)=$Y10)*($A$4:$A$40&gt;='BN DASHBOARD'!$C$61)*($A$4:$A$40&lt;='BN DASHBOARD'!$C$62)*$B$4:$B$40)</f>
        <v>4130360</v>
      </c>
      <c r="AB10" s="402">
        <f>SUMPRODUCT((MONTH($A$4:$A$40)=$Y10)*($A$4:$A$40&gt;='BN DASHBOARD'!$C$61)*($A$4:$A$40&lt;='BN DASHBOARD'!$C$62)*$C$4:$C$40)</f>
        <v>844680</v>
      </c>
      <c r="AD10" s="402">
        <f>SUMPRODUCT((MONTH($A$4:$A$40)=$Y10)*($A$4:$A$40&gt;='BN DASHBOARD'!$C$61)*($A$4:$A$40&lt;='BN DASHBOARD'!$C$62)*$E$4:$E$40)</f>
        <v>2115220</v>
      </c>
      <c r="AF10" t="str">
        <f t="shared" si="5"/>
        <v>Jun-26</v>
      </c>
      <c r="AG10" s="300">
        <f t="shared" si="6"/>
        <v>0.487884833283297</v>
      </c>
    </row>
    <row r="11" spans="1:33" x14ac:dyDescent="0.25">
      <c r="A11" s="298">
        <f t="shared" si="2"/>
        <v>45627</v>
      </c>
      <c r="B11" s="318">
        <f>SUMIFS(AUBURN[BILLING RATE (₹)],AUBURN[MONTH],$A11)</f>
        <v>3305770</v>
      </c>
      <c r="C11" s="318">
        <f>SUMIFS(MARKET[RATE (₹)],MARKET[MONTH],$A11)</f>
        <v>0</v>
      </c>
      <c r="D11" s="318">
        <f t="shared" si="0"/>
        <v>3305770</v>
      </c>
      <c r="E11" s="318">
        <f>SUMIFS(AUBURN[LORRY RATE (₹)],AUBURN[MONTH],$A11)</f>
        <v>2390200</v>
      </c>
      <c r="F11" s="300">
        <f t="shared" si="1"/>
        <v>0.276961192097454</v>
      </c>
      <c r="N11" s="298">
        <f t="shared" si="3"/>
        <v>45597</v>
      </c>
      <c r="O11" s="318" t="e">
        <f>IF(OR($D10=0,$A10&lt;'BN DASHBOARD'!$C$61,$A10&gt;'BN DASHBOARD'!$C$62),NA(),$B10)</f>
        <v>#N/A</v>
      </c>
      <c r="P11" s="318" t="e">
        <f>IF(OR($D10=0,$A10&lt;'BN DASHBOARD'!$C$61,$A10&gt;'BN DASHBOARD'!$C$62),NA(),$C10)</f>
        <v>#N/A</v>
      </c>
      <c r="R11" s="298">
        <f t="shared" si="4"/>
        <v>45597</v>
      </c>
      <c r="S11" s="300" t="e">
        <f>IF(OR($B10=0,$A10&lt;'BN DASHBOARD'!$C$61,$A10&gt;'BN DASHBOARD'!$C$62),NA(),$F10)</f>
        <v>#N/A</v>
      </c>
      <c r="U11" t="str">
        <f>'BN DASHBOARD'!$B17</f>
        <v>1695</v>
      </c>
      <c r="V11" s="300">
        <f>IF('BN DASHBOARD'!$H17="",NA(),'BN DASHBOARD'!$H17)</f>
        <v>0.678888888888889</v>
      </c>
      <c r="X11" s="299" t="str">
        <f>IF(OR($X10="",$X10&gt;=YEAR(MAX(AUBURN[LOADING DATE]))),"",$X10+1)</f>
        <v/>
      </c>
      <c r="Y11">
        <v>7</v>
      </c>
      <c r="Z11" t="str">
        <f>IF('BN DASHBOARD'!$K$3="All years",TEXT(DATE(2000,$Y11,1),"mmm"),TEXT(DATE('BN DASHBOARD'!$K$3,$Y11,1),"mmm-yy"))</f>
        <v>Jul-26</v>
      </c>
      <c r="AA11" s="402">
        <f>SUMPRODUCT((MONTH($A$4:$A$40)=$Y11)*($A$4:$A$40&gt;='BN DASHBOARD'!$C$61)*($A$4:$A$40&lt;='BN DASHBOARD'!$C$62)*$B$4:$B$40)</f>
        <v>4152580</v>
      </c>
      <c r="AB11" s="402">
        <f>SUMPRODUCT((MONTH($A$4:$A$40)=$Y11)*($A$4:$A$40&gt;='BN DASHBOARD'!$C$61)*($A$4:$A$40&lt;='BN DASHBOARD'!$C$62)*$C$4:$C$40)</f>
        <v>679800</v>
      </c>
      <c r="AD11" s="402">
        <f>SUMPRODUCT((MONTH($A$4:$A$40)=$Y11)*($A$4:$A$40&gt;='BN DASHBOARD'!$C$61)*($A$4:$A$40&lt;='BN DASHBOARD'!$C$62)*$E$4:$E$40)</f>
        <v>2082900</v>
      </c>
      <c r="AF11" t="str">
        <f t="shared" si="5"/>
        <v>Jul-26</v>
      </c>
      <c r="AG11" s="300">
        <f t="shared" si="6"/>
        <v>0.498408218505122</v>
      </c>
    </row>
    <row r="12" spans="1:33" x14ac:dyDescent="0.25">
      <c r="A12" s="298">
        <f t="shared" si="2"/>
        <v>45658</v>
      </c>
      <c r="B12" s="318">
        <f>SUMIFS(AUBURN[BILLING RATE (₹)],AUBURN[MONTH],$A12)</f>
        <v>3913110</v>
      </c>
      <c r="C12" s="318">
        <f>SUMIFS(MARKET[RATE (₹)],MARKET[MONTH],$A12)</f>
        <v>0</v>
      </c>
      <c r="D12" s="318">
        <f t="shared" si="0"/>
        <v>3913110</v>
      </c>
      <c r="E12" s="318">
        <f>SUMIFS(AUBURN[LORRY RATE (₹)],AUBURN[MONTH],$A12)</f>
        <v>2949440</v>
      </c>
      <c r="F12" s="300">
        <f t="shared" si="1"/>
        <v>0.246267035682616</v>
      </c>
      <c r="N12" s="298">
        <f t="shared" si="3"/>
        <v>45627</v>
      </c>
      <c r="O12" s="318" t="e">
        <f>IF(OR($D11=0,$A11&lt;'BN DASHBOARD'!$C$61,$A11&gt;'BN DASHBOARD'!$C$62),NA(),$B11)</f>
        <v>#N/A</v>
      </c>
      <c r="P12" s="318" t="e">
        <f>IF(OR($D11=0,$A11&lt;'BN DASHBOARD'!$C$61,$A11&gt;'BN DASHBOARD'!$C$62),NA(),$C11)</f>
        <v>#N/A</v>
      </c>
      <c r="R12" s="298">
        <f t="shared" si="4"/>
        <v>45627</v>
      </c>
      <c r="S12" s="300" t="e">
        <f>IF(OR($B11=0,$A11&lt;'BN DASHBOARD'!$C$61,$A11&gt;'BN DASHBOARD'!$C$62),NA(),$F11)</f>
        <v>#N/A</v>
      </c>
      <c r="U12" t="str">
        <f>'BN DASHBOARD'!$B18</f>
        <v>7230</v>
      </c>
      <c r="V12" s="300">
        <f>IF('BN DASHBOARD'!$H18="",NA(),'BN DASHBOARD'!$H18)</f>
        <v>0.649111111111111</v>
      </c>
      <c r="X12" s="299" t="str">
        <f>IF(OR($X11="",$X11&gt;=YEAR(MAX(AUBURN[LOADING DATE]))),"",$X11+1)</f>
        <v/>
      </c>
      <c r="Y12">
        <v>8</v>
      </c>
      <c r="Z12" t="str">
        <f>IF('BN DASHBOARD'!$K$3="All years",TEXT(DATE(2000,$Y12,1),"mmm"),TEXT(DATE('BN DASHBOARD'!$K$3,$Y12,1),"mmm-yy"))</f>
        <v>Aug-26</v>
      </c>
      <c r="AA12" s="402">
        <f>SUMPRODUCT((MONTH($A$4:$A$40)=$Y12)*($A$4:$A$40&gt;='BN DASHBOARD'!$C$61)*($A$4:$A$40&lt;='BN DASHBOARD'!$C$62)*$B$4:$B$40)</f>
        <v>4097290</v>
      </c>
      <c r="AB12" s="402">
        <f>SUMPRODUCT((MONTH($A$4:$A$40)=$Y12)*($A$4:$A$40&gt;='BN DASHBOARD'!$C$61)*($A$4:$A$40&lt;='BN DASHBOARD'!$C$62)*$C$4:$C$40)</f>
        <v>497880</v>
      </c>
      <c r="AD12" s="402">
        <f>SUMPRODUCT((MONTH($A$4:$A$40)=$Y12)*($A$4:$A$40&gt;='BN DASHBOARD'!$C$61)*($A$4:$A$40&lt;='BN DASHBOARD'!$C$62)*$E$4:$E$40)</f>
        <v>2071160</v>
      </c>
      <c r="AF12" t="str">
        <f t="shared" si="5"/>
        <v>Aug-26</v>
      </c>
      <c r="AG12" s="300">
        <f t="shared" si="6"/>
        <v>0.494504904461241</v>
      </c>
    </row>
    <row r="13" spans="1:33" x14ac:dyDescent="0.25">
      <c r="A13" s="298">
        <f t="shared" si="2"/>
        <v>45689</v>
      </c>
      <c r="B13" s="318">
        <f>SUMIFS(AUBURN[BILLING RATE (₹)],AUBURN[MONTH],$A13)</f>
        <v>3083750</v>
      </c>
      <c r="C13" s="318">
        <f>SUMIFS(MARKET[RATE (₹)],MARKET[MONTH],$A13)</f>
        <v>0</v>
      </c>
      <c r="D13" s="318">
        <f t="shared" si="0"/>
        <v>3083750</v>
      </c>
      <c r="E13" s="318">
        <f>SUMIFS(AUBURN[LORRY RATE (₹)],AUBURN[MONTH],$A13)</f>
        <v>2187260</v>
      </c>
      <c r="F13" s="300">
        <f t="shared" si="1"/>
        <v>0.290714227807053</v>
      </c>
      <c r="N13" s="298">
        <f t="shared" si="3"/>
        <v>45658</v>
      </c>
      <c r="O13" s="318" t="e">
        <f>IF(OR($D12=0,$A12&lt;'BN DASHBOARD'!$C$61,$A12&gt;'BN DASHBOARD'!$C$62),NA(),$B12)</f>
        <v>#N/A</v>
      </c>
      <c r="P13" s="318" t="e">
        <f>IF(OR($D12=0,$A12&lt;'BN DASHBOARD'!$C$61,$A12&gt;'BN DASHBOARD'!$C$62),NA(),$C12)</f>
        <v>#N/A</v>
      </c>
      <c r="R13" s="298">
        <f t="shared" si="4"/>
        <v>45658</v>
      </c>
      <c r="S13" s="300" t="e">
        <f>IF(OR($B12=0,$A12&lt;'BN DASHBOARD'!$C$61,$A12&gt;'BN DASHBOARD'!$C$62),NA(),$F12)</f>
        <v>#N/A</v>
      </c>
      <c r="U13" t="str">
        <f>'BN DASHBOARD'!$B19</f>
        <v>9064</v>
      </c>
      <c r="V13" s="300">
        <f>IF('BN DASHBOARD'!$H19="",NA(),'BN DASHBOARD'!$H19)</f>
        <v>0.525555555555556</v>
      </c>
      <c r="Y13">
        <v>9</v>
      </c>
      <c r="Z13" t="str">
        <f>IF('BN DASHBOARD'!$K$3="All years",TEXT(DATE(2000,$Y13,1),"mmm"),TEXT(DATE('BN DASHBOARD'!$K$3,$Y13,1),"mmm-yy"))</f>
        <v>Sep-26</v>
      </c>
      <c r="AA13" s="402">
        <f>SUMPRODUCT((MONTH($A$4:$A$40)=$Y13)*($A$4:$A$40&gt;='BN DASHBOARD'!$C$61)*($A$4:$A$40&lt;='BN DASHBOARD'!$C$62)*$B$4:$B$40)</f>
        <v>775200</v>
      </c>
      <c r="AB13" s="402">
        <f>SUMPRODUCT((MONTH($A$4:$A$40)=$Y13)*($A$4:$A$40&gt;='BN DASHBOARD'!$C$61)*($A$4:$A$40&lt;='BN DASHBOARD'!$C$62)*$C$4:$C$40)</f>
        <v>27720</v>
      </c>
      <c r="AD13" s="402">
        <f>SUMPRODUCT((MONTH($A$4:$A$40)=$Y13)*($A$4:$A$40&gt;='BN DASHBOARD'!$C$61)*($A$4:$A$40&lt;='BN DASHBOARD'!$C$62)*$E$4:$E$40)</f>
        <v>365560</v>
      </c>
      <c r="AF13" t="str">
        <f t="shared" si="5"/>
        <v>Sep-26</v>
      </c>
      <c r="AG13" s="300">
        <f t="shared" si="6"/>
        <v>0.52843137254902</v>
      </c>
    </row>
    <row r="14" spans="1:33" x14ac:dyDescent="0.25">
      <c r="A14" s="298">
        <f t="shared" si="2"/>
        <v>45717</v>
      </c>
      <c r="B14" s="318">
        <f>SUMIFS(AUBURN[BILLING RATE (₹)],AUBURN[MONTH],$A14)</f>
        <v>2744440</v>
      </c>
      <c r="C14" s="318">
        <f>SUMIFS(MARKET[RATE (₹)],MARKET[MONTH],$A14)</f>
        <v>0</v>
      </c>
      <c r="D14" s="318">
        <f t="shared" si="0"/>
        <v>2744440</v>
      </c>
      <c r="E14" s="318">
        <f>SUMIFS(AUBURN[LORRY RATE (₹)],AUBURN[MONTH],$A14)</f>
        <v>1867850</v>
      </c>
      <c r="F14" s="300">
        <f t="shared" si="1"/>
        <v>0.319405780414219</v>
      </c>
      <c r="N14" s="298">
        <f t="shared" si="3"/>
        <v>45689</v>
      </c>
      <c r="O14" s="318" t="e">
        <f>IF(OR($D13=0,$A13&lt;'BN DASHBOARD'!$C$61,$A13&gt;'BN DASHBOARD'!$C$62),NA(),$B13)</f>
        <v>#N/A</v>
      </c>
      <c r="P14" s="318" t="e">
        <f>IF(OR($D13=0,$A13&lt;'BN DASHBOARD'!$C$61,$A13&gt;'BN DASHBOARD'!$C$62),NA(),$C13)</f>
        <v>#N/A</v>
      </c>
      <c r="R14" s="298">
        <f t="shared" si="4"/>
        <v>45689</v>
      </c>
      <c r="S14" s="300" t="e">
        <f>IF(OR($B13=0,$A13&lt;'BN DASHBOARD'!$C$61,$A13&gt;'BN DASHBOARD'!$C$62),NA(),$F13)</f>
        <v>#N/A</v>
      </c>
      <c r="U14" t="str">
        <f>'BN DASHBOARD'!$B20</f>
        <v>5582</v>
      </c>
      <c r="V14" s="300">
        <f>IF('BN DASHBOARD'!$H20="",NA(),'BN DASHBOARD'!$H20)</f>
        <v>0.483333333333333</v>
      </c>
      <c r="Y14">
        <v>10</v>
      </c>
      <c r="Z14" t="str">
        <f>IF('BN DASHBOARD'!$K$3="All years",TEXT(DATE(2000,$Y14,1),"mmm"),TEXT(DATE('BN DASHBOARD'!$K$3,$Y14,1),"mmm-yy"))</f>
        <v>Oct-26</v>
      </c>
      <c r="AA14" s="402">
        <f>SUMPRODUCT((MONTH($A$4:$A$40)=$Y14)*($A$4:$A$40&gt;='BN DASHBOARD'!$C$61)*($A$4:$A$40&lt;='BN DASHBOARD'!$C$62)*$B$4:$B$40)</f>
        <v>0</v>
      </c>
      <c r="AB14" s="402">
        <f>SUMPRODUCT((MONTH($A$4:$A$40)=$Y14)*($A$4:$A$40&gt;='BN DASHBOARD'!$C$61)*($A$4:$A$40&lt;='BN DASHBOARD'!$C$62)*$C$4:$C$40)</f>
        <v>0</v>
      </c>
      <c r="AD14" s="402">
        <f>SUMPRODUCT((MONTH($A$4:$A$40)=$Y14)*($A$4:$A$40&gt;='BN DASHBOARD'!$C$61)*($A$4:$A$40&lt;='BN DASHBOARD'!$C$62)*$E$4:$E$40)</f>
        <v>0</v>
      </c>
      <c r="AF14" t="str">
        <f t="shared" si="5"/>
        <v>Oct-26</v>
      </c>
      <c r="AG14" s="300" t="e">
        <f t="shared" si="6"/>
        <v>#N/A</v>
      </c>
    </row>
    <row r="15" spans="1:33" x14ac:dyDescent="0.25">
      <c r="A15" s="298">
        <f t="shared" si="2"/>
        <v>45748</v>
      </c>
      <c r="B15" s="318">
        <f>SUMIFS(AUBURN[BILLING RATE (₹)],AUBURN[MONTH],$A15)</f>
        <v>2852010</v>
      </c>
      <c r="C15" s="318">
        <f>SUMIFS(MARKET[RATE (₹)],MARKET[MONTH],$A15)</f>
        <v>315280</v>
      </c>
      <c r="D15" s="318">
        <f t="shared" si="0"/>
        <v>3167290</v>
      </c>
      <c r="E15" s="318">
        <f>SUMIFS(AUBURN[LORRY RATE (₹)],AUBURN[MONTH],$A15)</f>
        <v>1876090</v>
      </c>
      <c r="F15" s="300">
        <f t="shared" si="1"/>
        <v>0.342186738475672</v>
      </c>
      <c r="N15" s="298">
        <f t="shared" si="3"/>
        <v>45717</v>
      </c>
      <c r="O15" s="318" t="e">
        <f>IF(OR($D14=0,$A14&lt;'BN DASHBOARD'!$C$61,$A14&gt;'BN DASHBOARD'!$C$62),NA(),$B14)</f>
        <v>#N/A</v>
      </c>
      <c r="P15" s="318" t="e">
        <f>IF(OR($D14=0,$A14&lt;'BN DASHBOARD'!$C$61,$A14&gt;'BN DASHBOARD'!$C$62),NA(),$C14)</f>
        <v>#N/A</v>
      </c>
      <c r="R15" s="298">
        <f t="shared" si="4"/>
        <v>45717</v>
      </c>
      <c r="S15" s="300" t="e">
        <f>IF(OR($B14=0,$A14&lt;'BN DASHBOARD'!$C$61,$A14&gt;'BN DASHBOARD'!$C$62),NA(),$F14)</f>
        <v>#N/A</v>
      </c>
      <c r="Y15">
        <v>11</v>
      </c>
      <c r="Z15" t="str">
        <f>IF('BN DASHBOARD'!$K$3="All years",TEXT(DATE(2000,$Y15,1),"mmm"),TEXT(DATE('BN DASHBOARD'!$K$3,$Y15,1),"mmm-yy"))</f>
        <v>Nov-26</v>
      </c>
      <c r="AA15" s="402">
        <f>SUMPRODUCT((MONTH($A$4:$A$40)=$Y15)*($A$4:$A$40&gt;='BN DASHBOARD'!$C$61)*($A$4:$A$40&lt;='BN DASHBOARD'!$C$62)*$B$4:$B$40)</f>
        <v>0</v>
      </c>
      <c r="AB15" s="402">
        <f>SUMPRODUCT((MONTH($A$4:$A$40)=$Y15)*($A$4:$A$40&gt;='BN DASHBOARD'!$C$61)*($A$4:$A$40&lt;='BN DASHBOARD'!$C$62)*$C$4:$C$40)</f>
        <v>0</v>
      </c>
      <c r="AD15" s="402">
        <f>SUMPRODUCT((MONTH($A$4:$A$40)=$Y15)*($A$4:$A$40&gt;='BN DASHBOARD'!$C$61)*($A$4:$A$40&lt;='BN DASHBOARD'!$C$62)*$E$4:$E$40)</f>
        <v>0</v>
      </c>
      <c r="AF15" t="str">
        <f t="shared" si="5"/>
        <v>Nov-26</v>
      </c>
      <c r="AG15" s="300" t="e">
        <f t="shared" si="6"/>
        <v>#N/A</v>
      </c>
    </row>
    <row r="16" spans="1:33" x14ac:dyDescent="0.25">
      <c r="A16" s="298">
        <f t="shared" si="2"/>
        <v>45778</v>
      </c>
      <c r="B16" s="318">
        <f>SUMIFS(AUBURN[BILLING RATE (₹)],AUBURN[MONTH],$A16)</f>
        <v>2298580</v>
      </c>
      <c r="C16" s="318">
        <f>SUMIFS(MARKET[RATE (₹)],MARKET[MONTH],$A16)</f>
        <v>227040</v>
      </c>
      <c r="D16" s="318">
        <f t="shared" si="0"/>
        <v>2525620</v>
      </c>
      <c r="E16" s="318">
        <f>SUMIFS(AUBURN[LORRY RATE (₹)],AUBURN[MONTH],$A16)</f>
        <v>1429090</v>
      </c>
      <c r="F16" s="300">
        <f t="shared" si="1"/>
        <v>0.378272672693576</v>
      </c>
      <c r="N16" s="298">
        <f t="shared" si="3"/>
        <v>45748</v>
      </c>
      <c r="O16" s="318" t="e">
        <f>IF(OR($D15=0,$A15&lt;'BN DASHBOARD'!$C$61,$A15&gt;'BN DASHBOARD'!$C$62),NA(),$B15)</f>
        <v>#N/A</v>
      </c>
      <c r="P16" s="318" t="e">
        <f>IF(OR($D15=0,$A15&lt;'BN DASHBOARD'!$C$61,$A15&gt;'BN DASHBOARD'!$C$62),NA(),$C15)</f>
        <v>#N/A</v>
      </c>
      <c r="R16" s="298">
        <f t="shared" si="4"/>
        <v>45748</v>
      </c>
      <c r="S16" s="300" t="e">
        <f>IF(OR($B15=0,$A15&lt;'BN DASHBOARD'!$C$61,$A15&gt;'BN DASHBOARD'!$C$62),NA(),$F15)</f>
        <v>#N/A</v>
      </c>
      <c r="Y16">
        <v>12</v>
      </c>
      <c r="Z16" t="str">
        <f>IF('BN DASHBOARD'!$K$3="All years",TEXT(DATE(2000,$Y16,1),"mmm"),TEXT(DATE('BN DASHBOARD'!$K$3,$Y16,1),"mmm-yy"))</f>
        <v>Dec-26</v>
      </c>
      <c r="AA16" s="402">
        <f>SUMPRODUCT((MONTH($A$4:$A$40)=$Y16)*($A$4:$A$40&gt;='BN DASHBOARD'!$C$61)*($A$4:$A$40&lt;='BN DASHBOARD'!$C$62)*$B$4:$B$40)</f>
        <v>0</v>
      </c>
      <c r="AB16" s="402">
        <f>SUMPRODUCT((MONTH($A$4:$A$40)=$Y16)*($A$4:$A$40&gt;='BN DASHBOARD'!$C$61)*($A$4:$A$40&lt;='BN DASHBOARD'!$C$62)*$C$4:$C$40)</f>
        <v>0</v>
      </c>
      <c r="AD16" s="402">
        <f>SUMPRODUCT((MONTH($A$4:$A$40)=$Y16)*($A$4:$A$40&gt;='BN DASHBOARD'!$C$61)*($A$4:$A$40&lt;='BN DASHBOARD'!$C$62)*$E$4:$E$40)</f>
        <v>0</v>
      </c>
      <c r="AF16" t="str">
        <f t="shared" si="5"/>
        <v>Dec-26</v>
      </c>
      <c r="AG16" s="300" t="e">
        <f t="shared" si="6"/>
        <v>#N/A</v>
      </c>
    </row>
    <row r="17" spans="1:19" x14ac:dyDescent="0.25">
      <c r="A17" s="298">
        <f t="shared" si="2"/>
        <v>45809</v>
      </c>
      <c r="B17" s="318">
        <f>SUMIFS(AUBURN[BILLING RATE (₹)],AUBURN[MONTH],$A17)</f>
        <v>2801910</v>
      </c>
      <c r="C17" s="318">
        <f>SUMIFS(MARKET[RATE (₹)],MARKET[MONTH],$A17)</f>
        <v>141900</v>
      </c>
      <c r="D17" s="318">
        <f t="shared" si="0"/>
        <v>2943810</v>
      </c>
      <c r="E17" s="318">
        <f>SUMIFS(AUBURN[LORRY RATE (₹)],AUBURN[MONTH],$A17)</f>
        <v>1647100</v>
      </c>
      <c r="F17" s="300">
        <f t="shared" si="1"/>
        <v>0.412150996998476</v>
      </c>
      <c r="N17" s="298">
        <f t="shared" si="3"/>
        <v>45778</v>
      </c>
      <c r="O17" s="318" t="e">
        <f>IF(OR($D16=0,$A16&lt;'BN DASHBOARD'!$C$61,$A16&gt;'BN DASHBOARD'!$C$62),NA(),$B16)</f>
        <v>#N/A</v>
      </c>
      <c r="P17" s="318" t="e">
        <f>IF(OR($D16=0,$A16&lt;'BN DASHBOARD'!$C$61,$A16&gt;'BN DASHBOARD'!$C$62),NA(),$C16)</f>
        <v>#N/A</v>
      </c>
      <c r="R17" s="298">
        <f t="shared" si="4"/>
        <v>45778</v>
      </c>
      <c r="S17" s="300" t="e">
        <f>IF(OR($B16=0,$A16&lt;'BN DASHBOARD'!$C$61,$A16&gt;'BN DASHBOARD'!$C$62),NA(),$F16)</f>
        <v>#N/A</v>
      </c>
    </row>
    <row r="18" spans="1:19" x14ac:dyDescent="0.25">
      <c r="A18" s="298">
        <f t="shared" si="2"/>
        <v>45839</v>
      </c>
      <c r="B18" s="318">
        <f>SUMIFS(AUBURN[BILLING RATE (₹)],AUBURN[MONTH],$A18)</f>
        <v>2780820</v>
      </c>
      <c r="C18" s="318">
        <f>SUMIFS(MARKET[RATE (₹)],MARKET[MONTH],$A18)</f>
        <v>274890</v>
      </c>
      <c r="D18" s="318">
        <f t="shared" si="0"/>
        <v>3055710</v>
      </c>
      <c r="E18" s="318">
        <f>SUMIFS(AUBURN[LORRY RATE (₹)],AUBURN[MONTH],$A18)</f>
        <v>1550790</v>
      </c>
      <c r="F18" s="300">
        <f t="shared" si="1"/>
        <v>0.442326364165965</v>
      </c>
      <c r="N18" s="298">
        <f t="shared" si="3"/>
        <v>45809</v>
      </c>
      <c r="O18" s="318" t="e">
        <f>IF(OR($D17=0,$A17&lt;'BN DASHBOARD'!$C$61,$A17&gt;'BN DASHBOARD'!$C$62),NA(),$B17)</f>
        <v>#N/A</v>
      </c>
      <c r="P18" s="318" t="e">
        <f>IF(OR($D17=0,$A17&lt;'BN DASHBOARD'!$C$61,$A17&gt;'BN DASHBOARD'!$C$62),NA(),$C17)</f>
        <v>#N/A</v>
      </c>
      <c r="R18" s="298">
        <f t="shared" si="4"/>
        <v>45809</v>
      </c>
      <c r="S18" s="300" t="e">
        <f>IF(OR($B17=0,$A17&lt;'BN DASHBOARD'!$C$61,$A17&gt;'BN DASHBOARD'!$C$62),NA(),$F17)</f>
        <v>#N/A</v>
      </c>
    </row>
    <row r="19" spans="1:19" x14ac:dyDescent="0.25">
      <c r="A19" s="298">
        <f t="shared" si="2"/>
        <v>45870</v>
      </c>
      <c r="B19" s="318">
        <f>SUMIFS(AUBURN[BILLING RATE (₹)],AUBURN[MONTH],$A19)</f>
        <v>2169720</v>
      </c>
      <c r="C19" s="318">
        <f>SUMIFS(MARKET[RATE (₹)],MARKET[MONTH],$A19)</f>
        <v>352110</v>
      </c>
      <c r="D19" s="318">
        <f t="shared" si="0"/>
        <v>2521830</v>
      </c>
      <c r="E19" s="318">
        <f>SUMIFS(AUBURN[LORRY RATE (₹)],AUBURN[MONTH],$A19)</f>
        <v>1273340</v>
      </c>
      <c r="F19" s="300">
        <f t="shared" si="1"/>
        <v>0.413131648323286</v>
      </c>
      <c r="N19" s="298">
        <f t="shared" si="3"/>
        <v>45839</v>
      </c>
      <c r="O19" s="318" t="e">
        <f>IF(OR($D18=0,$A18&lt;'BN DASHBOARD'!$C$61,$A18&gt;'BN DASHBOARD'!$C$62),NA(),$B18)</f>
        <v>#N/A</v>
      </c>
      <c r="P19" s="318" t="e">
        <f>IF(OR($D18=0,$A18&lt;'BN DASHBOARD'!$C$61,$A18&gt;'BN DASHBOARD'!$C$62),NA(),$C18)</f>
        <v>#N/A</v>
      </c>
      <c r="R19" s="298">
        <f t="shared" si="4"/>
        <v>45839</v>
      </c>
      <c r="S19" s="300" t="e">
        <f>IF(OR($B18=0,$A18&lt;'BN DASHBOARD'!$C$61,$A18&gt;'BN DASHBOARD'!$C$62),NA(),$F18)</f>
        <v>#N/A</v>
      </c>
    </row>
    <row r="20" spans="1:19" x14ac:dyDescent="0.25">
      <c r="A20" s="298">
        <f t="shared" si="2"/>
        <v>45901</v>
      </c>
      <c r="B20" s="318">
        <f>SUMIFS(AUBURN[BILLING RATE (₹)],AUBURN[MONTH],$A20)</f>
        <v>2798000</v>
      </c>
      <c r="C20" s="318">
        <f>SUMIFS(MARKET[RATE (₹)],MARKET[MONTH],$A20)</f>
        <v>274890</v>
      </c>
      <c r="D20" s="318">
        <f t="shared" si="0"/>
        <v>3072890</v>
      </c>
      <c r="E20" s="318">
        <f>SUMIFS(AUBURN[LORRY RATE (₹)],AUBURN[MONTH],$A20)</f>
        <v>1613570</v>
      </c>
      <c r="F20" s="300">
        <f t="shared" si="1"/>
        <v>0.42331308077198</v>
      </c>
      <c r="N20" s="298">
        <f t="shared" si="3"/>
        <v>45870</v>
      </c>
      <c r="O20" s="318" t="e">
        <f>IF(OR($D19=0,$A19&lt;'BN DASHBOARD'!$C$61,$A19&gt;'BN DASHBOARD'!$C$62),NA(),$B19)</f>
        <v>#N/A</v>
      </c>
      <c r="P20" s="318" t="e">
        <f>IF(OR($D19=0,$A19&lt;'BN DASHBOARD'!$C$61,$A19&gt;'BN DASHBOARD'!$C$62),NA(),$C19)</f>
        <v>#N/A</v>
      </c>
      <c r="R20" s="298">
        <f t="shared" si="4"/>
        <v>45870</v>
      </c>
      <c r="S20" s="300" t="e">
        <f>IF(OR($B19=0,$A19&lt;'BN DASHBOARD'!$C$61,$A19&gt;'BN DASHBOARD'!$C$62),NA(),$F19)</f>
        <v>#N/A</v>
      </c>
    </row>
    <row r="21" spans="1:19" x14ac:dyDescent="0.25">
      <c r="A21" s="298">
        <f t="shared" si="2"/>
        <v>45931</v>
      </c>
      <c r="B21" s="318">
        <f>SUMIFS(AUBURN[BILLING RATE (₹)],AUBURN[MONTH],$A21)</f>
        <v>2172550</v>
      </c>
      <c r="C21" s="318">
        <f>SUMIFS(MARKET[RATE (₹)],MARKET[MONTH],$A21)</f>
        <v>97680</v>
      </c>
      <c r="D21" s="318">
        <f t="shared" si="0"/>
        <v>2270230</v>
      </c>
      <c r="E21" s="318">
        <f>SUMIFS(AUBURN[LORRY RATE (₹)],AUBURN[MONTH],$A21)</f>
        <v>1197670</v>
      </c>
      <c r="F21" s="300">
        <f t="shared" si="1"/>
        <v>0.448726151296863</v>
      </c>
      <c r="N21" s="298">
        <f t="shared" si="3"/>
        <v>45901</v>
      </c>
      <c r="O21" s="318" t="e">
        <f>IF(OR($D20=0,$A20&lt;'BN DASHBOARD'!$C$61,$A20&gt;'BN DASHBOARD'!$C$62),NA(),$B20)</f>
        <v>#N/A</v>
      </c>
      <c r="P21" s="318" t="e">
        <f>IF(OR($D20=0,$A20&lt;'BN DASHBOARD'!$C$61,$A20&gt;'BN DASHBOARD'!$C$62),NA(),$C20)</f>
        <v>#N/A</v>
      </c>
      <c r="R21" s="298">
        <f t="shared" si="4"/>
        <v>45901</v>
      </c>
      <c r="S21" s="300" t="e">
        <f>IF(OR($B20=0,$A20&lt;'BN DASHBOARD'!$C$61,$A20&gt;'BN DASHBOARD'!$C$62),NA(),$F20)</f>
        <v>#N/A</v>
      </c>
    </row>
    <row r="22" spans="1:19" x14ac:dyDescent="0.25">
      <c r="A22" s="298">
        <f t="shared" si="2"/>
        <v>45962</v>
      </c>
      <c r="B22" s="318">
        <f>SUMIFS(AUBURN[BILLING RATE (₹)],AUBURN[MONTH],$A22)</f>
        <v>2473630</v>
      </c>
      <c r="C22" s="318">
        <f>SUMIFS(MARKET[RATE (₹)],MARKET[MONTH],$A22)</f>
        <v>521780</v>
      </c>
      <c r="D22" s="318">
        <f t="shared" si="0"/>
        <v>2995410</v>
      </c>
      <c r="E22" s="318">
        <f>SUMIFS(AUBURN[LORRY RATE (₹)],AUBURN[MONTH],$A22)</f>
        <v>1539820</v>
      </c>
      <c r="F22" s="300">
        <f t="shared" si="1"/>
        <v>0.37750593257682</v>
      </c>
      <c r="N22" s="298">
        <f t="shared" si="3"/>
        <v>45931</v>
      </c>
      <c r="O22" s="318" t="e">
        <f>IF(OR($D21=0,$A21&lt;'BN DASHBOARD'!$C$61,$A21&gt;'BN DASHBOARD'!$C$62),NA(),$B21)</f>
        <v>#N/A</v>
      </c>
      <c r="P22" s="318" t="e">
        <f>IF(OR($D21=0,$A21&lt;'BN DASHBOARD'!$C$61,$A21&gt;'BN DASHBOARD'!$C$62),NA(),$C21)</f>
        <v>#N/A</v>
      </c>
      <c r="R22" s="298">
        <f t="shared" si="4"/>
        <v>45931</v>
      </c>
      <c r="S22" s="300" t="e">
        <f>IF(OR($B21=0,$A21&lt;'BN DASHBOARD'!$C$61,$A21&gt;'BN DASHBOARD'!$C$62),NA(),$F21)</f>
        <v>#N/A</v>
      </c>
    </row>
    <row r="23" spans="1:19" x14ac:dyDescent="0.25">
      <c r="A23" s="298">
        <f t="shared" si="2"/>
        <v>45992</v>
      </c>
      <c r="B23" s="318">
        <f>SUMIFS(AUBURN[BILLING RATE (₹)],AUBURN[MONTH],$A23)</f>
        <v>2648210</v>
      </c>
      <c r="C23" s="318">
        <f>SUMIFS(MARKET[RATE (₹)],MARKET[MONTH],$A23)</f>
        <v>52600</v>
      </c>
      <c r="D23" s="318">
        <f t="shared" si="0"/>
        <v>2700810</v>
      </c>
      <c r="E23" s="318">
        <f>SUMIFS(AUBURN[LORRY RATE (₹)],AUBURN[MONTH],$A23)</f>
        <v>1548250</v>
      </c>
      <c r="F23" s="300">
        <f t="shared" si="1"/>
        <v>0.415359809078585</v>
      </c>
      <c r="N23" s="298">
        <f t="shared" si="3"/>
        <v>45962</v>
      </c>
      <c r="O23" s="318" t="e">
        <f>IF(OR($D22=0,$A22&lt;'BN DASHBOARD'!$C$61,$A22&gt;'BN DASHBOARD'!$C$62),NA(),$B22)</f>
        <v>#N/A</v>
      </c>
      <c r="P23" s="318" t="e">
        <f>IF(OR($D22=0,$A22&lt;'BN DASHBOARD'!$C$61,$A22&gt;'BN DASHBOARD'!$C$62),NA(),$C22)</f>
        <v>#N/A</v>
      </c>
      <c r="R23" s="298">
        <f t="shared" si="4"/>
        <v>45962</v>
      </c>
      <c r="S23" s="300" t="e">
        <f>IF(OR($B22=0,$A22&lt;'BN DASHBOARD'!$C$61,$A22&gt;'BN DASHBOARD'!$C$62),NA(),$F22)</f>
        <v>#N/A</v>
      </c>
    </row>
    <row r="24" spans="1:19" x14ac:dyDescent="0.25">
      <c r="A24" s="298">
        <f t="shared" si="2"/>
        <v>46023</v>
      </c>
      <c r="B24" s="318">
        <f>SUMIFS(AUBURN[BILLING RATE (₹)],AUBURN[MONTH],$A24)</f>
        <v>1975040</v>
      </c>
      <c r="C24" s="318">
        <f>SUMIFS(MARKET[RATE (₹)],MARKET[MONTH],$A24)</f>
        <v>325170</v>
      </c>
      <c r="D24" s="318">
        <f t="shared" si="0"/>
        <v>2300210</v>
      </c>
      <c r="E24" s="318">
        <f>SUMIFS(AUBURN[LORRY RATE (₹)],AUBURN[MONTH],$A24)</f>
        <v>1138600</v>
      </c>
      <c r="F24" s="300">
        <f t="shared" si="1"/>
        <v>0.423505346727155</v>
      </c>
      <c r="N24" s="298">
        <f t="shared" si="3"/>
        <v>45992</v>
      </c>
      <c r="O24" s="318" t="e">
        <f>IF(OR($D23=0,$A23&lt;'BN DASHBOARD'!$C$61,$A23&gt;'BN DASHBOARD'!$C$62),NA(),$B23)</f>
        <v>#N/A</v>
      </c>
      <c r="P24" s="318" t="e">
        <f>IF(OR($D23=0,$A23&lt;'BN DASHBOARD'!$C$61,$A23&gt;'BN DASHBOARD'!$C$62),NA(),$C23)</f>
        <v>#N/A</v>
      </c>
      <c r="R24" s="298">
        <f t="shared" si="4"/>
        <v>45992</v>
      </c>
      <c r="S24" s="300" t="e">
        <f>IF(OR($B23=0,$A23&lt;'BN DASHBOARD'!$C$61,$A23&gt;'BN DASHBOARD'!$C$62),NA(),$F23)</f>
        <v>#N/A</v>
      </c>
    </row>
    <row r="25" spans="1:19" x14ac:dyDescent="0.25">
      <c r="A25" s="298">
        <f t="shared" si="2"/>
        <v>46054</v>
      </c>
      <c r="B25" s="318">
        <f>SUMIFS(AUBURN[BILLING RATE (₹)],AUBURN[MONTH],$A25)</f>
        <v>2255700</v>
      </c>
      <c r="C25" s="318">
        <f>SUMIFS(MARKET[RATE (₹)],MARKET[MONTH],$A25)</f>
        <v>105600</v>
      </c>
      <c r="D25" s="318">
        <f t="shared" si="0"/>
        <v>2361300</v>
      </c>
      <c r="E25" s="318">
        <f>SUMIFS(AUBURN[LORRY RATE (₹)],AUBURN[MONTH],$A25)</f>
        <v>1216570</v>
      </c>
      <c r="F25" s="300">
        <f t="shared" si="1"/>
        <v>0.460668528616394</v>
      </c>
      <c r="N25" s="298">
        <f t="shared" si="3"/>
        <v>46023</v>
      </c>
      <c r="O25" s="318">
        <f>IF(OR($D24=0,$A24&lt;'BN DASHBOARD'!$C$61,$A24&gt;'BN DASHBOARD'!$C$62),NA(),$B24)</f>
        <v>1975040</v>
      </c>
      <c r="P25" s="318">
        <f>IF(OR($D24=0,$A24&lt;'BN DASHBOARD'!$C$61,$A24&gt;'BN DASHBOARD'!$C$62),NA(),$C24)</f>
        <v>325170</v>
      </c>
      <c r="R25" s="298">
        <f t="shared" si="4"/>
        <v>46023</v>
      </c>
      <c r="S25" s="300">
        <f>IF(OR($B24=0,$A24&lt;'BN DASHBOARD'!$C$61,$A24&gt;'BN DASHBOARD'!$C$62),NA(),$F24)</f>
        <v>0.423505346727155</v>
      </c>
    </row>
    <row r="26" spans="1:19" x14ac:dyDescent="0.25">
      <c r="A26" s="298">
        <f t="shared" si="2"/>
        <v>46082</v>
      </c>
      <c r="B26" s="318">
        <f>SUMIFS(AUBURN[BILLING RATE (₹)],AUBURN[MONTH],$A26)</f>
        <v>1857550</v>
      </c>
      <c r="C26" s="318">
        <f>SUMIFS(MARKET[RATE (₹)],MARKET[MONTH],$A26)</f>
        <v>364290</v>
      </c>
      <c r="D26" s="318">
        <f t="shared" si="0"/>
        <v>2221840</v>
      </c>
      <c r="E26" s="318">
        <f>SUMIFS(AUBURN[LORRY RATE (₹)],AUBURN[MONTH],$A26)</f>
        <v>1103310</v>
      </c>
      <c r="F26" s="300">
        <f t="shared" si="1"/>
        <v>0.40604021426072</v>
      </c>
      <c r="N26" s="298">
        <f t="shared" si="3"/>
        <v>46054</v>
      </c>
      <c r="O26" s="318">
        <f>IF(OR($D25=0,$A25&lt;'BN DASHBOARD'!$C$61,$A25&gt;'BN DASHBOARD'!$C$62),NA(),$B25)</f>
        <v>2255700</v>
      </c>
      <c r="P26" s="318">
        <f>IF(OR($D25=0,$A25&lt;'BN DASHBOARD'!$C$61,$A25&gt;'BN DASHBOARD'!$C$62),NA(),$C25)</f>
        <v>105600</v>
      </c>
      <c r="R26" s="298">
        <f t="shared" si="4"/>
        <v>46054</v>
      </c>
      <c r="S26" s="300">
        <f>IF(OR($B25=0,$A25&lt;'BN DASHBOARD'!$C$61,$A25&gt;'BN DASHBOARD'!$C$62),NA(),$F25)</f>
        <v>0.460668528616394</v>
      </c>
    </row>
    <row r="27" spans="1:19" x14ac:dyDescent="0.25">
      <c r="A27" s="298">
        <f t="shared" si="2"/>
        <v>46113</v>
      </c>
      <c r="B27" s="318">
        <f>SUMIFS(AUBURN[BILLING RATE (₹)],AUBURN[MONTH],$A27)</f>
        <v>3115950</v>
      </c>
      <c r="C27" s="318">
        <f>SUMIFS(MARKET[RATE (₹)],MARKET[MONTH],$A27)</f>
        <v>890720</v>
      </c>
      <c r="D27" s="318">
        <f t="shared" si="0"/>
        <v>4006670</v>
      </c>
      <c r="E27" s="318">
        <f>SUMIFS(AUBURN[LORRY RATE (₹)],AUBURN[MONTH],$A27)</f>
        <v>1544540</v>
      </c>
      <c r="F27" s="300">
        <f t="shared" si="1"/>
        <v>0.504311686644523</v>
      </c>
      <c r="N27" s="298">
        <f t="shared" si="3"/>
        <v>46082</v>
      </c>
      <c r="O27" s="318">
        <f>IF(OR($D26=0,$A26&lt;'BN DASHBOARD'!$C$61,$A26&gt;'BN DASHBOARD'!$C$62),NA(),$B26)</f>
        <v>1857550</v>
      </c>
      <c r="P27" s="318">
        <f>IF(OR($D26=0,$A26&lt;'BN DASHBOARD'!$C$61,$A26&gt;'BN DASHBOARD'!$C$62),NA(),$C26)</f>
        <v>364290</v>
      </c>
      <c r="R27" s="298">
        <f t="shared" si="4"/>
        <v>46082</v>
      </c>
      <c r="S27" s="300">
        <f>IF(OR($B26=0,$A26&lt;'BN DASHBOARD'!$C$61,$A26&gt;'BN DASHBOARD'!$C$62),NA(),$F26)</f>
        <v>0.40604021426072</v>
      </c>
    </row>
    <row r="28" spans="1:19" x14ac:dyDescent="0.25">
      <c r="A28" s="298">
        <f t="shared" si="2"/>
        <v>46143</v>
      </c>
      <c r="B28" s="318">
        <f>SUMIFS(AUBURN[BILLING RATE (₹)],AUBURN[MONTH],$A28)</f>
        <v>4030660</v>
      </c>
      <c r="C28" s="318">
        <f>SUMIFS(MARKET[RATE (₹)],MARKET[MONTH],$A28)</f>
        <v>786660</v>
      </c>
      <c r="D28" s="318">
        <f t="shared" si="0"/>
        <v>4817320</v>
      </c>
      <c r="E28" s="318">
        <f>SUMIFS(AUBURN[LORRY RATE (₹)],AUBURN[MONTH],$A28)</f>
        <v>2029030</v>
      </c>
      <c r="F28" s="300">
        <f t="shared" si="1"/>
        <v>0.496601052929297</v>
      </c>
      <c r="N28" s="298">
        <f t="shared" si="3"/>
        <v>46113</v>
      </c>
      <c r="O28" s="318">
        <f>IF(OR($D27=0,$A27&lt;'BN DASHBOARD'!$C$61,$A27&gt;'BN DASHBOARD'!$C$62),NA(),$B27)</f>
        <v>3115950</v>
      </c>
      <c r="P28" s="318">
        <f>IF(OR($D27=0,$A27&lt;'BN DASHBOARD'!$C$61,$A27&gt;'BN DASHBOARD'!$C$62),NA(),$C27)</f>
        <v>890720</v>
      </c>
      <c r="R28" s="298">
        <f t="shared" si="4"/>
        <v>46113</v>
      </c>
      <c r="S28" s="300">
        <f>IF(OR($B27=0,$A27&lt;'BN DASHBOARD'!$C$61,$A27&gt;'BN DASHBOARD'!$C$62),NA(),$F27)</f>
        <v>0.504311686644523</v>
      </c>
    </row>
    <row r="29" spans="1:19" x14ac:dyDescent="0.25">
      <c r="A29" s="298">
        <f t="shared" si="2"/>
        <v>46174</v>
      </c>
      <c r="B29" s="318">
        <f>SUMIFS(AUBURN[BILLING RATE (₹)],AUBURN[MONTH],$A29)</f>
        <v>4130360</v>
      </c>
      <c r="C29" s="318">
        <f>SUMIFS(MARKET[RATE (₹)],MARKET[MONTH],$A29)</f>
        <v>844680</v>
      </c>
      <c r="D29" s="318">
        <f t="shared" si="0"/>
        <v>4975040</v>
      </c>
      <c r="E29" s="318">
        <f>SUMIFS(AUBURN[LORRY RATE (₹)],AUBURN[MONTH],$A29)</f>
        <v>2115220</v>
      </c>
      <c r="F29" s="300">
        <f t="shared" si="1"/>
        <v>0.487884833283297</v>
      </c>
      <c r="N29" s="298">
        <f t="shared" si="3"/>
        <v>46143</v>
      </c>
      <c r="O29" s="318">
        <f>IF(OR($D28=0,$A28&lt;'BN DASHBOARD'!$C$61,$A28&gt;'BN DASHBOARD'!$C$62),NA(),$B28)</f>
        <v>4030660</v>
      </c>
      <c r="P29" s="318">
        <f>IF(OR($D28=0,$A28&lt;'BN DASHBOARD'!$C$61,$A28&gt;'BN DASHBOARD'!$C$62),NA(),$C28)</f>
        <v>786660</v>
      </c>
      <c r="R29" s="298">
        <f t="shared" si="4"/>
        <v>46143</v>
      </c>
      <c r="S29" s="300">
        <f>IF(OR($B28=0,$A28&lt;'BN DASHBOARD'!$C$61,$A28&gt;'BN DASHBOARD'!$C$62),NA(),$F28)</f>
        <v>0.496601052929297</v>
      </c>
    </row>
    <row r="30" spans="1:19" x14ac:dyDescent="0.25">
      <c r="A30" s="298">
        <f t="shared" si="2"/>
        <v>46204</v>
      </c>
      <c r="B30" s="318">
        <f>SUMIFS(AUBURN[BILLING RATE (₹)],AUBURN[MONTH],$A30)</f>
        <v>4152580</v>
      </c>
      <c r="C30" s="318">
        <f>SUMIFS(MARKET[RATE (₹)],MARKET[MONTH],$A30)</f>
        <v>679800</v>
      </c>
      <c r="D30" s="318">
        <f t="shared" si="0"/>
        <v>4832380</v>
      </c>
      <c r="E30" s="318">
        <f>SUMIFS(AUBURN[LORRY RATE (₹)],AUBURN[MONTH],$A30)</f>
        <v>2082900</v>
      </c>
      <c r="F30" s="300">
        <f t="shared" si="1"/>
        <v>0.498408218505122</v>
      </c>
      <c r="N30" s="298">
        <f t="shared" si="3"/>
        <v>46174</v>
      </c>
      <c r="O30" s="318">
        <f>IF(OR($D29=0,$A29&lt;'BN DASHBOARD'!$C$61,$A29&gt;'BN DASHBOARD'!$C$62),NA(),$B29)</f>
        <v>4130360</v>
      </c>
      <c r="P30" s="318">
        <f>IF(OR($D29=0,$A29&lt;'BN DASHBOARD'!$C$61,$A29&gt;'BN DASHBOARD'!$C$62),NA(),$C29)</f>
        <v>844680</v>
      </c>
      <c r="R30" s="298">
        <f t="shared" si="4"/>
        <v>46174</v>
      </c>
      <c r="S30" s="300">
        <f>IF(OR($B29=0,$A29&lt;'BN DASHBOARD'!$C$61,$A29&gt;'BN DASHBOARD'!$C$62),NA(),$F29)</f>
        <v>0.487884833283297</v>
      </c>
    </row>
    <row r="31" spans="1:19" x14ac:dyDescent="0.25">
      <c r="A31" s="298">
        <f t="shared" si="2"/>
        <v>46235</v>
      </c>
      <c r="B31" s="318">
        <f>SUMIFS(AUBURN[BILLING RATE (₹)],AUBURN[MONTH],$A31)</f>
        <v>4097290</v>
      </c>
      <c r="C31" s="318">
        <f>SUMIFS(MARKET[RATE (₹)],MARKET[MONTH],$A31)</f>
        <v>497880</v>
      </c>
      <c r="D31" s="318">
        <f t="shared" si="0"/>
        <v>4595170</v>
      </c>
      <c r="E31" s="318">
        <f>SUMIFS(AUBURN[LORRY RATE (₹)],AUBURN[MONTH],$A31)</f>
        <v>2071160</v>
      </c>
      <c r="F31" s="300">
        <f t="shared" si="1"/>
        <v>0.494504904461241</v>
      </c>
      <c r="N31" s="298">
        <f t="shared" si="3"/>
        <v>46204</v>
      </c>
      <c r="O31" s="318">
        <f>IF(OR($D30=0,$A30&lt;'BN DASHBOARD'!$C$61,$A30&gt;'BN DASHBOARD'!$C$62),NA(),$B30)</f>
        <v>4152580</v>
      </c>
      <c r="P31" s="318">
        <f>IF(OR($D30=0,$A30&lt;'BN DASHBOARD'!$C$61,$A30&gt;'BN DASHBOARD'!$C$62),NA(),$C30)</f>
        <v>679800</v>
      </c>
      <c r="R31" s="298">
        <f t="shared" si="4"/>
        <v>46204</v>
      </c>
      <c r="S31" s="300">
        <f>IF(OR($B30=0,$A30&lt;'BN DASHBOARD'!$C$61,$A30&gt;'BN DASHBOARD'!$C$62),NA(),$F30)</f>
        <v>0.498408218505122</v>
      </c>
    </row>
    <row r="32" spans="1:19" x14ac:dyDescent="0.25">
      <c r="A32" s="298">
        <f t="shared" si="2"/>
        <v>46266</v>
      </c>
      <c r="B32" s="318">
        <f>SUMIFS(AUBURN[BILLING RATE (₹)],AUBURN[MONTH],$A32)</f>
        <v>775200</v>
      </c>
      <c r="C32" s="318">
        <f>SUMIFS(MARKET[RATE (₹)],MARKET[MONTH],$A32)</f>
        <v>27720</v>
      </c>
      <c r="D32" s="318">
        <f t="shared" si="0"/>
        <v>802920</v>
      </c>
      <c r="E32" s="318">
        <f>SUMIFS(AUBURN[LORRY RATE (₹)],AUBURN[MONTH],$A32)</f>
        <v>365560</v>
      </c>
      <c r="F32" s="300">
        <f t="shared" si="1"/>
        <v>0.52843137254902</v>
      </c>
      <c r="N32" s="298">
        <f t="shared" si="3"/>
        <v>46235</v>
      </c>
      <c r="O32" s="318">
        <f>IF(OR($D31=0,$A31&lt;'BN DASHBOARD'!$C$61,$A31&gt;'BN DASHBOARD'!$C$62),NA(),$B31)</f>
        <v>4097290</v>
      </c>
      <c r="P32" s="318">
        <f>IF(OR($D31=0,$A31&lt;'BN DASHBOARD'!$C$61,$A31&gt;'BN DASHBOARD'!$C$62),NA(),$C31)</f>
        <v>497880</v>
      </c>
      <c r="R32" s="298">
        <f t="shared" si="4"/>
        <v>46235</v>
      </c>
      <c r="S32" s="300">
        <f>IF(OR($B31=0,$A31&lt;'BN DASHBOARD'!$C$61,$A31&gt;'BN DASHBOARD'!$C$62),NA(),$F31)</f>
        <v>0.494504904461241</v>
      </c>
    </row>
    <row r="33" spans="1:19" x14ac:dyDescent="0.25">
      <c r="A33" s="298">
        <f t="shared" si="2"/>
        <v>46296</v>
      </c>
      <c r="B33" s="318">
        <f>SUMIFS(AUBURN[BILLING RATE (₹)],AUBURN[MONTH],$A33)</f>
        <v>0</v>
      </c>
      <c r="C33" s="318">
        <f>SUMIFS(MARKET[RATE (₹)],MARKET[MONTH],$A33)</f>
        <v>0</v>
      </c>
      <c r="D33" s="318">
        <f t="shared" si="0"/>
        <v>0</v>
      </c>
      <c r="E33" s="318">
        <f>SUMIFS(AUBURN[LORRY RATE (₹)],AUBURN[MONTH],$A33)</f>
        <v>0</v>
      </c>
      <c r="F33" s="300" t="str">
        <f t="shared" si="1"/>
        <v/>
      </c>
      <c r="N33" s="298">
        <f t="shared" si="3"/>
        <v>46266</v>
      </c>
      <c r="O33" s="318">
        <f>IF(OR($D32=0,$A32&lt;'BN DASHBOARD'!$C$61,$A32&gt;'BN DASHBOARD'!$C$62),NA(),$B32)</f>
        <v>775200</v>
      </c>
      <c r="P33" s="318">
        <f>IF(OR($D32=0,$A32&lt;'BN DASHBOARD'!$C$61,$A32&gt;'BN DASHBOARD'!$C$62),NA(),$C32)</f>
        <v>27720</v>
      </c>
      <c r="R33" s="298">
        <f t="shared" si="4"/>
        <v>46266</v>
      </c>
      <c r="S33" s="300">
        <f>IF(OR($B32=0,$A32&lt;'BN DASHBOARD'!$C$61,$A32&gt;'BN DASHBOARD'!$C$62),NA(),$F32)</f>
        <v>0.52843137254902</v>
      </c>
    </row>
    <row r="34" spans="1:19" x14ac:dyDescent="0.25">
      <c r="A34" s="298">
        <f t="shared" si="2"/>
        <v>46327</v>
      </c>
      <c r="B34" s="318">
        <f>SUMIFS(AUBURN[BILLING RATE (₹)],AUBURN[MONTH],$A34)</f>
        <v>0</v>
      </c>
      <c r="C34" s="318">
        <f>SUMIFS(MARKET[RATE (₹)],MARKET[MONTH],$A34)</f>
        <v>0</v>
      </c>
      <c r="D34" s="318">
        <f t="shared" si="0"/>
        <v>0</v>
      </c>
      <c r="E34" s="318">
        <f>SUMIFS(AUBURN[LORRY RATE (₹)],AUBURN[MONTH],$A34)</f>
        <v>0</v>
      </c>
      <c r="F34" s="300" t="str">
        <f t="shared" si="1"/>
        <v/>
      </c>
      <c r="N34" s="298">
        <f t="shared" ref="N34:N60" si="7">A33</f>
        <v>46296</v>
      </c>
      <c r="O34" s="318" t="e">
        <f>IF(OR($D33=0,$A33&lt;'BN DASHBOARD'!$C$61,$A33&gt;'BN DASHBOARD'!$C$62),NA(),$B33)</f>
        <v>#N/A</v>
      </c>
      <c r="P34" s="318" t="e">
        <f>IF(OR($D33=0,$A33&lt;'BN DASHBOARD'!$C$61,$A33&gt;'BN DASHBOARD'!$C$62),NA(),$C33)</f>
        <v>#N/A</v>
      </c>
      <c r="R34" s="298">
        <f t="shared" ref="R34:R60" si="8">A33</f>
        <v>46296</v>
      </c>
      <c r="S34" s="300" t="e">
        <f>IF(OR($B33=0,$A33&lt;'BN DASHBOARD'!$C$61,$A33&gt;'BN DASHBOARD'!$C$62),NA(),$F33)</f>
        <v>#N/A</v>
      </c>
    </row>
    <row r="35" spans="1:19" x14ac:dyDescent="0.25">
      <c r="A35" s="298">
        <f t="shared" si="2"/>
        <v>46357</v>
      </c>
      <c r="B35" s="318">
        <f>SUMIFS(AUBURN[BILLING RATE (₹)],AUBURN[MONTH],$A35)</f>
        <v>0</v>
      </c>
      <c r="C35" s="318">
        <f>SUMIFS(MARKET[RATE (₹)],MARKET[MONTH],$A35)</f>
        <v>0</v>
      </c>
      <c r="D35" s="318">
        <f t="shared" si="0"/>
        <v>0</v>
      </c>
      <c r="E35" s="318">
        <f>SUMIFS(AUBURN[LORRY RATE (₹)],AUBURN[MONTH],$A35)</f>
        <v>0</v>
      </c>
      <c r="F35" s="300" t="str">
        <f t="shared" si="1"/>
        <v/>
      </c>
      <c r="N35" s="298">
        <f t="shared" si="7"/>
        <v>46327</v>
      </c>
      <c r="O35" s="318" t="e">
        <f>IF(OR($D34=0,$A34&lt;'BN DASHBOARD'!$C$61,$A34&gt;'BN DASHBOARD'!$C$62),NA(),$B34)</f>
        <v>#N/A</v>
      </c>
      <c r="P35" s="318" t="e">
        <f>IF(OR($D34=0,$A34&lt;'BN DASHBOARD'!$C$61,$A34&gt;'BN DASHBOARD'!$C$62),NA(),$C34)</f>
        <v>#N/A</v>
      </c>
      <c r="R35" s="298">
        <f t="shared" si="8"/>
        <v>46327</v>
      </c>
      <c r="S35" s="300" t="e">
        <f>IF(OR($B34=0,$A34&lt;'BN DASHBOARD'!$C$61,$A34&gt;'BN DASHBOARD'!$C$62),NA(),$F34)</f>
        <v>#N/A</v>
      </c>
    </row>
    <row r="36" spans="1:19" x14ac:dyDescent="0.25">
      <c r="A36" s="298">
        <f t="shared" si="2"/>
        <v>46388</v>
      </c>
      <c r="B36" s="318">
        <f>SUMIFS(AUBURN[BILLING RATE (₹)],AUBURN[MONTH],$A36)</f>
        <v>0</v>
      </c>
      <c r="C36" s="318">
        <f>SUMIFS(MARKET[RATE (₹)],MARKET[MONTH],$A36)</f>
        <v>0</v>
      </c>
      <c r="D36" s="318">
        <f t="shared" si="0"/>
        <v>0</v>
      </c>
      <c r="E36" s="318">
        <f>SUMIFS(AUBURN[LORRY RATE (₹)],AUBURN[MONTH],$A36)</f>
        <v>0</v>
      </c>
      <c r="F36" s="300" t="str">
        <f t="shared" si="1"/>
        <v/>
      </c>
      <c r="N36" s="298">
        <f t="shared" si="7"/>
        <v>46357</v>
      </c>
      <c r="O36" s="318" t="e">
        <f>IF(OR($D35=0,$A35&lt;'BN DASHBOARD'!$C$61,$A35&gt;'BN DASHBOARD'!$C$62),NA(),$B35)</f>
        <v>#N/A</v>
      </c>
      <c r="P36" s="318" t="e">
        <f>IF(OR($D35=0,$A35&lt;'BN DASHBOARD'!$C$61,$A35&gt;'BN DASHBOARD'!$C$62),NA(),$C35)</f>
        <v>#N/A</v>
      </c>
      <c r="R36" s="298">
        <f t="shared" si="8"/>
        <v>46357</v>
      </c>
      <c r="S36" s="300" t="e">
        <f>IF(OR($B35=0,$A35&lt;'BN DASHBOARD'!$C$61,$A35&gt;'BN DASHBOARD'!$C$62),NA(),$F35)</f>
        <v>#N/A</v>
      </c>
    </row>
    <row r="37" spans="1:19" x14ac:dyDescent="0.25">
      <c r="A37" s="298">
        <f t="shared" si="2"/>
        <v>46419</v>
      </c>
      <c r="B37" s="318">
        <f>SUMIFS(AUBURN[BILLING RATE (₹)],AUBURN[MONTH],$A37)</f>
        <v>0</v>
      </c>
      <c r="C37" s="318">
        <f>SUMIFS(MARKET[RATE (₹)],MARKET[MONTH],$A37)</f>
        <v>0</v>
      </c>
      <c r="D37" s="318">
        <f t="shared" si="0"/>
        <v>0</v>
      </c>
      <c r="E37" s="318">
        <f>SUMIFS(AUBURN[LORRY RATE (₹)],AUBURN[MONTH],$A37)</f>
        <v>0</v>
      </c>
      <c r="F37" s="300" t="str">
        <f t="shared" si="1"/>
        <v/>
      </c>
      <c r="N37" s="298">
        <f t="shared" si="7"/>
        <v>46388</v>
      </c>
      <c r="O37" s="318" t="e">
        <f>IF(OR($D36=0,$A36&lt;'BN DASHBOARD'!$C$61,$A36&gt;'BN DASHBOARD'!$C$62),NA(),$B36)</f>
        <v>#N/A</v>
      </c>
      <c r="P37" s="318" t="e">
        <f>IF(OR($D36=0,$A36&lt;'BN DASHBOARD'!$C$61,$A36&gt;'BN DASHBOARD'!$C$62),NA(),$C36)</f>
        <v>#N/A</v>
      </c>
      <c r="R37" s="298">
        <f t="shared" si="8"/>
        <v>46388</v>
      </c>
      <c r="S37" s="300" t="e">
        <f>IF(OR($B36=0,$A36&lt;'BN DASHBOARD'!$C$61,$A36&gt;'BN DASHBOARD'!$C$62),NA(),$F36)</f>
        <v>#N/A</v>
      </c>
    </row>
    <row r="38" spans="1:19" x14ac:dyDescent="0.25">
      <c r="A38" s="298">
        <f t="shared" si="2"/>
        <v>46447</v>
      </c>
      <c r="B38" s="318">
        <f>SUMIFS(AUBURN[BILLING RATE (₹)],AUBURN[MONTH],$A38)</f>
        <v>0</v>
      </c>
      <c r="C38" s="318">
        <f>SUMIFS(MARKET[RATE (₹)],MARKET[MONTH],$A38)</f>
        <v>0</v>
      </c>
      <c r="D38" s="318">
        <f t="shared" si="0"/>
        <v>0</v>
      </c>
      <c r="E38" s="318">
        <f>SUMIFS(AUBURN[LORRY RATE (₹)],AUBURN[MONTH],$A38)</f>
        <v>0</v>
      </c>
      <c r="F38" s="300" t="str">
        <f t="shared" si="1"/>
        <v/>
      </c>
      <c r="N38" s="298">
        <f t="shared" si="7"/>
        <v>46419</v>
      </c>
      <c r="O38" s="318" t="e">
        <f>IF(OR($D37=0,$A37&lt;'BN DASHBOARD'!$C$61,$A37&gt;'BN DASHBOARD'!$C$62),NA(),$B37)</f>
        <v>#N/A</v>
      </c>
      <c r="P38" s="318" t="e">
        <f>IF(OR($D37=0,$A37&lt;'BN DASHBOARD'!$C$61,$A37&gt;'BN DASHBOARD'!$C$62),NA(),$C37)</f>
        <v>#N/A</v>
      </c>
      <c r="R38" s="298">
        <f t="shared" si="8"/>
        <v>46419</v>
      </c>
      <c r="S38" s="300" t="e">
        <f>IF(OR($B37=0,$A37&lt;'BN DASHBOARD'!$C$61,$A37&gt;'BN DASHBOARD'!$C$62),NA(),$F37)</f>
        <v>#N/A</v>
      </c>
    </row>
    <row r="39" spans="1:19" x14ac:dyDescent="0.25">
      <c r="A39" s="298">
        <f t="shared" si="2"/>
        <v>46478</v>
      </c>
      <c r="B39" s="318">
        <f>SUMIFS(AUBURN[BILLING RATE (₹)],AUBURN[MONTH],$A39)</f>
        <v>0</v>
      </c>
      <c r="C39" s="318">
        <f>SUMIFS(MARKET[RATE (₹)],MARKET[MONTH],$A39)</f>
        <v>0</v>
      </c>
      <c r="D39" s="318">
        <f t="shared" si="0"/>
        <v>0</v>
      </c>
      <c r="E39" s="318">
        <f>SUMIFS(AUBURN[LORRY RATE (₹)],AUBURN[MONTH],$A39)</f>
        <v>0</v>
      </c>
      <c r="F39" s="300" t="str">
        <f t="shared" si="1"/>
        <v/>
      </c>
      <c r="N39" s="298">
        <f t="shared" si="7"/>
        <v>46447</v>
      </c>
      <c r="O39" s="318" t="e">
        <f>IF(OR($D38=0,$A38&lt;'BN DASHBOARD'!$C$61,$A38&gt;'BN DASHBOARD'!$C$62),NA(),$B38)</f>
        <v>#N/A</v>
      </c>
      <c r="P39" s="318" t="e">
        <f>IF(OR($D38=0,$A38&lt;'BN DASHBOARD'!$C$61,$A38&gt;'BN DASHBOARD'!$C$62),NA(),$C38)</f>
        <v>#N/A</v>
      </c>
      <c r="R39" s="298">
        <f t="shared" si="8"/>
        <v>46447</v>
      </c>
      <c r="S39" s="300" t="e">
        <f>IF(OR($B38=0,$A38&lt;'BN DASHBOARD'!$C$61,$A38&gt;'BN DASHBOARD'!$C$62),NA(),$F38)</f>
        <v>#N/A</v>
      </c>
    </row>
    <row r="40" spans="1:19" x14ac:dyDescent="0.25">
      <c r="A40" s="298">
        <f t="shared" si="2"/>
        <v>46508</v>
      </c>
      <c r="B40" s="318">
        <f>SUMIFS(AUBURN[BILLING RATE (₹)],AUBURN[MONTH],$A40)</f>
        <v>0</v>
      </c>
      <c r="C40" s="318">
        <f>SUMIFS(MARKET[RATE (₹)],MARKET[MONTH],$A40)</f>
        <v>0</v>
      </c>
      <c r="D40" s="318">
        <f t="shared" si="0"/>
        <v>0</v>
      </c>
      <c r="E40" s="318">
        <f>SUMIFS(AUBURN[LORRY RATE (₹)],AUBURN[MONTH],$A40)</f>
        <v>0</v>
      </c>
      <c r="F40" s="300" t="str">
        <f t="shared" si="1"/>
        <v/>
      </c>
      <c r="N40" s="298">
        <f t="shared" si="7"/>
        <v>46478</v>
      </c>
      <c r="O40" s="318" t="e">
        <f>IF(OR($D39=0,$A39&lt;'BN DASHBOARD'!$C$61,$A39&gt;'BN DASHBOARD'!$C$62),NA(),$B39)</f>
        <v>#N/A</v>
      </c>
      <c r="P40" s="318" t="e">
        <f>IF(OR($D39=0,$A39&lt;'BN DASHBOARD'!$C$61,$A39&gt;'BN DASHBOARD'!$C$62),NA(),$C39)</f>
        <v>#N/A</v>
      </c>
      <c r="R40" s="298">
        <f t="shared" si="8"/>
        <v>46478</v>
      </c>
      <c r="S40" s="300" t="e">
        <f>IF(OR($B39=0,$A39&lt;'BN DASHBOARD'!$C$61,$A39&gt;'BN DASHBOARD'!$C$62),NA(),$F39)</f>
        <v>#N/A</v>
      </c>
    </row>
    <row r="41" spans="1:19" x14ac:dyDescent="0.25">
      <c r="A41" s="298">
        <f t="shared" si="2"/>
        <v>46539</v>
      </c>
      <c r="B41" s="318">
        <f>SUMIFS(AUBURN[BILLING RATE (₹)],AUBURN[MONTH],$A41)</f>
        <v>0</v>
      </c>
      <c r="C41" s="318">
        <f>SUMIFS(MARKET[RATE (₹)],MARKET[MONTH],$A41)</f>
        <v>0</v>
      </c>
      <c r="D41" s="318">
        <f t="shared" si="0"/>
        <v>0</v>
      </c>
      <c r="E41" s="318">
        <f>SUMIFS(AUBURN[LORRY RATE (₹)],AUBURN[MONTH],$A41)</f>
        <v>0</v>
      </c>
      <c r="F41" s="300" t="str">
        <f t="shared" si="1"/>
        <v/>
      </c>
      <c r="N41" s="298">
        <f t="shared" si="7"/>
        <v>46508</v>
      </c>
      <c r="O41" s="318" t="e">
        <f>IF(OR($D40=0,$A40&lt;'BN DASHBOARD'!$C$61,$A40&gt;'BN DASHBOARD'!$C$62),NA(),$B40)</f>
        <v>#N/A</v>
      </c>
      <c r="P41" s="318" t="e">
        <f>IF(OR($D40=0,$A40&lt;'BN DASHBOARD'!$C$61,$A40&gt;'BN DASHBOARD'!$C$62),NA(),$C40)</f>
        <v>#N/A</v>
      </c>
      <c r="R41" s="298">
        <f t="shared" si="8"/>
        <v>46508</v>
      </c>
      <c r="S41" s="300" t="e">
        <f>IF(OR($B40=0,$A40&lt;'BN DASHBOARD'!$C$61,$A40&gt;'BN DASHBOARD'!$C$62),NA(),$F40)</f>
        <v>#N/A</v>
      </c>
    </row>
    <row r="42" spans="1:19" x14ac:dyDescent="0.25">
      <c r="A42" s="298">
        <f t="shared" si="2"/>
        <v>46569</v>
      </c>
      <c r="B42" s="318">
        <f>SUMIFS(AUBURN[BILLING RATE (₹)],AUBURN[MONTH],$A42)</f>
        <v>0</v>
      </c>
      <c r="C42" s="318">
        <f>SUMIFS(MARKET[RATE (₹)],MARKET[MONTH],$A42)</f>
        <v>0</v>
      </c>
      <c r="D42" s="318">
        <f t="shared" si="0"/>
        <v>0</v>
      </c>
      <c r="E42" s="318">
        <f>SUMIFS(AUBURN[LORRY RATE (₹)],AUBURN[MONTH],$A42)</f>
        <v>0</v>
      </c>
      <c r="F42" s="300" t="str">
        <f t="shared" si="1"/>
        <v/>
      </c>
      <c r="N42" s="298">
        <f t="shared" si="7"/>
        <v>46539</v>
      </c>
      <c r="O42" s="318" t="e">
        <f>IF(OR($D41=0,$A41&lt;'BN DASHBOARD'!$C$61,$A41&gt;'BN DASHBOARD'!$C$62),NA(),$B41)</f>
        <v>#N/A</v>
      </c>
      <c r="P42" s="318" t="e">
        <f>IF(OR($D41=0,$A41&lt;'BN DASHBOARD'!$C$61,$A41&gt;'BN DASHBOARD'!$C$62),NA(),$C41)</f>
        <v>#N/A</v>
      </c>
      <c r="R42" s="298">
        <f t="shared" si="8"/>
        <v>46539</v>
      </c>
      <c r="S42" s="300" t="e">
        <f>IF(OR($B41=0,$A41&lt;'BN DASHBOARD'!$C$61,$A41&gt;'BN DASHBOARD'!$C$62),NA(),$F41)</f>
        <v>#N/A</v>
      </c>
    </row>
    <row r="43" spans="1:19" x14ac:dyDescent="0.25">
      <c r="A43" s="298">
        <f t="shared" si="2"/>
        <v>46600</v>
      </c>
      <c r="B43" s="318">
        <f>SUMIFS(AUBURN[BILLING RATE (₹)],AUBURN[MONTH],$A43)</f>
        <v>0</v>
      </c>
      <c r="C43" s="318">
        <f>SUMIFS(MARKET[RATE (₹)],MARKET[MONTH],$A43)</f>
        <v>0</v>
      </c>
      <c r="D43" s="318">
        <f t="shared" si="0"/>
        <v>0</v>
      </c>
      <c r="E43" s="318">
        <f>SUMIFS(AUBURN[LORRY RATE (₹)],AUBURN[MONTH],$A43)</f>
        <v>0</v>
      </c>
      <c r="F43" s="300" t="str">
        <f t="shared" si="1"/>
        <v/>
      </c>
      <c r="N43" s="298">
        <f t="shared" si="7"/>
        <v>46569</v>
      </c>
      <c r="O43" s="318" t="e">
        <f>IF(OR($D42=0,$A42&lt;'BN DASHBOARD'!$C$61,$A42&gt;'BN DASHBOARD'!$C$62),NA(),$B42)</f>
        <v>#N/A</v>
      </c>
      <c r="P43" s="318" t="e">
        <f>IF(OR($D42=0,$A42&lt;'BN DASHBOARD'!$C$61,$A42&gt;'BN DASHBOARD'!$C$62),NA(),$C42)</f>
        <v>#N/A</v>
      </c>
      <c r="R43" s="298">
        <f t="shared" si="8"/>
        <v>46569</v>
      </c>
      <c r="S43" s="300" t="e">
        <f>IF(OR($B42=0,$A42&lt;'BN DASHBOARD'!$C$61,$A42&gt;'BN DASHBOARD'!$C$62),NA(),$F42)</f>
        <v>#N/A</v>
      </c>
    </row>
    <row r="44" spans="1:19" x14ac:dyDescent="0.25">
      <c r="A44" s="298">
        <f t="shared" si="2"/>
        <v>46631</v>
      </c>
      <c r="B44" s="318">
        <f>SUMIFS(AUBURN[BILLING RATE (₹)],AUBURN[MONTH],$A44)</f>
        <v>0</v>
      </c>
      <c r="C44" s="318">
        <f>SUMIFS(MARKET[RATE (₹)],MARKET[MONTH],$A44)</f>
        <v>0</v>
      </c>
      <c r="D44" s="318">
        <f t="shared" si="0"/>
        <v>0</v>
      </c>
      <c r="E44" s="318">
        <f>SUMIFS(AUBURN[LORRY RATE (₹)],AUBURN[MONTH],$A44)</f>
        <v>0</v>
      </c>
      <c r="F44" s="300" t="str">
        <f t="shared" si="1"/>
        <v/>
      </c>
      <c r="N44" s="298">
        <f t="shared" si="7"/>
        <v>46600</v>
      </c>
      <c r="O44" s="318" t="e">
        <f>IF(OR($D43=0,$A43&lt;'BN DASHBOARD'!$C$61,$A43&gt;'BN DASHBOARD'!$C$62),NA(),$B43)</f>
        <v>#N/A</v>
      </c>
      <c r="P44" s="318" t="e">
        <f>IF(OR($D43=0,$A43&lt;'BN DASHBOARD'!$C$61,$A43&gt;'BN DASHBOARD'!$C$62),NA(),$C43)</f>
        <v>#N/A</v>
      </c>
      <c r="R44" s="298">
        <f t="shared" si="8"/>
        <v>46600</v>
      </c>
      <c r="S44" s="300" t="e">
        <f>IF(OR($B43=0,$A43&lt;'BN DASHBOARD'!$C$61,$A43&gt;'BN DASHBOARD'!$C$62),NA(),$F43)</f>
        <v>#N/A</v>
      </c>
    </row>
    <row r="45" spans="1:19" x14ac:dyDescent="0.25">
      <c r="A45" s="298">
        <f t="shared" si="2"/>
        <v>46661</v>
      </c>
      <c r="B45" s="318">
        <f>SUMIFS(AUBURN[BILLING RATE (₹)],AUBURN[MONTH],$A45)</f>
        <v>0</v>
      </c>
      <c r="C45" s="318">
        <f>SUMIFS(MARKET[RATE (₹)],MARKET[MONTH],$A45)</f>
        <v>0</v>
      </c>
      <c r="D45" s="318">
        <f t="shared" si="0"/>
        <v>0</v>
      </c>
      <c r="E45" s="318">
        <f>SUMIFS(AUBURN[LORRY RATE (₹)],AUBURN[MONTH],$A45)</f>
        <v>0</v>
      </c>
      <c r="F45" s="300" t="str">
        <f t="shared" si="1"/>
        <v/>
      </c>
      <c r="N45" s="298">
        <f t="shared" si="7"/>
        <v>46631</v>
      </c>
      <c r="O45" s="318" t="e">
        <f>IF(OR($D44=0,$A44&lt;'BN DASHBOARD'!$C$61,$A44&gt;'BN DASHBOARD'!$C$62),NA(),$B44)</f>
        <v>#N/A</v>
      </c>
      <c r="P45" s="318" t="e">
        <f>IF(OR($D44=0,$A44&lt;'BN DASHBOARD'!$C$61,$A44&gt;'BN DASHBOARD'!$C$62),NA(),$C44)</f>
        <v>#N/A</v>
      </c>
      <c r="R45" s="298">
        <f t="shared" si="8"/>
        <v>46631</v>
      </c>
      <c r="S45" s="300" t="e">
        <f>IF(OR($B44=0,$A44&lt;'BN DASHBOARD'!$C$61,$A44&gt;'BN DASHBOARD'!$C$62),NA(),$F44)</f>
        <v>#N/A</v>
      </c>
    </row>
    <row r="46" spans="1:19" x14ac:dyDescent="0.25">
      <c r="A46" s="298">
        <f t="shared" si="2"/>
        <v>46692</v>
      </c>
      <c r="B46" s="318">
        <f>SUMIFS(AUBURN[BILLING RATE (₹)],AUBURN[MONTH],$A46)</f>
        <v>0</v>
      </c>
      <c r="C46" s="318">
        <f>SUMIFS(MARKET[RATE (₹)],MARKET[MONTH],$A46)</f>
        <v>0</v>
      </c>
      <c r="D46" s="318">
        <f t="shared" si="0"/>
        <v>0</v>
      </c>
      <c r="E46" s="318">
        <f>SUMIFS(AUBURN[LORRY RATE (₹)],AUBURN[MONTH],$A46)</f>
        <v>0</v>
      </c>
      <c r="F46" s="300" t="str">
        <f t="shared" si="1"/>
        <v/>
      </c>
      <c r="N46" s="298">
        <f t="shared" si="7"/>
        <v>46661</v>
      </c>
      <c r="O46" s="318" t="e">
        <f>IF(OR($D45=0,$A45&lt;'BN DASHBOARD'!$C$61,$A45&gt;'BN DASHBOARD'!$C$62),NA(),$B45)</f>
        <v>#N/A</v>
      </c>
      <c r="P46" s="318" t="e">
        <f>IF(OR($D45=0,$A45&lt;'BN DASHBOARD'!$C$61,$A45&gt;'BN DASHBOARD'!$C$62),NA(),$C45)</f>
        <v>#N/A</v>
      </c>
      <c r="R46" s="298">
        <f t="shared" si="8"/>
        <v>46661</v>
      </c>
      <c r="S46" s="300" t="e">
        <f>IF(OR($B45=0,$A45&lt;'BN DASHBOARD'!$C$61,$A45&gt;'BN DASHBOARD'!$C$62),NA(),$F45)</f>
        <v>#N/A</v>
      </c>
    </row>
    <row r="47" spans="1:19" x14ac:dyDescent="0.25">
      <c r="A47" s="298">
        <f t="shared" si="2"/>
        <v>46722</v>
      </c>
      <c r="B47" s="318">
        <f>SUMIFS(AUBURN[BILLING RATE (₹)],AUBURN[MONTH],$A47)</f>
        <v>0</v>
      </c>
      <c r="C47" s="318">
        <f>SUMIFS(MARKET[RATE (₹)],MARKET[MONTH],$A47)</f>
        <v>0</v>
      </c>
      <c r="D47" s="318">
        <f t="shared" si="0"/>
        <v>0</v>
      </c>
      <c r="E47" s="318">
        <f>SUMIFS(AUBURN[LORRY RATE (₹)],AUBURN[MONTH],$A47)</f>
        <v>0</v>
      </c>
      <c r="F47" s="300" t="str">
        <f t="shared" si="1"/>
        <v/>
      </c>
      <c r="N47" s="298">
        <f t="shared" si="7"/>
        <v>46692</v>
      </c>
      <c r="O47" s="318" t="e">
        <f>IF(OR($D46=0,$A46&lt;'BN DASHBOARD'!$C$61,$A46&gt;'BN DASHBOARD'!$C$62),NA(),$B46)</f>
        <v>#N/A</v>
      </c>
      <c r="P47" s="318" t="e">
        <f>IF(OR($D46=0,$A46&lt;'BN DASHBOARD'!$C$61,$A46&gt;'BN DASHBOARD'!$C$62),NA(),$C46)</f>
        <v>#N/A</v>
      </c>
      <c r="R47" s="298">
        <f t="shared" si="8"/>
        <v>46692</v>
      </c>
      <c r="S47" s="300" t="e">
        <f>IF(OR($B46=0,$A46&lt;'BN DASHBOARD'!$C$61,$A46&gt;'BN DASHBOARD'!$C$62),NA(),$F46)</f>
        <v>#N/A</v>
      </c>
    </row>
    <row r="48" spans="1:19" x14ac:dyDescent="0.25">
      <c r="A48" s="298">
        <f t="shared" si="2"/>
        <v>46753</v>
      </c>
      <c r="B48" s="318">
        <f>SUMIFS(AUBURN[BILLING RATE (₹)],AUBURN[MONTH],$A48)</f>
        <v>0</v>
      </c>
      <c r="C48" s="318">
        <f>SUMIFS(MARKET[RATE (₹)],MARKET[MONTH],$A48)</f>
        <v>0</v>
      </c>
      <c r="D48" s="318">
        <f t="shared" si="0"/>
        <v>0</v>
      </c>
      <c r="E48" s="318">
        <f>SUMIFS(AUBURN[LORRY RATE (₹)],AUBURN[MONTH],$A48)</f>
        <v>0</v>
      </c>
      <c r="F48" s="300" t="str">
        <f t="shared" si="1"/>
        <v/>
      </c>
      <c r="N48" s="298">
        <f t="shared" si="7"/>
        <v>46722</v>
      </c>
      <c r="O48" s="318" t="e">
        <f>IF(OR($D47=0,$A47&lt;'BN DASHBOARD'!$C$61,$A47&gt;'BN DASHBOARD'!$C$62),NA(),$B47)</f>
        <v>#N/A</v>
      </c>
      <c r="P48" s="318" t="e">
        <f>IF(OR($D47=0,$A47&lt;'BN DASHBOARD'!$C$61,$A47&gt;'BN DASHBOARD'!$C$62),NA(),$C47)</f>
        <v>#N/A</v>
      </c>
      <c r="R48" s="298">
        <f t="shared" si="8"/>
        <v>46722</v>
      </c>
      <c r="S48" s="300" t="e">
        <f>IF(OR($B47=0,$A47&lt;'BN DASHBOARD'!$C$61,$A47&gt;'BN DASHBOARD'!$C$62),NA(),$F47)</f>
        <v>#N/A</v>
      </c>
    </row>
    <row r="49" spans="1:19" x14ac:dyDescent="0.25">
      <c r="A49" s="298">
        <f t="shared" si="2"/>
        <v>46784</v>
      </c>
      <c r="B49" s="318">
        <f>SUMIFS(AUBURN[BILLING RATE (₹)],AUBURN[MONTH],$A49)</f>
        <v>0</v>
      </c>
      <c r="C49" s="318">
        <f>SUMIFS(MARKET[RATE (₹)],MARKET[MONTH],$A49)</f>
        <v>0</v>
      </c>
      <c r="D49" s="318">
        <f t="shared" si="0"/>
        <v>0</v>
      </c>
      <c r="E49" s="318">
        <f>SUMIFS(AUBURN[LORRY RATE (₹)],AUBURN[MONTH],$A49)</f>
        <v>0</v>
      </c>
      <c r="F49" s="300" t="str">
        <f t="shared" si="1"/>
        <v/>
      </c>
      <c r="N49" s="298">
        <f t="shared" si="7"/>
        <v>46753</v>
      </c>
      <c r="O49" s="318" t="e">
        <f>IF(OR($D48=0,$A48&lt;'BN DASHBOARD'!$C$61,$A48&gt;'BN DASHBOARD'!$C$62),NA(),$B48)</f>
        <v>#N/A</v>
      </c>
      <c r="P49" s="318" t="e">
        <f>IF(OR($D48=0,$A48&lt;'BN DASHBOARD'!$C$61,$A48&gt;'BN DASHBOARD'!$C$62),NA(),$C48)</f>
        <v>#N/A</v>
      </c>
      <c r="R49" s="298">
        <f t="shared" si="8"/>
        <v>46753</v>
      </c>
      <c r="S49" s="300" t="e">
        <f>IF(OR($B48=0,$A48&lt;'BN DASHBOARD'!$C$61,$A48&gt;'BN DASHBOARD'!$C$62),NA(),$F48)</f>
        <v>#N/A</v>
      </c>
    </row>
    <row r="50" spans="1:19" x14ac:dyDescent="0.25">
      <c r="A50" s="298">
        <f t="shared" si="2"/>
        <v>46813</v>
      </c>
      <c r="B50" s="318">
        <f>SUMIFS(AUBURN[BILLING RATE (₹)],AUBURN[MONTH],$A50)</f>
        <v>0</v>
      </c>
      <c r="C50" s="318">
        <f>SUMIFS(MARKET[RATE (₹)],MARKET[MONTH],$A50)</f>
        <v>0</v>
      </c>
      <c r="D50" s="318">
        <f t="shared" si="0"/>
        <v>0</v>
      </c>
      <c r="E50" s="318">
        <f>SUMIFS(AUBURN[LORRY RATE (₹)],AUBURN[MONTH],$A50)</f>
        <v>0</v>
      </c>
      <c r="F50" s="300" t="str">
        <f t="shared" si="1"/>
        <v/>
      </c>
      <c r="N50" s="298">
        <f t="shared" si="7"/>
        <v>46784</v>
      </c>
      <c r="O50" s="318" t="e">
        <f>IF(OR($D49=0,$A49&lt;'BN DASHBOARD'!$C$61,$A49&gt;'BN DASHBOARD'!$C$62),NA(),$B49)</f>
        <v>#N/A</v>
      </c>
      <c r="P50" s="318" t="e">
        <f>IF(OR($D49=0,$A49&lt;'BN DASHBOARD'!$C$61,$A49&gt;'BN DASHBOARD'!$C$62),NA(),$C49)</f>
        <v>#N/A</v>
      </c>
      <c r="R50" s="298">
        <f t="shared" si="8"/>
        <v>46784</v>
      </c>
      <c r="S50" s="300" t="e">
        <f>IF(OR($B49=0,$A49&lt;'BN DASHBOARD'!$C$61,$A49&gt;'BN DASHBOARD'!$C$62),NA(),$F49)</f>
        <v>#N/A</v>
      </c>
    </row>
    <row r="51" spans="1:19" x14ac:dyDescent="0.25">
      <c r="A51" s="298">
        <f t="shared" si="2"/>
        <v>46844</v>
      </c>
      <c r="B51" s="318">
        <f>SUMIFS(AUBURN[BILLING RATE (₹)],AUBURN[MONTH],$A51)</f>
        <v>0</v>
      </c>
      <c r="C51" s="318">
        <f>SUMIFS(MARKET[RATE (₹)],MARKET[MONTH],$A51)</f>
        <v>0</v>
      </c>
      <c r="D51" s="318">
        <f t="shared" si="0"/>
        <v>0</v>
      </c>
      <c r="E51" s="318">
        <f>SUMIFS(AUBURN[LORRY RATE (₹)],AUBURN[MONTH],$A51)</f>
        <v>0</v>
      </c>
      <c r="F51" s="300" t="str">
        <f t="shared" si="1"/>
        <v/>
      </c>
      <c r="N51" s="298">
        <f t="shared" si="7"/>
        <v>46813</v>
      </c>
      <c r="O51" s="318" t="e">
        <f>IF(OR($D50=0,$A50&lt;'BN DASHBOARD'!$C$61,$A50&gt;'BN DASHBOARD'!$C$62),NA(),$B50)</f>
        <v>#N/A</v>
      </c>
      <c r="P51" s="318" t="e">
        <f>IF(OR($D50=0,$A50&lt;'BN DASHBOARD'!$C$61,$A50&gt;'BN DASHBOARD'!$C$62),NA(),$C50)</f>
        <v>#N/A</v>
      </c>
      <c r="R51" s="298">
        <f t="shared" si="8"/>
        <v>46813</v>
      </c>
      <c r="S51" s="300" t="e">
        <f>IF(OR($B50=0,$A50&lt;'BN DASHBOARD'!$C$61,$A50&gt;'BN DASHBOARD'!$C$62),NA(),$F50)</f>
        <v>#N/A</v>
      </c>
    </row>
    <row r="52" spans="1:19" x14ac:dyDescent="0.25">
      <c r="A52" s="298">
        <f t="shared" si="2"/>
        <v>46874</v>
      </c>
      <c r="B52" s="318">
        <f>SUMIFS(AUBURN[BILLING RATE (₹)],AUBURN[MONTH],$A52)</f>
        <v>0</v>
      </c>
      <c r="C52" s="318">
        <f>SUMIFS(MARKET[RATE (₹)],MARKET[MONTH],$A52)</f>
        <v>0</v>
      </c>
      <c r="D52" s="318">
        <f t="shared" si="0"/>
        <v>0</v>
      </c>
      <c r="E52" s="318">
        <f>SUMIFS(AUBURN[LORRY RATE (₹)],AUBURN[MONTH],$A52)</f>
        <v>0</v>
      </c>
      <c r="F52" s="300" t="str">
        <f t="shared" si="1"/>
        <v/>
      </c>
      <c r="N52" s="298">
        <f t="shared" si="7"/>
        <v>46844</v>
      </c>
      <c r="O52" s="318" t="e">
        <f>IF(OR($D51=0,$A51&lt;'BN DASHBOARD'!$C$61,$A51&gt;'BN DASHBOARD'!$C$62),NA(),$B51)</f>
        <v>#N/A</v>
      </c>
      <c r="P52" s="318" t="e">
        <f>IF(OR($D51=0,$A51&lt;'BN DASHBOARD'!$C$61,$A51&gt;'BN DASHBOARD'!$C$62),NA(),$C51)</f>
        <v>#N/A</v>
      </c>
      <c r="R52" s="298">
        <f t="shared" si="8"/>
        <v>46844</v>
      </c>
      <c r="S52" s="300" t="e">
        <f>IF(OR($B51=0,$A51&lt;'BN DASHBOARD'!$C$61,$A51&gt;'BN DASHBOARD'!$C$62),NA(),$F51)</f>
        <v>#N/A</v>
      </c>
    </row>
    <row r="53" spans="1:19" x14ac:dyDescent="0.25">
      <c r="A53" s="298">
        <f t="shared" si="2"/>
        <v>46905</v>
      </c>
      <c r="B53" s="318">
        <f>SUMIFS(AUBURN[BILLING RATE (₹)],AUBURN[MONTH],$A53)</f>
        <v>0</v>
      </c>
      <c r="C53" s="318">
        <f>SUMIFS(MARKET[RATE (₹)],MARKET[MONTH],$A53)</f>
        <v>0</v>
      </c>
      <c r="D53" s="318">
        <f t="shared" si="0"/>
        <v>0</v>
      </c>
      <c r="E53" s="318">
        <f>SUMIFS(AUBURN[LORRY RATE (₹)],AUBURN[MONTH],$A53)</f>
        <v>0</v>
      </c>
      <c r="F53" s="300" t="str">
        <f t="shared" si="1"/>
        <v/>
      </c>
      <c r="N53" s="298">
        <f t="shared" si="7"/>
        <v>46874</v>
      </c>
      <c r="O53" s="318" t="e">
        <f>IF(OR($D52=0,$A52&lt;'BN DASHBOARD'!$C$61,$A52&gt;'BN DASHBOARD'!$C$62),NA(),$B52)</f>
        <v>#N/A</v>
      </c>
      <c r="P53" s="318" t="e">
        <f>IF(OR($D52=0,$A52&lt;'BN DASHBOARD'!$C$61,$A52&gt;'BN DASHBOARD'!$C$62),NA(),$C52)</f>
        <v>#N/A</v>
      </c>
      <c r="R53" s="298">
        <f t="shared" si="8"/>
        <v>46874</v>
      </c>
      <c r="S53" s="300" t="e">
        <f>IF(OR($B52=0,$A52&lt;'BN DASHBOARD'!$C$61,$A52&gt;'BN DASHBOARD'!$C$62),NA(),$F52)</f>
        <v>#N/A</v>
      </c>
    </row>
    <row r="54" spans="1:19" x14ac:dyDescent="0.25">
      <c r="A54" s="298">
        <f t="shared" si="2"/>
        <v>46935</v>
      </c>
      <c r="B54" s="318">
        <f>SUMIFS(AUBURN[BILLING RATE (₹)],AUBURN[MONTH],$A54)</f>
        <v>0</v>
      </c>
      <c r="C54" s="318">
        <f>SUMIFS(MARKET[RATE (₹)],MARKET[MONTH],$A54)</f>
        <v>0</v>
      </c>
      <c r="D54" s="318">
        <f t="shared" si="0"/>
        <v>0</v>
      </c>
      <c r="E54" s="318">
        <f>SUMIFS(AUBURN[LORRY RATE (₹)],AUBURN[MONTH],$A54)</f>
        <v>0</v>
      </c>
      <c r="F54" s="300" t="str">
        <f t="shared" si="1"/>
        <v/>
      </c>
      <c r="N54" s="298">
        <f t="shared" si="7"/>
        <v>46905</v>
      </c>
      <c r="O54" s="318" t="e">
        <f>IF(OR($D53=0,$A53&lt;'BN DASHBOARD'!$C$61,$A53&gt;'BN DASHBOARD'!$C$62),NA(),$B53)</f>
        <v>#N/A</v>
      </c>
      <c r="P54" s="318" t="e">
        <f>IF(OR($D53=0,$A53&lt;'BN DASHBOARD'!$C$61,$A53&gt;'BN DASHBOARD'!$C$62),NA(),$C53)</f>
        <v>#N/A</v>
      </c>
      <c r="R54" s="298">
        <f t="shared" si="8"/>
        <v>46905</v>
      </c>
      <c r="S54" s="300" t="e">
        <f>IF(OR($B53=0,$A53&lt;'BN DASHBOARD'!$C$61,$A53&gt;'BN DASHBOARD'!$C$62),NA(),$F53)</f>
        <v>#N/A</v>
      </c>
    </row>
    <row r="55" spans="1:19" x14ac:dyDescent="0.25">
      <c r="A55" s="298">
        <f t="shared" si="2"/>
        <v>46966</v>
      </c>
      <c r="B55" s="318">
        <f>SUMIFS(AUBURN[BILLING RATE (₹)],AUBURN[MONTH],$A55)</f>
        <v>0</v>
      </c>
      <c r="C55" s="318">
        <f>SUMIFS(MARKET[RATE (₹)],MARKET[MONTH],$A55)</f>
        <v>0</v>
      </c>
      <c r="D55" s="318">
        <f t="shared" si="0"/>
        <v>0</v>
      </c>
      <c r="E55" s="318">
        <f>SUMIFS(AUBURN[LORRY RATE (₹)],AUBURN[MONTH],$A55)</f>
        <v>0</v>
      </c>
      <c r="F55" s="300" t="str">
        <f t="shared" si="1"/>
        <v/>
      </c>
      <c r="N55" s="298">
        <f t="shared" si="7"/>
        <v>46935</v>
      </c>
      <c r="O55" s="318" t="e">
        <f>IF(OR($D54=0,$A54&lt;'BN DASHBOARD'!$C$61,$A54&gt;'BN DASHBOARD'!$C$62),NA(),$B54)</f>
        <v>#N/A</v>
      </c>
      <c r="P55" s="318" t="e">
        <f>IF(OR($D54=0,$A54&lt;'BN DASHBOARD'!$C$61,$A54&gt;'BN DASHBOARD'!$C$62),NA(),$C54)</f>
        <v>#N/A</v>
      </c>
      <c r="R55" s="298">
        <f t="shared" si="8"/>
        <v>46935</v>
      </c>
      <c r="S55" s="300" t="e">
        <f>IF(OR($B54=0,$A54&lt;'BN DASHBOARD'!$C$61,$A54&gt;'BN DASHBOARD'!$C$62),NA(),$F54)</f>
        <v>#N/A</v>
      </c>
    </row>
    <row r="56" spans="1:19" x14ac:dyDescent="0.25">
      <c r="A56" s="298">
        <f t="shared" si="2"/>
        <v>46997</v>
      </c>
      <c r="B56" s="318">
        <f>SUMIFS(AUBURN[BILLING RATE (₹)],AUBURN[MONTH],$A56)</f>
        <v>0</v>
      </c>
      <c r="C56" s="318">
        <f>SUMIFS(MARKET[RATE (₹)],MARKET[MONTH],$A56)</f>
        <v>0</v>
      </c>
      <c r="D56" s="318">
        <f t="shared" si="0"/>
        <v>0</v>
      </c>
      <c r="E56" s="318">
        <f>SUMIFS(AUBURN[LORRY RATE (₹)],AUBURN[MONTH],$A56)</f>
        <v>0</v>
      </c>
      <c r="F56" s="300" t="str">
        <f t="shared" si="1"/>
        <v/>
      </c>
      <c r="N56" s="298">
        <f t="shared" si="7"/>
        <v>46966</v>
      </c>
      <c r="O56" s="318" t="e">
        <f>IF(OR($D55=0,$A55&lt;'BN DASHBOARD'!$C$61,$A55&gt;'BN DASHBOARD'!$C$62),NA(),$B55)</f>
        <v>#N/A</v>
      </c>
      <c r="P56" s="318" t="e">
        <f>IF(OR($D55=0,$A55&lt;'BN DASHBOARD'!$C$61,$A55&gt;'BN DASHBOARD'!$C$62),NA(),$C55)</f>
        <v>#N/A</v>
      </c>
      <c r="R56" s="298">
        <f t="shared" si="8"/>
        <v>46966</v>
      </c>
      <c r="S56" s="300" t="e">
        <f>IF(OR($B55=0,$A55&lt;'BN DASHBOARD'!$C$61,$A55&gt;'BN DASHBOARD'!$C$62),NA(),$F55)</f>
        <v>#N/A</v>
      </c>
    </row>
    <row r="57" spans="1:19" x14ac:dyDescent="0.25">
      <c r="A57" s="298">
        <f t="shared" si="2"/>
        <v>47027</v>
      </c>
      <c r="B57" s="318">
        <f>SUMIFS(AUBURN[BILLING RATE (₹)],AUBURN[MONTH],$A57)</f>
        <v>0</v>
      </c>
      <c r="C57" s="318">
        <f>SUMIFS(MARKET[RATE (₹)],MARKET[MONTH],$A57)</f>
        <v>0</v>
      </c>
      <c r="D57" s="318">
        <f t="shared" si="0"/>
        <v>0</v>
      </c>
      <c r="E57" s="318">
        <f>SUMIFS(AUBURN[LORRY RATE (₹)],AUBURN[MONTH],$A57)</f>
        <v>0</v>
      </c>
      <c r="F57" s="300" t="str">
        <f t="shared" si="1"/>
        <v/>
      </c>
      <c r="N57" s="298">
        <f t="shared" si="7"/>
        <v>46997</v>
      </c>
      <c r="O57" s="318" t="e">
        <f>IF(OR($D56=0,$A56&lt;'BN DASHBOARD'!$C$61,$A56&gt;'BN DASHBOARD'!$C$62),NA(),$B56)</f>
        <v>#N/A</v>
      </c>
      <c r="P57" s="318" t="e">
        <f>IF(OR($D56=0,$A56&lt;'BN DASHBOARD'!$C$61,$A56&gt;'BN DASHBOARD'!$C$62),NA(),$C56)</f>
        <v>#N/A</v>
      </c>
      <c r="R57" s="298">
        <f t="shared" si="8"/>
        <v>46997</v>
      </c>
      <c r="S57" s="300" t="e">
        <f>IF(OR($B56=0,$A56&lt;'BN DASHBOARD'!$C$61,$A56&gt;'BN DASHBOARD'!$C$62),NA(),$F56)</f>
        <v>#N/A</v>
      </c>
    </row>
    <row r="58" spans="1:19" x14ac:dyDescent="0.25">
      <c r="A58" s="298">
        <f t="shared" si="2"/>
        <v>47058</v>
      </c>
      <c r="B58" s="318">
        <f>SUMIFS(AUBURN[BILLING RATE (₹)],AUBURN[MONTH],$A58)</f>
        <v>0</v>
      </c>
      <c r="C58" s="318">
        <f>SUMIFS(MARKET[RATE (₹)],MARKET[MONTH],$A58)</f>
        <v>0</v>
      </c>
      <c r="D58" s="318">
        <f t="shared" si="0"/>
        <v>0</v>
      </c>
      <c r="E58" s="318">
        <f>SUMIFS(AUBURN[LORRY RATE (₹)],AUBURN[MONTH],$A58)</f>
        <v>0</v>
      </c>
      <c r="F58" s="300" t="str">
        <f t="shared" si="1"/>
        <v/>
      </c>
      <c r="N58" s="298">
        <f t="shared" si="7"/>
        <v>47027</v>
      </c>
      <c r="O58" s="318" t="e">
        <f>IF(OR($D57=0,$A57&lt;'BN DASHBOARD'!$C$61,$A57&gt;'BN DASHBOARD'!$C$62),NA(),$B57)</f>
        <v>#N/A</v>
      </c>
      <c r="P58" s="318" t="e">
        <f>IF(OR($D57=0,$A57&lt;'BN DASHBOARD'!$C$61,$A57&gt;'BN DASHBOARD'!$C$62),NA(),$C57)</f>
        <v>#N/A</v>
      </c>
      <c r="R58" s="298">
        <f t="shared" si="8"/>
        <v>47027</v>
      </c>
      <c r="S58" s="300" t="e">
        <f>IF(OR($B57=0,$A57&lt;'BN DASHBOARD'!$C$61,$A57&gt;'BN DASHBOARD'!$C$62),NA(),$F57)</f>
        <v>#N/A</v>
      </c>
    </row>
    <row r="59" spans="1:19" x14ac:dyDescent="0.25">
      <c r="A59" s="298">
        <f t="shared" si="2"/>
        <v>47088</v>
      </c>
      <c r="B59" s="318">
        <f>SUMIFS(AUBURN[BILLING RATE (₹)],AUBURN[MONTH],$A59)</f>
        <v>0</v>
      </c>
      <c r="C59" s="318">
        <f>SUMIFS(MARKET[RATE (₹)],MARKET[MONTH],$A59)</f>
        <v>0</v>
      </c>
      <c r="D59" s="318">
        <f t="shared" si="0"/>
        <v>0</v>
      </c>
      <c r="E59" s="318">
        <f>SUMIFS(AUBURN[LORRY RATE (₹)],AUBURN[MONTH],$A59)</f>
        <v>0</v>
      </c>
      <c r="F59" s="300" t="str">
        <f t="shared" si="1"/>
        <v/>
      </c>
      <c r="N59" s="298">
        <f t="shared" si="7"/>
        <v>47058</v>
      </c>
      <c r="O59" s="318" t="e">
        <f>IF(OR($D58=0,$A58&lt;'BN DASHBOARD'!$C$61,$A58&gt;'BN DASHBOARD'!$C$62),NA(),$B58)</f>
        <v>#N/A</v>
      </c>
      <c r="P59" s="318" t="e">
        <f>IF(OR($D58=0,$A58&lt;'BN DASHBOARD'!$C$61,$A58&gt;'BN DASHBOARD'!$C$62),NA(),$C58)</f>
        <v>#N/A</v>
      </c>
      <c r="R59" s="298">
        <f t="shared" si="8"/>
        <v>47058</v>
      </c>
      <c r="S59" s="300" t="e">
        <f>IF(OR($B58=0,$A58&lt;'BN DASHBOARD'!$C$61,$A58&gt;'BN DASHBOARD'!$C$62),NA(),$F58)</f>
        <v>#N/A</v>
      </c>
    </row>
    <row r="60" spans="1:19" x14ac:dyDescent="0.25">
      <c r="N60" s="298">
        <f t="shared" si="7"/>
        <v>47088</v>
      </c>
      <c r="O60" s="318" t="e">
        <f>IF(OR($D59=0,$A59&lt;'BN DASHBOARD'!$C$61,$A59&gt;'BN DASHBOARD'!$C$62),NA(),$B59)</f>
        <v>#N/A</v>
      </c>
      <c r="P60" s="318" t="e">
        <f>IF(OR($D59=0,$A59&lt;'BN DASHBOARD'!$C$61,$A59&gt;'BN DASHBOARD'!$C$62),NA(),$C59)</f>
        <v>#N/A</v>
      </c>
      <c r="R60" s="298">
        <f t="shared" si="8"/>
        <v>47088</v>
      </c>
      <c r="S60" s="300" t="e">
        <f>IF(OR($B59=0,$A59&lt;'BN DASHBOARD'!$C$61,$A59&gt;'BN DASHBOARD'!$C$62),NA(),$F59)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BN DASHBOARD</vt:lpstr>
      <vt:lpstr>Auburn Load </vt:lpstr>
      <vt:lpstr>AUBURN LOAD CLEAN</vt:lpstr>
      <vt:lpstr>Market Load</vt:lpstr>
      <vt:lpstr>MARKET LOAD CLEAN</vt:lpstr>
      <vt:lpstr>Monthly Sale</vt:lpstr>
      <vt:lpstr>MONTHLY SALE CLEAN</vt:lpstr>
      <vt:lpstr>Monthly KM Run</vt:lpstr>
      <vt:lpstr>KM RUN CLEAN</vt:lpstr>
      <vt:lpstr>Daily Tracking</vt:lpstr>
      <vt:lpstr>Report</vt:lpstr>
      <vt:lpstr>BN DASH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Mandal</dc:creator>
  <cp:lastModifiedBy>Tanmay Mandal</cp:lastModifiedBy>
  <dcterms:created xsi:type="dcterms:W3CDTF">2024-05-13T05:13:05Z</dcterms:created>
  <dcterms:modified xsi:type="dcterms:W3CDTF">2026-09-11T09:37:25Z</dcterms:modified>
</cp:coreProperties>
</file>